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otan\projects\re-process-dashboard\data\source\"/>
    </mc:Choice>
  </mc:AlternateContent>
  <xr:revisionPtr revIDLastSave="0" documentId="8_{C26A59C4-4950-4EE7-BF50-303793BF05CE}" xr6:coauthVersionLast="47" xr6:coauthVersionMax="47" xr10:uidLastSave="{00000000-0000-0000-0000-000000000000}"/>
  <bookViews>
    <workbookView xWindow="17940" yWindow="300" windowWidth="16110" windowHeight="14610" firstSheet="6" activeTab="11" xr2:uid="{00000000-000D-0000-FFFF-FFFF00000000}"/>
  </bookViews>
  <sheets>
    <sheet name="冷延条件" sheetId="1" r:id="rId1"/>
    <sheet name="relationEx" sheetId="2" r:id="rId2"/>
    <sheet name="溶製成績書" sheetId="3" r:id="rId3"/>
    <sheet name="熱延条件" sheetId="4" r:id="rId4"/>
    <sheet name="熱延組織" sheetId="5" r:id="rId5"/>
    <sheet name="熱延引張実績" sheetId="6" r:id="rId6"/>
    <sheet name="焼鈍履歴" sheetId="7" r:id="rId7"/>
    <sheet name="焼鈍条件-3CGL" sheetId="8" r:id="rId8"/>
    <sheet name="焼鈍穴拡げ実績" sheetId="9" r:id="rId9"/>
    <sheet name="焼鈍引張実績" sheetId="10" r:id="rId10"/>
    <sheet name="焼鈍板組織" sheetId="11" r:id="rId11"/>
    <sheet name="測定点マスタ" sheetId="12" r:id="rId12"/>
  </sheets>
  <calcPr calcId="181029"/>
  <fileRecoveryPr repairLoad="1"/>
</workbook>
</file>

<file path=xl/calcChain.xml><?xml version="1.0" encoding="utf-8"?>
<calcChain xmlns="http://schemas.openxmlformats.org/spreadsheetml/2006/main">
  <c r="D3508" i="7" l="1"/>
  <c r="F3508" i="7" s="1"/>
  <c r="F3507" i="7"/>
  <c r="D3507" i="7"/>
  <c r="D3506" i="7"/>
  <c r="F3506" i="7" s="1"/>
  <c r="D3505" i="7"/>
  <c r="F3505" i="7" s="1"/>
  <c r="D3504" i="7"/>
  <c r="F3504" i="7" s="1"/>
  <c r="F3503" i="7"/>
  <c r="D3503" i="7"/>
  <c r="D3502" i="7"/>
  <c r="F3502" i="7" s="1"/>
  <c r="D3501" i="7"/>
  <c r="F3501" i="7" s="1"/>
  <c r="D3500" i="7"/>
  <c r="F3500" i="7" s="1"/>
  <c r="D3499" i="7"/>
  <c r="F3499" i="7" s="1"/>
  <c r="D3498" i="7"/>
  <c r="F3498" i="7" s="1"/>
  <c r="D3497" i="7"/>
  <c r="D3496" i="7"/>
  <c r="D3495" i="7"/>
  <c r="D3494" i="7"/>
  <c r="F3495" i="7" s="1"/>
  <c r="F3493" i="7"/>
  <c r="D3493" i="7"/>
  <c r="D3492" i="7"/>
  <c r="D3491" i="7"/>
  <c r="F3491" i="7" s="1"/>
  <c r="F3490" i="7"/>
  <c r="D3490" i="7"/>
  <c r="D3489" i="7"/>
  <c r="F3489" i="7" s="1"/>
  <c r="D3488" i="7"/>
  <c r="F3488" i="7" s="1"/>
  <c r="D3487" i="7"/>
  <c r="D3486" i="7"/>
  <c r="D3485" i="7"/>
  <c r="F3485" i="7" s="1"/>
  <c r="D3484" i="7"/>
  <c r="F3484" i="7" s="1"/>
  <c r="F3483" i="7"/>
  <c r="D3483" i="7"/>
  <c r="D3482" i="7"/>
  <c r="D3481" i="7"/>
  <c r="D3480" i="7"/>
  <c r="F3480" i="7" s="1"/>
  <c r="D3479" i="7"/>
  <c r="F3479" i="7" s="1"/>
  <c r="D3478" i="7"/>
  <c r="D3477" i="7"/>
  <c r="F3477" i="7" s="1"/>
  <c r="D3476" i="7"/>
  <c r="D3475" i="7"/>
  <c r="F3475" i="7" s="1"/>
  <c r="D3474" i="7"/>
  <c r="F3474" i="7" s="1"/>
  <c r="D3473" i="7"/>
  <c r="D3472" i="7"/>
  <c r="F3471" i="7"/>
  <c r="D3471" i="7"/>
  <c r="D3470" i="7"/>
  <c r="F3470" i="7" s="1"/>
  <c r="D3469" i="7"/>
  <c r="D3468" i="7"/>
  <c r="F3468" i="7" s="1"/>
  <c r="D3467" i="7"/>
  <c r="D3466" i="7"/>
  <c r="F3466" i="7" s="1"/>
  <c r="D3465" i="7"/>
  <c r="F3465" i="7" s="1"/>
  <c r="D3464" i="7"/>
  <c r="F3464" i="7" s="1"/>
  <c r="D3463" i="7"/>
  <c r="D3462" i="7"/>
  <c r="F3462" i="7" s="1"/>
  <c r="D3461" i="7"/>
  <c r="D3460" i="7"/>
  <c r="F3460" i="7" s="1"/>
  <c r="D3459" i="7"/>
  <c r="D3458" i="7"/>
  <c r="D3457" i="7"/>
  <c r="F3457" i="7" s="1"/>
  <c r="D3456" i="7"/>
  <c r="F3455" i="7"/>
  <c r="D3455" i="7"/>
  <c r="D3454" i="7"/>
  <c r="F3453" i="7"/>
  <c r="D3453" i="7"/>
  <c r="F3454" i="7" s="1"/>
  <c r="F3452" i="7"/>
  <c r="D3452" i="7"/>
  <c r="D3451" i="7"/>
  <c r="D3450" i="7"/>
  <c r="F3450" i="7" s="1"/>
  <c r="D3449" i="7"/>
  <c r="F3449" i="7" s="1"/>
  <c r="D3448" i="7"/>
  <c r="F3447" i="7"/>
  <c r="D3447" i="7"/>
  <c r="D3446" i="7"/>
  <c r="D3445" i="7"/>
  <c r="F3445" i="7" s="1"/>
  <c r="D3444" i="7"/>
  <c r="F3444" i="7" s="1"/>
  <c r="D3443" i="7"/>
  <c r="F3443" i="7" s="1"/>
  <c r="D3442" i="7"/>
  <c r="D3441" i="7"/>
  <c r="F3441" i="7" s="1"/>
  <c r="D3440" i="7"/>
  <c r="D3439" i="7"/>
  <c r="D3438" i="7"/>
  <c r="F3438" i="7" s="1"/>
  <c r="D3437" i="7"/>
  <c r="F3437" i="7" s="1"/>
  <c r="D3436" i="7"/>
  <c r="D3435" i="7"/>
  <c r="D3434" i="7"/>
  <c r="F3435" i="7" s="1"/>
  <c r="F3433" i="7"/>
  <c r="D3433" i="7"/>
  <c r="D3432" i="7"/>
  <c r="D3431" i="7"/>
  <c r="F3431" i="7" s="1"/>
  <c r="D3430" i="7"/>
  <c r="D3429" i="7"/>
  <c r="F3429" i="7" s="1"/>
  <c r="D3428" i="7"/>
  <c r="D3427" i="7"/>
  <c r="D3426" i="7"/>
  <c r="D3425" i="7"/>
  <c r="F3425" i="7" s="1"/>
  <c r="F3424" i="7"/>
  <c r="D3424" i="7"/>
  <c r="F3423" i="7"/>
  <c r="D3423" i="7"/>
  <c r="D3422" i="7"/>
  <c r="F3422" i="7" s="1"/>
  <c r="D3421" i="7"/>
  <c r="F3421" i="7" s="1"/>
  <c r="D3420" i="7"/>
  <c r="D3419" i="7"/>
  <c r="F3419" i="7" s="1"/>
  <c r="D3418" i="7"/>
  <c r="F3418" i="7" s="1"/>
  <c r="D3417" i="7"/>
  <c r="D3416" i="7"/>
  <c r="D3415" i="7"/>
  <c r="F3415" i="7" s="1"/>
  <c r="F3414" i="7"/>
  <c r="D3414" i="7"/>
  <c r="D3413" i="7"/>
  <c r="F3413" i="7" s="1"/>
  <c r="D3412" i="7"/>
  <c r="D3411" i="7"/>
  <c r="D3410" i="7"/>
  <c r="F3410" i="7" s="1"/>
  <c r="D3409" i="7"/>
  <c r="D3408" i="7"/>
  <c r="F3408" i="7" s="1"/>
  <c r="D3407" i="7"/>
  <c r="F3407" i="7" s="1"/>
  <c r="D3406" i="7"/>
  <c r="D3405" i="7"/>
  <c r="F3405" i="7" s="1"/>
  <c r="D3404" i="7"/>
  <c r="F3404" i="7" s="1"/>
  <c r="D3403" i="7"/>
  <c r="F3403" i="7" s="1"/>
  <c r="D3402" i="7"/>
  <c r="D3401" i="7"/>
  <c r="F3401" i="7" s="1"/>
  <c r="D3400" i="7"/>
  <c r="D3399" i="7"/>
  <c r="F3399" i="7" s="1"/>
  <c r="D3398" i="7"/>
  <c r="F3398" i="7" s="1"/>
  <c r="F3397" i="7"/>
  <c r="D3397" i="7"/>
  <c r="F3396" i="7"/>
  <c r="D3396" i="7"/>
  <c r="D3395" i="7"/>
  <c r="F3395" i="7" s="1"/>
  <c r="D3394" i="7"/>
  <c r="F3394" i="7" s="1"/>
  <c r="D3393" i="7"/>
  <c r="D3392" i="7"/>
  <c r="F3392" i="7" s="1"/>
  <c r="D3391" i="7"/>
  <c r="D3390" i="7"/>
  <c r="F3390" i="7" s="1"/>
  <c r="D3389" i="7"/>
  <c r="D3388" i="7"/>
  <c r="D3387" i="7"/>
  <c r="F3387" i="7" s="1"/>
  <c r="D3386" i="7"/>
  <c r="F3385" i="7"/>
  <c r="D3385" i="7"/>
  <c r="D3384" i="7"/>
  <c r="D3383" i="7"/>
  <c r="F3384" i="7" s="1"/>
  <c r="D3382" i="7"/>
  <c r="D3381" i="7"/>
  <c r="F3381" i="7" s="1"/>
  <c r="D3380" i="7"/>
  <c r="D3379" i="7"/>
  <c r="F3379" i="7" s="1"/>
  <c r="F3378" i="7"/>
  <c r="D3378" i="7"/>
  <c r="F3377" i="7"/>
  <c r="D3377" i="7"/>
  <c r="D3376" i="7"/>
  <c r="D3375" i="7"/>
  <c r="F3375" i="7" s="1"/>
  <c r="D3374" i="7"/>
  <c r="F3374" i="7" s="1"/>
  <c r="D3373" i="7"/>
  <c r="F3373" i="7" s="1"/>
  <c r="D3372" i="7"/>
  <c r="D3371" i="7"/>
  <c r="F3371" i="7" s="1"/>
  <c r="D3370" i="7"/>
  <c r="D3369" i="7"/>
  <c r="F3369" i="7" s="1"/>
  <c r="D3368" i="7"/>
  <c r="F3368" i="7" s="1"/>
  <c r="D3367" i="7"/>
  <c r="F3367" i="7" s="1"/>
  <c r="D3366" i="7"/>
  <c r="F3365" i="7"/>
  <c r="D3365" i="7"/>
  <c r="D3364" i="7"/>
  <c r="F3364" i="7" s="1"/>
  <c r="D3363" i="7"/>
  <c r="F3363" i="7" s="1"/>
  <c r="D3362" i="7"/>
  <c r="F3361" i="7"/>
  <c r="D3361" i="7"/>
  <c r="D3360" i="7"/>
  <c r="F3360" i="7" s="1"/>
  <c r="D3359" i="7"/>
  <c r="D3358" i="7"/>
  <c r="D3357" i="7"/>
  <c r="F3357" i="7" s="1"/>
  <c r="D3356" i="7"/>
  <c r="F3355" i="7"/>
  <c r="D3355" i="7"/>
  <c r="D3354" i="7"/>
  <c r="F3354" i="7" s="1"/>
  <c r="D3353" i="7"/>
  <c r="F3353" i="7" s="1"/>
  <c r="D3352" i="7"/>
  <c r="F3352" i="7" s="1"/>
  <c r="D3351" i="7"/>
  <c r="D3350" i="7"/>
  <c r="F3350" i="7" s="1"/>
  <c r="D3349" i="7"/>
  <c r="D3348" i="7"/>
  <c r="D3347" i="7"/>
  <c r="F3347" i="7" s="1"/>
  <c r="D3346" i="7"/>
  <c r="F3345" i="7"/>
  <c r="D3345" i="7"/>
  <c r="D3344" i="7"/>
  <c r="D3343" i="7"/>
  <c r="F3344" i="7" s="1"/>
  <c r="D3342" i="7"/>
  <c r="D3341" i="7"/>
  <c r="F3341" i="7" s="1"/>
  <c r="D3340" i="7"/>
  <c r="D3339" i="7"/>
  <c r="F3339" i="7" s="1"/>
  <c r="D3338" i="7"/>
  <c r="D3337" i="7"/>
  <c r="F3337" i="7" s="1"/>
  <c r="D3336" i="7"/>
  <c r="F3335" i="7"/>
  <c r="D3335" i="7"/>
  <c r="F3334" i="7"/>
  <c r="D3334" i="7"/>
  <c r="D3333" i="7"/>
  <c r="D3332" i="7"/>
  <c r="F3332" i="7" s="1"/>
  <c r="D3331" i="7"/>
  <c r="D3330" i="7"/>
  <c r="F3330" i="7" s="1"/>
  <c r="D3329" i="7"/>
  <c r="F3328" i="7"/>
  <c r="D3328" i="7"/>
  <c r="D3327" i="7"/>
  <c r="F3327" i="7" s="1"/>
  <c r="D3326" i="7"/>
  <c r="F3325" i="7"/>
  <c r="D3325" i="7"/>
  <c r="D3324" i="7"/>
  <c r="F3324" i="7" s="1"/>
  <c r="D3323" i="7"/>
  <c r="F3323" i="7" s="1"/>
  <c r="D3322" i="7"/>
  <c r="D3321" i="7"/>
  <c r="F3321" i="7" s="1"/>
  <c r="D3320" i="7"/>
  <c r="D3319" i="7"/>
  <c r="F3319" i="7" s="1"/>
  <c r="D3318" i="7"/>
  <c r="D3317" i="7"/>
  <c r="D3316" i="7"/>
  <c r="D3315" i="7"/>
  <c r="D3314" i="7"/>
  <c r="F3314" i="7" s="1"/>
  <c r="F3313" i="7"/>
  <c r="D3313" i="7"/>
  <c r="F3312" i="7"/>
  <c r="D3312" i="7"/>
  <c r="D3311" i="7"/>
  <c r="D3310" i="7"/>
  <c r="F3310" i="7" s="1"/>
  <c r="D3309" i="7"/>
  <c r="D3308" i="7"/>
  <c r="F3308" i="7" s="1"/>
  <c r="D3307" i="7"/>
  <c r="F3307" i="7" s="1"/>
  <c r="D3306" i="7"/>
  <c r="D3305" i="7"/>
  <c r="F3304" i="7"/>
  <c r="D3304" i="7"/>
  <c r="F3305" i="7" s="1"/>
  <c r="D3303" i="7"/>
  <c r="D3302" i="7"/>
  <c r="D3301" i="7"/>
  <c r="D3300" i="7"/>
  <c r="F3300" i="7" s="1"/>
  <c r="D3299" i="7"/>
  <c r="F3299" i="7" s="1"/>
  <c r="D3298" i="7"/>
  <c r="F3297" i="7"/>
  <c r="D3297" i="7"/>
  <c r="D3296" i="7"/>
  <c r="F3296" i="7" s="1"/>
  <c r="F3295" i="7"/>
  <c r="D3295" i="7"/>
  <c r="F3294" i="7"/>
  <c r="D3294" i="7"/>
  <c r="F3293" i="7"/>
  <c r="D3293" i="7"/>
  <c r="F3292" i="7"/>
  <c r="D3292" i="7"/>
  <c r="D3291" i="7"/>
  <c r="F3291" i="7" s="1"/>
  <c r="D3290" i="7"/>
  <c r="D3289" i="7"/>
  <c r="F3289" i="7" s="1"/>
  <c r="D3288" i="7"/>
  <c r="F3287" i="7"/>
  <c r="D3287" i="7"/>
  <c r="D3286" i="7"/>
  <c r="F3286" i="7" s="1"/>
  <c r="F3285" i="7"/>
  <c r="D3285" i="7"/>
  <c r="D3284" i="7"/>
  <c r="D3283" i="7"/>
  <c r="F3284" i="7" s="1"/>
  <c r="D3282" i="7"/>
  <c r="D3281" i="7"/>
  <c r="F3281" i="7" s="1"/>
  <c r="D3280" i="7"/>
  <c r="D3279" i="7"/>
  <c r="F3279" i="7" s="1"/>
  <c r="D3278" i="7"/>
  <c r="D3277" i="7"/>
  <c r="F3277" i="7" s="1"/>
  <c r="D3276" i="7"/>
  <c r="F3275" i="7"/>
  <c r="D3275" i="7"/>
  <c r="D3274" i="7"/>
  <c r="F3274" i="7" s="1"/>
  <c r="D3273" i="7"/>
  <c r="F3273" i="7" s="1"/>
  <c r="D3272" i="7"/>
  <c r="F3272" i="7" s="1"/>
  <c r="D3271" i="7"/>
  <c r="D3270" i="7"/>
  <c r="F3270" i="7" s="1"/>
  <c r="D3269" i="7"/>
  <c r="D3268" i="7"/>
  <c r="F3268" i="7" s="1"/>
  <c r="F3267" i="7"/>
  <c r="D3267" i="7"/>
  <c r="D3266" i="7"/>
  <c r="F3266" i="7" s="1"/>
  <c r="D3265" i="7"/>
  <c r="F3265" i="7" s="1"/>
  <c r="D3264" i="7"/>
  <c r="F3264" i="7" s="1"/>
  <c r="D3263" i="7"/>
  <c r="F3263" i="7" s="1"/>
  <c r="D3262" i="7"/>
  <c r="D3261" i="7"/>
  <c r="F3261" i="7" s="1"/>
  <c r="D3260" i="7"/>
  <c r="F3259" i="7"/>
  <c r="D3259" i="7"/>
  <c r="D3258" i="7"/>
  <c r="F3258" i="7" s="1"/>
  <c r="F3257" i="7"/>
  <c r="D3257" i="7"/>
  <c r="D3256" i="7"/>
  <c r="F3256" i="7" s="1"/>
  <c r="D3255" i="7"/>
  <c r="F3255" i="7" s="1"/>
  <c r="F3254" i="7"/>
  <c r="D3254" i="7"/>
  <c r="D3253" i="7"/>
  <c r="D3252" i="7"/>
  <c r="F3252" i="7" s="1"/>
  <c r="D3251" i="7"/>
  <c r="D3250" i="7"/>
  <c r="F3250" i="7" s="1"/>
  <c r="D3249" i="7"/>
  <c r="D3248" i="7"/>
  <c r="F3248" i="7" s="1"/>
  <c r="D3247" i="7"/>
  <c r="F3247" i="7" s="1"/>
  <c r="D3246" i="7"/>
  <c r="F3245" i="7"/>
  <c r="D3245" i="7"/>
  <c r="F3244" i="7"/>
  <c r="D3244" i="7"/>
  <c r="D3243" i="7"/>
  <c r="F3243" i="7" s="1"/>
  <c r="D3242" i="7"/>
  <c r="D3241" i="7"/>
  <c r="D3240" i="7"/>
  <c r="F3240" i="7" s="1"/>
  <c r="D3239" i="7"/>
  <c r="D3238" i="7"/>
  <c r="D3237" i="7"/>
  <c r="F3237" i="7" s="1"/>
  <c r="D3236" i="7"/>
  <c r="D3235" i="7"/>
  <c r="F3235" i="7" s="1"/>
  <c r="F3234" i="7"/>
  <c r="D3234" i="7"/>
  <c r="D3233" i="7"/>
  <c r="D3232" i="7"/>
  <c r="D3231" i="7"/>
  <c r="D3230" i="7"/>
  <c r="F3230" i="7" s="1"/>
  <c r="D3229" i="7"/>
  <c r="F3229" i="7" s="1"/>
  <c r="D3228" i="7"/>
  <c r="D3227" i="7"/>
  <c r="D3226" i="7"/>
  <c r="F3226" i="7" s="1"/>
  <c r="F3225" i="7"/>
  <c r="D3225" i="7"/>
  <c r="F3224" i="7"/>
  <c r="D3224" i="7"/>
  <c r="F3223" i="7"/>
  <c r="D3223" i="7"/>
  <c r="D3222" i="7"/>
  <c r="D3221" i="7"/>
  <c r="D3220" i="7"/>
  <c r="F3220" i="7" s="1"/>
  <c r="D3219" i="7"/>
  <c r="D3218" i="7"/>
  <c r="D3217" i="7"/>
  <c r="F3217" i="7" s="1"/>
  <c r="D3216" i="7"/>
  <c r="F3215" i="7"/>
  <c r="D3215" i="7"/>
  <c r="D3214" i="7"/>
  <c r="F3214" i="7" s="1"/>
  <c r="D3213" i="7"/>
  <c r="F3213" i="7" s="1"/>
  <c r="D3212" i="7"/>
  <c r="F3212" i="7" s="1"/>
  <c r="D3211" i="7"/>
  <c r="D3210" i="7"/>
  <c r="F3210" i="7" s="1"/>
  <c r="D3209" i="7"/>
  <c r="D3208" i="7"/>
  <c r="F3208" i="7" s="1"/>
  <c r="D3207" i="7"/>
  <c r="F3207" i="7" s="1"/>
  <c r="F3206" i="7"/>
  <c r="D3206" i="7"/>
  <c r="D3205" i="7"/>
  <c r="F3205" i="7" s="1"/>
  <c r="D3204" i="7"/>
  <c r="D3203" i="7"/>
  <c r="D3202" i="7"/>
  <c r="F3202" i="7" s="1"/>
  <c r="D3201" i="7"/>
  <c r="D3200" i="7"/>
  <c r="F3200" i="7" s="1"/>
  <c r="D3199" i="7"/>
  <c r="D3198" i="7"/>
  <c r="F3198" i="7" s="1"/>
  <c r="D3197" i="7"/>
  <c r="D3196" i="7"/>
  <c r="F3196" i="7" s="1"/>
  <c r="D3195" i="7"/>
  <c r="F3195" i="7" s="1"/>
  <c r="D3194" i="7"/>
  <c r="F3194" i="7" s="1"/>
  <c r="D3193" i="7"/>
  <c r="F3193" i="7" s="1"/>
  <c r="D3192" i="7"/>
  <c r="D3191" i="7"/>
  <c r="D3190" i="7"/>
  <c r="F3190" i="7" s="1"/>
  <c r="D3189" i="7"/>
  <c r="D3188" i="7"/>
  <c r="F3188" i="7" s="1"/>
  <c r="F3187" i="7"/>
  <c r="D3187" i="7"/>
  <c r="F3186" i="7"/>
  <c r="D3186" i="7"/>
  <c r="D3185" i="7"/>
  <c r="F3185" i="7" s="1"/>
  <c r="D3184" i="7"/>
  <c r="F3184" i="7" s="1"/>
  <c r="D3183" i="7"/>
  <c r="F3183" i="7" s="1"/>
  <c r="D3182" i="7"/>
  <c r="D3181" i="7"/>
  <c r="D3180" i="7"/>
  <c r="F3180" i="7" s="1"/>
  <c r="D3179" i="7"/>
  <c r="D3178" i="7"/>
  <c r="D3177" i="7"/>
  <c r="F3177" i="7" s="1"/>
  <c r="D3176" i="7"/>
  <c r="F3175" i="7"/>
  <c r="D3175" i="7"/>
  <c r="D3174" i="7"/>
  <c r="F3174" i="7" s="1"/>
  <c r="D3173" i="7"/>
  <c r="F3173" i="7" s="1"/>
  <c r="D3172" i="7"/>
  <c r="F3172" i="7" s="1"/>
  <c r="D3171" i="7"/>
  <c r="F3171" i="7" s="1"/>
  <c r="F3170" i="7"/>
  <c r="D3170" i="7"/>
  <c r="F3169" i="7"/>
  <c r="D3169" i="7"/>
  <c r="D3168" i="7"/>
  <c r="D3167" i="7"/>
  <c r="F3167" i="7" s="1"/>
  <c r="D3166" i="7"/>
  <c r="F3166" i="7" s="1"/>
  <c r="F3165" i="7"/>
  <c r="D3165" i="7"/>
  <c r="D3164" i="7"/>
  <c r="D3163" i="7"/>
  <c r="F3164" i="7" s="1"/>
  <c r="D3162" i="7"/>
  <c r="D3161" i="7"/>
  <c r="D3160" i="7"/>
  <c r="F3160" i="7" s="1"/>
  <c r="D3159" i="7"/>
  <c r="F3159" i="7" s="1"/>
  <c r="D3158" i="7"/>
  <c r="F3158" i="7" s="1"/>
  <c r="D3157" i="7"/>
  <c r="D3156" i="7"/>
  <c r="F3156" i="7" s="1"/>
  <c r="D3155" i="7"/>
  <c r="F3155" i="7" s="1"/>
  <c r="F3154" i="7"/>
  <c r="D3154" i="7"/>
  <c r="D3153" i="7"/>
  <c r="F3153" i="7" s="1"/>
  <c r="D3152" i="7"/>
  <c r="D3151" i="7"/>
  <c r="F3151" i="7" s="1"/>
  <c r="D3150" i="7"/>
  <c r="D3149" i="7"/>
  <c r="F3149" i="7" s="1"/>
  <c r="D3148" i="7"/>
  <c r="F3148" i="7" s="1"/>
  <c r="D3147" i="7"/>
  <c r="D3146" i="7"/>
  <c r="F3146" i="7" s="1"/>
  <c r="F3145" i="7"/>
  <c r="D3145" i="7"/>
  <c r="F3144" i="7"/>
  <c r="D3144" i="7"/>
  <c r="F3143" i="7"/>
  <c r="D3143" i="7"/>
  <c r="D3142" i="7"/>
  <c r="F3142" i="7" s="1"/>
  <c r="D3141" i="7"/>
  <c r="F3140" i="7"/>
  <c r="D3140" i="7"/>
  <c r="D3139" i="7"/>
  <c r="F3139" i="7" s="1"/>
  <c r="D3138" i="7"/>
  <c r="D3137" i="7"/>
  <c r="D3136" i="7"/>
  <c r="F3136" i="7" s="1"/>
  <c r="F3135" i="7"/>
  <c r="D3135" i="7"/>
  <c r="D3134" i="7"/>
  <c r="D3133" i="7"/>
  <c r="F3134" i="7" s="1"/>
  <c r="D3132" i="7"/>
  <c r="D3131" i="7"/>
  <c r="D3130" i="7"/>
  <c r="F3130" i="7" s="1"/>
  <c r="D3129" i="7"/>
  <c r="D3128" i="7"/>
  <c r="D3127" i="7"/>
  <c r="F3127" i="7" s="1"/>
  <c r="D3126" i="7"/>
  <c r="F3126" i="7" s="1"/>
  <c r="F3125" i="7"/>
  <c r="D3125" i="7"/>
  <c r="F3124" i="7"/>
  <c r="D3124" i="7"/>
  <c r="F3123" i="7"/>
  <c r="D3123" i="7"/>
  <c r="D3122" i="7"/>
  <c r="D3121" i="7"/>
  <c r="D3120" i="7"/>
  <c r="F3120" i="7" s="1"/>
  <c r="D3119" i="7"/>
  <c r="F3119" i="7" s="1"/>
  <c r="D3118" i="7"/>
  <c r="F3118" i="7" s="1"/>
  <c r="F3117" i="7"/>
  <c r="D3117" i="7"/>
  <c r="D3116" i="7"/>
  <c r="F3116" i="7" s="1"/>
  <c r="D3115" i="7"/>
  <c r="F3115" i="7" s="1"/>
  <c r="D3114" i="7"/>
  <c r="F3114" i="7" s="1"/>
  <c r="D3113" i="7"/>
  <c r="F3113" i="7" s="1"/>
  <c r="D3112" i="7"/>
  <c r="D3111" i="7"/>
  <c r="D3110" i="7"/>
  <c r="D3109" i="7"/>
  <c r="F3109" i="7" s="1"/>
  <c r="D3108" i="7"/>
  <c r="F3108" i="7" s="1"/>
  <c r="D3107" i="7"/>
  <c r="D3106" i="7"/>
  <c r="F3106" i="7" s="1"/>
  <c r="F3105" i="7"/>
  <c r="D3105" i="7"/>
  <c r="D3104" i="7"/>
  <c r="F3104" i="7" s="1"/>
  <c r="D3103" i="7"/>
  <c r="D3102" i="7"/>
  <c r="F3102" i="7" s="1"/>
  <c r="D3101" i="7"/>
  <c r="F3100" i="7"/>
  <c r="D3100" i="7"/>
  <c r="D3099" i="7"/>
  <c r="F3099" i="7" s="1"/>
  <c r="D3098" i="7"/>
  <c r="D3097" i="7"/>
  <c r="D3096" i="7"/>
  <c r="F3096" i="7" s="1"/>
  <c r="F3095" i="7"/>
  <c r="D3095" i="7"/>
  <c r="D3094" i="7"/>
  <c r="D3093" i="7"/>
  <c r="F3094" i="7" s="1"/>
  <c r="D3092" i="7"/>
  <c r="F3092" i="7" s="1"/>
  <c r="D3091" i="7"/>
  <c r="D3090" i="7"/>
  <c r="F3090" i="7" s="1"/>
  <c r="D3089" i="7"/>
  <c r="D3088" i="7"/>
  <c r="D3087" i="7"/>
  <c r="F3087" i="7" s="1"/>
  <c r="D3086" i="7"/>
  <c r="F3085" i="7"/>
  <c r="D3085" i="7"/>
  <c r="D3084" i="7"/>
  <c r="F3083" i="7"/>
  <c r="D3083" i="7"/>
  <c r="F3084" i="7" s="1"/>
  <c r="D3082" i="7"/>
  <c r="D3081" i="7"/>
  <c r="D3080" i="7"/>
  <c r="F3080" i="7" s="1"/>
  <c r="D3079" i="7"/>
  <c r="F3079" i="7" s="1"/>
  <c r="D3078" i="7"/>
  <c r="F3078" i="7" s="1"/>
  <c r="D3077" i="7"/>
  <c r="F3077" i="7" s="1"/>
  <c r="D3076" i="7"/>
  <c r="D3075" i="7"/>
  <c r="F3075" i="7" s="1"/>
  <c r="D3074" i="7"/>
  <c r="F3074" i="7" s="1"/>
  <c r="D3073" i="7"/>
  <c r="F3073" i="7" s="1"/>
  <c r="D3072" i="7"/>
  <c r="D3071" i="7"/>
  <c r="F3071" i="7" s="1"/>
  <c r="D3070" i="7"/>
  <c r="D3069" i="7"/>
  <c r="F3069" i="7" s="1"/>
  <c r="D3068" i="7"/>
  <c r="F3068" i="7" s="1"/>
  <c r="D3067" i="7"/>
  <c r="D3066" i="7"/>
  <c r="F3066" i="7" s="1"/>
  <c r="F3065" i="7"/>
  <c r="D3065" i="7"/>
  <c r="D3064" i="7"/>
  <c r="F3064" i="7" s="1"/>
  <c r="F3063" i="7"/>
  <c r="D3063" i="7"/>
  <c r="D3062" i="7"/>
  <c r="F3062" i="7" s="1"/>
  <c r="D3061" i="7"/>
  <c r="D3060" i="7"/>
  <c r="D3059" i="7"/>
  <c r="F3059" i="7" s="1"/>
  <c r="D3058" i="7"/>
  <c r="F3057" i="7"/>
  <c r="D3057" i="7"/>
  <c r="D3056" i="7"/>
  <c r="F3056" i="7" s="1"/>
  <c r="F3055" i="7"/>
  <c r="D3055" i="7"/>
  <c r="D3054" i="7"/>
  <c r="D3053" i="7"/>
  <c r="F3054" i="7" s="1"/>
  <c r="D3052" i="7"/>
  <c r="F3052" i="7" s="1"/>
  <c r="D3051" i="7"/>
  <c r="D3050" i="7"/>
  <c r="F3050" i="7" s="1"/>
  <c r="D3049" i="7"/>
  <c r="D3048" i="7"/>
  <c r="D3047" i="7"/>
  <c r="F3047" i="7" s="1"/>
  <c r="F3046" i="7"/>
  <c r="D3046" i="7"/>
  <c r="D3045" i="7"/>
  <c r="D3044" i="7"/>
  <c r="F3044" i="7" s="1"/>
  <c r="F3043" i="7"/>
  <c r="D3043" i="7"/>
  <c r="D3042" i="7"/>
  <c r="F3042" i="7" s="1"/>
  <c r="D3041" i="7"/>
  <c r="D3040" i="7"/>
  <c r="F3040" i="7" s="1"/>
  <c r="D3039" i="7"/>
  <c r="F3039" i="7" s="1"/>
  <c r="D3038" i="7"/>
  <c r="D3037" i="7"/>
  <c r="F3037" i="7" s="1"/>
  <c r="D3036" i="7"/>
  <c r="F3036" i="7" s="1"/>
  <c r="D3035" i="7"/>
  <c r="F3035" i="7" s="1"/>
  <c r="D3034" i="7"/>
  <c r="F3034" i="7" s="1"/>
  <c r="D3033" i="7"/>
  <c r="F3033" i="7" s="1"/>
  <c r="D3032" i="7"/>
  <c r="D3031" i="7"/>
  <c r="F3031" i="7" s="1"/>
  <c r="F3030" i="7"/>
  <c r="D3030" i="7"/>
  <c r="D3029" i="7"/>
  <c r="F3028" i="7"/>
  <c r="D3028" i="7"/>
  <c r="F3027" i="7"/>
  <c r="D3027" i="7"/>
  <c r="D3026" i="7"/>
  <c r="F3026" i="7" s="1"/>
  <c r="F3025" i="7"/>
  <c r="D3025" i="7"/>
  <c r="F3024" i="7"/>
  <c r="D3024" i="7"/>
  <c r="D3023" i="7"/>
  <c r="D3022" i="7"/>
  <c r="F3022" i="7" s="1"/>
  <c r="D3021" i="7"/>
  <c r="D3020" i="7"/>
  <c r="D3019" i="7"/>
  <c r="F3019" i="7" s="1"/>
  <c r="D3018" i="7"/>
  <c r="F3018" i="7" s="1"/>
  <c r="D3017" i="7"/>
  <c r="D3016" i="7"/>
  <c r="F3017" i="7" s="1"/>
  <c r="F3015" i="7"/>
  <c r="D3015" i="7"/>
  <c r="D3014" i="7"/>
  <c r="F3014" i="7" s="1"/>
  <c r="F3013" i="7"/>
  <c r="D3013" i="7"/>
  <c r="D3012" i="7"/>
  <c r="F3012" i="7" s="1"/>
  <c r="D3011" i="7"/>
  <c r="D3010" i="7"/>
  <c r="D3009" i="7"/>
  <c r="F3009" i="7" s="1"/>
  <c r="D3008" i="7"/>
  <c r="F3007" i="7"/>
  <c r="D3007" i="7"/>
  <c r="F3006" i="7"/>
  <c r="D3006" i="7"/>
  <c r="D3005" i="7"/>
  <c r="F3005" i="7" s="1"/>
  <c r="D3004" i="7"/>
  <c r="F3004" i="7" s="1"/>
  <c r="D3003" i="7"/>
  <c r="F3003" i="7" s="1"/>
  <c r="D3002" i="7"/>
  <c r="D3001" i="7"/>
  <c r="D3000" i="7"/>
  <c r="D2999" i="7"/>
  <c r="F2999" i="7" s="1"/>
  <c r="D2998" i="7"/>
  <c r="F2997" i="7"/>
  <c r="D2997" i="7"/>
  <c r="F2996" i="7"/>
  <c r="D2996" i="7"/>
  <c r="D2995" i="7"/>
  <c r="F2994" i="7"/>
  <c r="D2994" i="7"/>
  <c r="F2995" i="7" s="1"/>
  <c r="D2993" i="7"/>
  <c r="F2993" i="7" s="1"/>
  <c r="D2992" i="7"/>
  <c r="D2991" i="7"/>
  <c r="D2990" i="7"/>
  <c r="F2990" i="7" s="1"/>
  <c r="D2989" i="7"/>
  <c r="D2988" i="7"/>
  <c r="F2987" i="7"/>
  <c r="D2987" i="7"/>
  <c r="D2986" i="7"/>
  <c r="F2985" i="7"/>
  <c r="D2985" i="7"/>
  <c r="F2986" i="7" s="1"/>
  <c r="F2984" i="7"/>
  <c r="D2984" i="7"/>
  <c r="D2983" i="7"/>
  <c r="D2982" i="7"/>
  <c r="D2981" i="7"/>
  <c r="F2981" i="7" s="1"/>
  <c r="D2980" i="7"/>
  <c r="F2980" i="7" s="1"/>
  <c r="D2979" i="7"/>
  <c r="D2978" i="7"/>
  <c r="F2977" i="7"/>
  <c r="D2977" i="7"/>
  <c r="D2976" i="7"/>
  <c r="F2976" i="7" s="1"/>
  <c r="D2975" i="7"/>
  <c r="F2975" i="7" s="1"/>
  <c r="D2974" i="7"/>
  <c r="D2973" i="7"/>
  <c r="F2974" i="7" s="1"/>
  <c r="D2972" i="7"/>
  <c r="F2972" i="7" s="1"/>
  <c r="D2971" i="7"/>
  <c r="D2970" i="7"/>
  <c r="D2969" i="7"/>
  <c r="F2969" i="7" s="1"/>
  <c r="D2968" i="7"/>
  <c r="F2968" i="7" s="1"/>
  <c r="D2967" i="7"/>
  <c r="F2967" i="7" s="1"/>
  <c r="D2966" i="7"/>
  <c r="F2966" i="7" s="1"/>
  <c r="D2965" i="7"/>
  <c r="F2965" i="7" s="1"/>
  <c r="D2964" i="7"/>
  <c r="F2964" i="7" s="1"/>
  <c r="D2963" i="7"/>
  <c r="F2963" i="7" s="1"/>
  <c r="F2962" i="7"/>
  <c r="D2962" i="7"/>
  <c r="D2961" i="7"/>
  <c r="D2960" i="7"/>
  <c r="F2960" i="7" s="1"/>
  <c r="D2959" i="7"/>
  <c r="D2958" i="7"/>
  <c r="F2958" i="7" s="1"/>
  <c r="D2957" i="7"/>
  <c r="F2957" i="7" s="1"/>
  <c r="F2956" i="7"/>
  <c r="D2956" i="7"/>
  <c r="D2955" i="7"/>
  <c r="F2954" i="7"/>
  <c r="D2954" i="7"/>
  <c r="F2955" i="7" s="1"/>
  <c r="F2953" i="7"/>
  <c r="D2953" i="7"/>
  <c r="D2952" i="7"/>
  <c r="F2952" i="7" s="1"/>
  <c r="D2951" i="7"/>
  <c r="D2950" i="7"/>
  <c r="F2950" i="7" s="1"/>
  <c r="D2949" i="7"/>
  <c r="D2948" i="7"/>
  <c r="D2947" i="7"/>
  <c r="D2946" i="7"/>
  <c r="D2945" i="7"/>
  <c r="F2945" i="7" s="1"/>
  <c r="F2944" i="7"/>
  <c r="D2944" i="7"/>
  <c r="F2943" i="7"/>
  <c r="D2943" i="7"/>
  <c r="D2942" i="7"/>
  <c r="F2942" i="7" s="1"/>
  <c r="D2941" i="7"/>
  <c r="F2941" i="7" s="1"/>
  <c r="F2940" i="7"/>
  <c r="D2940" i="7"/>
  <c r="D2939" i="7"/>
  <c r="F2939" i="7" s="1"/>
  <c r="D2938" i="7"/>
  <c r="D2937" i="7"/>
  <c r="F2937" i="7" s="1"/>
  <c r="D2936" i="7"/>
  <c r="F2936" i="7" s="1"/>
  <c r="D2935" i="7"/>
  <c r="D2934" i="7"/>
  <c r="F2934" i="7" s="1"/>
  <c r="D2933" i="7"/>
  <c r="D2932" i="7"/>
  <c r="F2932" i="7" s="1"/>
  <c r="D2931" i="7"/>
  <c r="F2931" i="7" s="1"/>
  <c r="D2930" i="7"/>
  <c r="D2929" i="7"/>
  <c r="F2929" i="7" s="1"/>
  <c r="D2928" i="7"/>
  <c r="F2928" i="7" s="1"/>
  <c r="F2927" i="7"/>
  <c r="D2927" i="7"/>
  <c r="D2926" i="7"/>
  <c r="D2925" i="7"/>
  <c r="F2926" i="7" s="1"/>
  <c r="F2924" i="7"/>
  <c r="D2924" i="7"/>
  <c r="D2923" i="7"/>
  <c r="F2923" i="7" s="1"/>
  <c r="D2922" i="7"/>
  <c r="D2921" i="7"/>
  <c r="F2921" i="7" s="1"/>
  <c r="D2920" i="7"/>
  <c r="F2920" i="7" s="1"/>
  <c r="D2919" i="7"/>
  <c r="F2919" i="7" s="1"/>
  <c r="D2918" i="7"/>
  <c r="F2918" i="7" s="1"/>
  <c r="D2917" i="7"/>
  <c r="F2916" i="7"/>
  <c r="D2916" i="7"/>
  <c r="F2917" i="7" s="1"/>
  <c r="F2915" i="7"/>
  <c r="D2915" i="7"/>
  <c r="D2914" i="7"/>
  <c r="D2913" i="7"/>
  <c r="F2914" i="7" s="1"/>
  <c r="D2912" i="7"/>
  <c r="F2911" i="7"/>
  <c r="D2911" i="7"/>
  <c r="F2910" i="7"/>
  <c r="D2910" i="7"/>
  <c r="D2909" i="7"/>
  <c r="F2909" i="7" s="1"/>
  <c r="D2908" i="7"/>
  <c r="F2907" i="7"/>
  <c r="D2907" i="7"/>
  <c r="F2906" i="7"/>
  <c r="D2906" i="7"/>
  <c r="D2905" i="7"/>
  <c r="F2905" i="7" s="1"/>
  <c r="F2904" i="7"/>
  <c r="D2904" i="7"/>
  <c r="D2903" i="7"/>
  <c r="F2903" i="7" s="1"/>
  <c r="D2902" i="7"/>
  <c r="D2901" i="7"/>
  <c r="F2901" i="7" s="1"/>
  <c r="D2900" i="7"/>
  <c r="F2900" i="7" s="1"/>
  <c r="D2899" i="7"/>
  <c r="D2898" i="7"/>
  <c r="D2897" i="7"/>
  <c r="F2897" i="7" s="1"/>
  <c r="D2896" i="7"/>
  <c r="F2896" i="7" s="1"/>
  <c r="F2895" i="7"/>
  <c r="D2895" i="7"/>
  <c r="D2894" i="7"/>
  <c r="F2893" i="7"/>
  <c r="D2893" i="7"/>
  <c r="F2894" i="7" s="1"/>
  <c r="D2892" i="7"/>
  <c r="F2892" i="7" s="1"/>
  <c r="D2891" i="7"/>
  <c r="F2891" i="7" s="1"/>
  <c r="F2890" i="7"/>
  <c r="D2890" i="7"/>
  <c r="F2889" i="7"/>
  <c r="D2889" i="7"/>
  <c r="D2888" i="7"/>
  <c r="D2887" i="7"/>
  <c r="F2887" i="7" s="1"/>
  <c r="D2886" i="7"/>
  <c r="D2885" i="7"/>
  <c r="F2885" i="7" s="1"/>
  <c r="F2884" i="7"/>
  <c r="D2884" i="7"/>
  <c r="D2883" i="7"/>
  <c r="D2882" i="7"/>
  <c r="F2882" i="7" s="1"/>
  <c r="D2881" i="7"/>
  <c r="F2881" i="7" s="1"/>
  <c r="D2880" i="7"/>
  <c r="F2880" i="7" s="1"/>
  <c r="D2879" i="7"/>
  <c r="F2879" i="7" s="1"/>
  <c r="D2878" i="7"/>
  <c r="F2878" i="7" s="1"/>
  <c r="D2877" i="7"/>
  <c r="F2876" i="7"/>
  <c r="D2876" i="7"/>
  <c r="F2877" i="7" s="1"/>
  <c r="F2875" i="7"/>
  <c r="D2875" i="7"/>
  <c r="D2874" i="7"/>
  <c r="F2873" i="7"/>
  <c r="D2873" i="7"/>
  <c r="F2874" i="7" s="1"/>
  <c r="D2872" i="7"/>
  <c r="F2872" i="7" s="1"/>
  <c r="D2871" i="7"/>
  <c r="D2870" i="7"/>
  <c r="F2871" i="7" s="1"/>
  <c r="F2869" i="7"/>
  <c r="D2869" i="7"/>
  <c r="D2868" i="7"/>
  <c r="F2868" i="7" s="1"/>
  <c r="F2867" i="7"/>
  <c r="D2867" i="7"/>
  <c r="D2866" i="7"/>
  <c r="F2865" i="7"/>
  <c r="D2865" i="7"/>
  <c r="F2866" i="7" s="1"/>
  <c r="F2864" i="7"/>
  <c r="D2864" i="7"/>
  <c r="F2863" i="7"/>
  <c r="D2863" i="7"/>
  <c r="D2862" i="7"/>
  <c r="F2862" i="7" s="1"/>
  <c r="F2861" i="7"/>
  <c r="D2861" i="7"/>
  <c r="D2860" i="7"/>
  <c r="F2860" i="7" s="1"/>
  <c r="D2859" i="7"/>
  <c r="D2858" i="7"/>
  <c r="F2858" i="7" s="1"/>
  <c r="F2857" i="7"/>
  <c r="D2857" i="7"/>
  <c r="F2856" i="7"/>
  <c r="D2856" i="7"/>
  <c r="D2855" i="7"/>
  <c r="D2854" i="7"/>
  <c r="F2854" i="7" s="1"/>
  <c r="F2853" i="7"/>
  <c r="D2853" i="7"/>
  <c r="D2852" i="7"/>
  <c r="D2851" i="7"/>
  <c r="D2850" i="7"/>
  <c r="F2851" i="7" s="1"/>
  <c r="D2849" i="7"/>
  <c r="F2849" i="7" s="1"/>
  <c r="D2848" i="7"/>
  <c r="D2847" i="7"/>
  <c r="F2847" i="7" s="1"/>
  <c r="F2846" i="7"/>
  <c r="D2846" i="7"/>
  <c r="D2845" i="7"/>
  <c r="F2845" i="7" s="1"/>
  <c r="F2844" i="7"/>
  <c r="D2844" i="7"/>
  <c r="D2843" i="7"/>
  <c r="D2842" i="7"/>
  <c r="D2841" i="7"/>
  <c r="D2840" i="7"/>
  <c r="F2840" i="7" s="1"/>
  <c r="D2839" i="7"/>
  <c r="D2838" i="7"/>
  <c r="F2838" i="7" s="1"/>
  <c r="F2837" i="7"/>
  <c r="D2837" i="7"/>
  <c r="D2836" i="7"/>
  <c r="F2836" i="7" s="1"/>
  <c r="D2835" i="7"/>
  <c r="F2835" i="7" s="1"/>
  <c r="F2834" i="7"/>
  <c r="D2834" i="7"/>
  <c r="F2833" i="7"/>
  <c r="D2833" i="7"/>
  <c r="D2832" i="7"/>
  <c r="F2832" i="7" s="1"/>
  <c r="D2831" i="7"/>
  <c r="D2830" i="7"/>
  <c r="F2831" i="7" s="1"/>
  <c r="D2829" i="7"/>
  <c r="F2829" i="7" s="1"/>
  <c r="D2828" i="7"/>
  <c r="F2827" i="7"/>
  <c r="D2827" i="7"/>
  <c r="D2826" i="7"/>
  <c r="F2826" i="7" s="1"/>
  <c r="D2825" i="7"/>
  <c r="D2824" i="7"/>
  <c r="F2825" i="7" s="1"/>
  <c r="F2823" i="7"/>
  <c r="D2823" i="7"/>
  <c r="D2822" i="7"/>
  <c r="D2821" i="7"/>
  <c r="F2821" i="7" s="1"/>
  <c r="D2820" i="7"/>
  <c r="F2820" i="7" s="1"/>
  <c r="D2819" i="7"/>
  <c r="D2818" i="7"/>
  <c r="F2818" i="7" s="1"/>
  <c r="D2817" i="7"/>
  <c r="F2817" i="7" s="1"/>
  <c r="D2816" i="7"/>
  <c r="F2815" i="7"/>
  <c r="D2815" i="7"/>
  <c r="F2814" i="7"/>
  <c r="D2814" i="7"/>
  <c r="D2813" i="7"/>
  <c r="F2813" i="7" s="1"/>
  <c r="D2812" i="7"/>
  <c r="F2812" i="7" s="1"/>
  <c r="F2811" i="7"/>
  <c r="D2811" i="7"/>
  <c r="D2810" i="7"/>
  <c r="F2810" i="7" s="1"/>
  <c r="D2809" i="7"/>
  <c r="F2809" i="7" s="1"/>
  <c r="D2808" i="7"/>
  <c r="F2808" i="7" s="1"/>
  <c r="D2807" i="7"/>
  <c r="F2806" i="7"/>
  <c r="D2806" i="7"/>
  <c r="F2807" i="7" s="1"/>
  <c r="F2805" i="7"/>
  <c r="D2805" i="7"/>
  <c r="F2804" i="7"/>
  <c r="D2804" i="7"/>
  <c r="F2803" i="7"/>
  <c r="D2803" i="7"/>
  <c r="D2802" i="7"/>
  <c r="F2802" i="7" s="1"/>
  <c r="D2801" i="7"/>
  <c r="F2801" i="7" s="1"/>
  <c r="F2800" i="7"/>
  <c r="D2800" i="7"/>
  <c r="D2799" i="7"/>
  <c r="F2799" i="7" s="1"/>
  <c r="F2798" i="7"/>
  <c r="D2798" i="7"/>
  <c r="F2797" i="7"/>
  <c r="D2797" i="7"/>
  <c r="D2796" i="7"/>
  <c r="F2795" i="7"/>
  <c r="D2795" i="7"/>
  <c r="F2796" i="7" s="1"/>
  <c r="F2794" i="7"/>
  <c r="D2794" i="7"/>
  <c r="D2793" i="7"/>
  <c r="D2792" i="7"/>
  <c r="F2792" i="7" s="1"/>
  <c r="F2791" i="7"/>
  <c r="D2791" i="7"/>
  <c r="D2790" i="7"/>
  <c r="F2790" i="7" s="1"/>
  <c r="D2789" i="7"/>
  <c r="F2789" i="7" s="1"/>
  <c r="D2788" i="7"/>
  <c r="F2788" i="7" s="1"/>
  <c r="F2787" i="7"/>
  <c r="D2787" i="7"/>
  <c r="D2786" i="7"/>
  <c r="F2786" i="7" s="1"/>
  <c r="D2785" i="7"/>
  <c r="F2785" i="7" s="1"/>
  <c r="D2784" i="7"/>
  <c r="D2783" i="7"/>
  <c r="F2783" i="7" s="1"/>
  <c r="D2782" i="7"/>
  <c r="F2781" i="7"/>
  <c r="D2781" i="7"/>
  <c r="D2780" i="7"/>
  <c r="F2780" i="7" s="1"/>
  <c r="D2779" i="7"/>
  <c r="F2779" i="7" s="1"/>
  <c r="D2778" i="7"/>
  <c r="D2777" i="7"/>
  <c r="F2777" i="7" s="1"/>
  <c r="F2776" i="7"/>
  <c r="D2776" i="7"/>
  <c r="D2775" i="7"/>
  <c r="F2775" i="7" s="1"/>
  <c r="F2774" i="7"/>
  <c r="D2774" i="7"/>
  <c r="D2773" i="7"/>
  <c r="D2772" i="7"/>
  <c r="D2771" i="7"/>
  <c r="F2771" i="7" s="1"/>
  <c r="D2770" i="7"/>
  <c r="D2769" i="7"/>
  <c r="F2769" i="7" s="1"/>
  <c r="D2768" i="7"/>
  <c r="F2768" i="7" s="1"/>
  <c r="F2767" i="7"/>
  <c r="D2767" i="7"/>
  <c r="D2766" i="7"/>
  <c r="F2766" i="7" s="1"/>
  <c r="F2765" i="7"/>
  <c r="D2765" i="7"/>
  <c r="F2764" i="7"/>
  <c r="D2764" i="7"/>
  <c r="F2763" i="7"/>
  <c r="D2763" i="7"/>
  <c r="D2762" i="7"/>
  <c r="F2762" i="7" s="1"/>
  <c r="F2761" i="7"/>
  <c r="D2761" i="7"/>
  <c r="D2760" i="7"/>
  <c r="D2759" i="7"/>
  <c r="F2759" i="7" s="1"/>
  <c r="D2758" i="7"/>
  <c r="D2757" i="7"/>
  <c r="F2756" i="7"/>
  <c r="D2756" i="7"/>
  <c r="F2757" i="7" s="1"/>
  <c r="D2755" i="7"/>
  <c r="D2754" i="7"/>
  <c r="F2755" i="7" s="1"/>
  <c r="F2753" i="7"/>
  <c r="D2753" i="7"/>
  <c r="D2752" i="7"/>
  <c r="D2751" i="7"/>
  <c r="F2751" i="7" s="1"/>
  <c r="F2750" i="7"/>
  <c r="D2750" i="7"/>
  <c r="D2749" i="7"/>
  <c r="D2748" i="7"/>
  <c r="F2748" i="7" s="1"/>
  <c r="D2747" i="7"/>
  <c r="F2747" i="7" s="1"/>
  <c r="D2746" i="7"/>
  <c r="F2746" i="7" s="1"/>
  <c r="F2745" i="7"/>
  <c r="D2745" i="7"/>
  <c r="F2744" i="7"/>
  <c r="D2744" i="7"/>
  <c r="D2743" i="7"/>
  <c r="F2743" i="7" s="1"/>
  <c r="D2742" i="7"/>
  <c r="F2742" i="7" s="1"/>
  <c r="D2741" i="7"/>
  <c r="F2741" i="7" s="1"/>
  <c r="D2740" i="7"/>
  <c r="F2740" i="7" s="1"/>
  <c r="D2739" i="7"/>
  <c r="F2739" i="7" s="1"/>
  <c r="D2738" i="7"/>
  <c r="F2738" i="7" s="1"/>
  <c r="D2737" i="7"/>
  <c r="F2737" i="7" s="1"/>
  <c r="F2736" i="7"/>
  <c r="D2736" i="7"/>
  <c r="F2735" i="7"/>
  <c r="D2735" i="7"/>
  <c r="D2734" i="7"/>
  <c r="F2733" i="7"/>
  <c r="D2733" i="7"/>
  <c r="F2734" i="7" s="1"/>
  <c r="D2732" i="7"/>
  <c r="F2732" i="7" s="1"/>
  <c r="D2731" i="7"/>
  <c r="F2731" i="7" s="1"/>
  <c r="F2730" i="7"/>
  <c r="D2730" i="7"/>
  <c r="D2729" i="7"/>
  <c r="F2729" i="7" s="1"/>
  <c r="D2728" i="7"/>
  <c r="D2727" i="7"/>
  <c r="F2727" i="7" s="1"/>
  <c r="D2726" i="7"/>
  <c r="F2725" i="7"/>
  <c r="D2725" i="7"/>
  <c r="F2726" i="7" s="1"/>
  <c r="D2724" i="7"/>
  <c r="D2723" i="7"/>
  <c r="F2723" i="7" s="1"/>
  <c r="D2722" i="7"/>
  <c r="D2721" i="7"/>
  <c r="F2721" i="7" s="1"/>
  <c r="D2720" i="7"/>
  <c r="D2719" i="7"/>
  <c r="D2718" i="7"/>
  <c r="F2718" i="7" s="1"/>
  <c r="F2717" i="7"/>
  <c r="D2717" i="7"/>
  <c r="D2716" i="7"/>
  <c r="F2716" i="7" s="1"/>
  <c r="D2715" i="7"/>
  <c r="F2715" i="7" s="1"/>
  <c r="D2714" i="7"/>
  <c r="D2713" i="7"/>
  <c r="F2713" i="7" s="1"/>
  <c r="D2712" i="7"/>
  <c r="D2711" i="7"/>
  <c r="F2711" i="7" s="1"/>
  <c r="F2710" i="7"/>
  <c r="D2710" i="7"/>
  <c r="F2709" i="7"/>
  <c r="D2709" i="7"/>
  <c r="D2708" i="7"/>
  <c r="F2707" i="7"/>
  <c r="D2707" i="7"/>
  <c r="F2706" i="7"/>
  <c r="D2706" i="7"/>
  <c r="D2705" i="7"/>
  <c r="F2705" i="7" s="1"/>
  <c r="D2704" i="7"/>
  <c r="D2703" i="7"/>
  <c r="F2703" i="7" s="1"/>
  <c r="D2702" i="7"/>
  <c r="D2701" i="7"/>
  <c r="D2700" i="7"/>
  <c r="F2701" i="7" s="1"/>
  <c r="D2699" i="7"/>
  <c r="F2699" i="7" s="1"/>
  <c r="D2698" i="7"/>
  <c r="F2698" i="7" s="1"/>
  <c r="D2697" i="7"/>
  <c r="F2697" i="7" s="1"/>
  <c r="D2696" i="7"/>
  <c r="F2696" i="7" s="1"/>
  <c r="F2695" i="7"/>
  <c r="D2695" i="7"/>
  <c r="D2694" i="7"/>
  <c r="F2694" i="7" s="1"/>
  <c r="D2693" i="7"/>
  <c r="F2693" i="7" s="1"/>
  <c r="D2692" i="7"/>
  <c r="D2691" i="7"/>
  <c r="D2690" i="7"/>
  <c r="F2691" i="7" s="1"/>
  <c r="F2689" i="7"/>
  <c r="D2689" i="7"/>
  <c r="D2688" i="7"/>
  <c r="F2688" i="7" s="1"/>
  <c r="F2687" i="7"/>
  <c r="D2687" i="7"/>
  <c r="F2686" i="7"/>
  <c r="D2686" i="7"/>
  <c r="D2685" i="7"/>
  <c r="F2685" i="7" s="1"/>
  <c r="F2684" i="7"/>
  <c r="D2684" i="7"/>
  <c r="D2683" i="7"/>
  <c r="F2683" i="7" s="1"/>
  <c r="D2682" i="7"/>
  <c r="D2681" i="7"/>
  <c r="F2680" i="7"/>
  <c r="D2680" i="7"/>
  <c r="F2681" i="7" s="1"/>
  <c r="F2679" i="7"/>
  <c r="D2679" i="7"/>
  <c r="D2678" i="7"/>
  <c r="F2677" i="7"/>
  <c r="D2677" i="7"/>
  <c r="F2676" i="7"/>
  <c r="D2676" i="7"/>
  <c r="D2675" i="7"/>
  <c r="F2674" i="7"/>
  <c r="D2674" i="7"/>
  <c r="F2673" i="7"/>
  <c r="D2673" i="7"/>
  <c r="D2672" i="7"/>
  <c r="F2671" i="7"/>
  <c r="D2671" i="7"/>
  <c r="D2670" i="7"/>
  <c r="F2670" i="7" s="1"/>
  <c r="F2669" i="7"/>
  <c r="D2669" i="7"/>
  <c r="D2668" i="7"/>
  <c r="F2668" i="7" s="1"/>
  <c r="F2667" i="7"/>
  <c r="D2667" i="7"/>
  <c r="D2666" i="7"/>
  <c r="F2665" i="7"/>
  <c r="D2665" i="7"/>
  <c r="F2666" i="7" s="1"/>
  <c r="D2664" i="7"/>
  <c r="F2664" i="7" s="1"/>
  <c r="D2663" i="7"/>
  <c r="D2662" i="7"/>
  <c r="F2662" i="7" s="1"/>
  <c r="F2661" i="7"/>
  <c r="D2661" i="7"/>
  <c r="F2660" i="7"/>
  <c r="D2660" i="7"/>
  <c r="D2659" i="7"/>
  <c r="D2658" i="7"/>
  <c r="D2657" i="7"/>
  <c r="F2657" i="7" s="1"/>
  <c r="F2656" i="7"/>
  <c r="D2656" i="7"/>
  <c r="D2655" i="7"/>
  <c r="F2655" i="7" s="1"/>
  <c r="F2654" i="7"/>
  <c r="D2654" i="7"/>
  <c r="D2653" i="7"/>
  <c r="D2652" i="7"/>
  <c r="F2652" i="7" s="1"/>
  <c r="F2651" i="7"/>
  <c r="D2651" i="7"/>
  <c r="F2650" i="7"/>
  <c r="D2650" i="7"/>
  <c r="F2649" i="7"/>
  <c r="D2649" i="7"/>
  <c r="D2648" i="7"/>
  <c r="D2647" i="7"/>
  <c r="D2646" i="7"/>
  <c r="F2646" i="7" s="1"/>
  <c r="D2645" i="7"/>
  <c r="D2644" i="7"/>
  <c r="F2644" i="7" s="1"/>
  <c r="D2643" i="7"/>
  <c r="F2643" i="7" s="1"/>
  <c r="D2642" i="7"/>
  <c r="D2641" i="7"/>
  <c r="F2641" i="7" s="1"/>
  <c r="F2640" i="7"/>
  <c r="D2640" i="7"/>
  <c r="D2639" i="7"/>
  <c r="F2639" i="7" s="1"/>
  <c r="D2638" i="7"/>
  <c r="F2638" i="7" s="1"/>
  <c r="D2637" i="7"/>
  <c r="D2636" i="7"/>
  <c r="D2635" i="7"/>
  <c r="F2635" i="7" s="1"/>
  <c r="F2634" i="7"/>
  <c r="D2634" i="7"/>
  <c r="D2633" i="7"/>
  <c r="F2633" i="7" s="1"/>
  <c r="F2632" i="7"/>
  <c r="D2632" i="7"/>
  <c r="D2631" i="7"/>
  <c r="D2630" i="7"/>
  <c r="F2630" i="7" s="1"/>
  <c r="F2629" i="7"/>
  <c r="D2629" i="7"/>
  <c r="D2628" i="7"/>
  <c r="F2628" i="7" s="1"/>
  <c r="F2627" i="7"/>
  <c r="D2627" i="7"/>
  <c r="D2626" i="7"/>
  <c r="F2626" i="7" s="1"/>
  <c r="F2625" i="7"/>
  <c r="D2625" i="7"/>
  <c r="D2624" i="7"/>
  <c r="D2623" i="7"/>
  <c r="F2624" i="7" s="1"/>
  <c r="D2622" i="7"/>
  <c r="F2622" i="7" s="1"/>
  <c r="D2621" i="7"/>
  <c r="D2620" i="7"/>
  <c r="D2619" i="7"/>
  <c r="F2619" i="7" s="1"/>
  <c r="D2618" i="7"/>
  <c r="F2618" i="7" s="1"/>
  <c r="F2617" i="7"/>
  <c r="D2617" i="7"/>
  <c r="D2616" i="7"/>
  <c r="F2616" i="7" s="1"/>
  <c r="F2615" i="7"/>
  <c r="D2615" i="7"/>
  <c r="D2614" i="7"/>
  <c r="F2614" i="7" s="1"/>
  <c r="F2613" i="7"/>
  <c r="D2613" i="7"/>
  <c r="F2612" i="7"/>
  <c r="D2612" i="7"/>
  <c r="F2611" i="7"/>
  <c r="D2611" i="7"/>
  <c r="D2610" i="7"/>
  <c r="D2609" i="7"/>
  <c r="F2609" i="7" s="1"/>
  <c r="D2608" i="7"/>
  <c r="F2608" i="7" s="1"/>
  <c r="F2607" i="7"/>
  <c r="D2607" i="7"/>
  <c r="D2606" i="7"/>
  <c r="F2606" i="7" s="1"/>
  <c r="D2605" i="7"/>
  <c r="F2605" i="7" s="1"/>
  <c r="F2604" i="7"/>
  <c r="D2604" i="7"/>
  <c r="D2603" i="7"/>
  <c r="F2602" i="7"/>
  <c r="D2602" i="7"/>
  <c r="F2603" i="7" s="1"/>
  <c r="F2601" i="7"/>
  <c r="D2601" i="7"/>
  <c r="D2600" i="7"/>
  <c r="F2600" i="7" s="1"/>
  <c r="F2599" i="7"/>
  <c r="D2599" i="7"/>
  <c r="D2598" i="7"/>
  <c r="D2597" i="7"/>
  <c r="F2597" i="7" s="1"/>
  <c r="F2596" i="7"/>
  <c r="D2596" i="7"/>
  <c r="D2595" i="7"/>
  <c r="F2595" i="7" s="1"/>
  <c r="D2594" i="7"/>
  <c r="F2594" i="7" s="1"/>
  <c r="F2593" i="7"/>
  <c r="D2593" i="7"/>
  <c r="D2592" i="7"/>
  <c r="F2592" i="7" s="1"/>
  <c r="F2591" i="7"/>
  <c r="D2591" i="7"/>
  <c r="D2590" i="7"/>
  <c r="F2590" i="7" s="1"/>
  <c r="D2589" i="7"/>
  <c r="F2589" i="7" s="1"/>
  <c r="D2588" i="7"/>
  <c r="F2588" i="7" s="1"/>
  <c r="D2587" i="7"/>
  <c r="F2587" i="7" s="1"/>
  <c r="D2586" i="7"/>
  <c r="F2585" i="7"/>
  <c r="D2585" i="7"/>
  <c r="D2584" i="7"/>
  <c r="F2584" i="7" s="1"/>
  <c r="D2583" i="7"/>
  <c r="D2582" i="7"/>
  <c r="F2582" i="7" s="1"/>
  <c r="F2581" i="7"/>
  <c r="D2581" i="7"/>
  <c r="D2580" i="7"/>
  <c r="F2579" i="7"/>
  <c r="D2579" i="7"/>
  <c r="D2578" i="7"/>
  <c r="F2578" i="7" s="1"/>
  <c r="D2577" i="7"/>
  <c r="F2577" i="7" s="1"/>
  <c r="D2576" i="7"/>
  <c r="F2576" i="7" s="1"/>
  <c r="D2575" i="7"/>
  <c r="F2575" i="7" s="1"/>
  <c r="D2574" i="7"/>
  <c r="F2574" i="7" s="1"/>
  <c r="D2573" i="7"/>
  <c r="F2573" i="7" s="1"/>
  <c r="D2572" i="7"/>
  <c r="F2572" i="7" s="1"/>
  <c r="D2571" i="7"/>
  <c r="D2570" i="7"/>
  <c r="F2569" i="7"/>
  <c r="D2569" i="7"/>
  <c r="D2568" i="7"/>
  <c r="F2567" i="7"/>
  <c r="D2567" i="7"/>
  <c r="D2566" i="7"/>
  <c r="F2566" i="7" s="1"/>
  <c r="D2565" i="7"/>
  <c r="F2565" i="7" s="1"/>
  <c r="F2564" i="7"/>
  <c r="D2564" i="7"/>
  <c r="D2563" i="7"/>
  <c r="F2562" i="7"/>
  <c r="D2562" i="7"/>
  <c r="F2563" i="7" s="1"/>
  <c r="F2561" i="7"/>
  <c r="D2561" i="7"/>
  <c r="D2560" i="7"/>
  <c r="F2560" i="7" s="1"/>
  <c r="D2559" i="7"/>
  <c r="D2558" i="7"/>
  <c r="F2558" i="7" s="1"/>
  <c r="F2557" i="7"/>
  <c r="D2557" i="7"/>
  <c r="D2556" i="7"/>
  <c r="F2555" i="7"/>
  <c r="D2555" i="7"/>
  <c r="F2554" i="7"/>
  <c r="D2554" i="7"/>
  <c r="D2553" i="7"/>
  <c r="F2553" i="7" s="1"/>
  <c r="D2552" i="7"/>
  <c r="F2552" i="7" s="1"/>
  <c r="D2551" i="7"/>
  <c r="D2550" i="7"/>
  <c r="D2549" i="7"/>
  <c r="D2548" i="7"/>
  <c r="F2548" i="7" s="1"/>
  <c r="D2547" i="7"/>
  <c r="D2546" i="7"/>
  <c r="F2546" i="7" s="1"/>
  <c r="D2545" i="7"/>
  <c r="D2544" i="7"/>
  <c r="F2545" i="7" s="1"/>
  <c r="F2543" i="7"/>
  <c r="D2543" i="7"/>
  <c r="D2542" i="7"/>
  <c r="F2542" i="7" s="1"/>
  <c r="F2541" i="7"/>
  <c r="D2541" i="7"/>
  <c r="D2540" i="7"/>
  <c r="D2539" i="7"/>
  <c r="F2539" i="7" s="1"/>
  <c r="D2538" i="7"/>
  <c r="D2537" i="7"/>
  <c r="F2537" i="7" s="1"/>
  <c r="D2536" i="7"/>
  <c r="F2536" i="7" s="1"/>
  <c r="D2535" i="7"/>
  <c r="F2535" i="7" s="1"/>
  <c r="F2534" i="7"/>
  <c r="D2534" i="7"/>
  <c r="D2533" i="7"/>
  <c r="F2533" i="7" s="1"/>
  <c r="F2532" i="7"/>
  <c r="D2532" i="7"/>
  <c r="F2531" i="7"/>
  <c r="D2531" i="7"/>
  <c r="D2530" i="7"/>
  <c r="F2530" i="7" s="1"/>
  <c r="D2529" i="7"/>
  <c r="D2528" i="7"/>
  <c r="D2527" i="7"/>
  <c r="F2527" i="7" s="1"/>
  <c r="F2526" i="7"/>
  <c r="D2526" i="7"/>
  <c r="D2525" i="7"/>
  <c r="F2525" i="7" s="1"/>
  <c r="D2524" i="7"/>
  <c r="F2524" i="7" s="1"/>
  <c r="F2523" i="7"/>
  <c r="D2523" i="7"/>
  <c r="D2522" i="7"/>
  <c r="F2522" i="7" s="1"/>
  <c r="D2521" i="7"/>
  <c r="F2521" i="7" s="1"/>
  <c r="D2520" i="7"/>
  <c r="F2520" i="7" s="1"/>
  <c r="D2519" i="7"/>
  <c r="F2519" i="7" s="1"/>
  <c r="D2518" i="7"/>
  <c r="D2517" i="7"/>
  <c r="F2517" i="7" s="1"/>
  <c r="D2516" i="7"/>
  <c r="F2515" i="7"/>
  <c r="D2515" i="7"/>
  <c r="D2514" i="7"/>
  <c r="F2514" i="7" s="1"/>
  <c r="D2513" i="7"/>
  <c r="D2512" i="7"/>
  <c r="F2512" i="7" s="1"/>
  <c r="F2511" i="7"/>
  <c r="D2511" i="7"/>
  <c r="D2510" i="7"/>
  <c r="D2509" i="7"/>
  <c r="F2509" i="7" s="1"/>
  <c r="D2508" i="7"/>
  <c r="F2508" i="7" s="1"/>
  <c r="D2507" i="7"/>
  <c r="F2507" i="7" s="1"/>
  <c r="F2506" i="7"/>
  <c r="D2506" i="7"/>
  <c r="D2505" i="7"/>
  <c r="F2504" i="7"/>
  <c r="D2504" i="7"/>
  <c r="F2505" i="7" s="1"/>
  <c r="D2503" i="7"/>
  <c r="F2503" i="7" s="1"/>
  <c r="D2502" i="7"/>
  <c r="D2501" i="7"/>
  <c r="F2501" i="7" s="1"/>
  <c r="D2500" i="7"/>
  <c r="F2500" i="7" s="1"/>
  <c r="D2499" i="7"/>
  <c r="F2499" i="7" s="1"/>
  <c r="D2498" i="7"/>
  <c r="F2498" i="7" s="1"/>
  <c r="F2497" i="7"/>
  <c r="D2497" i="7"/>
  <c r="D2496" i="7"/>
  <c r="D2495" i="7"/>
  <c r="F2495" i="7" s="1"/>
  <c r="D2494" i="7"/>
  <c r="D2493" i="7"/>
  <c r="F2493" i="7" s="1"/>
  <c r="D2492" i="7"/>
  <c r="D2491" i="7"/>
  <c r="D2490" i="7"/>
  <c r="D2489" i="7"/>
  <c r="F2489" i="7" s="1"/>
  <c r="F2488" i="7"/>
  <c r="D2488" i="7"/>
  <c r="D2487" i="7"/>
  <c r="F2487" i="7" s="1"/>
  <c r="D2486" i="7"/>
  <c r="F2486" i="7" s="1"/>
  <c r="F2485" i="7"/>
  <c r="D2485" i="7"/>
  <c r="D2484" i="7"/>
  <c r="F2484" i="7" s="1"/>
  <c r="D2483" i="7"/>
  <c r="D2482" i="7"/>
  <c r="F2482" i="7" s="1"/>
  <c r="D2481" i="7"/>
  <c r="D2480" i="7"/>
  <c r="F2480" i="7" s="1"/>
  <c r="F2479" i="7"/>
  <c r="D2479" i="7"/>
  <c r="D2478" i="7"/>
  <c r="F2478" i="7" s="1"/>
  <c r="F2477" i="7"/>
  <c r="D2477" i="7"/>
  <c r="D2476" i="7"/>
  <c r="D2475" i="7"/>
  <c r="F2475" i="7" s="1"/>
  <c r="F2474" i="7"/>
  <c r="D2474" i="7"/>
  <c r="D2473" i="7"/>
  <c r="F2473" i="7" s="1"/>
  <c r="F2472" i="7"/>
  <c r="D2472" i="7"/>
  <c r="D2471" i="7"/>
  <c r="D2470" i="7"/>
  <c r="F2469" i="7"/>
  <c r="D2469" i="7"/>
  <c r="D2468" i="7"/>
  <c r="F2468" i="7" s="1"/>
  <c r="F2467" i="7"/>
  <c r="D2467" i="7"/>
  <c r="D2466" i="7"/>
  <c r="F2466" i="7" s="1"/>
  <c r="F2465" i="7"/>
  <c r="D2465" i="7"/>
  <c r="D2464" i="7"/>
  <c r="F2464" i="7" s="1"/>
  <c r="F2463" i="7"/>
  <c r="D2463" i="7"/>
  <c r="F2462" i="7"/>
  <c r="D2462" i="7"/>
  <c r="D2461" i="7"/>
  <c r="F2461" i="7" s="1"/>
  <c r="D2460" i="7"/>
  <c r="D2459" i="7"/>
  <c r="D2458" i="7"/>
  <c r="D2457" i="7"/>
  <c r="F2457" i="7" s="1"/>
  <c r="D2456" i="7"/>
  <c r="F2456" i="7" s="1"/>
  <c r="D2455" i="7"/>
  <c r="D2454" i="7"/>
  <c r="F2454" i="7" s="1"/>
  <c r="F2453" i="7"/>
  <c r="D2453" i="7"/>
  <c r="D2452" i="7"/>
  <c r="F2452" i="7" s="1"/>
  <c r="F2451" i="7"/>
  <c r="D2451" i="7"/>
  <c r="D2450" i="7"/>
  <c r="D2449" i="7"/>
  <c r="F2449" i="7" s="1"/>
  <c r="D2448" i="7"/>
  <c r="D2447" i="7"/>
  <c r="D2446" i="7"/>
  <c r="D2445" i="7"/>
  <c r="D2444" i="7"/>
  <c r="F2444" i="7" s="1"/>
  <c r="D2443" i="7"/>
  <c r="F2443" i="7" s="1"/>
  <c r="F2442" i="7"/>
  <c r="D2442" i="7"/>
  <c r="D2441" i="7"/>
  <c r="F2441" i="7" s="1"/>
  <c r="D2440" i="7"/>
  <c r="F2440" i="7" s="1"/>
  <c r="D2439" i="7"/>
  <c r="F2439" i="7" s="1"/>
  <c r="D2438" i="7"/>
  <c r="D2437" i="7"/>
  <c r="F2437" i="7" s="1"/>
  <c r="D2436" i="7"/>
  <c r="D2435" i="7"/>
  <c r="F2434" i="7"/>
  <c r="D2434" i="7"/>
  <c r="F2435" i="7" s="1"/>
  <c r="F2433" i="7"/>
  <c r="D2433" i="7"/>
  <c r="D2432" i="7"/>
  <c r="D2431" i="7"/>
  <c r="F2431" i="7" s="1"/>
  <c r="D2430" i="7"/>
  <c r="F2430" i="7" s="1"/>
  <c r="D2429" i="7"/>
  <c r="F2429" i="7" s="1"/>
  <c r="D2428" i="7"/>
  <c r="F2428" i="7" s="1"/>
  <c r="D2427" i="7"/>
  <c r="F2427" i="7" s="1"/>
  <c r="D2426" i="7"/>
  <c r="D2425" i="7"/>
  <c r="F2425" i="7" s="1"/>
  <c r="D2424" i="7"/>
  <c r="F2424" i="7" s="1"/>
  <c r="D2423" i="7"/>
  <c r="F2423" i="7" s="1"/>
  <c r="D2422" i="7"/>
  <c r="D2421" i="7"/>
  <c r="F2421" i="7" s="1"/>
  <c r="D2420" i="7"/>
  <c r="D2419" i="7"/>
  <c r="F2419" i="7" s="1"/>
  <c r="D2418" i="7"/>
  <c r="F2418" i="7" s="1"/>
  <c r="D2417" i="7"/>
  <c r="F2417" i="7" s="1"/>
  <c r="F2416" i="7"/>
  <c r="D2416" i="7"/>
  <c r="F2415" i="7"/>
  <c r="D2415" i="7"/>
  <c r="D2414" i="7"/>
  <c r="F2414" i="7" s="1"/>
  <c r="D2413" i="7"/>
  <c r="F2413" i="7" s="1"/>
  <c r="D2412" i="7"/>
  <c r="F2412" i="7" s="1"/>
  <c r="D2411" i="7"/>
  <c r="F2411" i="7" s="1"/>
  <c r="D2410" i="7"/>
  <c r="F2410" i="7" s="1"/>
  <c r="F2409" i="7"/>
  <c r="D2409" i="7"/>
  <c r="D2408" i="7"/>
  <c r="F2407" i="7"/>
  <c r="D2407" i="7"/>
  <c r="D2406" i="7"/>
  <c r="D2405" i="7"/>
  <c r="F2405" i="7" s="1"/>
  <c r="D2404" i="7"/>
  <c r="F2404" i="7" s="1"/>
  <c r="F2403" i="7"/>
  <c r="D2403" i="7"/>
  <c r="F2402" i="7"/>
  <c r="D2402" i="7"/>
  <c r="D2401" i="7"/>
  <c r="D2400" i="7"/>
  <c r="D2399" i="7"/>
  <c r="F2399" i="7" s="1"/>
  <c r="D2398" i="7"/>
  <c r="F2398" i="7" s="1"/>
  <c r="F2397" i="7"/>
  <c r="D2397" i="7"/>
  <c r="D2396" i="7"/>
  <c r="F2395" i="7"/>
  <c r="D2395" i="7"/>
  <c r="D2394" i="7"/>
  <c r="F2394" i="7" s="1"/>
  <c r="F2393" i="7"/>
  <c r="D2393" i="7"/>
  <c r="F2392" i="7"/>
  <c r="D2392" i="7"/>
  <c r="D2391" i="7"/>
  <c r="F2391" i="7" s="1"/>
  <c r="D2390" i="7"/>
  <c r="D2389" i="7"/>
  <c r="D2388" i="7"/>
  <c r="D2387" i="7"/>
  <c r="F2387" i="7" s="1"/>
  <c r="D2386" i="7"/>
  <c r="F2386" i="7" s="1"/>
  <c r="D2385" i="7"/>
  <c r="D2384" i="7"/>
  <c r="F2384" i="7" s="1"/>
  <c r="D2383" i="7"/>
  <c r="D2382" i="7"/>
  <c r="F2383" i="7" s="1"/>
  <c r="F2381" i="7"/>
  <c r="D2381" i="7"/>
  <c r="D2380" i="7"/>
  <c r="D2379" i="7"/>
  <c r="F2379" i="7" s="1"/>
  <c r="D2378" i="7"/>
  <c r="D2377" i="7"/>
  <c r="D2376" i="7"/>
  <c r="F2376" i="7" s="1"/>
  <c r="D2375" i="7"/>
  <c r="F2375" i="7" s="1"/>
  <c r="D2374" i="7"/>
  <c r="F2374" i="7" s="1"/>
  <c r="D2373" i="7"/>
  <c r="F2373" i="7" s="1"/>
  <c r="F2372" i="7"/>
  <c r="D2372" i="7"/>
  <c r="D2371" i="7"/>
  <c r="F2371" i="7" s="1"/>
  <c r="D2370" i="7"/>
  <c r="F2370" i="7" s="1"/>
  <c r="D2369" i="7"/>
  <c r="F2369" i="7" s="1"/>
  <c r="D2368" i="7"/>
  <c r="D2367" i="7"/>
  <c r="F2367" i="7" s="1"/>
  <c r="D2366" i="7"/>
  <c r="D2365" i="7"/>
  <c r="F2365" i="7" s="1"/>
  <c r="F2364" i="7"/>
  <c r="D2364" i="7"/>
  <c r="F2363" i="7"/>
  <c r="D2363" i="7"/>
  <c r="F2362" i="7"/>
  <c r="D2362" i="7"/>
  <c r="D2361" i="7"/>
  <c r="F2361" i="7" s="1"/>
  <c r="D2360" i="7"/>
  <c r="F2360" i="7" s="1"/>
  <c r="D2359" i="7"/>
  <c r="F2359" i="7" s="1"/>
  <c r="D2358" i="7"/>
  <c r="F2358" i="7" s="1"/>
  <c r="D2357" i="7"/>
  <c r="F2357" i="7" s="1"/>
  <c r="D2356" i="7"/>
  <c r="D2355" i="7"/>
  <c r="F2355" i="7" s="1"/>
  <c r="D2354" i="7"/>
  <c r="F2354" i="7" s="1"/>
  <c r="D2353" i="7"/>
  <c r="F2353" i="7" s="1"/>
  <c r="D2352" i="7"/>
  <c r="D2351" i="7"/>
  <c r="F2351" i="7" s="1"/>
  <c r="D2350" i="7"/>
  <c r="D2349" i="7"/>
  <c r="F2349" i="7" s="1"/>
  <c r="D2348" i="7"/>
  <c r="F2348" i="7" s="1"/>
  <c r="D2347" i="7"/>
  <c r="F2347" i="7" s="1"/>
  <c r="D2346" i="7"/>
  <c r="F2346" i="7" s="1"/>
  <c r="F2345" i="7"/>
  <c r="D2345" i="7"/>
  <c r="F2344" i="7"/>
  <c r="D2344" i="7"/>
  <c r="F2343" i="7"/>
  <c r="D2343" i="7"/>
  <c r="D2342" i="7"/>
  <c r="F2342" i="7" s="1"/>
  <c r="F2341" i="7"/>
  <c r="D2341" i="7"/>
  <c r="D2340" i="7"/>
  <c r="D2339" i="7"/>
  <c r="F2339" i="7" s="1"/>
  <c r="D2338" i="7"/>
  <c r="D2337" i="7"/>
  <c r="F2337" i="7" s="1"/>
  <c r="D2336" i="7"/>
  <c r="F2336" i="7" s="1"/>
  <c r="D2335" i="7"/>
  <c r="F2335" i="7" s="1"/>
  <c r="F2334" i="7"/>
  <c r="D2334" i="7"/>
  <c r="F2333" i="7"/>
  <c r="D2333" i="7"/>
  <c r="D2332" i="7"/>
  <c r="F2332" i="7" s="1"/>
  <c r="D2331" i="7"/>
  <c r="F2331" i="7" s="1"/>
  <c r="D2330" i="7"/>
  <c r="F2330" i="7" s="1"/>
  <c r="F2329" i="7"/>
  <c r="D2329" i="7"/>
  <c r="F2328" i="7"/>
  <c r="D2328" i="7"/>
  <c r="F2327" i="7"/>
  <c r="D2327" i="7"/>
  <c r="D2326" i="7"/>
  <c r="F2325" i="7"/>
  <c r="D2325" i="7"/>
  <c r="D2324" i="7"/>
  <c r="F2324" i="7" s="1"/>
  <c r="F2323" i="7"/>
  <c r="D2323" i="7"/>
  <c r="F2322" i="7"/>
  <c r="D2322" i="7"/>
  <c r="D2321" i="7"/>
  <c r="F2321" i="7" s="1"/>
  <c r="D2320" i="7"/>
  <c r="D2319" i="7"/>
  <c r="F2319" i="7" s="1"/>
  <c r="D2318" i="7"/>
  <c r="F2318" i="7" s="1"/>
  <c r="D2317" i="7"/>
  <c r="F2317" i="7" s="1"/>
  <c r="D2316" i="7"/>
  <c r="F2316" i="7" s="1"/>
  <c r="F2315" i="7"/>
  <c r="D2315" i="7"/>
  <c r="D2314" i="7"/>
  <c r="F2314" i="7" s="1"/>
  <c r="D2313" i="7"/>
  <c r="D2312" i="7"/>
  <c r="F2313" i="7" s="1"/>
  <c r="D2311" i="7"/>
  <c r="F2311" i="7" s="1"/>
  <c r="D2310" i="7"/>
  <c r="F2310" i="7" s="1"/>
  <c r="D2309" i="7"/>
  <c r="F2309" i="7" s="1"/>
  <c r="F2308" i="7"/>
  <c r="D2308" i="7"/>
  <c r="D2307" i="7"/>
  <c r="F2307" i="7" s="1"/>
  <c r="D2306" i="7"/>
  <c r="D2305" i="7"/>
  <c r="F2305" i="7" s="1"/>
  <c r="D2304" i="7"/>
  <c r="D2303" i="7"/>
  <c r="F2303" i="7" s="1"/>
  <c r="D2302" i="7"/>
  <c r="D2301" i="7"/>
  <c r="D2300" i="7"/>
  <c r="F2300" i="7" s="1"/>
  <c r="F2299" i="7"/>
  <c r="D2299" i="7"/>
  <c r="D2298" i="7"/>
  <c r="F2297" i="7"/>
  <c r="D2297" i="7"/>
  <c r="D2296" i="7"/>
  <c r="D2295" i="7"/>
  <c r="F2295" i="7" s="1"/>
  <c r="D2294" i="7"/>
  <c r="D2293" i="7"/>
  <c r="F2293" i="7" s="1"/>
  <c r="D2292" i="7"/>
  <c r="F2291" i="7"/>
  <c r="D2291" i="7"/>
  <c r="F2292" i="7" s="1"/>
  <c r="D2290" i="7"/>
  <c r="D2289" i="7"/>
  <c r="F2289" i="7" s="1"/>
  <c r="F2288" i="7"/>
  <c r="D2288" i="7"/>
  <c r="F2287" i="7"/>
  <c r="D2287" i="7"/>
  <c r="D2286" i="7"/>
  <c r="F2286" i="7" s="1"/>
  <c r="D2285" i="7"/>
  <c r="D2284" i="7"/>
  <c r="F2284" i="7" s="1"/>
  <c r="D2283" i="7"/>
  <c r="F2283" i="7" s="1"/>
  <c r="D2282" i="7"/>
  <c r="F2282" i="7" s="1"/>
  <c r="D2281" i="7"/>
  <c r="D2280" i="7"/>
  <c r="F2279" i="7"/>
  <c r="D2279" i="7"/>
  <c r="D2278" i="7"/>
  <c r="F2277" i="7"/>
  <c r="D2277" i="7"/>
  <c r="D2276" i="7"/>
  <c r="F2276" i="7" s="1"/>
  <c r="F2275" i="7"/>
  <c r="D2275" i="7"/>
  <c r="F2274" i="7"/>
  <c r="D2274" i="7"/>
  <c r="D2273" i="7"/>
  <c r="F2273" i="7" s="1"/>
  <c r="F2272" i="7"/>
  <c r="D2272" i="7"/>
  <c r="D2271" i="7"/>
  <c r="F2271" i="7" s="1"/>
  <c r="F2270" i="7"/>
  <c r="D2270" i="7"/>
  <c r="D2269" i="7"/>
  <c r="F2269" i="7" s="1"/>
  <c r="D2268" i="7"/>
  <c r="F2268" i="7" s="1"/>
  <c r="D2267" i="7"/>
  <c r="D2266" i="7"/>
  <c r="F2266" i="7" s="1"/>
  <c r="D2265" i="7"/>
  <c r="F2265" i="7" s="1"/>
  <c r="F2264" i="7"/>
  <c r="D2264" i="7"/>
  <c r="F2263" i="7"/>
  <c r="D2263" i="7"/>
  <c r="D2262" i="7"/>
  <c r="F2262" i="7" s="1"/>
  <c r="F2261" i="7"/>
  <c r="D2261" i="7"/>
  <c r="D2260" i="7"/>
  <c r="F2260" i="7" s="1"/>
  <c r="F2259" i="7"/>
  <c r="D2259" i="7"/>
  <c r="D2258" i="7"/>
  <c r="F2257" i="7"/>
  <c r="D2257" i="7"/>
  <c r="D2256" i="7"/>
  <c r="D2255" i="7"/>
  <c r="F2255" i="7" s="1"/>
  <c r="D2254" i="7"/>
  <c r="F2254" i="7" s="1"/>
  <c r="F2253" i="7"/>
  <c r="D2253" i="7"/>
  <c r="F2252" i="7"/>
  <c r="D2252" i="7"/>
  <c r="D2251" i="7"/>
  <c r="F2251" i="7" s="1"/>
  <c r="F2250" i="7"/>
  <c r="D2250" i="7"/>
  <c r="D2249" i="7"/>
  <c r="D2248" i="7"/>
  <c r="F2248" i="7" s="1"/>
  <c r="D2247" i="7"/>
  <c r="D2246" i="7"/>
  <c r="D2245" i="7"/>
  <c r="D2244" i="7"/>
  <c r="D2243" i="7"/>
  <c r="F2243" i="7" s="1"/>
  <c r="F2242" i="7"/>
  <c r="D2242" i="7"/>
  <c r="F2241" i="7"/>
  <c r="D2241" i="7"/>
  <c r="D2240" i="7"/>
  <c r="F2240" i="7" s="1"/>
  <c r="F2239" i="7"/>
  <c r="D2239" i="7"/>
  <c r="D2238" i="7"/>
  <c r="D2237" i="7"/>
  <c r="F2237" i="7" s="1"/>
  <c r="D2236" i="7"/>
  <c r="D2235" i="7"/>
  <c r="F2235" i="7" s="1"/>
  <c r="D2234" i="7"/>
  <c r="F2233" i="7"/>
  <c r="D2233" i="7"/>
  <c r="F2234" i="7" s="1"/>
  <c r="D2232" i="7"/>
  <c r="F2232" i="7" s="1"/>
  <c r="F2231" i="7"/>
  <c r="D2231" i="7"/>
  <c r="F2230" i="7"/>
  <c r="D2230" i="7"/>
  <c r="D2229" i="7"/>
  <c r="F2229" i="7" s="1"/>
  <c r="D2228" i="7"/>
  <c r="F2228" i="7" s="1"/>
  <c r="D2227" i="7"/>
  <c r="F2227" i="7" s="1"/>
  <c r="D2226" i="7"/>
  <c r="F2226" i="7" s="1"/>
  <c r="D2225" i="7"/>
  <c r="D2224" i="7"/>
  <c r="D2223" i="7"/>
  <c r="D2222" i="7"/>
  <c r="D2221" i="7"/>
  <c r="F2221" i="7" s="1"/>
  <c r="F2220" i="7"/>
  <c r="D2220" i="7"/>
  <c r="F2219" i="7"/>
  <c r="D2219" i="7"/>
  <c r="D2218" i="7"/>
  <c r="D2217" i="7"/>
  <c r="F2217" i="7" s="1"/>
  <c r="F2216" i="7"/>
  <c r="D2216" i="7"/>
  <c r="D2215" i="7"/>
  <c r="F2215" i="7" s="1"/>
  <c r="D2214" i="7"/>
  <c r="F2213" i="7"/>
  <c r="D2213" i="7"/>
  <c r="F2214" i="7" s="1"/>
  <c r="D2212" i="7"/>
  <c r="F2212" i="7" s="1"/>
  <c r="F2211" i="7"/>
  <c r="D2211" i="7"/>
  <c r="F2210" i="7"/>
  <c r="D2210" i="7"/>
  <c r="D2209" i="7"/>
  <c r="F2209" i="7" s="1"/>
  <c r="D2208" i="7"/>
  <c r="D2207" i="7"/>
  <c r="F2207" i="7" s="1"/>
  <c r="D2206" i="7"/>
  <c r="F2206" i="7" s="1"/>
  <c r="D2205" i="7"/>
  <c r="F2205" i="7" s="1"/>
  <c r="D2204" i="7"/>
  <c r="F2204" i="7" s="1"/>
  <c r="D2203" i="7"/>
  <c r="F2202" i="7"/>
  <c r="D2202" i="7"/>
  <c r="F2203" i="7" s="1"/>
  <c r="D2201" i="7"/>
  <c r="F2201" i="7" s="1"/>
  <c r="F2200" i="7"/>
  <c r="D2200" i="7"/>
  <c r="F2199" i="7"/>
  <c r="D2199" i="7"/>
  <c r="F2198" i="7"/>
  <c r="D2198" i="7"/>
  <c r="D2197" i="7"/>
  <c r="D2196" i="7"/>
  <c r="F2196" i="7" s="1"/>
  <c r="F2195" i="7"/>
  <c r="D2195" i="7"/>
  <c r="D2194" i="7"/>
  <c r="F2194" i="7" s="1"/>
  <c r="F2193" i="7"/>
  <c r="D2193" i="7"/>
  <c r="D2192" i="7"/>
  <c r="F2192" i="7" s="1"/>
  <c r="D2191" i="7"/>
  <c r="D2190" i="7"/>
  <c r="D2189" i="7"/>
  <c r="F2189" i="7" s="1"/>
  <c r="D2188" i="7"/>
  <c r="F2188" i="7" s="1"/>
  <c r="D2187" i="7"/>
  <c r="F2187" i="7" s="1"/>
  <c r="D2186" i="7"/>
  <c r="D2185" i="7"/>
  <c r="F2185" i="7" s="1"/>
  <c r="D2184" i="7"/>
  <c r="D2183" i="7"/>
  <c r="F2183" i="7" s="1"/>
  <c r="F2182" i="7"/>
  <c r="D2182" i="7"/>
  <c r="D2181" i="7"/>
  <c r="F2181" i="7" s="1"/>
  <c r="D2180" i="7"/>
  <c r="D2179" i="7"/>
  <c r="D2178" i="7"/>
  <c r="F2178" i="7" s="1"/>
  <c r="F2177" i="7"/>
  <c r="D2177" i="7"/>
  <c r="D2176" i="7"/>
  <c r="F2175" i="7"/>
  <c r="D2175" i="7"/>
  <c r="D2174" i="7"/>
  <c r="F2174" i="7" s="1"/>
  <c r="D2173" i="7"/>
  <c r="D2172" i="7"/>
  <c r="F2172" i="7" s="1"/>
  <c r="D2171" i="7"/>
  <c r="D2170" i="7"/>
  <c r="F2170" i="7" s="1"/>
  <c r="F2169" i="7"/>
  <c r="D2169" i="7"/>
  <c r="D2168" i="7"/>
  <c r="F2167" i="7"/>
  <c r="D2167" i="7"/>
  <c r="D2166" i="7"/>
  <c r="F2166" i="7" s="1"/>
  <c r="F2165" i="7"/>
  <c r="D2165" i="7"/>
  <c r="D2164" i="7"/>
  <c r="D2163" i="7"/>
  <c r="F2164" i="7" s="1"/>
  <c r="F2162" i="7"/>
  <c r="D2162" i="7"/>
  <c r="D2161" i="7"/>
  <c r="F2161" i="7" s="1"/>
  <c r="D2160" i="7"/>
  <c r="D2159" i="7"/>
  <c r="D2158" i="7"/>
  <c r="F2158" i="7" s="1"/>
  <c r="D2157" i="7"/>
  <c r="F2157" i="7" s="1"/>
  <c r="D2156" i="7"/>
  <c r="F2155" i="7"/>
  <c r="D2155" i="7"/>
  <c r="F2154" i="7"/>
  <c r="D2154" i="7"/>
  <c r="D2153" i="7"/>
  <c r="D2152" i="7"/>
  <c r="F2153" i="7" s="1"/>
  <c r="D2151" i="7"/>
  <c r="D2150" i="7"/>
  <c r="D2149" i="7"/>
  <c r="F2149" i="7" s="1"/>
  <c r="D2148" i="7"/>
  <c r="D2147" i="7"/>
  <c r="F2147" i="7" s="1"/>
  <c r="D2146" i="7"/>
  <c r="F2145" i="7"/>
  <c r="D2145" i="7"/>
  <c r="F2144" i="7"/>
  <c r="D2144" i="7"/>
  <c r="F2143" i="7"/>
  <c r="D2143" i="7"/>
  <c r="D2142" i="7"/>
  <c r="D2141" i="7"/>
  <c r="F2142" i="7" s="1"/>
  <c r="D2140" i="7"/>
  <c r="D2139" i="7"/>
  <c r="F2139" i="7" s="1"/>
  <c r="D2138" i="7"/>
  <c r="F2138" i="7" s="1"/>
  <c r="F2137" i="7"/>
  <c r="D2137" i="7"/>
  <c r="D2136" i="7"/>
  <c r="F2136" i="7" s="1"/>
  <c r="F2135" i="7"/>
  <c r="D2135" i="7"/>
  <c r="D2134" i="7"/>
  <c r="F2134" i="7" s="1"/>
  <c r="F2133" i="7"/>
  <c r="D2133" i="7"/>
  <c r="F2132" i="7"/>
  <c r="D2132" i="7"/>
  <c r="D2131" i="7"/>
  <c r="D2130" i="7"/>
  <c r="F2131" i="7" s="1"/>
  <c r="D2129" i="7"/>
  <c r="F2128" i="7"/>
  <c r="D2128" i="7"/>
  <c r="F2129" i="7" s="1"/>
  <c r="D2127" i="7"/>
  <c r="F2127" i="7" s="1"/>
  <c r="D2126" i="7"/>
  <c r="D2125" i="7"/>
  <c r="F2125" i="7" s="1"/>
  <c r="D2124" i="7"/>
  <c r="F2124" i="7" s="1"/>
  <c r="D2123" i="7"/>
  <c r="F2123" i="7" s="1"/>
  <c r="F2122" i="7"/>
  <c r="D2122" i="7"/>
  <c r="D2121" i="7"/>
  <c r="F2121" i="7" s="1"/>
  <c r="D2120" i="7"/>
  <c r="D2119" i="7"/>
  <c r="D2118" i="7"/>
  <c r="D2117" i="7"/>
  <c r="F2117" i="7" s="1"/>
  <c r="D2116" i="7"/>
  <c r="F2116" i="7" s="1"/>
  <c r="D2115" i="7"/>
  <c r="D2114" i="7"/>
  <c r="F2115" i="7" s="1"/>
  <c r="D2113" i="7"/>
  <c r="D2112" i="7"/>
  <c r="F2112" i="7" s="1"/>
  <c r="F2111" i="7"/>
  <c r="D2111" i="7"/>
  <c r="D2110" i="7"/>
  <c r="F2110" i="7" s="1"/>
  <c r="D2109" i="7"/>
  <c r="F2108" i="7"/>
  <c r="D2108" i="7"/>
  <c r="F2109" i="7" s="1"/>
  <c r="D2107" i="7"/>
  <c r="D2106" i="7"/>
  <c r="D2105" i="7"/>
  <c r="F2105" i="7" s="1"/>
  <c r="D2104" i="7"/>
  <c r="F2104" i="7" s="1"/>
  <c r="F2103" i="7"/>
  <c r="D2103" i="7"/>
  <c r="D2102" i="7"/>
  <c r="F2101" i="7"/>
  <c r="D2101" i="7"/>
  <c r="F2100" i="7"/>
  <c r="D2100" i="7"/>
  <c r="F2099" i="7"/>
  <c r="D2099" i="7"/>
  <c r="D2098" i="7"/>
  <c r="D2097" i="7"/>
  <c r="F2097" i="7" s="1"/>
  <c r="D2096" i="7"/>
  <c r="D2095" i="7"/>
  <c r="D2094" i="7"/>
  <c r="F2094" i="7" s="1"/>
  <c r="D2093" i="7"/>
  <c r="F2093" i="7" s="1"/>
  <c r="D2092" i="7"/>
  <c r="F2091" i="7"/>
  <c r="D2091" i="7"/>
  <c r="F2092" i="7" s="1"/>
  <c r="D2090" i="7"/>
  <c r="F2090" i="7" s="1"/>
  <c r="F2089" i="7"/>
  <c r="D2089" i="7"/>
  <c r="D2088" i="7"/>
  <c r="F2088" i="7" s="1"/>
  <c r="D2087" i="7"/>
  <c r="D2086" i="7"/>
  <c r="F2086" i="7" s="1"/>
  <c r="F2085" i="7"/>
  <c r="D2085" i="7"/>
  <c r="D2084" i="7"/>
  <c r="F2083" i="7"/>
  <c r="D2083" i="7"/>
  <c r="D2082" i="7"/>
  <c r="F2082" i="7" s="1"/>
  <c r="F2081" i="7"/>
  <c r="D2081" i="7"/>
  <c r="D2080" i="7"/>
  <c r="F2080" i="7" s="1"/>
  <c r="F2079" i="7"/>
  <c r="D2079" i="7"/>
  <c r="D2078" i="7"/>
  <c r="F2078" i="7" s="1"/>
  <c r="D2077" i="7"/>
  <c r="F2077" i="7" s="1"/>
  <c r="D2076" i="7"/>
  <c r="D2075" i="7"/>
  <c r="F2075" i="7" s="1"/>
  <c r="D2074" i="7"/>
  <c r="D2073" i="7"/>
  <c r="F2073" i="7" s="1"/>
  <c r="F2072" i="7"/>
  <c r="D2072" i="7"/>
  <c r="D2071" i="7"/>
  <c r="F2071" i="7" s="1"/>
  <c r="D2070" i="7"/>
  <c r="D2069" i="7"/>
  <c r="D2068" i="7"/>
  <c r="F2068" i="7" s="1"/>
  <c r="D2067" i="7"/>
  <c r="F2067" i="7" s="1"/>
  <c r="D2066" i="7"/>
  <c r="F2065" i="7"/>
  <c r="D2065" i="7"/>
  <c r="D2064" i="7"/>
  <c r="D2063" i="7"/>
  <c r="F2063" i="7" s="1"/>
  <c r="D2062" i="7"/>
  <c r="F2062" i="7" s="1"/>
  <c r="F2061" i="7"/>
  <c r="D2061" i="7"/>
  <c r="D2060" i="7"/>
  <c r="F2060" i="7" s="1"/>
  <c r="F2059" i="7"/>
  <c r="D2059" i="7"/>
  <c r="D2058" i="7"/>
  <c r="D2057" i="7"/>
  <c r="F2057" i="7" s="1"/>
  <c r="D2056" i="7"/>
  <c r="F2056" i="7" s="1"/>
  <c r="F2055" i="7"/>
  <c r="D2055" i="7"/>
  <c r="D2054" i="7"/>
  <c r="F2053" i="7"/>
  <c r="D2053" i="7"/>
  <c r="F2054" i="7" s="1"/>
  <c r="D2052" i="7"/>
  <c r="D2051" i="7"/>
  <c r="D2050" i="7"/>
  <c r="F2050" i="7" s="1"/>
  <c r="D2049" i="7"/>
  <c r="F2049" i="7" s="1"/>
  <c r="D2048" i="7"/>
  <c r="F2048" i="7" s="1"/>
  <c r="D2047" i="7"/>
  <c r="F2047" i="7" s="1"/>
  <c r="D2046" i="7"/>
  <c r="F2046" i="7" s="1"/>
  <c r="F2045" i="7"/>
  <c r="D2045" i="7"/>
  <c r="F2044" i="7"/>
  <c r="D2044" i="7"/>
  <c r="D2043" i="7"/>
  <c r="D2042" i="7"/>
  <c r="D2041" i="7"/>
  <c r="F2041" i="7" s="1"/>
  <c r="D2040" i="7"/>
  <c r="F2040" i="7" s="1"/>
  <c r="D2039" i="7"/>
  <c r="F2038" i="7"/>
  <c r="D2038" i="7"/>
  <c r="F2039" i="7" s="1"/>
  <c r="F2037" i="7"/>
  <c r="D2037" i="7"/>
  <c r="D2036" i="7"/>
  <c r="D2035" i="7"/>
  <c r="F2035" i="7" s="1"/>
  <c r="D2034" i="7"/>
  <c r="F2034" i="7" s="1"/>
  <c r="D2033" i="7"/>
  <c r="F2033" i="7" s="1"/>
  <c r="D2032" i="7"/>
  <c r="D2031" i="7"/>
  <c r="F2030" i="7"/>
  <c r="D2030" i="7"/>
  <c r="D2029" i="7"/>
  <c r="F2029" i="7" s="1"/>
  <c r="D2028" i="7"/>
  <c r="F2028" i="7" s="1"/>
  <c r="D2027" i="7"/>
  <c r="F2027" i="7" s="1"/>
  <c r="D2026" i="7"/>
  <c r="F2026" i="7" s="1"/>
  <c r="D2025" i="7"/>
  <c r="F2025" i="7" s="1"/>
  <c r="D2024" i="7"/>
  <c r="F2024" i="7" s="1"/>
  <c r="F2023" i="7"/>
  <c r="D2023" i="7"/>
  <c r="D2022" i="7"/>
  <c r="F2022" i="7" s="1"/>
  <c r="D2021" i="7"/>
  <c r="D2020" i="7"/>
  <c r="F2021" i="7" s="1"/>
  <c r="F2019" i="7"/>
  <c r="D2019" i="7"/>
  <c r="D2018" i="7"/>
  <c r="F2018" i="7" s="1"/>
  <c r="F2017" i="7"/>
  <c r="D2017" i="7"/>
  <c r="D2016" i="7"/>
  <c r="F2016" i="7" s="1"/>
  <c r="F2015" i="7"/>
  <c r="D2015" i="7"/>
  <c r="D2014" i="7"/>
  <c r="D2013" i="7"/>
  <c r="F2013" i="7" s="1"/>
  <c r="D2012" i="7"/>
  <c r="F2012" i="7" s="1"/>
  <c r="D2011" i="7"/>
  <c r="F2011" i="7" s="1"/>
  <c r="D2010" i="7"/>
  <c r="D2009" i="7"/>
  <c r="F2010" i="7" s="1"/>
  <c r="D2008" i="7"/>
  <c r="D2007" i="7"/>
  <c r="D2006" i="7"/>
  <c r="F2006" i="7" s="1"/>
  <c r="F2005" i="7"/>
  <c r="D2005" i="7"/>
  <c r="F2004" i="7"/>
  <c r="D2004" i="7"/>
  <c r="D2003" i="7"/>
  <c r="D2002" i="7"/>
  <c r="F2003" i="7" s="1"/>
  <c r="F2001" i="7"/>
  <c r="D2001" i="7"/>
  <c r="F2000" i="7"/>
  <c r="D2000" i="7"/>
  <c r="D1999" i="7"/>
  <c r="D1998" i="7"/>
  <c r="F1998" i="7" s="1"/>
  <c r="D1997" i="7"/>
  <c r="F1997" i="7" s="1"/>
  <c r="D1996" i="7"/>
  <c r="D1995" i="7"/>
  <c r="F1996" i="7" s="1"/>
  <c r="D1994" i="7"/>
  <c r="F1993" i="7"/>
  <c r="D1993" i="7"/>
  <c r="F1994" i="7" s="1"/>
  <c r="F1992" i="7"/>
  <c r="D1992" i="7"/>
  <c r="D1991" i="7"/>
  <c r="D1990" i="7"/>
  <c r="F1991" i="7" s="1"/>
  <c r="D1989" i="7"/>
  <c r="F1988" i="7"/>
  <c r="D1988" i="7"/>
  <c r="D1987" i="7"/>
  <c r="D1986" i="7"/>
  <c r="F1987" i="7" s="1"/>
  <c r="D1985" i="7"/>
  <c r="F1985" i="7" s="1"/>
  <c r="F1984" i="7"/>
  <c r="D1984" i="7"/>
  <c r="D1983" i="7"/>
  <c r="F1983" i="7" s="1"/>
  <c r="F1982" i="7"/>
  <c r="D1982" i="7"/>
  <c r="D1981" i="7"/>
  <c r="D1980" i="7"/>
  <c r="F1981" i="7" s="1"/>
  <c r="D1979" i="7"/>
  <c r="F1979" i="7" s="1"/>
  <c r="D1978" i="7"/>
  <c r="F1978" i="7" s="1"/>
  <c r="D1977" i="7"/>
  <c r="F1977" i="7" s="1"/>
  <c r="D1976" i="7"/>
  <c r="F1976" i="7" s="1"/>
  <c r="F1975" i="7"/>
  <c r="D1975" i="7"/>
  <c r="F1974" i="7"/>
  <c r="D1974" i="7"/>
  <c r="D1973" i="7"/>
  <c r="F1973" i="7" s="1"/>
  <c r="F1972" i="7"/>
  <c r="D1972" i="7"/>
  <c r="D1971" i="7"/>
  <c r="D1970" i="7"/>
  <c r="F1971" i="7" s="1"/>
  <c r="D1969" i="7"/>
  <c r="F1969" i="7" s="1"/>
  <c r="F1968" i="7"/>
  <c r="D1968" i="7"/>
  <c r="F1967" i="7"/>
  <c r="D1967" i="7"/>
  <c r="F1966" i="7"/>
  <c r="D1966" i="7"/>
  <c r="D1965" i="7"/>
  <c r="D1964" i="7"/>
  <c r="F1964" i="7" s="1"/>
  <c r="F1963" i="7"/>
  <c r="D1963" i="7"/>
  <c r="D1962" i="7"/>
  <c r="F1962" i="7" s="1"/>
  <c r="D1961" i="7"/>
  <c r="D1960" i="7"/>
  <c r="F1961" i="7" s="1"/>
  <c r="D1959" i="7"/>
  <c r="D1958" i="7"/>
  <c r="F1958" i="7" s="1"/>
  <c r="D1957" i="7"/>
  <c r="F1957" i="7" s="1"/>
  <c r="D1956" i="7"/>
  <c r="F1956" i="7" s="1"/>
  <c r="D1955" i="7"/>
  <c r="F1955" i="7" s="1"/>
  <c r="D1954" i="7"/>
  <c r="F1953" i="7"/>
  <c r="D1953" i="7"/>
  <c r="F1954" i="7" s="1"/>
  <c r="D1952" i="7"/>
  <c r="F1952" i="7" s="1"/>
  <c r="F1951" i="7"/>
  <c r="D1951" i="7"/>
  <c r="D1950" i="7"/>
  <c r="D1949" i="7"/>
  <c r="F1949" i="7" s="1"/>
  <c r="D1948" i="7"/>
  <c r="F1948" i="7" s="1"/>
  <c r="F1947" i="7"/>
  <c r="D1947" i="7"/>
  <c r="F1946" i="7"/>
  <c r="D1946" i="7"/>
  <c r="D1945" i="7"/>
  <c r="D1944" i="7"/>
  <c r="F1945" i="7" s="1"/>
  <c r="D1943" i="7"/>
  <c r="F1942" i="7"/>
  <c r="D1942" i="7"/>
  <c r="D1941" i="7"/>
  <c r="F1941" i="7" s="1"/>
  <c r="F1940" i="7"/>
  <c r="D1940" i="7"/>
  <c r="D1939" i="7"/>
  <c r="D1938" i="7"/>
  <c r="D1937" i="7"/>
  <c r="F1938" i="7" s="1"/>
  <c r="D1936" i="7"/>
  <c r="F1936" i="7" s="1"/>
  <c r="D1935" i="7"/>
  <c r="F1935" i="7" s="1"/>
  <c r="D1934" i="7"/>
  <c r="F1934" i="7" s="1"/>
  <c r="D1933" i="7"/>
  <c r="D1932" i="7"/>
  <c r="F1933" i="7" s="1"/>
  <c r="D1931" i="7"/>
  <c r="F1931" i="7" s="1"/>
  <c r="F1930" i="7"/>
  <c r="D1930" i="7"/>
  <c r="D1929" i="7"/>
  <c r="D1928" i="7"/>
  <c r="F1928" i="7" s="1"/>
  <c r="F1927" i="7"/>
  <c r="D1927" i="7"/>
  <c r="F1926" i="7"/>
  <c r="D1926" i="7"/>
  <c r="F1925" i="7"/>
  <c r="D1925" i="7"/>
  <c r="D1924" i="7"/>
  <c r="D1923" i="7"/>
  <c r="F1924" i="7" s="1"/>
  <c r="D1922" i="7"/>
  <c r="F1921" i="7"/>
  <c r="D1921" i="7"/>
  <c r="D1920" i="7"/>
  <c r="F1920" i="7" s="1"/>
  <c r="D1919" i="7"/>
  <c r="F1919" i="7" s="1"/>
  <c r="D1918" i="7"/>
  <c r="D1917" i="7"/>
  <c r="F1918" i="7" s="1"/>
  <c r="D1916" i="7"/>
  <c r="F1917" i="7" s="1"/>
  <c r="D1915" i="7"/>
  <c r="F1915" i="7" s="1"/>
  <c r="D1914" i="7"/>
  <c r="F1914" i="7" s="1"/>
  <c r="D1913" i="7"/>
  <c r="F1913" i="7" s="1"/>
  <c r="D1912" i="7"/>
  <c r="D1911" i="7"/>
  <c r="F1912" i="7" s="1"/>
  <c r="D1910" i="7"/>
  <c r="F1910" i="7" s="1"/>
  <c r="F1909" i="7"/>
  <c r="D1909" i="7"/>
  <c r="D1908" i="7"/>
  <c r="D1907" i="7"/>
  <c r="F1908" i="7" s="1"/>
  <c r="D1906" i="7"/>
  <c r="F1907" i="7" s="1"/>
  <c r="D1905" i="7"/>
  <c r="F1905" i="7" s="1"/>
  <c r="D1904" i="7"/>
  <c r="F1904" i="7" s="1"/>
  <c r="D1903" i="7"/>
  <c r="F1903" i="7" s="1"/>
  <c r="D1902" i="7"/>
  <c r="F1901" i="7"/>
  <c r="D1901" i="7"/>
  <c r="F1902" i="7" s="1"/>
  <c r="D1900" i="7"/>
  <c r="F1900" i="7" s="1"/>
  <c r="D1899" i="7"/>
  <c r="F1899" i="7" s="1"/>
  <c r="D1898" i="7"/>
  <c r="D1897" i="7"/>
  <c r="F1898" i="7" s="1"/>
  <c r="D1896" i="7"/>
  <c r="F1896" i="7" s="1"/>
  <c r="F1895" i="7"/>
  <c r="D1895" i="7"/>
  <c r="F1894" i="7"/>
  <c r="D1894" i="7"/>
  <c r="D1893" i="7"/>
  <c r="F1892" i="7"/>
  <c r="D1892" i="7"/>
  <c r="F1893" i="7" s="1"/>
  <c r="D1891" i="7"/>
  <c r="F1891" i="7" s="1"/>
  <c r="F1890" i="7"/>
  <c r="D1890" i="7"/>
  <c r="D1889" i="7"/>
  <c r="F1889" i="7" s="1"/>
  <c r="F1888" i="7"/>
  <c r="D1888" i="7"/>
  <c r="D1887" i="7"/>
  <c r="D1886" i="7"/>
  <c r="F1887" i="7" s="1"/>
  <c r="D1885" i="7"/>
  <c r="F1886" i="7" s="1"/>
  <c r="D1884" i="7"/>
  <c r="F1884" i="7" s="1"/>
  <c r="D1883" i="7"/>
  <c r="F1883" i="7" s="1"/>
  <c r="D1882" i="7"/>
  <c r="F1882" i="7" s="1"/>
  <c r="D1881" i="7"/>
  <c r="D1880" i="7"/>
  <c r="F1881" i="7" s="1"/>
  <c r="D1879" i="7"/>
  <c r="D1878" i="7"/>
  <c r="F1878" i="7" s="1"/>
  <c r="D1877" i="7"/>
  <c r="F1876" i="7"/>
  <c r="D1876" i="7"/>
  <c r="F1877" i="7" s="1"/>
  <c r="D1875" i="7"/>
  <c r="F1875" i="7" s="1"/>
  <c r="F1874" i="7"/>
  <c r="D1874" i="7"/>
  <c r="F1873" i="7"/>
  <c r="D1873" i="7"/>
  <c r="D1872" i="7"/>
  <c r="D1871" i="7"/>
  <c r="F1872" i="7" s="1"/>
  <c r="D1870" i="7"/>
  <c r="D1869" i="7"/>
  <c r="F1869" i="7" s="1"/>
  <c r="D1868" i="7"/>
  <c r="F1868" i="7" s="1"/>
  <c r="F1867" i="7"/>
  <c r="D1867" i="7"/>
  <c r="D1866" i="7"/>
  <c r="F1866" i="7" s="1"/>
  <c r="D1865" i="7"/>
  <c r="D1864" i="7"/>
  <c r="F1865" i="7" s="1"/>
  <c r="D1863" i="7"/>
  <c r="F1863" i="7" s="1"/>
  <c r="D1862" i="7"/>
  <c r="F1862" i="7" s="1"/>
  <c r="D1861" i="7"/>
  <c r="F1861" i="7" s="1"/>
  <c r="D1860" i="7"/>
  <c r="F1859" i="7"/>
  <c r="D1859" i="7"/>
  <c r="F1860" i="7" s="1"/>
  <c r="D1858" i="7"/>
  <c r="F1858" i="7" s="1"/>
  <c r="F1857" i="7"/>
  <c r="D1857" i="7"/>
  <c r="D1856" i="7"/>
  <c r="F1856" i="7" s="1"/>
  <c r="D1855" i="7"/>
  <c r="F1855" i="7" s="1"/>
  <c r="D1854" i="7"/>
  <c r="F1854" i="7" s="1"/>
  <c r="D1853" i="7"/>
  <c r="F1853" i="7" s="1"/>
  <c r="D1852" i="7"/>
  <c r="F1852" i="7" s="1"/>
  <c r="D1851" i="7"/>
  <c r="F1851" i="7" s="1"/>
  <c r="D1850" i="7"/>
  <c r="D1849" i="7"/>
  <c r="F1848" i="7"/>
  <c r="D1848" i="7"/>
  <c r="D1847" i="7"/>
  <c r="F1847" i="7" s="1"/>
  <c r="D1846" i="7"/>
  <c r="D1845" i="7"/>
  <c r="F1846" i="7" s="1"/>
  <c r="F1844" i="7"/>
  <c r="D1844" i="7"/>
  <c r="F1843" i="7"/>
  <c r="D1843" i="7"/>
  <c r="F1842" i="7"/>
  <c r="D1842" i="7"/>
  <c r="F1841" i="7"/>
  <c r="D1841" i="7"/>
  <c r="D1840" i="7"/>
  <c r="F1839" i="7"/>
  <c r="D1839" i="7"/>
  <c r="F1840" i="7" s="1"/>
  <c r="F1838" i="7"/>
  <c r="D1838" i="7"/>
  <c r="D1837" i="7"/>
  <c r="F1837" i="7" s="1"/>
  <c r="D1836" i="7"/>
  <c r="D1835" i="7"/>
  <c r="F1836" i="7" s="1"/>
  <c r="F1834" i="7"/>
  <c r="D1834" i="7"/>
  <c r="F1833" i="7"/>
  <c r="D1833" i="7"/>
  <c r="F1832" i="7"/>
  <c r="D1832" i="7"/>
  <c r="D1831" i="7"/>
  <c r="F1830" i="7"/>
  <c r="D1830" i="7"/>
  <c r="F1831" i="7" s="1"/>
  <c r="D1829" i="7"/>
  <c r="D1828" i="7"/>
  <c r="F1828" i="7" s="1"/>
  <c r="D1827" i="7"/>
  <c r="F1827" i="7" s="1"/>
  <c r="F1826" i="7"/>
  <c r="D1826" i="7"/>
  <c r="D1825" i="7"/>
  <c r="F1825" i="7" s="1"/>
  <c r="D1824" i="7"/>
  <c r="D1823" i="7"/>
  <c r="F1824" i="7" s="1"/>
  <c r="D1822" i="7"/>
  <c r="F1822" i="7" s="1"/>
  <c r="F1821" i="7"/>
  <c r="D1821" i="7"/>
  <c r="D1820" i="7"/>
  <c r="F1820" i="7" s="1"/>
  <c r="D1819" i="7"/>
  <c r="D1818" i="7"/>
  <c r="F1818" i="7" s="1"/>
  <c r="F1817" i="7"/>
  <c r="D1817" i="7"/>
  <c r="D1816" i="7"/>
  <c r="F1816" i="7" s="1"/>
  <c r="D1815" i="7"/>
  <c r="D1814" i="7"/>
  <c r="F1815" i="7" s="1"/>
  <c r="F1813" i="7"/>
  <c r="D1813" i="7"/>
  <c r="F1812" i="7"/>
  <c r="D1812" i="7"/>
  <c r="F1811" i="7"/>
  <c r="D1811" i="7"/>
  <c r="D1810" i="7"/>
  <c r="D1809" i="7"/>
  <c r="F1809" i="7" s="1"/>
  <c r="D1808" i="7"/>
  <c r="D1807" i="7"/>
  <c r="F1808" i="7" s="1"/>
  <c r="D1806" i="7"/>
  <c r="F1806" i="7" s="1"/>
  <c r="F1805" i="7"/>
  <c r="D1805" i="7"/>
  <c r="F1804" i="7"/>
  <c r="D1804" i="7"/>
  <c r="D1803" i="7"/>
  <c r="D1802" i="7"/>
  <c r="D1801" i="7"/>
  <c r="F1801" i="7" s="1"/>
  <c r="D1800" i="7"/>
  <c r="F1800" i="7" s="1"/>
  <c r="D1799" i="7"/>
  <c r="D1798" i="7"/>
  <c r="D1797" i="7"/>
  <c r="F1796" i="7"/>
  <c r="D1796" i="7"/>
  <c r="D1795" i="7"/>
  <c r="F1795" i="7" s="1"/>
  <c r="D1794" i="7"/>
  <c r="D1793" i="7"/>
  <c r="F1794" i="7" s="1"/>
  <c r="F1792" i="7"/>
  <c r="D1792" i="7"/>
  <c r="F1791" i="7"/>
  <c r="D1791" i="7"/>
  <c r="D1790" i="7"/>
  <c r="D1789" i="7"/>
  <c r="D1788" i="7"/>
  <c r="F1788" i="7" s="1"/>
  <c r="D1787" i="7"/>
  <c r="F1786" i="7"/>
  <c r="D1786" i="7"/>
  <c r="F1787" i="7" s="1"/>
  <c r="D1785" i="7"/>
  <c r="F1785" i="7" s="1"/>
  <c r="F1784" i="7"/>
  <c r="D1784" i="7"/>
  <c r="D1783" i="7"/>
  <c r="D1782" i="7"/>
  <c r="F1783" i="7" s="1"/>
  <c r="D1781" i="7"/>
  <c r="D1780" i="7"/>
  <c r="F1780" i="7" s="1"/>
  <c r="D1779" i="7"/>
  <c r="F1779" i="7" s="1"/>
  <c r="D1778" i="7"/>
  <c r="D1777" i="7"/>
  <c r="F1778" i="7" s="1"/>
  <c r="D1776" i="7"/>
  <c r="F1775" i="7"/>
  <c r="D1775" i="7"/>
  <c r="D1774" i="7"/>
  <c r="F1774" i="7" s="1"/>
  <c r="D1773" i="7"/>
  <c r="D1772" i="7"/>
  <c r="F1773" i="7" s="1"/>
  <c r="F1771" i="7"/>
  <c r="D1771" i="7"/>
  <c r="F1770" i="7"/>
  <c r="D1770" i="7"/>
  <c r="F1769" i="7"/>
  <c r="D1769" i="7"/>
  <c r="D1768" i="7"/>
  <c r="D1767" i="7"/>
  <c r="F1768" i="7" s="1"/>
  <c r="D1766" i="7"/>
  <c r="F1765" i="7"/>
  <c r="D1765" i="7"/>
  <c r="D1764" i="7"/>
  <c r="F1764" i="7" s="1"/>
  <c r="D1763" i="7"/>
  <c r="D1762" i="7"/>
  <c r="F1763" i="7" s="1"/>
  <c r="F1761" i="7"/>
  <c r="D1761" i="7"/>
  <c r="F1760" i="7"/>
  <c r="D1760" i="7"/>
  <c r="D1759" i="7"/>
  <c r="D1758" i="7"/>
  <c r="F1758" i="7" s="1"/>
  <c r="D1757" i="7"/>
  <c r="F1757" i="7" s="1"/>
  <c r="D1756" i="7"/>
  <c r="D1755" i="7"/>
  <c r="F1756" i="7" s="1"/>
  <c r="D1754" i="7"/>
  <c r="F1754" i="7" s="1"/>
  <c r="F1753" i="7"/>
  <c r="D1753" i="7"/>
  <c r="D1752" i="7"/>
  <c r="D1751" i="7"/>
  <c r="F1752" i="7" s="1"/>
  <c r="D1750" i="7"/>
  <c r="F1749" i="7"/>
  <c r="D1749" i="7"/>
  <c r="D1748" i="7"/>
  <c r="F1748" i="7" s="1"/>
  <c r="D1747" i="7"/>
  <c r="F1747" i="7" s="1"/>
  <c r="D1746" i="7"/>
  <c r="D1745" i="7"/>
  <c r="F1746" i="7" s="1"/>
  <c r="D1744" i="7"/>
  <c r="F1744" i="7" s="1"/>
  <c r="F1743" i="7"/>
  <c r="D1743" i="7"/>
  <c r="D1742" i="7"/>
  <c r="D1741" i="7"/>
  <c r="F1742" i="7" s="1"/>
  <c r="D1740" i="7"/>
  <c r="D1739" i="7"/>
  <c r="F1738" i="7"/>
  <c r="D1738" i="7"/>
  <c r="D1737" i="7"/>
  <c r="D1736" i="7"/>
  <c r="F1737" i="7" s="1"/>
  <c r="D1735" i="7"/>
  <c r="F1734" i="7"/>
  <c r="D1734" i="7"/>
  <c r="D1733" i="7"/>
  <c r="F1733" i="7" s="1"/>
  <c r="D1732" i="7"/>
  <c r="D1731" i="7"/>
  <c r="F1732" i="7" s="1"/>
  <c r="F1730" i="7"/>
  <c r="D1730" i="7"/>
  <c r="F1729" i="7"/>
  <c r="D1729" i="7"/>
  <c r="F1728" i="7"/>
  <c r="D1728" i="7"/>
  <c r="D1727" i="7"/>
  <c r="D1726" i="7"/>
  <c r="F1727" i="7" s="1"/>
  <c r="D1725" i="7"/>
  <c r="F1724" i="7"/>
  <c r="D1724" i="7"/>
  <c r="D1723" i="7"/>
  <c r="F1723" i="7" s="1"/>
  <c r="D1722" i="7"/>
  <c r="D1721" i="7"/>
  <c r="F1722" i="7" s="1"/>
  <c r="D1720" i="7"/>
  <c r="D1719" i="7"/>
  <c r="D1718" i="7"/>
  <c r="F1718" i="7" s="1"/>
  <c r="D1717" i="7"/>
  <c r="F1717" i="7" s="1"/>
  <c r="D1716" i="7"/>
  <c r="F1716" i="7" s="1"/>
  <c r="D1715" i="7"/>
  <c r="F1714" i="7"/>
  <c r="D1714" i="7"/>
  <c r="F1715" i="7" s="1"/>
  <c r="D1713" i="7"/>
  <c r="F1713" i="7" s="1"/>
  <c r="F1712" i="7"/>
  <c r="D1712" i="7"/>
  <c r="D1711" i="7"/>
  <c r="F1710" i="7"/>
  <c r="D1710" i="7"/>
  <c r="F1711" i="7" s="1"/>
  <c r="D1709" i="7"/>
  <c r="F1709" i="7" s="1"/>
  <c r="F1708" i="7"/>
  <c r="D1708" i="7"/>
  <c r="F1707" i="7"/>
  <c r="D1707" i="7"/>
  <c r="D1706" i="7"/>
  <c r="D1705" i="7"/>
  <c r="F1706" i="7" s="1"/>
  <c r="D1704" i="7"/>
  <c r="F1703" i="7"/>
  <c r="D1703" i="7"/>
  <c r="D1702" i="7"/>
  <c r="F1702" i="7" s="1"/>
  <c r="D1701" i="7"/>
  <c r="D1700" i="7"/>
  <c r="F1701" i="7" s="1"/>
  <c r="D1699" i="7"/>
  <c r="D1698" i="7"/>
  <c r="F1698" i="7" s="1"/>
  <c r="D1697" i="7"/>
  <c r="F1697" i="7" s="1"/>
  <c r="D1696" i="7"/>
  <c r="F1696" i="7" s="1"/>
  <c r="D1695" i="7"/>
  <c r="F1695" i="7" s="1"/>
  <c r="D1694" i="7"/>
  <c r="D1693" i="7"/>
  <c r="F1694" i="7" s="1"/>
  <c r="D1692" i="7"/>
  <c r="F1692" i="7" s="1"/>
  <c r="F1691" i="7"/>
  <c r="D1691" i="7"/>
  <c r="F1690" i="7"/>
  <c r="D1690" i="7"/>
  <c r="D1689" i="7"/>
  <c r="F1689" i="7" s="1"/>
  <c r="F1688" i="7"/>
  <c r="D1688" i="7"/>
  <c r="F1687" i="7"/>
  <c r="D1687" i="7"/>
  <c r="F1686" i="7"/>
  <c r="D1686" i="7"/>
  <c r="D1685" i="7"/>
  <c r="D1684" i="7"/>
  <c r="F1685" i="7" s="1"/>
  <c r="D1683" i="7"/>
  <c r="F1682" i="7"/>
  <c r="D1682" i="7"/>
  <c r="D1681" i="7"/>
  <c r="F1681" i="7" s="1"/>
  <c r="F1680" i="7"/>
  <c r="D1680" i="7"/>
  <c r="D1679" i="7"/>
  <c r="D1678" i="7"/>
  <c r="D1677" i="7"/>
  <c r="D1676" i="7"/>
  <c r="F1676" i="7" s="1"/>
  <c r="D1675" i="7"/>
  <c r="F1675" i="7" s="1"/>
  <c r="D1674" i="7"/>
  <c r="F1674" i="7" s="1"/>
  <c r="D1673" i="7"/>
  <c r="F1672" i="7"/>
  <c r="D1672" i="7"/>
  <c r="F1673" i="7" s="1"/>
  <c r="F1671" i="7"/>
  <c r="D1671" i="7"/>
  <c r="F1670" i="7"/>
  <c r="D1670" i="7"/>
  <c r="D1669" i="7"/>
  <c r="D1668" i="7"/>
  <c r="F1668" i="7" s="1"/>
  <c r="F1667" i="7"/>
  <c r="D1667" i="7"/>
  <c r="F1666" i="7"/>
  <c r="D1666" i="7"/>
  <c r="F1665" i="7"/>
  <c r="D1665" i="7"/>
  <c r="D1664" i="7"/>
  <c r="D1663" i="7"/>
  <c r="F1664" i="7" s="1"/>
  <c r="D1662" i="7"/>
  <c r="F1661" i="7"/>
  <c r="D1661" i="7"/>
  <c r="D1660" i="7"/>
  <c r="F1660" i="7" s="1"/>
  <c r="D1659" i="7"/>
  <c r="F1659" i="7" s="1"/>
  <c r="D1658" i="7"/>
  <c r="D1657" i="7"/>
  <c r="F1658" i="7" s="1"/>
  <c r="D1656" i="7"/>
  <c r="D1655" i="7"/>
  <c r="F1655" i="7" s="1"/>
  <c r="F1654" i="7"/>
  <c r="D1654" i="7"/>
  <c r="D1653" i="7"/>
  <c r="F1653" i="7" s="1"/>
  <c r="D1652" i="7"/>
  <c r="D1651" i="7"/>
  <c r="F1652" i="7" s="1"/>
  <c r="D1650" i="7"/>
  <c r="F1650" i="7" s="1"/>
  <c r="D1649" i="7"/>
  <c r="F1649" i="7" s="1"/>
  <c r="D1648" i="7"/>
  <c r="D1647" i="7"/>
  <c r="F1648" i="7" s="1"/>
  <c r="F1646" i="7"/>
  <c r="D1646" i="7"/>
  <c r="F1645" i="7"/>
  <c r="D1645" i="7"/>
  <c r="F1644" i="7"/>
  <c r="D1644" i="7"/>
  <c r="D1643" i="7"/>
  <c r="D1642" i="7"/>
  <c r="F1643" i="7" s="1"/>
  <c r="D1641" i="7"/>
  <c r="F1640" i="7"/>
  <c r="D1640" i="7"/>
  <c r="D1639" i="7"/>
  <c r="F1638" i="7"/>
  <c r="D1638" i="7"/>
  <c r="F1637" i="7"/>
  <c r="D1637" i="7"/>
  <c r="D1636" i="7"/>
  <c r="D1635" i="7"/>
  <c r="D1634" i="7"/>
  <c r="F1634" i="7" s="1"/>
  <c r="D1633" i="7"/>
  <c r="F1633" i="7" s="1"/>
  <c r="D1632" i="7"/>
  <c r="F1632" i="7" s="1"/>
  <c r="D1631" i="7"/>
  <c r="D1630" i="7"/>
  <c r="F1631" i="7" s="1"/>
  <c r="D1629" i="7"/>
  <c r="D1628" i="7"/>
  <c r="F1628" i="7" s="1"/>
  <c r="D1627" i="7"/>
  <c r="D1626" i="7"/>
  <c r="F1627" i="7" s="1"/>
  <c r="F1625" i="7"/>
  <c r="D1625" i="7"/>
  <c r="F1624" i="7"/>
  <c r="D1624" i="7"/>
  <c r="F1623" i="7"/>
  <c r="D1623" i="7"/>
  <c r="D1622" i="7"/>
  <c r="D1621" i="7"/>
  <c r="F1622" i="7" s="1"/>
  <c r="F1620" i="7"/>
  <c r="D1620" i="7"/>
  <c r="F1621" i="7" s="1"/>
  <c r="D1619" i="7"/>
  <c r="F1619" i="7" s="1"/>
  <c r="F1618" i="7"/>
  <c r="D1618" i="7"/>
  <c r="F1617" i="7"/>
  <c r="D1617" i="7"/>
  <c r="D1616" i="7"/>
  <c r="D1615" i="7"/>
  <c r="F1616" i="7" s="1"/>
  <c r="D1614" i="7"/>
  <c r="D1613" i="7"/>
  <c r="F1613" i="7" s="1"/>
  <c r="D1612" i="7"/>
  <c r="F1612" i="7" s="1"/>
  <c r="D1611" i="7"/>
  <c r="F1611" i="7" s="1"/>
  <c r="D1610" i="7"/>
  <c r="D1609" i="7"/>
  <c r="F1608" i="7"/>
  <c r="D1608" i="7"/>
  <c r="D1607" i="7"/>
  <c r="F1607" i="7" s="1"/>
  <c r="D1606" i="7"/>
  <c r="D1605" i="7"/>
  <c r="F1606" i="7" s="1"/>
  <c r="F1604" i="7"/>
  <c r="D1604" i="7"/>
  <c r="F1603" i="7"/>
  <c r="D1603" i="7"/>
  <c r="F1602" i="7"/>
  <c r="D1602" i="7"/>
  <c r="F1601" i="7"/>
  <c r="D1601" i="7"/>
  <c r="F1600" i="7"/>
  <c r="D1600" i="7"/>
  <c r="D1599" i="7"/>
  <c r="F1598" i="7"/>
  <c r="D1598" i="7"/>
  <c r="F1597" i="7"/>
  <c r="D1597" i="7"/>
  <c r="F1596" i="7"/>
  <c r="D1596" i="7"/>
  <c r="D1595" i="7"/>
  <c r="D1594" i="7"/>
  <c r="F1595" i="7" s="1"/>
  <c r="D1593" i="7"/>
  <c r="D1592" i="7"/>
  <c r="F1592" i="7" s="1"/>
  <c r="D1591" i="7"/>
  <c r="F1591" i="7" s="1"/>
  <c r="D1590" i="7"/>
  <c r="F1590" i="7" s="1"/>
  <c r="D1589" i="7"/>
  <c r="D1588" i="7"/>
  <c r="F1588" i="7" s="1"/>
  <c r="F1587" i="7"/>
  <c r="D1587" i="7"/>
  <c r="D1586" i="7"/>
  <c r="F1586" i="7" s="1"/>
  <c r="D1585" i="7"/>
  <c r="D1584" i="7"/>
  <c r="F1585" i="7" s="1"/>
  <c r="F1583" i="7"/>
  <c r="D1583" i="7"/>
  <c r="F1582" i="7"/>
  <c r="D1582" i="7"/>
  <c r="F1581" i="7"/>
  <c r="D1581" i="7"/>
  <c r="D1580" i="7"/>
  <c r="D1579" i="7"/>
  <c r="F1579" i="7" s="1"/>
  <c r="D1578" i="7"/>
  <c r="D1577" i="7"/>
  <c r="F1578" i="7" s="1"/>
  <c r="F1576" i="7"/>
  <c r="D1576" i="7"/>
  <c r="F1575" i="7"/>
  <c r="D1575" i="7"/>
  <c r="D1574" i="7"/>
  <c r="D1573" i="7"/>
  <c r="F1574" i="7" s="1"/>
  <c r="D1572" i="7"/>
  <c r="D1571" i="7"/>
  <c r="F1571" i="7" s="1"/>
  <c r="D1570" i="7"/>
  <c r="F1570" i="7" s="1"/>
  <c r="D1569" i="7"/>
  <c r="D1568" i="7"/>
  <c r="D1567" i="7"/>
  <c r="F1567" i="7" s="1"/>
  <c r="F1566" i="7"/>
  <c r="D1566" i="7"/>
  <c r="D1565" i="7"/>
  <c r="F1565" i="7" s="1"/>
  <c r="F1564" i="7"/>
  <c r="D1564" i="7"/>
  <c r="D1563" i="7"/>
  <c r="F1563" i="7" s="1"/>
  <c r="F1562" i="7"/>
  <c r="D1562" i="7"/>
  <c r="F1561" i="7"/>
  <c r="D1561" i="7"/>
  <c r="D1560" i="7"/>
  <c r="F1560" i="7" s="1"/>
  <c r="D1559" i="7"/>
  <c r="D1558" i="7"/>
  <c r="F1558" i="7" s="1"/>
  <c r="F1557" i="7"/>
  <c r="D1557" i="7"/>
  <c r="F1556" i="7"/>
  <c r="D1556" i="7"/>
  <c r="F1555" i="7"/>
  <c r="D1555" i="7"/>
  <c r="F1554" i="7"/>
  <c r="D1554" i="7"/>
  <c r="D1553" i="7"/>
  <c r="D1552" i="7"/>
  <c r="F1553" i="7" s="1"/>
  <c r="D1551" i="7"/>
  <c r="D1550" i="7"/>
  <c r="F1550" i="7" s="1"/>
  <c r="D1549" i="7"/>
  <c r="F1549" i="7" s="1"/>
  <c r="D1548" i="7"/>
  <c r="D1547" i="7"/>
  <c r="D1546" i="7"/>
  <c r="F1546" i="7" s="1"/>
  <c r="F1545" i="7"/>
  <c r="D1545" i="7"/>
  <c r="F1544" i="7"/>
  <c r="D1544" i="7"/>
  <c r="D1543" i="7"/>
  <c r="D1542" i="7"/>
  <c r="F1543" i="7" s="1"/>
  <c r="F1541" i="7"/>
  <c r="D1541" i="7"/>
  <c r="F1540" i="7"/>
  <c r="D1540" i="7"/>
  <c r="D1539" i="7"/>
  <c r="D1538" i="7"/>
  <c r="F1538" i="7" s="1"/>
  <c r="D1537" i="7"/>
  <c r="F1537" i="7" s="1"/>
  <c r="D1536" i="7"/>
  <c r="D1535" i="7"/>
  <c r="F1536" i="7" s="1"/>
  <c r="F1534" i="7"/>
  <c r="D1534" i="7"/>
  <c r="F1533" i="7"/>
  <c r="D1533" i="7"/>
  <c r="D1532" i="7"/>
  <c r="D1531" i="7"/>
  <c r="F1532" i="7" s="1"/>
  <c r="D1530" i="7"/>
  <c r="D1529" i="7"/>
  <c r="D1528" i="7"/>
  <c r="F1528" i="7" s="1"/>
  <c r="D1527" i="7"/>
  <c r="D1526" i="7"/>
  <c r="F1525" i="7"/>
  <c r="D1525" i="7"/>
  <c r="F1524" i="7"/>
  <c r="D1524" i="7"/>
  <c r="D1523" i="7"/>
  <c r="F1523" i="7" s="1"/>
  <c r="D1522" i="7"/>
  <c r="D1521" i="7"/>
  <c r="F1522" i="7" s="1"/>
  <c r="D1520" i="7"/>
  <c r="D1519" i="7"/>
  <c r="D1518" i="7"/>
  <c r="F1518" i="7" s="1"/>
  <c r="D1517" i="7"/>
  <c r="F1517" i="7" s="1"/>
  <c r="D1516" i="7"/>
  <c r="F1516" i="7" s="1"/>
  <c r="D1515" i="7"/>
  <c r="D1514" i="7"/>
  <c r="F1515" i="7" s="1"/>
  <c r="F1513" i="7"/>
  <c r="D1513" i="7"/>
  <c r="F1512" i="7"/>
  <c r="D1512" i="7"/>
  <c r="D1511" i="7"/>
  <c r="F1510" i="7"/>
  <c r="D1510" i="7"/>
  <c r="F1511" i="7" s="1"/>
  <c r="D1509" i="7"/>
  <c r="F1509" i="7" s="1"/>
  <c r="F1508" i="7"/>
  <c r="D1508" i="7"/>
  <c r="D1507" i="7"/>
  <c r="F1507" i="7" s="1"/>
  <c r="F1506" i="7"/>
  <c r="D1506" i="7"/>
  <c r="D1505" i="7"/>
  <c r="D1504" i="7"/>
  <c r="F1504" i="7" s="1"/>
  <c r="F1503" i="7"/>
  <c r="D1503" i="7"/>
  <c r="D1502" i="7"/>
  <c r="F1502" i="7" s="1"/>
  <c r="D1501" i="7"/>
  <c r="D1500" i="7"/>
  <c r="F1501" i="7" s="1"/>
  <c r="D1499" i="7"/>
  <c r="D1498" i="7"/>
  <c r="F1498" i="7" s="1"/>
  <c r="D1497" i="7"/>
  <c r="F1497" i="7" s="1"/>
  <c r="D1496" i="7"/>
  <c r="F1496" i="7" s="1"/>
  <c r="D1495" i="7"/>
  <c r="F1495" i="7" s="1"/>
  <c r="D1494" i="7"/>
  <c r="D1493" i="7"/>
  <c r="F1494" i="7" s="1"/>
  <c r="F1492" i="7"/>
  <c r="D1492" i="7"/>
  <c r="F1491" i="7"/>
  <c r="D1491" i="7"/>
  <c r="D1490" i="7"/>
  <c r="F1489" i="7"/>
  <c r="D1489" i="7"/>
  <c r="F1490" i="7" s="1"/>
  <c r="D1488" i="7"/>
  <c r="F1488" i="7" s="1"/>
  <c r="D1487" i="7"/>
  <c r="F1487" i="7" s="1"/>
  <c r="D1486" i="7"/>
  <c r="F1486" i="7" s="1"/>
  <c r="D1485" i="7"/>
  <c r="F1485" i="7" s="1"/>
  <c r="F1484" i="7"/>
  <c r="D1484" i="7"/>
  <c r="F1483" i="7"/>
  <c r="D1483" i="7"/>
  <c r="F1482" i="7"/>
  <c r="D1482" i="7"/>
  <c r="F1481" i="7"/>
  <c r="D1481" i="7"/>
  <c r="D1480" i="7"/>
  <c r="D1479" i="7"/>
  <c r="F1479" i="7" s="1"/>
  <c r="F1478" i="7"/>
  <c r="D1478" i="7"/>
  <c r="F1477" i="7"/>
  <c r="D1477" i="7"/>
  <c r="D1476" i="7"/>
  <c r="F1476" i="7" s="1"/>
  <c r="D1475" i="7"/>
  <c r="D1474" i="7"/>
  <c r="D1473" i="7"/>
  <c r="F1473" i="7" s="1"/>
  <c r="F1472" i="7"/>
  <c r="D1472" i="7"/>
  <c r="D1471" i="7"/>
  <c r="F1471" i="7" s="1"/>
  <c r="D1470" i="7"/>
  <c r="F1469" i="7"/>
  <c r="D1469" i="7"/>
  <c r="F1470" i="7" s="1"/>
  <c r="F1468" i="7"/>
  <c r="D1468" i="7"/>
  <c r="F1467" i="7"/>
  <c r="D1467" i="7"/>
  <c r="D1466" i="7"/>
  <c r="F1466" i="7" s="1"/>
  <c r="D1465" i="7"/>
  <c r="D1464" i="7"/>
  <c r="D1463" i="7"/>
  <c r="F1463" i="7" s="1"/>
  <c r="F1462" i="7"/>
  <c r="D1462" i="7"/>
  <c r="D1461" i="7"/>
  <c r="F1461" i="7" s="1"/>
  <c r="F1460" i="7"/>
  <c r="D1460" i="7"/>
  <c r="D1459" i="7"/>
  <c r="D1458" i="7"/>
  <c r="D1457" i="7"/>
  <c r="D1456" i="7"/>
  <c r="F1456" i="7" s="1"/>
  <c r="D1455" i="7"/>
  <c r="F1455" i="7" s="1"/>
  <c r="D1454" i="7"/>
  <c r="F1454" i="7" s="1"/>
  <c r="D1453" i="7"/>
  <c r="D1452" i="7"/>
  <c r="F1453" i="7" s="1"/>
  <c r="F1451" i="7"/>
  <c r="D1451" i="7"/>
  <c r="F1450" i="7"/>
  <c r="D1450" i="7"/>
  <c r="D1449" i="7"/>
  <c r="D1448" i="7"/>
  <c r="F1448" i="7" s="1"/>
  <c r="F1447" i="7"/>
  <c r="D1447" i="7"/>
  <c r="F1446" i="7"/>
  <c r="D1446" i="7"/>
  <c r="D1445" i="7"/>
  <c r="F1445" i="7" s="1"/>
  <c r="D1444" i="7"/>
  <c r="D1443" i="7"/>
  <c r="D1442" i="7"/>
  <c r="F1442" i="7" s="1"/>
  <c r="F1441" i="7"/>
  <c r="D1441" i="7"/>
  <c r="D1440" i="7"/>
  <c r="F1440" i="7" s="1"/>
  <c r="D1439" i="7"/>
  <c r="F1439" i="7" s="1"/>
  <c r="D1438" i="7"/>
  <c r="D1437" i="7"/>
  <c r="F1438" i="7" s="1"/>
  <c r="F1436" i="7"/>
  <c r="D1436" i="7"/>
  <c r="F1437" i="7" s="1"/>
  <c r="D1435" i="7"/>
  <c r="F1435" i="7" s="1"/>
  <c r="D1434" i="7"/>
  <c r="F1434" i="7" s="1"/>
  <c r="D1433" i="7"/>
  <c r="F1433" i="7" s="1"/>
  <c r="D1432" i="7"/>
  <c r="D1431" i="7"/>
  <c r="F1432" i="7" s="1"/>
  <c r="D1430" i="7"/>
  <c r="D1429" i="7"/>
  <c r="F1429" i="7" s="1"/>
  <c r="D1428" i="7"/>
  <c r="D1427" i="7"/>
  <c r="F1428" i="7" s="1"/>
  <c r="F1426" i="7"/>
  <c r="D1426" i="7"/>
  <c r="F1425" i="7"/>
  <c r="D1425" i="7"/>
  <c r="D1424" i="7"/>
  <c r="F1424" i="7" s="1"/>
  <c r="D1423" i="7"/>
  <c r="D1422" i="7"/>
  <c r="D1421" i="7"/>
  <c r="F1421" i="7" s="1"/>
  <c r="F1420" i="7"/>
  <c r="D1420" i="7"/>
  <c r="D1419" i="7"/>
  <c r="F1418" i="7"/>
  <c r="D1418" i="7"/>
  <c r="F1417" i="7"/>
  <c r="D1417" i="7"/>
  <c r="D1416" i="7"/>
  <c r="D1415" i="7"/>
  <c r="D1414" i="7"/>
  <c r="F1414" i="7" s="1"/>
  <c r="D1413" i="7"/>
  <c r="F1413" i="7" s="1"/>
  <c r="D1412" i="7"/>
  <c r="F1412" i="7" s="1"/>
  <c r="F1411" i="7"/>
  <c r="D1411" i="7"/>
  <c r="F1410" i="7"/>
  <c r="D1410" i="7"/>
  <c r="D1409" i="7"/>
  <c r="D1408" i="7"/>
  <c r="F1408" i="7" s="1"/>
  <c r="D1407" i="7"/>
  <c r="D1406" i="7"/>
  <c r="F1407" i="7" s="1"/>
  <c r="F1405" i="7"/>
  <c r="D1405" i="7"/>
  <c r="F1404" i="7"/>
  <c r="D1404" i="7"/>
  <c r="D1403" i="7"/>
  <c r="F1403" i="7" s="1"/>
  <c r="D1402" i="7"/>
  <c r="D1401" i="7"/>
  <c r="D1400" i="7"/>
  <c r="F1400" i="7" s="1"/>
  <c r="D1399" i="7"/>
  <c r="F1399" i="7" s="1"/>
  <c r="F1398" i="7"/>
  <c r="D1398" i="7"/>
  <c r="F1397" i="7"/>
  <c r="D1397" i="7"/>
  <c r="D1396" i="7"/>
  <c r="D1395" i="7"/>
  <c r="F1396" i="7" s="1"/>
  <c r="D1394" i="7"/>
  <c r="D1393" i="7"/>
  <c r="F1393" i="7" s="1"/>
  <c r="D1392" i="7"/>
  <c r="F1392" i="7" s="1"/>
  <c r="D1391" i="7"/>
  <c r="F1391" i="7" s="1"/>
  <c r="D1390" i="7"/>
  <c r="D1389" i="7"/>
  <c r="F1389" i="7" s="1"/>
  <c r="F1388" i="7"/>
  <c r="D1388" i="7"/>
  <c r="D1387" i="7"/>
  <c r="F1387" i="7" s="1"/>
  <c r="D1386" i="7"/>
  <c r="D1385" i="7"/>
  <c r="F1386" i="7" s="1"/>
  <c r="F1384" i="7"/>
  <c r="D1384" i="7"/>
  <c r="F1383" i="7"/>
  <c r="D1383" i="7"/>
  <c r="D1382" i="7"/>
  <c r="F1382" i="7" s="1"/>
  <c r="D1381" i="7"/>
  <c r="D1380" i="7"/>
  <c r="D1379" i="7"/>
  <c r="F1378" i="7"/>
  <c r="D1378" i="7"/>
  <c r="F1377" i="7"/>
  <c r="D1377" i="7"/>
  <c r="F1376" i="7"/>
  <c r="D1376" i="7"/>
  <c r="D1375" i="7"/>
  <c r="D1374" i="7"/>
  <c r="F1375" i="7" s="1"/>
  <c r="D1373" i="7"/>
  <c r="D1372" i="7"/>
  <c r="F1372" i="7" s="1"/>
  <c r="D1371" i="7"/>
  <c r="F1371" i="7" s="1"/>
  <c r="D1370" i="7"/>
  <c r="D1369" i="7"/>
  <c r="F1369" i="7" s="1"/>
  <c r="D1368" i="7"/>
  <c r="F1368" i="7" s="1"/>
  <c r="F1367" i="7"/>
  <c r="D1367" i="7"/>
  <c r="D1366" i="7"/>
  <c r="F1366" i="7" s="1"/>
  <c r="D1365" i="7"/>
  <c r="D1364" i="7"/>
  <c r="F1365" i="7" s="1"/>
  <c r="F1363" i="7"/>
  <c r="D1363" i="7"/>
  <c r="F1362" i="7"/>
  <c r="D1362" i="7"/>
  <c r="D1361" i="7"/>
  <c r="F1361" i="7" s="1"/>
  <c r="F1360" i="7"/>
  <c r="D1360" i="7"/>
  <c r="D1359" i="7"/>
  <c r="F1359" i="7" s="1"/>
  <c r="F1358" i="7"/>
  <c r="D1358" i="7"/>
  <c r="F1357" i="7"/>
  <c r="D1357" i="7"/>
  <c r="F1356" i="7"/>
  <c r="D1356" i="7"/>
  <c r="F1355" i="7"/>
  <c r="D1355" i="7"/>
  <c r="D1354" i="7"/>
  <c r="D1353" i="7"/>
  <c r="F1354" i="7" s="1"/>
  <c r="D1352" i="7"/>
  <c r="D1351" i="7"/>
  <c r="F1351" i="7" s="1"/>
  <c r="D1350" i="7"/>
  <c r="F1350" i="7" s="1"/>
  <c r="D1349" i="7"/>
  <c r="D1348" i="7"/>
  <c r="D1347" i="7"/>
  <c r="F1347" i="7" s="1"/>
  <c r="F1346" i="7"/>
  <c r="D1346" i="7"/>
  <c r="D1345" i="7"/>
  <c r="F1345" i="7" s="1"/>
  <c r="D1344" i="7"/>
  <c r="D1343" i="7"/>
  <c r="F1344" i="7" s="1"/>
  <c r="F1342" i="7"/>
  <c r="D1342" i="7"/>
  <c r="F1341" i="7"/>
  <c r="D1341" i="7"/>
  <c r="D1340" i="7"/>
  <c r="F1340" i="7" s="1"/>
  <c r="D1339" i="7"/>
  <c r="D1338" i="7"/>
  <c r="F1338" i="7" s="1"/>
  <c r="D1337" i="7"/>
  <c r="D1336" i="7"/>
  <c r="F1336" i="7" s="1"/>
  <c r="F1335" i="7"/>
  <c r="D1335" i="7"/>
  <c r="F1334" i="7"/>
  <c r="D1334" i="7"/>
  <c r="D1333" i="7"/>
  <c r="D1332" i="7"/>
  <c r="F1333" i="7" s="1"/>
  <c r="D1331" i="7"/>
  <c r="D1330" i="7"/>
  <c r="F1330" i="7" s="1"/>
  <c r="D1329" i="7"/>
  <c r="F1329" i="7" s="1"/>
  <c r="D1328" i="7"/>
  <c r="D1327" i="7"/>
  <c r="D1326" i="7"/>
  <c r="F1326" i="7" s="1"/>
  <c r="F1325" i="7"/>
  <c r="D1325" i="7"/>
  <c r="F1324" i="7"/>
  <c r="D1324" i="7"/>
  <c r="D1323" i="7"/>
  <c r="D1322" i="7"/>
  <c r="F1323" i="7" s="1"/>
  <c r="F1321" i="7"/>
  <c r="D1321" i="7"/>
  <c r="F1320" i="7"/>
  <c r="D1320" i="7"/>
  <c r="D1319" i="7"/>
  <c r="D1318" i="7"/>
  <c r="F1318" i="7" s="1"/>
  <c r="D1317" i="7"/>
  <c r="F1317" i="7" s="1"/>
  <c r="D1316" i="7"/>
  <c r="D1315" i="7"/>
  <c r="F1316" i="7" s="1"/>
  <c r="F1314" i="7"/>
  <c r="D1314" i="7"/>
  <c r="F1313" i="7"/>
  <c r="D1313" i="7"/>
  <c r="D1312" i="7"/>
  <c r="D1311" i="7"/>
  <c r="F1312" i="7" s="1"/>
  <c r="D1310" i="7"/>
  <c r="D1309" i="7"/>
  <c r="D1308" i="7"/>
  <c r="F1308" i="7" s="1"/>
  <c r="F1307" i="7"/>
  <c r="D1307" i="7"/>
  <c r="D1306" i="7"/>
  <c r="F1306" i="7" s="1"/>
  <c r="D1305" i="7"/>
  <c r="F1305" i="7" s="1"/>
  <c r="F1304" i="7"/>
  <c r="D1304" i="7"/>
  <c r="D1303" i="7"/>
  <c r="F1303" i="7" s="1"/>
  <c r="D1302" i="7"/>
  <c r="D1301" i="7"/>
  <c r="F1302" i="7" s="1"/>
  <c r="D1300" i="7"/>
  <c r="D1299" i="7"/>
  <c r="D1298" i="7"/>
  <c r="F1298" i="7" s="1"/>
  <c r="D1297" i="7"/>
  <c r="F1297" i="7" s="1"/>
  <c r="D1296" i="7"/>
  <c r="F1296" i="7" s="1"/>
  <c r="F1295" i="7"/>
  <c r="D1295" i="7"/>
  <c r="F1294" i="7"/>
  <c r="D1294" i="7"/>
  <c r="F1293" i="7"/>
  <c r="D1293" i="7"/>
  <c r="F1292" i="7"/>
  <c r="D1292" i="7"/>
  <c r="D1291" i="7"/>
  <c r="D1290" i="7"/>
  <c r="F1291" i="7" s="1"/>
  <c r="F1289" i="7"/>
  <c r="D1289" i="7"/>
  <c r="F1290" i="7" s="1"/>
  <c r="D1288" i="7"/>
  <c r="F1288" i="7" s="1"/>
  <c r="D1287" i="7"/>
  <c r="F1287" i="7" s="1"/>
  <c r="D1286" i="7"/>
  <c r="F1286" i="7" s="1"/>
  <c r="D1285" i="7"/>
  <c r="D1284" i="7"/>
  <c r="F1285" i="7" s="1"/>
  <c r="F1283" i="7"/>
  <c r="D1283" i="7"/>
  <c r="F1282" i="7"/>
  <c r="D1282" i="7"/>
  <c r="D1281" i="7"/>
  <c r="F1280" i="7"/>
  <c r="D1280" i="7"/>
  <c r="F1281" i="7" s="1"/>
  <c r="D1279" i="7"/>
  <c r="F1279" i="7" s="1"/>
  <c r="F1278" i="7"/>
  <c r="D1278" i="7"/>
  <c r="D1277" i="7"/>
  <c r="F1277" i="7" s="1"/>
  <c r="D1276" i="7"/>
  <c r="D1275" i="7"/>
  <c r="D1274" i="7"/>
  <c r="F1274" i="7" s="1"/>
  <c r="F1273" i="7"/>
  <c r="D1273" i="7"/>
  <c r="D1272" i="7"/>
  <c r="F1272" i="7" s="1"/>
  <c r="D1271" i="7"/>
  <c r="D1270" i="7"/>
  <c r="F1271" i="7" s="1"/>
  <c r="F1269" i="7"/>
  <c r="D1269" i="7"/>
  <c r="F1268" i="7"/>
  <c r="D1268" i="7"/>
  <c r="D1267" i="7"/>
  <c r="F1267" i="7" s="1"/>
  <c r="D1266" i="7"/>
  <c r="D1265" i="7"/>
  <c r="D1264" i="7"/>
  <c r="F1264" i="7" s="1"/>
  <c r="F1263" i="7"/>
  <c r="D1263" i="7"/>
  <c r="D1262" i="7"/>
  <c r="F1262" i="7" s="1"/>
  <c r="D1261" i="7"/>
  <c r="D1260" i="7"/>
  <c r="F1261" i="7" s="1"/>
  <c r="D1259" i="7"/>
  <c r="D1258" i="7"/>
  <c r="F1258" i="7" s="1"/>
  <c r="D1257" i="7"/>
  <c r="F1257" i="7" s="1"/>
  <c r="D1256" i="7"/>
  <c r="F1256" i="7" s="1"/>
  <c r="D1255" i="7"/>
  <c r="F1255" i="7" s="1"/>
  <c r="F1254" i="7"/>
  <c r="D1254" i="7"/>
  <c r="F1253" i="7"/>
  <c r="D1253" i="7"/>
  <c r="F1252" i="7"/>
  <c r="D1252" i="7"/>
  <c r="F1251" i="7"/>
  <c r="D1251" i="7"/>
  <c r="D1250" i="7"/>
  <c r="D1249" i="7"/>
  <c r="F1249" i="7" s="1"/>
  <c r="F1248" i="7"/>
  <c r="D1248" i="7"/>
  <c r="F1247" i="7"/>
  <c r="D1247" i="7"/>
  <c r="D1246" i="7"/>
  <c r="F1246" i="7" s="1"/>
  <c r="D1245" i="7"/>
  <c r="D1244" i="7"/>
  <c r="D1243" i="7"/>
  <c r="F1243" i="7" s="1"/>
  <c r="F1242" i="7"/>
  <c r="D1242" i="7"/>
  <c r="D1241" i="7"/>
  <c r="F1241" i="7" s="1"/>
  <c r="F1240" i="7"/>
  <c r="D1240" i="7"/>
  <c r="D1239" i="7"/>
  <c r="D1238" i="7"/>
  <c r="D1237" i="7"/>
  <c r="D1236" i="7"/>
  <c r="F1236" i="7" s="1"/>
  <c r="F1235" i="7"/>
  <c r="D1235" i="7"/>
  <c r="D1234" i="7"/>
  <c r="F1234" i="7" s="1"/>
  <c r="F1233" i="7"/>
  <c r="D1233" i="7"/>
  <c r="F1232" i="7"/>
  <c r="D1232" i="7"/>
  <c r="F1231" i="7"/>
  <c r="D1231" i="7"/>
  <c r="F1230" i="7"/>
  <c r="D1230" i="7"/>
  <c r="D1229" i="7"/>
  <c r="D1228" i="7"/>
  <c r="F1228" i="7" s="1"/>
  <c r="F1227" i="7"/>
  <c r="D1227" i="7"/>
  <c r="F1226" i="7"/>
  <c r="D1226" i="7"/>
  <c r="D1225" i="7"/>
  <c r="F1225" i="7" s="1"/>
  <c r="D1224" i="7"/>
  <c r="D1223" i="7"/>
  <c r="D1222" i="7"/>
  <c r="F1222" i="7" s="1"/>
  <c r="F1221" i="7"/>
  <c r="D1221" i="7"/>
  <c r="D1220" i="7"/>
  <c r="F1220" i="7" s="1"/>
  <c r="D1219" i="7"/>
  <c r="F1219" i="7" s="1"/>
  <c r="F1218" i="7"/>
  <c r="D1218" i="7"/>
  <c r="D1217" i="7"/>
  <c r="D1216" i="7"/>
  <c r="D1215" i="7"/>
  <c r="F1215" i="7" s="1"/>
  <c r="D1214" i="7"/>
  <c r="F1214" i="7" s="1"/>
  <c r="D1213" i="7"/>
  <c r="F1213" i="7" s="1"/>
  <c r="D1212" i="7"/>
  <c r="D1211" i="7"/>
  <c r="F1212" i="7" s="1"/>
  <c r="D1210" i="7"/>
  <c r="D1209" i="7"/>
  <c r="F1209" i="7" s="1"/>
  <c r="D1208" i="7"/>
  <c r="D1207" i="7"/>
  <c r="F1208" i="7" s="1"/>
  <c r="F1206" i="7"/>
  <c r="D1206" i="7"/>
  <c r="F1205" i="7"/>
  <c r="D1205" i="7"/>
  <c r="D1204" i="7"/>
  <c r="F1204" i="7" s="1"/>
  <c r="D1203" i="7"/>
  <c r="D1202" i="7"/>
  <c r="D1201" i="7"/>
  <c r="F1201" i="7" s="1"/>
  <c r="F1200" i="7"/>
  <c r="D1200" i="7"/>
  <c r="F1199" i="7"/>
  <c r="D1199" i="7"/>
  <c r="D1198" i="7"/>
  <c r="D1197" i="7"/>
  <c r="F1198" i="7" s="1"/>
  <c r="F1196" i="7"/>
  <c r="D1196" i="7"/>
  <c r="F1195" i="7"/>
  <c r="D1195" i="7"/>
  <c r="D1194" i="7"/>
  <c r="F1194" i="7" s="1"/>
  <c r="D1193" i="7"/>
  <c r="D1192" i="7"/>
  <c r="D1191" i="7"/>
  <c r="F1191" i="7" s="1"/>
  <c r="F1190" i="7"/>
  <c r="D1190" i="7"/>
  <c r="D1189" i="7"/>
  <c r="F1188" i="7"/>
  <c r="D1188" i="7"/>
  <c r="D1187" i="7"/>
  <c r="D1186" i="7"/>
  <c r="F1187" i="7" s="1"/>
  <c r="D1185" i="7"/>
  <c r="D1184" i="7"/>
  <c r="F1184" i="7" s="1"/>
  <c r="F1183" i="7"/>
  <c r="D1183" i="7"/>
  <c r="D1182" i="7"/>
  <c r="F1182" i="7" s="1"/>
  <c r="D1181" i="7"/>
  <c r="D1180" i="7"/>
  <c r="F1181" i="7" s="1"/>
  <c r="D1179" i="7"/>
  <c r="D1178" i="7"/>
  <c r="F1178" i="7" s="1"/>
  <c r="D1177" i="7"/>
  <c r="D1176" i="7"/>
  <c r="F1177" i="7" s="1"/>
  <c r="F1175" i="7"/>
  <c r="D1175" i="7"/>
  <c r="F1174" i="7"/>
  <c r="D1174" i="7"/>
  <c r="D1173" i="7"/>
  <c r="F1173" i="7" s="1"/>
  <c r="D1172" i="7"/>
  <c r="D1171" i="7"/>
  <c r="D1170" i="7"/>
  <c r="F1170" i="7" s="1"/>
  <c r="D1169" i="7"/>
  <c r="F1169" i="7" s="1"/>
  <c r="F1168" i="7"/>
  <c r="D1168" i="7"/>
  <c r="F1167" i="7"/>
  <c r="D1167" i="7"/>
  <c r="D1166" i="7"/>
  <c r="D1165" i="7"/>
  <c r="F1166" i="7" s="1"/>
  <c r="D1164" i="7"/>
  <c r="D1163" i="7"/>
  <c r="F1163" i="7" s="1"/>
  <c r="D1162" i="7"/>
  <c r="F1162" i="7" s="1"/>
  <c r="D1161" i="7"/>
  <c r="F1161" i="7" s="1"/>
  <c r="D1160" i="7"/>
  <c r="D1159" i="7"/>
  <c r="F1159" i="7" s="1"/>
  <c r="F1158" i="7"/>
  <c r="D1158" i="7"/>
  <c r="D1157" i="7"/>
  <c r="F1157" i="7" s="1"/>
  <c r="D1156" i="7"/>
  <c r="D1155" i="7"/>
  <c r="F1156" i="7" s="1"/>
  <c r="F1154" i="7"/>
  <c r="D1154" i="7"/>
  <c r="F1153" i="7"/>
  <c r="D1153" i="7"/>
  <c r="D1152" i="7"/>
  <c r="F1152" i="7" s="1"/>
  <c r="D1151" i="7"/>
  <c r="F1150" i="7"/>
  <c r="D1150" i="7"/>
  <c r="F1151" i="7" s="1"/>
  <c r="D1149" i="7"/>
  <c r="F1148" i="7"/>
  <c r="D1148" i="7"/>
  <c r="F1147" i="7"/>
  <c r="D1147" i="7"/>
  <c r="F1146" i="7"/>
  <c r="D1146" i="7"/>
  <c r="D1145" i="7"/>
  <c r="D1144" i="7"/>
  <c r="F1145" i="7" s="1"/>
  <c r="D1143" i="7"/>
  <c r="D1142" i="7"/>
  <c r="F1142" i="7" s="1"/>
  <c r="D1141" i="7"/>
  <c r="F1141" i="7" s="1"/>
  <c r="D1140" i="7"/>
  <c r="F1140" i="7" s="1"/>
  <c r="D1139" i="7"/>
  <c r="D1138" i="7"/>
  <c r="F1138" i="7" s="1"/>
  <c r="F1137" i="7"/>
  <c r="D1137" i="7"/>
  <c r="D1136" i="7"/>
  <c r="F1136" i="7" s="1"/>
  <c r="D1135" i="7"/>
  <c r="D1134" i="7"/>
  <c r="F1135" i="7" s="1"/>
  <c r="F1133" i="7"/>
  <c r="D1133" i="7"/>
  <c r="F1132" i="7"/>
  <c r="D1132" i="7"/>
  <c r="F1131" i="7"/>
  <c r="D1131" i="7"/>
  <c r="D1130" i="7"/>
  <c r="D1129" i="7"/>
  <c r="F1129" i="7" s="1"/>
  <c r="F1128" i="7"/>
  <c r="D1128" i="7"/>
  <c r="D1127" i="7"/>
  <c r="F1127" i="7" s="1"/>
  <c r="F1126" i="7"/>
  <c r="D1126" i="7"/>
  <c r="F1125" i="7"/>
  <c r="D1125" i="7"/>
  <c r="D1124" i="7"/>
  <c r="F1124" i="7" s="1"/>
  <c r="D1123" i="7"/>
  <c r="D1122" i="7"/>
  <c r="D1121" i="7"/>
  <c r="F1121" i="7" s="1"/>
  <c r="D1120" i="7"/>
  <c r="F1120" i="7" s="1"/>
  <c r="D1119" i="7"/>
  <c r="F1118" i="7"/>
  <c r="D1118" i="7"/>
  <c r="D1117" i="7"/>
  <c r="F1117" i="7" s="1"/>
  <c r="F1116" i="7"/>
  <c r="D1116" i="7"/>
  <c r="D1115" i="7"/>
  <c r="F1115" i="7" s="1"/>
  <c r="D1114" i="7"/>
  <c r="D1113" i="7"/>
  <c r="F1114" i="7" s="1"/>
  <c r="F1112" i="7"/>
  <c r="D1112" i="7"/>
  <c r="F1111" i="7"/>
  <c r="D1111" i="7"/>
  <c r="D1110" i="7"/>
  <c r="F1110" i="7" s="1"/>
  <c r="D1109" i="7"/>
  <c r="D1108" i="7"/>
  <c r="F1108" i="7" s="1"/>
  <c r="D1107" i="7"/>
  <c r="D1106" i="7"/>
  <c r="F1107" i="7" s="1"/>
  <c r="F1105" i="7"/>
  <c r="D1105" i="7"/>
  <c r="F1104" i="7"/>
  <c r="D1104" i="7"/>
  <c r="D1103" i="7"/>
  <c r="F1103" i="7" s="1"/>
  <c r="D1102" i="7"/>
  <c r="D1101" i="7"/>
  <c r="D1100" i="7"/>
  <c r="F1100" i="7" s="1"/>
  <c r="D1099" i="7"/>
  <c r="F1099" i="7" s="1"/>
  <c r="D1098" i="7"/>
  <c r="D1097" i="7"/>
  <c r="F1098" i="7" s="1"/>
  <c r="D1096" i="7"/>
  <c r="F1096" i="7" s="1"/>
  <c r="F1095" i="7"/>
  <c r="D1095" i="7"/>
  <c r="D1094" i="7"/>
  <c r="F1094" i="7" s="1"/>
  <c r="D1093" i="7"/>
  <c r="F1092" i="7"/>
  <c r="D1092" i="7"/>
  <c r="F1093" i="7" s="1"/>
  <c r="F1091" i="7"/>
  <c r="D1091" i="7"/>
  <c r="F1090" i="7"/>
  <c r="D1090" i="7"/>
  <c r="D1089" i="7"/>
  <c r="D1088" i="7"/>
  <c r="D1087" i="7"/>
  <c r="F1087" i="7" s="1"/>
  <c r="F1086" i="7"/>
  <c r="D1086" i="7"/>
  <c r="F1085" i="7"/>
  <c r="D1085" i="7"/>
  <c r="F1084" i="7"/>
  <c r="D1084" i="7"/>
  <c r="F1083" i="7"/>
  <c r="D1083" i="7"/>
  <c r="D1082" i="7"/>
  <c r="F1082" i="7" s="1"/>
  <c r="D1081" i="7"/>
  <c r="D1080" i="7"/>
  <c r="D1079" i="7"/>
  <c r="D1078" i="7"/>
  <c r="F1078" i="7" s="1"/>
  <c r="D1077" i="7"/>
  <c r="F1076" i="7"/>
  <c r="D1076" i="7"/>
  <c r="F1077" i="7" s="1"/>
  <c r="D1075" i="7"/>
  <c r="F1075" i="7" s="1"/>
  <c r="F1074" i="7"/>
  <c r="D1074" i="7"/>
  <c r="D1073" i="7"/>
  <c r="F1073" i="7" s="1"/>
  <c r="D1072" i="7"/>
  <c r="D1071" i="7"/>
  <c r="F1072" i="7" s="1"/>
  <c r="D1070" i="7"/>
  <c r="D1069" i="7"/>
  <c r="D1068" i="7"/>
  <c r="F1068" i="7" s="1"/>
  <c r="D1067" i="7"/>
  <c r="F1067" i="7" s="1"/>
  <c r="D1066" i="7"/>
  <c r="F1066" i="7" s="1"/>
  <c r="F1065" i="7"/>
  <c r="D1065" i="7"/>
  <c r="D1064" i="7"/>
  <c r="F1064" i="7" s="1"/>
  <c r="F1063" i="7"/>
  <c r="D1063" i="7"/>
  <c r="F1062" i="7"/>
  <c r="D1062" i="7"/>
  <c r="D1061" i="7"/>
  <c r="F1061" i="7" s="1"/>
  <c r="F1060" i="7"/>
  <c r="D1060" i="7"/>
  <c r="D1059" i="7"/>
  <c r="F1059" i="7" s="1"/>
  <c r="F1058" i="7"/>
  <c r="D1058" i="7"/>
  <c r="D1057" i="7"/>
  <c r="F1057" i="7" s="1"/>
  <c r="F1056" i="7"/>
  <c r="D1056" i="7"/>
  <c r="D1055" i="7"/>
  <c r="F1055" i="7" s="1"/>
  <c r="D1054" i="7"/>
  <c r="F1054" i="7" s="1"/>
  <c r="F1053" i="7"/>
  <c r="D1053" i="7"/>
  <c r="D1052" i="7"/>
  <c r="F1052" i="7" s="1"/>
  <c r="D1051" i="7"/>
  <c r="D1050" i="7"/>
  <c r="F1051" i="7" s="1"/>
  <c r="D1049" i="7"/>
  <c r="D1048" i="7"/>
  <c r="F1048" i="7" s="1"/>
  <c r="D1047" i="7"/>
  <c r="F1047" i="7" s="1"/>
  <c r="D1046" i="7"/>
  <c r="F1046" i="7" s="1"/>
  <c r="D1045" i="7"/>
  <c r="F1045" i="7" s="1"/>
  <c r="D1044" i="7"/>
  <c r="D1043" i="7"/>
  <c r="F1043" i="7" s="1"/>
  <c r="F1042" i="7"/>
  <c r="D1042" i="7"/>
  <c r="F1041" i="7"/>
  <c r="D1041" i="7"/>
  <c r="D1040" i="7"/>
  <c r="F1040" i="7" s="1"/>
  <c r="D1039" i="7"/>
  <c r="F1039" i="7" s="1"/>
  <c r="F1038" i="7"/>
  <c r="D1038" i="7"/>
  <c r="F1037" i="7"/>
  <c r="D1037" i="7"/>
  <c r="D1036" i="7"/>
  <c r="F1036" i="7" s="1"/>
  <c r="D1035" i="7"/>
  <c r="D1034" i="7"/>
  <c r="F1035" i="7" s="1"/>
  <c r="D1033" i="7"/>
  <c r="F1033" i="7" s="1"/>
  <c r="F1032" i="7"/>
  <c r="D1032" i="7"/>
  <c r="D1031" i="7"/>
  <c r="F1031" i="7" s="1"/>
  <c r="D1030" i="7"/>
  <c r="D1029" i="7"/>
  <c r="D1028" i="7"/>
  <c r="D1027" i="7"/>
  <c r="D1026" i="7"/>
  <c r="F1026" i="7" s="1"/>
  <c r="D1025" i="7"/>
  <c r="D1024" i="7"/>
  <c r="F1024" i="7" s="1"/>
  <c r="D1023" i="7"/>
  <c r="D1022" i="7"/>
  <c r="F1023" i="7" s="1"/>
  <c r="F1021" i="7"/>
  <c r="D1021" i="7"/>
  <c r="F1020" i="7"/>
  <c r="D1020" i="7"/>
  <c r="D1019" i="7"/>
  <c r="D1018" i="7"/>
  <c r="F1018" i="7" s="1"/>
  <c r="F1017" i="7"/>
  <c r="D1017" i="7"/>
  <c r="F1016" i="7"/>
  <c r="D1016" i="7"/>
  <c r="D1015" i="7"/>
  <c r="F1015" i="7" s="1"/>
  <c r="D1014" i="7"/>
  <c r="D1013" i="7"/>
  <c r="F1014" i="7" s="1"/>
  <c r="D1012" i="7"/>
  <c r="F1012" i="7" s="1"/>
  <c r="F1011" i="7"/>
  <c r="D1011" i="7"/>
  <c r="D1010" i="7"/>
  <c r="F1010" i="7" s="1"/>
  <c r="D1009" i="7"/>
  <c r="D1008" i="7"/>
  <c r="F1008" i="7" s="1"/>
  <c r="F1007" i="7"/>
  <c r="D1007" i="7"/>
  <c r="D1006" i="7"/>
  <c r="F1006" i="7" s="1"/>
  <c r="D1005" i="7"/>
  <c r="F1005" i="7" s="1"/>
  <c r="F1004" i="7"/>
  <c r="D1004" i="7"/>
  <c r="D1003" i="7"/>
  <c r="F1003" i="7" s="1"/>
  <c r="D1002" i="7"/>
  <c r="D1001" i="7"/>
  <c r="F1001" i="7" s="1"/>
  <c r="D1000" i="7"/>
  <c r="D999" i="7"/>
  <c r="F999" i="7" s="1"/>
  <c r="D998" i="7"/>
  <c r="D997" i="7"/>
  <c r="F996" i="7"/>
  <c r="D996" i="7"/>
  <c r="F995" i="7"/>
  <c r="D995" i="7"/>
  <c r="D994" i="7"/>
  <c r="F994" i="7" s="1"/>
  <c r="D993" i="7"/>
  <c r="D992" i="7"/>
  <c r="F993" i="7" s="1"/>
  <c r="D991" i="7"/>
  <c r="F991" i="7" s="1"/>
  <c r="F990" i="7"/>
  <c r="D990" i="7"/>
  <c r="D989" i="7"/>
  <c r="F988" i="7"/>
  <c r="D988" i="7"/>
  <c r="D987" i="7"/>
  <c r="F987" i="7" s="1"/>
  <c r="F986" i="7"/>
  <c r="D986" i="7"/>
  <c r="D985" i="7"/>
  <c r="F985" i="7" s="1"/>
  <c r="D984" i="7"/>
  <c r="F984" i="7" s="1"/>
  <c r="D983" i="7"/>
  <c r="D982" i="7"/>
  <c r="F982" i="7" s="1"/>
  <c r="D981" i="7"/>
  <c r="D980" i="7"/>
  <c r="F981" i="7" s="1"/>
  <c r="D979" i="7"/>
  <c r="D978" i="7"/>
  <c r="F978" i="7" s="1"/>
  <c r="D977" i="7"/>
  <c r="D976" i="7"/>
  <c r="F975" i="7"/>
  <c r="D975" i="7"/>
  <c r="F974" i="7"/>
  <c r="D974" i="7"/>
  <c r="D973" i="7"/>
  <c r="F973" i="7" s="1"/>
  <c r="D972" i="7"/>
  <c r="D971" i="7"/>
  <c r="F972" i="7" s="1"/>
  <c r="D970" i="7"/>
  <c r="F970" i="7" s="1"/>
  <c r="D969" i="7"/>
  <c r="F969" i="7" s="1"/>
  <c r="F968" i="7"/>
  <c r="D968" i="7"/>
  <c r="F967" i="7"/>
  <c r="D967" i="7"/>
  <c r="D966" i="7"/>
  <c r="F966" i="7" s="1"/>
  <c r="D965" i="7"/>
  <c r="D964" i="7"/>
  <c r="F964" i="7" s="1"/>
  <c r="D963" i="7"/>
  <c r="F963" i="7" s="1"/>
  <c r="D962" i="7"/>
  <c r="D961" i="7"/>
  <c r="F961" i="7" s="1"/>
  <c r="F960" i="7"/>
  <c r="D960" i="7"/>
  <c r="D959" i="7"/>
  <c r="F959" i="7" s="1"/>
  <c r="D958" i="7"/>
  <c r="D957" i="7"/>
  <c r="F957" i="7" s="1"/>
  <c r="D956" i="7"/>
  <c r="D955" i="7"/>
  <c r="F954" i="7"/>
  <c r="D954" i="7"/>
  <c r="F953" i="7"/>
  <c r="D953" i="7"/>
  <c r="D952" i="7"/>
  <c r="F952" i="7" s="1"/>
  <c r="D951" i="7"/>
  <c r="F950" i="7"/>
  <c r="D950" i="7"/>
  <c r="F951" i="7" s="1"/>
  <c r="D949" i="7"/>
  <c r="D948" i="7"/>
  <c r="F948" i="7" s="1"/>
  <c r="F947" i="7"/>
  <c r="D947" i="7"/>
  <c r="F946" i="7"/>
  <c r="D946" i="7"/>
  <c r="D945" i="7"/>
  <c r="F945" i="7" s="1"/>
  <c r="D944" i="7"/>
  <c r="D943" i="7"/>
  <c r="F943" i="7" s="1"/>
  <c r="D942" i="7"/>
  <c r="F942" i="7" s="1"/>
  <c r="D941" i="7"/>
  <c r="D940" i="7"/>
  <c r="D939" i="7"/>
  <c r="F939" i="7" s="1"/>
  <c r="D938" i="7"/>
  <c r="F938" i="7" s="1"/>
  <c r="F937" i="7"/>
  <c r="D937" i="7"/>
  <c r="D936" i="7"/>
  <c r="F936" i="7" s="1"/>
  <c r="D935" i="7"/>
  <c r="D934" i="7"/>
  <c r="F933" i="7"/>
  <c r="D933" i="7"/>
  <c r="F932" i="7"/>
  <c r="D932" i="7"/>
  <c r="D931" i="7"/>
  <c r="F931" i="7" s="1"/>
  <c r="D930" i="7"/>
  <c r="D929" i="7"/>
  <c r="F928" i="7"/>
  <c r="D928" i="7"/>
  <c r="F927" i="7"/>
  <c r="D927" i="7"/>
  <c r="F926" i="7"/>
  <c r="D926" i="7"/>
  <c r="F925" i="7"/>
  <c r="D925" i="7"/>
  <c r="D924" i="7"/>
  <c r="F924" i="7" s="1"/>
  <c r="D923" i="7"/>
  <c r="F923" i="7" s="1"/>
  <c r="D922" i="7"/>
  <c r="F922" i="7" s="1"/>
  <c r="D921" i="7"/>
  <c r="F921" i="7" s="1"/>
  <c r="D920" i="7"/>
  <c r="F920" i="7" s="1"/>
  <c r="D919" i="7"/>
  <c r="F918" i="7"/>
  <c r="D918" i="7"/>
  <c r="D917" i="7"/>
  <c r="F917" i="7" s="1"/>
  <c r="F916" i="7"/>
  <c r="D916" i="7"/>
  <c r="D915" i="7"/>
  <c r="F915" i="7" s="1"/>
  <c r="D914" i="7"/>
  <c r="D913" i="7"/>
  <c r="F912" i="7"/>
  <c r="D912" i="7"/>
  <c r="F911" i="7"/>
  <c r="D911" i="7"/>
  <c r="D910" i="7"/>
  <c r="F910" i="7" s="1"/>
  <c r="D909" i="7"/>
  <c r="D908" i="7"/>
  <c r="F908" i="7" s="1"/>
  <c r="F907" i="7"/>
  <c r="D907" i="7"/>
  <c r="F906" i="7"/>
  <c r="D906" i="7"/>
  <c r="F905" i="7"/>
  <c r="D905" i="7"/>
  <c r="F904" i="7"/>
  <c r="D904" i="7"/>
  <c r="D903" i="7"/>
  <c r="D902" i="7"/>
  <c r="F902" i="7" s="1"/>
  <c r="D901" i="7"/>
  <c r="F901" i="7" s="1"/>
  <c r="D900" i="7"/>
  <c r="F900" i="7" s="1"/>
  <c r="D899" i="7"/>
  <c r="F899" i="7" s="1"/>
  <c r="D898" i="7"/>
  <c r="D897" i="7"/>
  <c r="F898" i="7" s="1"/>
  <c r="F896" i="7"/>
  <c r="D896" i="7"/>
  <c r="D895" i="7"/>
  <c r="D894" i="7"/>
  <c r="F894" i="7" s="1"/>
  <c r="D893" i="7"/>
  <c r="D892" i="7"/>
  <c r="F891" i="7"/>
  <c r="D891" i="7"/>
  <c r="F890" i="7"/>
  <c r="D890" i="7"/>
  <c r="D889" i="7"/>
  <c r="D888" i="7"/>
  <c r="D887" i="7"/>
  <c r="F887" i="7" s="1"/>
  <c r="F886" i="7"/>
  <c r="D886" i="7"/>
  <c r="F885" i="7"/>
  <c r="D885" i="7"/>
  <c r="F884" i="7"/>
  <c r="D884" i="7"/>
  <c r="F883" i="7"/>
  <c r="D883" i="7"/>
  <c r="D882" i="7"/>
  <c r="D881" i="7"/>
  <c r="F881" i="7" s="1"/>
  <c r="F880" i="7"/>
  <c r="D880" i="7"/>
  <c r="D879" i="7"/>
  <c r="D878" i="7"/>
  <c r="F878" i="7" s="1"/>
  <c r="D877" i="7"/>
  <c r="D876" i="7"/>
  <c r="F877" i="7" s="1"/>
  <c r="D875" i="7"/>
  <c r="F875" i="7" s="1"/>
  <c r="D874" i="7"/>
  <c r="D873" i="7"/>
  <c r="F873" i="7" s="1"/>
  <c r="D872" i="7"/>
  <c r="D871" i="7"/>
  <c r="F870" i="7"/>
  <c r="D870" i="7"/>
  <c r="D869" i="7"/>
  <c r="F869" i="7" s="1"/>
  <c r="D868" i="7"/>
  <c r="F868" i="7" s="1"/>
  <c r="D867" i="7"/>
  <c r="D866" i="7"/>
  <c r="F866" i="7" s="1"/>
  <c r="D865" i="7"/>
  <c r="D864" i="7"/>
  <c r="F865" i="7" s="1"/>
  <c r="F863" i="7"/>
  <c r="D863" i="7"/>
  <c r="F862" i="7"/>
  <c r="D862" i="7"/>
  <c r="D861" i="7"/>
  <c r="D860" i="7"/>
  <c r="F860" i="7" s="1"/>
  <c r="D859" i="7"/>
  <c r="F859" i="7" s="1"/>
  <c r="F858" i="7"/>
  <c r="D858" i="7"/>
  <c r="D857" i="7"/>
  <c r="F857" i="7" s="1"/>
  <c r="D856" i="7"/>
  <c r="D855" i="7"/>
  <c r="F856" i="7" s="1"/>
  <c r="D854" i="7"/>
  <c r="D853" i="7"/>
  <c r="F853" i="7" s="1"/>
  <c r="D852" i="7"/>
  <c r="F852" i="7" s="1"/>
  <c r="D851" i="7"/>
  <c r="D850" i="7"/>
  <c r="D849" i="7"/>
  <c r="F849" i="7" s="1"/>
  <c r="D848" i="7"/>
  <c r="F848" i="7" s="1"/>
  <c r="D847" i="7"/>
  <c r="F847" i="7" s="1"/>
  <c r="D846" i="7"/>
  <c r="F845" i="7"/>
  <c r="D845" i="7"/>
  <c r="F844" i="7"/>
  <c r="D844" i="7"/>
  <c r="F843" i="7"/>
  <c r="D843" i="7"/>
  <c r="F842" i="7"/>
  <c r="D842" i="7"/>
  <c r="F841" i="7"/>
  <c r="D841" i="7"/>
  <c r="D840" i="7"/>
  <c r="D839" i="7"/>
  <c r="F839" i="7" s="1"/>
  <c r="F838" i="7"/>
  <c r="D838" i="7"/>
  <c r="F837" i="7"/>
  <c r="D837" i="7"/>
  <c r="D836" i="7"/>
  <c r="F836" i="7" s="1"/>
  <c r="D835" i="7"/>
  <c r="D834" i="7"/>
  <c r="F835" i="7" s="1"/>
  <c r="D833" i="7"/>
  <c r="D832" i="7"/>
  <c r="F832" i="7" s="1"/>
  <c r="D831" i="7"/>
  <c r="F831" i="7" s="1"/>
  <c r="F830" i="7"/>
  <c r="D830" i="7"/>
  <c r="D829" i="7"/>
  <c r="F828" i="7"/>
  <c r="D828" i="7"/>
  <c r="D827" i="7"/>
  <c r="F827" i="7" s="1"/>
  <c r="D826" i="7"/>
  <c r="F826" i="7" s="1"/>
  <c r="D825" i="7"/>
  <c r="D824" i="7"/>
  <c r="F824" i="7" s="1"/>
  <c r="D823" i="7"/>
  <c r="F822" i="7"/>
  <c r="D822" i="7"/>
  <c r="F823" i="7" s="1"/>
  <c r="F821" i="7"/>
  <c r="D821" i="7"/>
  <c r="F820" i="7"/>
  <c r="D820" i="7"/>
  <c r="D819" i="7"/>
  <c r="D818" i="7"/>
  <c r="F818" i="7" s="1"/>
  <c r="F817" i="7"/>
  <c r="D817" i="7"/>
  <c r="F816" i="7"/>
  <c r="D816" i="7"/>
  <c r="D815" i="7"/>
  <c r="F815" i="7" s="1"/>
  <c r="D814" i="7"/>
  <c r="D813" i="7"/>
  <c r="F814" i="7" s="1"/>
  <c r="F812" i="7"/>
  <c r="D812" i="7"/>
  <c r="D811" i="7"/>
  <c r="F811" i="7" s="1"/>
  <c r="D810" i="7"/>
  <c r="F810" i="7" s="1"/>
  <c r="D809" i="7"/>
  <c r="D808" i="7"/>
  <c r="D807" i="7"/>
  <c r="F807" i="7" s="1"/>
  <c r="D806" i="7"/>
  <c r="F806" i="7" s="1"/>
  <c r="D805" i="7"/>
  <c r="D804" i="7"/>
  <c r="F804" i="7" s="1"/>
  <c r="D803" i="7"/>
  <c r="F803" i="7" s="1"/>
  <c r="F802" i="7"/>
  <c r="D802" i="7"/>
  <c r="F801" i="7"/>
  <c r="D801" i="7"/>
  <c r="F800" i="7"/>
  <c r="D800" i="7"/>
  <c r="D799" i="7"/>
  <c r="F799" i="7" s="1"/>
  <c r="D798" i="7"/>
  <c r="D797" i="7"/>
  <c r="F796" i="7"/>
  <c r="D796" i="7"/>
  <c r="F795" i="7"/>
  <c r="D795" i="7"/>
  <c r="F794" i="7"/>
  <c r="D794" i="7"/>
  <c r="D793" i="7"/>
  <c r="D792" i="7"/>
  <c r="F792" i="7" s="1"/>
  <c r="D791" i="7"/>
  <c r="F791" i="7" s="1"/>
  <c r="D790" i="7"/>
  <c r="F790" i="7" s="1"/>
  <c r="D789" i="7"/>
  <c r="F788" i="7"/>
  <c r="D788" i="7"/>
  <c r="D787" i="7"/>
  <c r="D786" i="7"/>
  <c r="F786" i="7" s="1"/>
  <c r="F785" i="7"/>
  <c r="D785" i="7"/>
  <c r="D784" i="7"/>
  <c r="D783" i="7"/>
  <c r="F783" i="7" s="1"/>
  <c r="D782" i="7"/>
  <c r="F782" i="7" s="1"/>
  <c r="D781" i="7"/>
  <c r="D780" i="7"/>
  <c r="F781" i="7" s="1"/>
  <c r="D779" i="7"/>
  <c r="F779" i="7" s="1"/>
  <c r="F778" i="7"/>
  <c r="D778" i="7"/>
  <c r="D777" i="7"/>
  <c r="D776" i="7"/>
  <c r="F776" i="7" s="1"/>
  <c r="F775" i="7"/>
  <c r="D775" i="7"/>
  <c r="F774" i="7"/>
  <c r="D774" i="7"/>
  <c r="D773" i="7"/>
  <c r="F773" i="7" s="1"/>
  <c r="D772" i="7"/>
  <c r="D771" i="7"/>
  <c r="F772" i="7" s="1"/>
  <c r="D770" i="7"/>
  <c r="F770" i="7" s="1"/>
  <c r="D769" i="7"/>
  <c r="F769" i="7" s="1"/>
  <c r="F768" i="7"/>
  <c r="D768" i="7"/>
  <c r="F767" i="7"/>
  <c r="D767" i="7"/>
  <c r="D766" i="7"/>
  <c r="F766" i="7" s="1"/>
  <c r="F765" i="7"/>
  <c r="D765" i="7"/>
  <c r="D764" i="7"/>
  <c r="F764" i="7" s="1"/>
  <c r="D763" i="7"/>
  <c r="F763" i="7" s="1"/>
  <c r="D762" i="7"/>
  <c r="F762" i="7" s="1"/>
  <c r="F761" i="7"/>
  <c r="D761" i="7"/>
  <c r="D760" i="7"/>
  <c r="D759" i="7"/>
  <c r="D758" i="7"/>
  <c r="F758" i="7" s="1"/>
  <c r="D757" i="7"/>
  <c r="F757" i="7" s="1"/>
  <c r="D756" i="7"/>
  <c r="F756" i="7" s="1"/>
  <c r="D755" i="7"/>
  <c r="D754" i="7"/>
  <c r="F754" i="7" s="1"/>
  <c r="F753" i="7"/>
  <c r="D753" i="7"/>
  <c r="D752" i="7"/>
  <c r="F752" i="7" s="1"/>
  <c r="D751" i="7"/>
  <c r="D750" i="7"/>
  <c r="F751" i="7" s="1"/>
  <c r="D749" i="7"/>
  <c r="F748" i="7"/>
  <c r="D748" i="7"/>
  <c r="F747" i="7"/>
  <c r="D747" i="7"/>
  <c r="F746" i="7"/>
  <c r="D746" i="7"/>
  <c r="F745" i="7"/>
  <c r="D745" i="7"/>
  <c r="F744" i="7"/>
  <c r="D744" i="7"/>
  <c r="D743" i="7"/>
  <c r="F743" i="7" s="1"/>
  <c r="D742" i="7"/>
  <c r="D741" i="7"/>
  <c r="D740" i="7"/>
  <c r="F740" i="7" s="1"/>
  <c r="D739" i="7"/>
  <c r="F739" i="7" s="1"/>
  <c r="D738" i="7"/>
  <c r="D737" i="7"/>
  <c r="F737" i="7" s="1"/>
  <c r="D736" i="7"/>
  <c r="F736" i="7" s="1"/>
  <c r="D735" i="7"/>
  <c r="F735" i="7" s="1"/>
  <c r="D734" i="7"/>
  <c r="D733" i="7"/>
  <c r="F733" i="7" s="1"/>
  <c r="F732" i="7"/>
  <c r="D732" i="7"/>
  <c r="F731" i="7"/>
  <c r="D731" i="7"/>
  <c r="F730" i="7"/>
  <c r="D730" i="7"/>
  <c r="D729" i="7"/>
  <c r="F729" i="7" s="1"/>
  <c r="D728" i="7"/>
  <c r="D727" i="7"/>
  <c r="F727" i="7" s="1"/>
  <c r="F726" i="7"/>
  <c r="D726" i="7"/>
  <c r="F725" i="7"/>
  <c r="D725" i="7"/>
  <c r="D724" i="7"/>
  <c r="F724" i="7" s="1"/>
  <c r="D723" i="7"/>
  <c r="D722" i="7"/>
  <c r="F723" i="7" s="1"/>
  <c r="D721" i="7"/>
  <c r="F721" i="7" s="1"/>
  <c r="D720" i="7"/>
  <c r="F720" i="7" s="1"/>
  <c r="D719" i="7"/>
  <c r="F718" i="7"/>
  <c r="D718" i="7"/>
  <c r="D717" i="7"/>
  <c r="D716" i="7"/>
  <c r="F716" i="7" s="1"/>
  <c r="D715" i="7"/>
  <c r="F715" i="7" s="1"/>
  <c r="D714" i="7"/>
  <c r="F713" i="7"/>
  <c r="D713" i="7"/>
  <c r="F714" i="7" s="1"/>
  <c r="D712" i="7"/>
  <c r="F712" i="7" s="1"/>
  <c r="F711" i="7"/>
  <c r="D711" i="7"/>
  <c r="D710" i="7"/>
  <c r="D709" i="7"/>
  <c r="D708" i="7"/>
  <c r="F708" i="7" s="1"/>
  <c r="D707" i="7"/>
  <c r="D706" i="7"/>
  <c r="F707" i="7" s="1"/>
  <c r="F705" i="7"/>
  <c r="D705" i="7"/>
  <c r="F704" i="7"/>
  <c r="D704" i="7"/>
  <c r="D703" i="7"/>
  <c r="D702" i="7"/>
  <c r="F702" i="7" s="1"/>
  <c r="F701" i="7"/>
  <c r="D701" i="7"/>
  <c r="D700" i="7"/>
  <c r="F700" i="7" s="1"/>
  <c r="D699" i="7"/>
  <c r="F699" i="7" s="1"/>
  <c r="F698" i="7"/>
  <c r="D698" i="7"/>
  <c r="D697" i="7"/>
  <c r="F696" i="7"/>
  <c r="D696" i="7"/>
  <c r="F697" i="7" s="1"/>
  <c r="D695" i="7"/>
  <c r="D694" i="7"/>
  <c r="F694" i="7" s="1"/>
  <c r="D693" i="7"/>
  <c r="F693" i="7" s="1"/>
  <c r="F692" i="7"/>
  <c r="D692" i="7"/>
  <c r="D691" i="7"/>
  <c r="F691" i="7" s="1"/>
  <c r="F690" i="7"/>
  <c r="D690" i="7"/>
  <c r="D689" i="7"/>
  <c r="D688" i="7"/>
  <c r="F688" i="7" s="1"/>
  <c r="D687" i="7"/>
  <c r="F687" i="7" s="1"/>
  <c r="F686" i="7"/>
  <c r="D686" i="7"/>
  <c r="D685" i="7"/>
  <c r="F685" i="7" s="1"/>
  <c r="F684" i="7"/>
  <c r="D684" i="7"/>
  <c r="F683" i="7"/>
  <c r="D683" i="7"/>
  <c r="D682" i="7"/>
  <c r="D681" i="7"/>
  <c r="F681" i="7" s="1"/>
  <c r="F680" i="7"/>
  <c r="D680" i="7"/>
  <c r="D679" i="7"/>
  <c r="F678" i="7"/>
  <c r="D678" i="7"/>
  <c r="F677" i="7"/>
  <c r="D677" i="7"/>
  <c r="F676" i="7"/>
  <c r="D676" i="7"/>
  <c r="D675" i="7"/>
  <c r="F675" i="7" s="1"/>
  <c r="F674" i="7"/>
  <c r="D674" i="7"/>
  <c r="D673" i="7"/>
  <c r="F673" i="7" s="1"/>
  <c r="D672" i="7"/>
  <c r="D671" i="7"/>
  <c r="F671" i="7" s="1"/>
  <c r="D670" i="7"/>
  <c r="D669" i="7"/>
  <c r="F669" i="7" s="1"/>
  <c r="D668" i="7"/>
  <c r="F668" i="7" s="1"/>
  <c r="D667" i="7"/>
  <c r="F667" i="7" s="1"/>
  <c r="D666" i="7"/>
  <c r="F666" i="7" s="1"/>
  <c r="D665" i="7"/>
  <c r="D664" i="7"/>
  <c r="F664" i="7" s="1"/>
  <c r="F663" i="7"/>
  <c r="D663" i="7"/>
  <c r="D662" i="7"/>
  <c r="D661" i="7"/>
  <c r="F661" i="7" s="1"/>
  <c r="D660" i="7"/>
  <c r="F660" i="7" s="1"/>
  <c r="F659" i="7"/>
  <c r="D659" i="7"/>
  <c r="D658" i="7"/>
  <c r="D657" i="7"/>
  <c r="F657" i="7" s="1"/>
  <c r="D656" i="7"/>
  <c r="F656" i="7" s="1"/>
  <c r="F655" i="7"/>
  <c r="D655" i="7"/>
  <c r="F654" i="7"/>
  <c r="D654" i="7"/>
  <c r="F653" i="7"/>
  <c r="D653" i="7"/>
  <c r="D652" i="7"/>
  <c r="D651" i="7"/>
  <c r="F651" i="7" s="1"/>
  <c r="F650" i="7"/>
  <c r="D650" i="7"/>
  <c r="D649" i="7"/>
  <c r="F649" i="7" s="1"/>
  <c r="F648" i="7"/>
  <c r="D648" i="7"/>
  <c r="F647" i="7"/>
  <c r="D647" i="7"/>
  <c r="D646" i="7"/>
  <c r="D645" i="7"/>
  <c r="F646" i="7" s="1"/>
  <c r="D644" i="7"/>
  <c r="F644" i="7" s="1"/>
  <c r="F643" i="7"/>
  <c r="D643" i="7"/>
  <c r="D642" i="7"/>
  <c r="F642" i="7" s="1"/>
  <c r="D641" i="7"/>
  <c r="F640" i="7"/>
  <c r="D640" i="7"/>
  <c r="F641" i="7" s="1"/>
  <c r="D639" i="7"/>
  <c r="F639" i="7" s="1"/>
  <c r="F638" i="7"/>
  <c r="D638" i="7"/>
  <c r="D637" i="7"/>
  <c r="D636" i="7"/>
  <c r="F636" i="7" s="1"/>
  <c r="D635" i="7"/>
  <c r="F635" i="7" s="1"/>
  <c r="D634" i="7"/>
  <c r="D633" i="7"/>
  <c r="F634" i="7" s="1"/>
  <c r="F632" i="7"/>
  <c r="D632" i="7"/>
  <c r="F631" i="7"/>
  <c r="D631" i="7"/>
  <c r="D630" i="7"/>
  <c r="F630" i="7" s="1"/>
  <c r="D629" i="7"/>
  <c r="F629" i="7" s="1"/>
  <c r="D628" i="7"/>
  <c r="F628" i="7" s="1"/>
  <c r="F627" i="7"/>
  <c r="D627" i="7"/>
  <c r="F626" i="7"/>
  <c r="D626" i="7"/>
  <c r="F625" i="7"/>
  <c r="D625" i="7"/>
  <c r="F624" i="7"/>
  <c r="D624" i="7"/>
  <c r="D623" i="7"/>
  <c r="F623" i="7" s="1"/>
  <c r="D622" i="7"/>
  <c r="F622" i="7" s="1"/>
  <c r="D621" i="7"/>
  <c r="F621" i="7" s="1"/>
  <c r="F620" i="7"/>
  <c r="D620" i="7"/>
  <c r="D619" i="7"/>
  <c r="F619" i="7" s="1"/>
  <c r="F618" i="7"/>
  <c r="D618" i="7"/>
  <c r="D617" i="7"/>
  <c r="D616" i="7"/>
  <c r="D615" i="7"/>
  <c r="F615" i="7" s="1"/>
  <c r="D614" i="7"/>
  <c r="F614" i="7" s="1"/>
  <c r="D613" i="7"/>
  <c r="D612" i="7"/>
  <c r="F613" i="7" s="1"/>
  <c r="F611" i="7"/>
  <c r="D611" i="7"/>
  <c r="F610" i="7"/>
  <c r="D610" i="7"/>
  <c r="D609" i="7"/>
  <c r="D608" i="7"/>
  <c r="D607" i="7"/>
  <c r="F608" i="7" s="1"/>
  <c r="F606" i="7"/>
  <c r="D606" i="7"/>
  <c r="D605" i="7"/>
  <c r="F605" i="7" s="1"/>
  <c r="F604" i="7"/>
  <c r="D604" i="7"/>
  <c r="F603" i="7"/>
  <c r="D603" i="7"/>
  <c r="D602" i="7"/>
  <c r="D601" i="7"/>
  <c r="F601" i="7" s="1"/>
  <c r="D600" i="7"/>
  <c r="F600" i="7" s="1"/>
  <c r="D599" i="7"/>
  <c r="F599" i="7" s="1"/>
  <c r="D598" i="7"/>
  <c r="D597" i="7"/>
  <c r="F597" i="7" s="1"/>
  <c r="D596" i="7"/>
  <c r="D595" i="7"/>
  <c r="F595" i="7" s="1"/>
  <c r="F594" i="7"/>
  <c r="D594" i="7"/>
  <c r="D593" i="7"/>
  <c r="F593" i="7" s="1"/>
  <c r="D592" i="7"/>
  <c r="D591" i="7"/>
  <c r="F591" i="7" s="1"/>
  <c r="F590" i="7"/>
  <c r="D590" i="7"/>
  <c r="D589" i="7"/>
  <c r="F589" i="7" s="1"/>
  <c r="F588" i="7"/>
  <c r="D588" i="7"/>
  <c r="D587" i="7"/>
  <c r="F587" i="7" s="1"/>
  <c r="D586" i="7"/>
  <c r="F586" i="7" s="1"/>
  <c r="D585" i="7"/>
  <c r="D584" i="7"/>
  <c r="F585" i="7" s="1"/>
  <c r="F583" i="7"/>
  <c r="D583" i="7"/>
  <c r="D582" i="7"/>
  <c r="D581" i="7"/>
  <c r="D580" i="7"/>
  <c r="F580" i="7" s="1"/>
  <c r="D579" i="7"/>
  <c r="F579" i="7" s="1"/>
  <c r="F578" i="7"/>
  <c r="D578" i="7"/>
  <c r="D577" i="7"/>
  <c r="F577" i="7" s="1"/>
  <c r="F576" i="7"/>
  <c r="D576" i="7"/>
  <c r="F575" i="7"/>
  <c r="D575" i="7"/>
  <c r="D574" i="7"/>
  <c r="D573" i="7"/>
  <c r="F573" i="7" s="1"/>
  <c r="D572" i="7"/>
  <c r="F572" i="7" s="1"/>
  <c r="F571" i="7"/>
  <c r="D571" i="7"/>
  <c r="F570" i="7"/>
  <c r="D570" i="7"/>
  <c r="D569" i="7"/>
  <c r="D568" i="7"/>
  <c r="F568" i="7" s="1"/>
  <c r="F567" i="7"/>
  <c r="D567" i="7"/>
  <c r="F566" i="7"/>
  <c r="D566" i="7"/>
  <c r="D565" i="7"/>
  <c r="F565" i="7" s="1"/>
  <c r="D564" i="7"/>
  <c r="D563" i="7"/>
  <c r="F564" i="7" s="1"/>
  <c r="D562" i="7"/>
  <c r="D561" i="7"/>
  <c r="F562" i="7" s="1"/>
  <c r="D560" i="7"/>
  <c r="F560" i="7" s="1"/>
  <c r="D559" i="7"/>
  <c r="F559" i="7" s="1"/>
  <c r="D558" i="7"/>
  <c r="D557" i="7"/>
  <c r="F558" i="7" s="1"/>
  <c r="D556" i="7"/>
  <c r="F556" i="7" s="1"/>
  <c r="D555" i="7"/>
  <c r="D554" i="7"/>
  <c r="F555" i="7" s="1"/>
  <c r="D553" i="7"/>
  <c r="F553" i="7" s="1"/>
  <c r="F552" i="7"/>
  <c r="D552" i="7"/>
  <c r="D551" i="7"/>
  <c r="F551" i="7" s="1"/>
  <c r="D550" i="7"/>
  <c r="D549" i="7"/>
  <c r="F550" i="7" s="1"/>
  <c r="F548" i="7"/>
  <c r="D548" i="7"/>
  <c r="D547" i="7"/>
  <c r="D546" i="7"/>
  <c r="F547" i="7" s="1"/>
  <c r="D545" i="7"/>
  <c r="F545" i="7" s="1"/>
  <c r="F544" i="7"/>
  <c r="D544" i="7"/>
  <c r="D543" i="7"/>
  <c r="F543" i="7" s="1"/>
  <c r="F542" i="7"/>
  <c r="D542" i="7"/>
  <c r="D541" i="7"/>
  <c r="F541" i="7" s="1"/>
  <c r="D540" i="7"/>
  <c r="D539" i="7"/>
  <c r="F540" i="7" s="1"/>
  <c r="D538" i="7"/>
  <c r="F538" i="7" s="1"/>
  <c r="F537" i="7"/>
  <c r="D537" i="7"/>
  <c r="D536" i="7"/>
  <c r="D535" i="7"/>
  <c r="F536" i="7" s="1"/>
  <c r="D534" i="7"/>
  <c r="F534" i="7" s="1"/>
  <c r="D533" i="7"/>
  <c r="F533" i="7" s="1"/>
  <c r="D532" i="7"/>
  <c r="F532" i="7" s="1"/>
  <c r="F531" i="7"/>
  <c r="D531" i="7"/>
  <c r="D530" i="7"/>
  <c r="D529" i="7"/>
  <c r="F530" i="7" s="1"/>
  <c r="D528" i="7"/>
  <c r="D527" i="7"/>
  <c r="F528" i="7" s="1"/>
  <c r="F526" i="7"/>
  <c r="D526" i="7"/>
  <c r="D525" i="7"/>
  <c r="F525" i="7" s="1"/>
  <c r="D524" i="7"/>
  <c r="F524" i="7" s="1"/>
  <c r="D523" i="7"/>
  <c r="F523" i="7" s="1"/>
  <c r="F522" i="7"/>
  <c r="D522" i="7"/>
  <c r="D521" i="7"/>
  <c r="F521" i="7" s="1"/>
  <c r="F520" i="7"/>
  <c r="D520" i="7"/>
  <c r="D519" i="7"/>
  <c r="D518" i="7"/>
  <c r="F519" i="7" s="1"/>
  <c r="D517" i="7"/>
  <c r="D516" i="7"/>
  <c r="F517" i="7" s="1"/>
  <c r="F515" i="7"/>
  <c r="D515" i="7"/>
  <c r="D514" i="7"/>
  <c r="F514" i="7" s="1"/>
  <c r="F513" i="7"/>
  <c r="D513" i="7"/>
  <c r="F512" i="7"/>
  <c r="D512" i="7"/>
  <c r="D511" i="7"/>
  <c r="D510" i="7"/>
  <c r="F510" i="7" s="1"/>
  <c r="D509" i="7"/>
  <c r="F509" i="7" s="1"/>
  <c r="D508" i="7"/>
  <c r="F508" i="7" s="1"/>
  <c r="D507" i="7"/>
  <c r="F507" i="7" s="1"/>
  <c r="D506" i="7"/>
  <c r="F506" i="7" s="1"/>
  <c r="F505" i="7"/>
  <c r="D505" i="7"/>
  <c r="D504" i="7"/>
  <c r="D503" i="7"/>
  <c r="D502" i="7"/>
  <c r="F502" i="7" s="1"/>
  <c r="F501" i="7"/>
  <c r="D501" i="7"/>
  <c r="D500" i="7"/>
  <c r="F500" i="7" s="1"/>
  <c r="F499" i="7"/>
  <c r="D499" i="7"/>
  <c r="D498" i="7"/>
  <c r="D497" i="7"/>
  <c r="F498" i="7" s="1"/>
  <c r="D496" i="7"/>
  <c r="D495" i="7"/>
  <c r="F496" i="7" s="1"/>
  <c r="F494" i="7"/>
  <c r="D494" i="7"/>
  <c r="D493" i="7"/>
  <c r="D492" i="7"/>
  <c r="F492" i="7" s="1"/>
  <c r="D491" i="7"/>
  <c r="F491" i="7" s="1"/>
  <c r="D490" i="7"/>
  <c r="D489" i="7"/>
  <c r="F490" i="7" s="1"/>
  <c r="D488" i="7"/>
  <c r="F488" i="7" s="1"/>
  <c r="D487" i="7"/>
  <c r="F487" i="7" s="1"/>
  <c r="D486" i="7"/>
  <c r="F486" i="7" s="1"/>
  <c r="D485" i="7"/>
  <c r="F485" i="7" s="1"/>
  <c r="F484" i="7"/>
  <c r="D484" i="7"/>
  <c r="D483" i="7"/>
  <c r="D482" i="7"/>
  <c r="F483" i="7" s="1"/>
  <c r="D481" i="7"/>
  <c r="F481" i="7" s="1"/>
  <c r="D480" i="7"/>
  <c r="D479" i="7"/>
  <c r="F480" i="7" s="1"/>
  <c r="D478" i="7"/>
  <c r="F478" i="7" s="1"/>
  <c r="D477" i="7"/>
  <c r="F477" i="7" s="1"/>
  <c r="D476" i="7"/>
  <c r="F476" i="7" s="1"/>
  <c r="F475" i="7"/>
  <c r="D475" i="7"/>
  <c r="F474" i="7"/>
  <c r="D474" i="7"/>
  <c r="D473" i="7"/>
  <c r="D472" i="7"/>
  <c r="F473" i="7" s="1"/>
  <c r="D471" i="7"/>
  <c r="F471" i="7" s="1"/>
  <c r="D470" i="7"/>
  <c r="D469" i="7"/>
  <c r="F470" i="7" s="1"/>
  <c r="D468" i="7"/>
  <c r="F468" i="7" s="1"/>
  <c r="D467" i="7"/>
  <c r="F467" i="7" s="1"/>
  <c r="D466" i="7"/>
  <c r="F466" i="7" s="1"/>
  <c r="D465" i="7"/>
  <c r="F465" i="7" s="1"/>
  <c r="F464" i="7"/>
  <c r="D464" i="7"/>
  <c r="D463" i="7"/>
  <c r="D462" i="7"/>
  <c r="F463" i="7" s="1"/>
  <c r="D461" i="7"/>
  <c r="F461" i="7" s="1"/>
  <c r="D460" i="7"/>
  <c r="F459" i="7"/>
  <c r="D459" i="7"/>
  <c r="F460" i="7" s="1"/>
  <c r="D458" i="7"/>
  <c r="F458" i="7" s="1"/>
  <c r="D457" i="7"/>
  <c r="F457" i="7" s="1"/>
  <c r="D456" i="7"/>
  <c r="F456" i="7" s="1"/>
  <c r="D455" i="7"/>
  <c r="F455" i="7" s="1"/>
  <c r="F454" i="7"/>
  <c r="D454" i="7"/>
  <c r="D453" i="7"/>
  <c r="D452" i="7"/>
  <c r="F453" i="7" s="1"/>
  <c r="D451" i="7"/>
  <c r="F451" i="7" s="1"/>
  <c r="D450" i="7"/>
  <c r="D449" i="7"/>
  <c r="F450" i="7" s="1"/>
  <c r="D448" i="7"/>
  <c r="F448" i="7" s="1"/>
  <c r="D447" i="7"/>
  <c r="F447" i="7" s="1"/>
  <c r="D446" i="7"/>
  <c r="F446" i="7" s="1"/>
  <c r="D445" i="7"/>
  <c r="F445" i="7" s="1"/>
  <c r="F444" i="7"/>
  <c r="D444" i="7"/>
  <c r="D443" i="7"/>
  <c r="F443" i="7" s="1"/>
  <c r="F442" i="7"/>
  <c r="D442" i="7"/>
  <c r="D441" i="7"/>
  <c r="F441" i="7" s="1"/>
  <c r="D440" i="7"/>
  <c r="D439" i="7"/>
  <c r="F440" i="7" s="1"/>
  <c r="D438" i="7"/>
  <c r="F438" i="7" s="1"/>
  <c r="D437" i="7"/>
  <c r="F437" i="7" s="1"/>
  <c r="D436" i="7"/>
  <c r="F436" i="7" s="1"/>
  <c r="D435" i="7"/>
  <c r="F435" i="7" s="1"/>
  <c r="F434" i="7"/>
  <c r="D434" i="7"/>
  <c r="D433" i="7"/>
  <c r="F433" i="7" s="1"/>
  <c r="D432" i="7"/>
  <c r="F432" i="7" s="1"/>
  <c r="D431" i="7"/>
  <c r="F431" i="7" s="1"/>
  <c r="D430" i="7"/>
  <c r="D429" i="7"/>
  <c r="F430" i="7" s="1"/>
  <c r="D428" i="7"/>
  <c r="F428" i="7" s="1"/>
  <c r="D427" i="7"/>
  <c r="F427" i="7" s="1"/>
  <c r="D426" i="7"/>
  <c r="F426" i="7" s="1"/>
  <c r="D425" i="7"/>
  <c r="F425" i="7" s="1"/>
  <c r="D424" i="7"/>
  <c r="F424" i="7" s="1"/>
  <c r="D423" i="7"/>
  <c r="F423" i="7" s="1"/>
  <c r="F422" i="7"/>
  <c r="D422" i="7"/>
  <c r="D421" i="7"/>
  <c r="F421" i="7" s="1"/>
  <c r="D420" i="7"/>
  <c r="D419" i="7"/>
  <c r="F420" i="7" s="1"/>
  <c r="D418" i="7"/>
  <c r="F418" i="7" s="1"/>
  <c r="D417" i="7"/>
  <c r="F417" i="7" s="1"/>
  <c r="D416" i="7"/>
  <c r="F416" i="7" s="1"/>
  <c r="D415" i="7"/>
  <c r="F415" i="7" s="1"/>
  <c r="D414" i="7"/>
  <c r="F414" i="7" s="1"/>
  <c r="D413" i="7"/>
  <c r="F413" i="7" s="1"/>
  <c r="D412" i="7"/>
  <c r="F412" i="7" s="1"/>
  <c r="D411" i="7"/>
  <c r="F411" i="7" s="1"/>
  <c r="D410" i="7"/>
  <c r="D409" i="7"/>
  <c r="F410" i="7" s="1"/>
  <c r="D408" i="7"/>
  <c r="F408" i="7" s="1"/>
  <c r="D407" i="7"/>
  <c r="F407" i="7" s="1"/>
  <c r="F406" i="7"/>
  <c r="D406" i="7"/>
  <c r="D405" i="7"/>
  <c r="F405" i="7" s="1"/>
  <c r="D404" i="7"/>
  <c r="F404" i="7" s="1"/>
  <c r="D403" i="7"/>
  <c r="F403" i="7" s="1"/>
  <c r="D402" i="7"/>
  <c r="F402" i="7" s="1"/>
  <c r="D401" i="7"/>
  <c r="F401" i="7" s="1"/>
  <c r="D400" i="7"/>
  <c r="D399" i="7"/>
  <c r="F400" i="7" s="1"/>
  <c r="D398" i="7"/>
  <c r="F398" i="7" s="1"/>
  <c r="D397" i="7"/>
  <c r="F397" i="7" s="1"/>
  <c r="D396" i="7"/>
  <c r="F396" i="7" s="1"/>
  <c r="D395" i="7"/>
  <c r="F395" i="7" s="1"/>
  <c r="D394" i="7"/>
  <c r="F394" i="7" s="1"/>
  <c r="D393" i="7"/>
  <c r="F393" i="7" s="1"/>
  <c r="D392" i="7"/>
  <c r="F392" i="7" s="1"/>
  <c r="D391" i="7"/>
  <c r="F391" i="7" s="1"/>
  <c r="D390" i="7"/>
  <c r="D389" i="7"/>
  <c r="F390" i="7" s="1"/>
  <c r="F388" i="7"/>
  <c r="D388" i="7"/>
  <c r="D387" i="7"/>
  <c r="F387" i="7" s="1"/>
  <c r="D386" i="7"/>
  <c r="F386" i="7" s="1"/>
  <c r="D385" i="7"/>
  <c r="F385" i="7" s="1"/>
  <c r="D384" i="7"/>
  <c r="F384" i="7" s="1"/>
  <c r="D383" i="7"/>
  <c r="F383" i="7" s="1"/>
  <c r="D382" i="7"/>
  <c r="F382" i="7" s="1"/>
  <c r="D381" i="7"/>
  <c r="F381" i="7" s="1"/>
  <c r="D380" i="7"/>
  <c r="F380" i="7" s="1"/>
  <c r="D379" i="7"/>
  <c r="F379" i="7" s="1"/>
  <c r="D378" i="7"/>
  <c r="F378" i="7" s="1"/>
  <c r="D377" i="7"/>
  <c r="F377" i="7" s="1"/>
  <c r="D376" i="7"/>
  <c r="F376" i="7" s="1"/>
  <c r="D375" i="7"/>
  <c r="F375" i="7" s="1"/>
  <c r="D374" i="7"/>
  <c r="F374" i="7" s="1"/>
  <c r="D373" i="7"/>
  <c r="F373" i="7" s="1"/>
  <c r="D372" i="7"/>
  <c r="F372" i="7" s="1"/>
  <c r="F371" i="7"/>
  <c r="D371" i="7"/>
  <c r="D370" i="7"/>
  <c r="F370" i="7" s="1"/>
  <c r="D369" i="7"/>
  <c r="F369" i="7" s="1"/>
  <c r="D368" i="7"/>
  <c r="F368" i="7" s="1"/>
  <c r="D367" i="7"/>
  <c r="F367" i="7" s="1"/>
  <c r="D366" i="7"/>
  <c r="F366" i="7" s="1"/>
  <c r="D365" i="7"/>
  <c r="F365" i="7" s="1"/>
  <c r="D364" i="7"/>
  <c r="F364" i="7" s="1"/>
  <c r="D363" i="7"/>
  <c r="F363" i="7" s="1"/>
  <c r="D362" i="7"/>
  <c r="F362" i="7" s="1"/>
  <c r="D361" i="7"/>
  <c r="F361" i="7" s="1"/>
  <c r="D360" i="7"/>
  <c r="F360" i="7" s="1"/>
  <c r="D359" i="7"/>
  <c r="F359" i="7" s="1"/>
  <c r="D358" i="7"/>
  <c r="F358" i="7" s="1"/>
  <c r="D357" i="7"/>
  <c r="F357" i="7" s="1"/>
  <c r="D356" i="7"/>
  <c r="F356" i="7" s="1"/>
  <c r="D355" i="7"/>
  <c r="F355" i="7" s="1"/>
  <c r="D354" i="7"/>
  <c r="F354" i="7" s="1"/>
  <c r="D353" i="7"/>
  <c r="F353" i="7" s="1"/>
  <c r="D352" i="7"/>
  <c r="F352" i="7" s="1"/>
  <c r="F351" i="7"/>
  <c r="D351" i="7"/>
  <c r="D350" i="7"/>
  <c r="F350" i="7" s="1"/>
  <c r="D349" i="7"/>
  <c r="F349" i="7" s="1"/>
  <c r="D348" i="7"/>
  <c r="F348" i="7" s="1"/>
  <c r="D347" i="7"/>
  <c r="F347" i="7" s="1"/>
  <c r="D346" i="7"/>
  <c r="F346" i="7" s="1"/>
  <c r="D345" i="7"/>
  <c r="F345" i="7" s="1"/>
  <c r="D344" i="7"/>
  <c r="F344" i="7" s="1"/>
  <c r="D343" i="7"/>
  <c r="F343" i="7" s="1"/>
  <c r="D342" i="7"/>
  <c r="F342" i="7" s="1"/>
  <c r="D341" i="7"/>
  <c r="F341" i="7" s="1"/>
  <c r="D340" i="7"/>
  <c r="F340" i="7" s="1"/>
  <c r="D339" i="7"/>
  <c r="F339" i="7" s="1"/>
  <c r="D338" i="7"/>
  <c r="F338" i="7" s="1"/>
  <c r="D337" i="7"/>
  <c r="F337" i="7" s="1"/>
  <c r="D336" i="7"/>
  <c r="F336" i="7" s="1"/>
  <c r="D335" i="7"/>
  <c r="F335" i="7" s="1"/>
  <c r="D334" i="7"/>
  <c r="F334" i="7" s="1"/>
  <c r="D333" i="7"/>
  <c r="F333" i="7" s="1"/>
  <c r="D332" i="7"/>
  <c r="F332" i="7" s="1"/>
  <c r="F331" i="7"/>
  <c r="D331" i="7"/>
  <c r="D330" i="7"/>
  <c r="F330" i="7" s="1"/>
  <c r="D329" i="7"/>
  <c r="F329" i="7" s="1"/>
  <c r="D328" i="7"/>
  <c r="F328" i="7" s="1"/>
  <c r="D327" i="7"/>
  <c r="F327" i="7" s="1"/>
  <c r="D326" i="7"/>
  <c r="F326" i="7" s="1"/>
  <c r="D325" i="7"/>
  <c r="F325" i="7" s="1"/>
  <c r="D324" i="7"/>
  <c r="F324" i="7" s="1"/>
  <c r="D323" i="7"/>
  <c r="F323" i="7" s="1"/>
  <c r="D322" i="7"/>
  <c r="F322" i="7" s="1"/>
  <c r="D321" i="7"/>
  <c r="F321" i="7" s="1"/>
  <c r="D320" i="7"/>
  <c r="F320" i="7" s="1"/>
  <c r="D319" i="7"/>
  <c r="F319" i="7" s="1"/>
  <c r="D318" i="7"/>
  <c r="F318" i="7" s="1"/>
  <c r="D317" i="7"/>
  <c r="F317" i="7" s="1"/>
  <c r="D316" i="7"/>
  <c r="F316" i="7" s="1"/>
  <c r="D315" i="7"/>
  <c r="F315" i="7" s="1"/>
  <c r="D314" i="7"/>
  <c r="F314" i="7" s="1"/>
  <c r="F313" i="7"/>
  <c r="D313" i="7"/>
  <c r="D312" i="7"/>
  <c r="F312" i="7" s="1"/>
  <c r="D311" i="7"/>
  <c r="F311" i="7" s="1"/>
  <c r="D310" i="7"/>
  <c r="F310" i="7" s="1"/>
  <c r="D309" i="7"/>
  <c r="F309" i="7" s="1"/>
  <c r="D308" i="7"/>
  <c r="F308" i="7" s="1"/>
  <c r="D307" i="7"/>
  <c r="F307" i="7" s="1"/>
  <c r="D306" i="7"/>
  <c r="F306" i="7" s="1"/>
  <c r="D305" i="7"/>
  <c r="F305" i="7" s="1"/>
  <c r="D304" i="7"/>
  <c r="F304" i="7" s="1"/>
  <c r="D303" i="7"/>
  <c r="F303" i="7" s="1"/>
  <c r="D302" i="7"/>
  <c r="F302" i="7" s="1"/>
  <c r="D301" i="7"/>
  <c r="F301" i="7" s="1"/>
  <c r="D300" i="7"/>
  <c r="F300" i="7" s="1"/>
  <c r="D299" i="7"/>
  <c r="F299" i="7" s="1"/>
  <c r="F298" i="7"/>
  <c r="D298" i="7"/>
  <c r="D297" i="7"/>
  <c r="F297" i="7" s="1"/>
  <c r="D296" i="7"/>
  <c r="F296" i="7" s="1"/>
  <c r="D295" i="7"/>
  <c r="F295" i="7" s="1"/>
  <c r="D294" i="7"/>
  <c r="F294" i="7" s="1"/>
  <c r="D293" i="7"/>
  <c r="F293" i="7" s="1"/>
  <c r="D292" i="7"/>
  <c r="F292" i="7" s="1"/>
  <c r="D291" i="7"/>
  <c r="F291" i="7" s="1"/>
  <c r="D290" i="7"/>
  <c r="F290" i="7" s="1"/>
  <c r="D289" i="7"/>
  <c r="F289" i="7" s="1"/>
  <c r="D288" i="7"/>
  <c r="F288" i="7" s="1"/>
  <c r="D287" i="7"/>
  <c r="F287" i="7" s="1"/>
  <c r="D286" i="7"/>
  <c r="F286" i="7" s="1"/>
  <c r="D285" i="7"/>
  <c r="F285" i="7" s="1"/>
  <c r="D284" i="7"/>
  <c r="F284" i="7" s="1"/>
  <c r="D283" i="7"/>
  <c r="F283" i="7" s="1"/>
  <c r="D282" i="7"/>
  <c r="F282" i="7" s="1"/>
  <c r="D281" i="7"/>
  <c r="F281" i="7" s="1"/>
  <c r="D280" i="7"/>
  <c r="F280" i="7" s="1"/>
  <c r="D279" i="7"/>
  <c r="F279" i="7" s="1"/>
  <c r="F278" i="7"/>
  <c r="D278" i="7"/>
  <c r="D277" i="7"/>
  <c r="F277" i="7" s="1"/>
  <c r="D276" i="7"/>
  <c r="F276" i="7" s="1"/>
  <c r="D275" i="7"/>
  <c r="F275" i="7" s="1"/>
  <c r="D274" i="7"/>
  <c r="F274" i="7" s="1"/>
  <c r="D273" i="7"/>
  <c r="F273" i="7" s="1"/>
  <c r="D272" i="7"/>
  <c r="F272" i="7" s="1"/>
  <c r="D271" i="7"/>
  <c r="F271" i="7" s="1"/>
  <c r="D270" i="7"/>
  <c r="F270" i="7" s="1"/>
  <c r="D269" i="7"/>
  <c r="F269" i="7" s="1"/>
  <c r="D268" i="7"/>
  <c r="F268" i="7" s="1"/>
  <c r="D267" i="7"/>
  <c r="F267" i="7" s="1"/>
  <c r="D266" i="7"/>
  <c r="F266" i="7" s="1"/>
  <c r="D265" i="7"/>
  <c r="F265" i="7" s="1"/>
  <c r="D264" i="7"/>
  <c r="F264" i="7" s="1"/>
  <c r="D263" i="7"/>
  <c r="F263" i="7" s="1"/>
  <c r="D262" i="7"/>
  <c r="F262" i="7" s="1"/>
  <c r="D261" i="7"/>
  <c r="F261" i="7" s="1"/>
  <c r="F260" i="7"/>
  <c r="D260" i="7"/>
  <c r="D259" i="7"/>
  <c r="F259" i="7" s="1"/>
  <c r="D258" i="7"/>
  <c r="F258" i="7" s="1"/>
  <c r="D257" i="7"/>
  <c r="F257" i="7" s="1"/>
  <c r="D256" i="7"/>
  <c r="F256" i="7" s="1"/>
  <c r="D255" i="7"/>
  <c r="F255" i="7" s="1"/>
  <c r="D254" i="7"/>
  <c r="F254" i="7" s="1"/>
  <c r="D253" i="7"/>
  <c r="F253" i="7" s="1"/>
  <c r="D252" i="7"/>
  <c r="F252" i="7" s="1"/>
  <c r="D251" i="7"/>
  <c r="F251" i="7" s="1"/>
  <c r="D250" i="7"/>
  <c r="F250" i="7" s="1"/>
  <c r="D249" i="7"/>
  <c r="F249" i="7" s="1"/>
  <c r="D248" i="7"/>
  <c r="F248" i="7" s="1"/>
  <c r="D247" i="7"/>
  <c r="F247" i="7" s="1"/>
  <c r="D246" i="7"/>
  <c r="F246" i="7" s="1"/>
  <c r="D245" i="7"/>
  <c r="F245" i="7" s="1"/>
  <c r="D244" i="7"/>
  <c r="F244" i="7" s="1"/>
  <c r="F243" i="7"/>
  <c r="D243" i="7"/>
  <c r="D242" i="7"/>
  <c r="F242" i="7" s="1"/>
  <c r="D241" i="7"/>
  <c r="F241" i="7" s="1"/>
  <c r="D240" i="7"/>
  <c r="F240" i="7" s="1"/>
  <c r="D239" i="7"/>
  <c r="F239" i="7" s="1"/>
  <c r="D238" i="7"/>
  <c r="F238" i="7" s="1"/>
  <c r="D237" i="7"/>
  <c r="F237" i="7" s="1"/>
  <c r="D236" i="7"/>
  <c r="F236" i="7" s="1"/>
  <c r="D235" i="7"/>
  <c r="F235" i="7" s="1"/>
  <c r="D234" i="7"/>
  <c r="F234" i="7" s="1"/>
  <c r="D233" i="7"/>
  <c r="F233" i="7" s="1"/>
  <c r="D232" i="7"/>
  <c r="F232" i="7" s="1"/>
  <c r="D231" i="7"/>
  <c r="F231" i="7" s="1"/>
  <c r="D230" i="7"/>
  <c r="F230" i="7" s="1"/>
  <c r="D229" i="7"/>
  <c r="F229" i="7" s="1"/>
  <c r="D228" i="7"/>
  <c r="F228" i="7" s="1"/>
  <c r="D227" i="7"/>
  <c r="F227" i="7" s="1"/>
  <c r="D226" i="7"/>
  <c r="F226" i="7" s="1"/>
  <c r="F225" i="7"/>
  <c r="D225" i="7"/>
  <c r="D224" i="7"/>
  <c r="F224" i="7" s="1"/>
  <c r="D223" i="7"/>
  <c r="F223" i="7" s="1"/>
  <c r="D222" i="7"/>
  <c r="F222" i="7" s="1"/>
  <c r="D221" i="7"/>
  <c r="F221" i="7" s="1"/>
  <c r="D220" i="7"/>
  <c r="F220" i="7" s="1"/>
  <c r="D219" i="7"/>
  <c r="F219" i="7" s="1"/>
  <c r="D218" i="7"/>
  <c r="F218" i="7" s="1"/>
  <c r="D217" i="7"/>
  <c r="F217" i="7" s="1"/>
  <c r="D216" i="7"/>
  <c r="F216" i="7" s="1"/>
  <c r="D215" i="7"/>
  <c r="F215" i="7" s="1"/>
  <c r="D214" i="7"/>
  <c r="F214" i="7" s="1"/>
  <c r="D213" i="7"/>
  <c r="F213" i="7" s="1"/>
  <c r="D212" i="7"/>
  <c r="F212" i="7" s="1"/>
  <c r="D211" i="7"/>
  <c r="F211" i="7" s="1"/>
  <c r="D210" i="7"/>
  <c r="F210" i="7" s="1"/>
  <c r="F209" i="7"/>
  <c r="D209" i="7"/>
  <c r="D208" i="7"/>
  <c r="F208" i="7" s="1"/>
  <c r="D207" i="7"/>
  <c r="F207" i="7" s="1"/>
  <c r="D206" i="7"/>
  <c r="F206" i="7" s="1"/>
  <c r="D205" i="7"/>
  <c r="F205" i="7" s="1"/>
  <c r="D204" i="7"/>
  <c r="F204" i="7" s="1"/>
  <c r="D203" i="7"/>
  <c r="F203" i="7" s="1"/>
  <c r="D202" i="7"/>
  <c r="F202" i="7" s="1"/>
  <c r="D201" i="7"/>
  <c r="F201" i="7" s="1"/>
  <c r="D200" i="7"/>
  <c r="F200" i="7" s="1"/>
  <c r="D199" i="7"/>
  <c r="F199" i="7" s="1"/>
  <c r="D198" i="7"/>
  <c r="F198" i="7" s="1"/>
  <c r="D197" i="7"/>
  <c r="F197" i="7" s="1"/>
  <c r="D196" i="7"/>
  <c r="F196" i="7" s="1"/>
  <c r="D195" i="7"/>
  <c r="F195" i="7" s="1"/>
  <c r="D194" i="7"/>
  <c r="F194" i="7" s="1"/>
  <c r="D193" i="7"/>
  <c r="F193" i="7" s="1"/>
  <c r="F192" i="7"/>
  <c r="D192" i="7"/>
  <c r="D191" i="7"/>
  <c r="F191" i="7" s="1"/>
  <c r="D190" i="7"/>
  <c r="F190" i="7" s="1"/>
  <c r="D189" i="7"/>
  <c r="F189" i="7" s="1"/>
  <c r="D188" i="7"/>
  <c r="F188" i="7" s="1"/>
  <c r="D187" i="7"/>
  <c r="F187" i="7" s="1"/>
  <c r="D186" i="7"/>
  <c r="F186" i="7" s="1"/>
  <c r="D185" i="7"/>
  <c r="F185" i="7" s="1"/>
  <c r="D184" i="7"/>
  <c r="F184" i="7" s="1"/>
  <c r="D183" i="7"/>
  <c r="F183" i="7" s="1"/>
  <c r="D182" i="7"/>
  <c r="F182" i="7" s="1"/>
  <c r="D181" i="7"/>
  <c r="F181" i="7" s="1"/>
  <c r="D180" i="7"/>
  <c r="F180" i="7" s="1"/>
  <c r="D179" i="7"/>
  <c r="F179" i="7" s="1"/>
  <c r="D178" i="7"/>
  <c r="F178" i="7" s="1"/>
  <c r="D177" i="7"/>
  <c r="F177" i="7" s="1"/>
  <c r="D176" i="7"/>
  <c r="F176" i="7" s="1"/>
  <c r="D175" i="7"/>
  <c r="F175" i="7" s="1"/>
  <c r="F174" i="7"/>
  <c r="D174" i="7"/>
  <c r="D173" i="7"/>
  <c r="F173" i="7" s="1"/>
  <c r="D172" i="7"/>
  <c r="F172" i="7" s="1"/>
  <c r="D171" i="7"/>
  <c r="F171" i="7" s="1"/>
  <c r="D170" i="7"/>
  <c r="F170" i="7" s="1"/>
  <c r="D169" i="7"/>
  <c r="F169" i="7" s="1"/>
  <c r="D168" i="7"/>
  <c r="F168" i="7" s="1"/>
  <c r="D167" i="7"/>
  <c r="F167" i="7" s="1"/>
  <c r="D166" i="7"/>
  <c r="F166" i="7" s="1"/>
  <c r="D165" i="7"/>
  <c r="F165" i="7" s="1"/>
  <c r="D164" i="7"/>
  <c r="F164" i="7" s="1"/>
  <c r="D163" i="7"/>
  <c r="F163" i="7" s="1"/>
  <c r="D162" i="7"/>
  <c r="F162" i="7" s="1"/>
  <c r="D161" i="7"/>
  <c r="F161" i="7" s="1"/>
  <c r="D160" i="7"/>
  <c r="F160" i="7" s="1"/>
  <c r="D159" i="7"/>
  <c r="F159" i="7" s="1"/>
  <c r="F158" i="7"/>
  <c r="D158" i="7"/>
  <c r="D157" i="7"/>
  <c r="F157" i="7" s="1"/>
  <c r="D156" i="7"/>
  <c r="F156" i="7" s="1"/>
  <c r="D155" i="7"/>
  <c r="F155" i="7" s="1"/>
  <c r="D154" i="7"/>
  <c r="F154" i="7" s="1"/>
  <c r="D153" i="7"/>
  <c r="F153" i="7" s="1"/>
  <c r="D152" i="7"/>
  <c r="F152" i="7" s="1"/>
  <c r="D151" i="7"/>
  <c r="F151" i="7" s="1"/>
  <c r="D150" i="7"/>
  <c r="F150" i="7" s="1"/>
  <c r="D149" i="7"/>
  <c r="F149" i="7" s="1"/>
  <c r="D148" i="7"/>
  <c r="F148" i="7" s="1"/>
  <c r="D147" i="7"/>
  <c r="F147" i="7" s="1"/>
  <c r="D146" i="7"/>
  <c r="F146" i="7" s="1"/>
  <c r="D145" i="7"/>
  <c r="F145" i="7" s="1"/>
  <c r="D144" i="7"/>
  <c r="F144" i="7" s="1"/>
  <c r="D143" i="7"/>
  <c r="F143" i="7" s="1"/>
  <c r="D142" i="7"/>
  <c r="F142" i="7" s="1"/>
  <c r="F141" i="7"/>
  <c r="D141" i="7"/>
  <c r="D140" i="7"/>
  <c r="F140" i="7" s="1"/>
  <c r="D139" i="7"/>
  <c r="F139" i="7" s="1"/>
  <c r="D138" i="7"/>
  <c r="F138" i="7" s="1"/>
  <c r="D137" i="7"/>
  <c r="F137" i="7" s="1"/>
  <c r="D136" i="7"/>
  <c r="F136" i="7" s="1"/>
  <c r="D135" i="7"/>
  <c r="F135" i="7" s="1"/>
  <c r="D134" i="7"/>
  <c r="F134" i="7" s="1"/>
  <c r="D133" i="7"/>
  <c r="F133" i="7" s="1"/>
  <c r="D132" i="7"/>
  <c r="F132" i="7" s="1"/>
  <c r="D131" i="7"/>
  <c r="F131" i="7" s="1"/>
  <c r="D130" i="7"/>
  <c r="F130" i="7" s="1"/>
  <c r="D129" i="7"/>
  <c r="F129" i="7" s="1"/>
  <c r="D128" i="7"/>
  <c r="F128" i="7" s="1"/>
  <c r="D127" i="7"/>
  <c r="F127" i="7" s="1"/>
  <c r="D126" i="7"/>
  <c r="F126" i="7" s="1"/>
  <c r="D125" i="7"/>
  <c r="F125" i="7" s="1"/>
  <c r="D124" i="7"/>
  <c r="F124" i="7" s="1"/>
  <c r="F123" i="7"/>
  <c r="D123" i="7"/>
  <c r="D122" i="7"/>
  <c r="F122" i="7" s="1"/>
  <c r="D121" i="7"/>
  <c r="F121" i="7" s="1"/>
  <c r="D120" i="7"/>
  <c r="F120" i="7" s="1"/>
  <c r="D119" i="7"/>
  <c r="F119" i="7" s="1"/>
  <c r="D118" i="7"/>
  <c r="F118" i="7" s="1"/>
  <c r="D117" i="7"/>
  <c r="F117" i="7" s="1"/>
  <c r="D116" i="7"/>
  <c r="F116" i="7" s="1"/>
  <c r="D115" i="7"/>
  <c r="F115" i="7" s="1"/>
  <c r="D114" i="7"/>
  <c r="F114" i="7" s="1"/>
  <c r="D113" i="7"/>
  <c r="F113" i="7" s="1"/>
  <c r="D112" i="7"/>
  <c r="F112" i="7" s="1"/>
  <c r="D111" i="7"/>
  <c r="F111" i="7" s="1"/>
  <c r="D110" i="7"/>
  <c r="F110" i="7" s="1"/>
  <c r="D109" i="7"/>
  <c r="F109" i="7" s="1"/>
  <c r="D108" i="7"/>
  <c r="F108" i="7" s="1"/>
  <c r="D107" i="7"/>
  <c r="F107" i="7" s="1"/>
  <c r="D106" i="7"/>
  <c r="F106" i="7" s="1"/>
  <c r="D105" i="7"/>
  <c r="F105" i="7" s="1"/>
  <c r="D104" i="7"/>
  <c r="F104" i="7" s="1"/>
  <c r="F103" i="7"/>
  <c r="D103" i="7"/>
  <c r="D102" i="7"/>
  <c r="F102" i="7" s="1"/>
  <c r="D101" i="7"/>
  <c r="F101" i="7" s="1"/>
  <c r="D100" i="7"/>
  <c r="F100" i="7" s="1"/>
  <c r="D99" i="7"/>
  <c r="F99" i="7" s="1"/>
  <c r="D98" i="7"/>
  <c r="F98" i="7" s="1"/>
  <c r="D97" i="7"/>
  <c r="F97" i="7" s="1"/>
  <c r="D96" i="7"/>
  <c r="F96" i="7" s="1"/>
  <c r="D95" i="7"/>
  <c r="F95" i="7" s="1"/>
  <c r="D94" i="7"/>
  <c r="F94" i="7" s="1"/>
  <c r="D93" i="7"/>
  <c r="F93" i="7" s="1"/>
  <c r="D92" i="7"/>
  <c r="F92" i="7" s="1"/>
  <c r="D91" i="7"/>
  <c r="F91" i="7" s="1"/>
  <c r="D90" i="7"/>
  <c r="F90" i="7" s="1"/>
  <c r="D89" i="7"/>
  <c r="F89" i="7" s="1"/>
  <c r="D88" i="7"/>
  <c r="F88" i="7" s="1"/>
  <c r="D87" i="7"/>
  <c r="F87" i="7" s="1"/>
  <c r="F86" i="7"/>
  <c r="D86" i="7"/>
  <c r="D85" i="7"/>
  <c r="F85" i="7" s="1"/>
  <c r="D84" i="7"/>
  <c r="F84" i="7" s="1"/>
  <c r="D83" i="7"/>
  <c r="F83" i="7" s="1"/>
  <c r="D82" i="7"/>
  <c r="F82" i="7" s="1"/>
  <c r="D81" i="7"/>
  <c r="F81" i="7" s="1"/>
  <c r="D80" i="7"/>
  <c r="F80" i="7" s="1"/>
  <c r="D79" i="7"/>
  <c r="F79" i="7" s="1"/>
  <c r="D78" i="7"/>
  <c r="F78" i="7" s="1"/>
  <c r="D77" i="7"/>
  <c r="F77" i="7" s="1"/>
  <c r="D76" i="7"/>
  <c r="F76" i="7" s="1"/>
  <c r="D75" i="7"/>
  <c r="F75" i="7" s="1"/>
  <c r="D74" i="7"/>
  <c r="F74" i="7" s="1"/>
  <c r="D73" i="7"/>
  <c r="F73" i="7" s="1"/>
  <c r="D72" i="7"/>
  <c r="F72" i="7" s="1"/>
  <c r="D71" i="7"/>
  <c r="F71" i="7" s="1"/>
  <c r="D70" i="7"/>
  <c r="F70" i="7" s="1"/>
  <c r="F69" i="7"/>
  <c r="D69" i="7"/>
  <c r="D68" i="7"/>
  <c r="F68" i="7" s="1"/>
  <c r="D67" i="7"/>
  <c r="F67" i="7" s="1"/>
  <c r="D66" i="7"/>
  <c r="F66" i="7" s="1"/>
  <c r="D65" i="7"/>
  <c r="F65" i="7" s="1"/>
  <c r="D64" i="7"/>
  <c r="F64" i="7" s="1"/>
  <c r="D63" i="7"/>
  <c r="F63" i="7" s="1"/>
  <c r="D62" i="7"/>
  <c r="F62" i="7" s="1"/>
  <c r="D61" i="7"/>
  <c r="F61" i="7" s="1"/>
  <c r="D60" i="7"/>
  <c r="F60" i="7" s="1"/>
  <c r="D59" i="7"/>
  <c r="F59" i="7" s="1"/>
  <c r="D58" i="7"/>
  <c r="F58" i="7" s="1"/>
  <c r="D57" i="7"/>
  <c r="F57" i="7" s="1"/>
  <c r="D56" i="7"/>
  <c r="F56" i="7" s="1"/>
  <c r="D55" i="7"/>
  <c r="F55" i="7" s="1"/>
  <c r="D54" i="7"/>
  <c r="F54" i="7" s="1"/>
  <c r="F53" i="7"/>
  <c r="D53" i="7"/>
  <c r="D52" i="7"/>
  <c r="F52" i="7" s="1"/>
  <c r="D51" i="7"/>
  <c r="F51" i="7" s="1"/>
  <c r="D50" i="7"/>
  <c r="F50" i="7" s="1"/>
  <c r="D49" i="7"/>
  <c r="F49" i="7" s="1"/>
  <c r="D48" i="7"/>
  <c r="F48" i="7" s="1"/>
  <c r="D47" i="7"/>
  <c r="F47" i="7" s="1"/>
  <c r="D46" i="7"/>
  <c r="F46" i="7" s="1"/>
  <c r="D45" i="7"/>
  <c r="F45" i="7" s="1"/>
  <c r="D44" i="7"/>
  <c r="F44" i="7" s="1"/>
  <c r="D43" i="7"/>
  <c r="F43" i="7" s="1"/>
  <c r="D42" i="7"/>
  <c r="F42" i="7" s="1"/>
  <c r="D41" i="7"/>
  <c r="F41" i="7" s="1"/>
  <c r="D40" i="7"/>
  <c r="F40" i="7" s="1"/>
  <c r="D39" i="7"/>
  <c r="F39" i="7" s="1"/>
  <c r="D38" i="7"/>
  <c r="F38" i="7" s="1"/>
  <c r="F37" i="7"/>
  <c r="D37" i="7"/>
  <c r="D36" i="7"/>
  <c r="F36" i="7" s="1"/>
  <c r="D35" i="7"/>
  <c r="F35" i="7" s="1"/>
  <c r="D34" i="7"/>
  <c r="F34" i="7" s="1"/>
  <c r="D33" i="7"/>
  <c r="F33" i="7" s="1"/>
  <c r="D32" i="7"/>
  <c r="F32" i="7" s="1"/>
  <c r="D31" i="7"/>
  <c r="F31" i="7" s="1"/>
  <c r="D30" i="7"/>
  <c r="F30" i="7" s="1"/>
  <c r="D29" i="7"/>
  <c r="F29" i="7" s="1"/>
  <c r="D28" i="7"/>
  <c r="F28" i="7" s="1"/>
  <c r="D27" i="7"/>
  <c r="F27" i="7" s="1"/>
  <c r="D26" i="7"/>
  <c r="F26" i="7" s="1"/>
  <c r="D25" i="7"/>
  <c r="F25" i="7" s="1"/>
  <c r="D24" i="7"/>
  <c r="F24" i="7" s="1"/>
  <c r="D23" i="7"/>
  <c r="F23" i="7" s="1"/>
  <c r="D22" i="7"/>
  <c r="F22" i="7" s="1"/>
  <c r="D21" i="7"/>
  <c r="F21" i="7" s="1"/>
  <c r="F20" i="7"/>
  <c r="D20" i="7"/>
  <c r="D19" i="7"/>
  <c r="F19" i="7" s="1"/>
  <c r="D18" i="7"/>
  <c r="F18" i="7" s="1"/>
  <c r="D17" i="7"/>
  <c r="F17" i="7" s="1"/>
  <c r="D16" i="7"/>
  <c r="F16" i="7" s="1"/>
  <c r="D15" i="7"/>
  <c r="F15" i="7" s="1"/>
  <c r="D14" i="7"/>
  <c r="F14" i="7" s="1"/>
  <c r="D13" i="7"/>
  <c r="F13" i="7" s="1"/>
  <c r="D12" i="7"/>
  <c r="F12" i="7" s="1"/>
  <c r="D11" i="7"/>
  <c r="F11" i="7" s="1"/>
  <c r="D10" i="7"/>
  <c r="F10" i="7" s="1"/>
  <c r="D9" i="7"/>
  <c r="F9" i="7" s="1"/>
  <c r="D8" i="7"/>
  <c r="F8" i="7" s="1"/>
  <c r="D7" i="7"/>
  <c r="F7" i="7" s="1"/>
  <c r="D6" i="7"/>
  <c r="F6" i="7" s="1"/>
  <c r="D5" i="7"/>
  <c r="F5" i="7" s="1"/>
  <c r="D4" i="7"/>
  <c r="F4" i="7" s="1"/>
  <c r="D3" i="7"/>
  <c r="F3" i="7" s="1"/>
  <c r="F2" i="7"/>
  <c r="D2" i="7"/>
  <c r="F1102" i="7" l="1"/>
  <c r="F1101" i="7"/>
  <c r="F1736" i="7"/>
  <c r="F1735" i="7"/>
  <c r="F1767" i="7"/>
  <c r="F1766" i="7"/>
  <c r="F1798" i="7"/>
  <c r="F1797" i="7"/>
  <c r="F452" i="7"/>
  <c r="F462" i="7"/>
  <c r="F472" i="7"/>
  <c r="F482" i="7"/>
  <c r="F503" i="7"/>
  <c r="F535" i="7"/>
  <c r="F546" i="7"/>
  <c r="F557" i="7"/>
  <c r="F581" i="7"/>
  <c r="F616" i="7"/>
  <c r="F703" i="7"/>
  <c r="F728" i="7"/>
  <c r="F780" i="7"/>
  <c r="F793" i="7"/>
  <c r="F833" i="7"/>
  <c r="F861" i="7"/>
  <c r="F888" i="7"/>
  <c r="F929" i="7"/>
  <c r="F930" i="7"/>
  <c r="F958" i="7"/>
  <c r="F1088" i="7"/>
  <c r="F1444" i="7"/>
  <c r="F1443" i="7"/>
  <c r="F1458" i="7"/>
  <c r="F1457" i="7"/>
  <c r="F1531" i="7"/>
  <c r="F1530" i="7"/>
  <c r="F1630" i="7"/>
  <c r="F493" i="7"/>
  <c r="F569" i="7"/>
  <c r="F592" i="7"/>
  <c r="F665" i="7"/>
  <c r="F846" i="7"/>
  <c r="F903" i="7"/>
  <c r="F1002" i="7"/>
  <c r="F1044" i="7"/>
  <c r="F1160" i="7"/>
  <c r="F1266" i="7"/>
  <c r="F1265" i="7"/>
  <c r="F1337" i="7"/>
  <c r="F1514" i="7"/>
  <c r="F1663" i="7"/>
  <c r="F1662" i="7"/>
  <c r="F1923" i="7"/>
  <c r="F1922" i="7"/>
  <c r="F2645" i="7"/>
  <c r="F1719" i="7"/>
  <c r="F1720" i="7"/>
  <c r="F504" i="7"/>
  <c r="F582" i="7"/>
  <c r="F617" i="7"/>
  <c r="F717" i="7"/>
  <c r="F755" i="7"/>
  <c r="F808" i="7"/>
  <c r="F834" i="7"/>
  <c r="F876" i="7"/>
  <c r="F1193" i="7"/>
  <c r="F1192" i="7"/>
  <c r="F1311" i="7"/>
  <c r="F1310" i="7"/>
  <c r="F1678" i="7"/>
  <c r="F1677" i="7"/>
  <c r="F741" i="7"/>
  <c r="F1224" i="7"/>
  <c r="F1223" i="7"/>
  <c r="F1416" i="7"/>
  <c r="F1415" i="7"/>
  <c r="F1475" i="7"/>
  <c r="F1474" i="7"/>
  <c r="F2032" i="7"/>
  <c r="F2031" i="7"/>
  <c r="F805" i="7"/>
  <c r="F1238" i="7"/>
  <c r="F1237" i="7"/>
  <c r="F1803" i="7"/>
  <c r="F1802" i="7"/>
  <c r="F1573" i="7"/>
  <c r="F1572" i="7"/>
  <c r="F1353" i="7"/>
  <c r="F1352" i="7"/>
  <c r="F495" i="7"/>
  <c r="F784" i="7"/>
  <c r="F851" i="7"/>
  <c r="F850" i="7"/>
  <c r="F962" i="7"/>
  <c r="F977" i="7"/>
  <c r="F976" i="7"/>
  <c r="F1034" i="7"/>
  <c r="F1165" i="7"/>
  <c r="F1164" i="7"/>
  <c r="F1370" i="7"/>
  <c r="F1402" i="7"/>
  <c r="F1401" i="7"/>
  <c r="F1431" i="7"/>
  <c r="F1548" i="7"/>
  <c r="F1547" i="7"/>
  <c r="F1636" i="7"/>
  <c r="F1635" i="7"/>
  <c r="F1726" i="7"/>
  <c r="F1725" i="7"/>
  <c r="F1741" i="7"/>
  <c r="F1740" i="7"/>
  <c r="F1755" i="7"/>
  <c r="F971" i="7"/>
  <c r="F516" i="7"/>
  <c r="F527" i="7"/>
  <c r="F607" i="7"/>
  <c r="F549" i="7"/>
  <c r="F561" i="7"/>
  <c r="F584" i="7"/>
  <c r="F682" i="7"/>
  <c r="F706" i="7"/>
  <c r="F771" i="7"/>
  <c r="F864" i="7"/>
  <c r="F893" i="7"/>
  <c r="F892" i="7"/>
  <c r="F1106" i="7"/>
  <c r="F1180" i="7"/>
  <c r="F1505" i="7"/>
  <c r="F1577" i="7"/>
  <c r="F1693" i="7"/>
  <c r="F596" i="7"/>
  <c r="F645" i="7"/>
  <c r="F670" i="7"/>
  <c r="F695" i="7"/>
  <c r="F759" i="7"/>
  <c r="F798" i="7"/>
  <c r="F797" i="7"/>
  <c r="F935" i="7"/>
  <c r="F934" i="7"/>
  <c r="F992" i="7"/>
  <c r="F1123" i="7"/>
  <c r="F1122" i="7"/>
  <c r="F1328" i="7"/>
  <c r="F1327" i="7"/>
  <c r="F1519" i="7"/>
  <c r="F1520" i="7"/>
  <c r="F1594" i="7"/>
  <c r="F1593" i="7"/>
  <c r="F1751" i="7"/>
  <c r="F1750" i="7"/>
  <c r="F944" i="7"/>
  <c r="F539" i="7"/>
  <c r="F658" i="7"/>
  <c r="F1081" i="7"/>
  <c r="F1080" i="7"/>
  <c r="F1211" i="7"/>
  <c r="F1284" i="7"/>
  <c r="F1374" i="7"/>
  <c r="F1373" i="7"/>
  <c r="F1535" i="7"/>
  <c r="F1651" i="7"/>
  <c r="F2224" i="7"/>
  <c r="F2225" i="7"/>
  <c r="F518" i="7"/>
  <c r="F529" i="7"/>
  <c r="F574" i="7"/>
  <c r="F633" i="7"/>
  <c r="F722" i="7"/>
  <c r="F760" i="7"/>
  <c r="F825" i="7"/>
  <c r="F965" i="7"/>
  <c r="F1299" i="7"/>
  <c r="F1300" i="7"/>
  <c r="F1465" i="7"/>
  <c r="F1464" i="7"/>
  <c r="F1552" i="7"/>
  <c r="F1551" i="7"/>
  <c r="F1911" i="7"/>
  <c r="F1944" i="7"/>
  <c r="F1943" i="7"/>
  <c r="F914" i="7"/>
  <c r="F913" i="7"/>
  <c r="F1782" i="7"/>
  <c r="F1781" i="7"/>
  <c r="F1995" i="7"/>
  <c r="F742" i="7"/>
  <c r="F497" i="7"/>
  <c r="F563" i="7"/>
  <c r="F598" i="7"/>
  <c r="F672" i="7"/>
  <c r="F709" i="7"/>
  <c r="F710" i="7"/>
  <c r="F734" i="7"/>
  <c r="F787" i="7"/>
  <c r="F813" i="7"/>
  <c r="F840" i="7"/>
  <c r="F854" i="7"/>
  <c r="F867" i="7"/>
  <c r="F882" i="7"/>
  <c r="F895" i="7"/>
  <c r="F980" i="7"/>
  <c r="F1022" i="7"/>
  <c r="F1315" i="7"/>
  <c r="F1684" i="7"/>
  <c r="F1683" i="7"/>
  <c r="F1880" i="7"/>
  <c r="F2069" i="7"/>
  <c r="F2070" i="7"/>
  <c r="F2180" i="7"/>
  <c r="F2179" i="7"/>
  <c r="F1381" i="7"/>
  <c r="F1380" i="7"/>
  <c r="F652" i="7"/>
  <c r="F1332" i="7"/>
  <c r="F1331" i="7"/>
  <c r="F1615" i="7"/>
  <c r="F1614" i="7"/>
  <c r="F1705" i="7"/>
  <c r="F1704" i="7"/>
  <c r="F874" i="7"/>
  <c r="F855" i="7"/>
  <c r="F1139" i="7"/>
  <c r="F1390" i="7"/>
  <c r="F1493" i="7"/>
  <c r="F1609" i="7"/>
  <c r="F1610" i="7"/>
  <c r="F1745" i="7"/>
  <c r="F1807" i="7"/>
  <c r="F1849" i="7"/>
  <c r="F1850" i="7"/>
  <c r="F1186" i="7"/>
  <c r="F1185" i="7"/>
  <c r="F1245" i="7"/>
  <c r="F1244" i="7"/>
  <c r="F1423" i="7"/>
  <c r="F1422" i="7"/>
  <c r="F1777" i="7"/>
  <c r="F1776" i="7"/>
  <c r="F2150" i="7"/>
  <c r="F2151" i="7"/>
  <c r="F389" i="7"/>
  <c r="F399" i="7"/>
  <c r="F409" i="7"/>
  <c r="F419" i="7"/>
  <c r="F429" i="7"/>
  <c r="F439" i="7"/>
  <c r="F449" i="7"/>
  <c r="F469" i="7"/>
  <c r="F479" i="7"/>
  <c r="F489" i="7"/>
  <c r="F554" i="7"/>
  <c r="F612" i="7"/>
  <c r="F750" i="7"/>
  <c r="F897" i="7"/>
  <c r="F940" i="7"/>
  <c r="F983" i="7"/>
  <c r="F998" i="7"/>
  <c r="F997" i="7"/>
  <c r="F1025" i="7"/>
  <c r="F1097" i="7"/>
  <c r="F1172" i="7"/>
  <c r="F1171" i="7"/>
  <c r="F1217" i="7"/>
  <c r="F1216" i="7"/>
  <c r="F1276" i="7"/>
  <c r="F1275" i="7"/>
  <c r="F1452" i="7"/>
  <c r="F1568" i="7"/>
  <c r="F1642" i="7"/>
  <c r="F1641" i="7"/>
  <c r="F1657" i="7"/>
  <c r="F1656" i="7"/>
  <c r="F2007" i="7"/>
  <c r="F511" i="7"/>
  <c r="F602" i="7"/>
  <c r="F637" i="7"/>
  <c r="F662" i="7"/>
  <c r="F738" i="7"/>
  <c r="F777" i="7"/>
  <c r="F872" i="7"/>
  <c r="F871" i="7"/>
  <c r="F941" i="7"/>
  <c r="F1069" i="7"/>
  <c r="F1070" i="7"/>
  <c r="F1348" i="7"/>
  <c r="F956" i="7"/>
  <c r="F955" i="7"/>
  <c r="F1013" i="7"/>
  <c r="F1028" i="7"/>
  <c r="F1027" i="7"/>
  <c r="F1144" i="7"/>
  <c r="F1143" i="7"/>
  <c r="F1203" i="7"/>
  <c r="F1202" i="7"/>
  <c r="F1395" i="7"/>
  <c r="F1394" i="7"/>
  <c r="F1527" i="7"/>
  <c r="F1526" i="7"/>
  <c r="F1871" i="7"/>
  <c r="F1870" i="7"/>
  <c r="F1932" i="7"/>
  <c r="F1965" i="7"/>
  <c r="F2042" i="7"/>
  <c r="F2043" i="7"/>
  <c r="F2280" i="7"/>
  <c r="F2281" i="7"/>
  <c r="F789" i="7"/>
  <c r="F989" i="7"/>
  <c r="F1189" i="7"/>
  <c r="F1419" i="7"/>
  <c r="F1639" i="7"/>
  <c r="F2223" i="7"/>
  <c r="F2222" i="7"/>
  <c r="F2267" i="7"/>
  <c r="F2377" i="7"/>
  <c r="F2458" i="7"/>
  <c r="F2459" i="7"/>
  <c r="F979" i="7"/>
  <c r="F1000" i="7"/>
  <c r="F1179" i="7"/>
  <c r="F1210" i="7"/>
  <c r="F1409" i="7"/>
  <c r="F1430" i="7"/>
  <c r="F1629" i="7"/>
  <c r="F1879" i="7"/>
  <c r="F2095" i="7"/>
  <c r="F2583" i="7"/>
  <c r="F749" i="7"/>
  <c r="F949" i="7"/>
  <c r="F1149" i="7"/>
  <c r="F1379" i="7"/>
  <c r="F1599" i="7"/>
  <c r="F1829" i="7"/>
  <c r="F2084" i="7"/>
  <c r="F2285" i="7"/>
  <c r="F2445" i="7"/>
  <c r="F2492" i="7"/>
  <c r="F2491" i="7"/>
  <c r="F1589" i="7"/>
  <c r="F1819" i="7"/>
  <c r="F2302" i="7"/>
  <c r="F2301" i="7"/>
  <c r="F2446" i="7"/>
  <c r="F2447" i="7"/>
  <c r="F2570" i="7"/>
  <c r="F2571" i="7"/>
  <c r="F3426" i="7"/>
  <c r="F3427" i="7"/>
  <c r="F1986" i="7"/>
  <c r="F719" i="7"/>
  <c r="F919" i="7"/>
  <c r="F1119" i="7"/>
  <c r="F1349" i="7"/>
  <c r="F1569" i="7"/>
  <c r="F1799" i="7"/>
  <c r="F2008" i="7"/>
  <c r="F2020" i="7"/>
  <c r="F2113" i="7"/>
  <c r="F2140" i="7"/>
  <c r="F2494" i="7"/>
  <c r="F909" i="7"/>
  <c r="F1109" i="7"/>
  <c r="F1130" i="7"/>
  <c r="F1339" i="7"/>
  <c r="F1559" i="7"/>
  <c r="F1580" i="7"/>
  <c r="F1789" i="7"/>
  <c r="F1810" i="7"/>
  <c r="F2432" i="7"/>
  <c r="F2009" i="7"/>
  <c r="F2114" i="7"/>
  <c r="F2245" i="7"/>
  <c r="F2244" i="7"/>
  <c r="F2304" i="7"/>
  <c r="F2400" i="7"/>
  <c r="F2401" i="7"/>
  <c r="F2559" i="7"/>
  <c r="F689" i="7"/>
  <c r="F889" i="7"/>
  <c r="F1089" i="7"/>
  <c r="F1319" i="7"/>
  <c r="F1539" i="7"/>
  <c r="F1759" i="7"/>
  <c r="F1790" i="7"/>
  <c r="F1999" i="7"/>
  <c r="F2184" i="7"/>
  <c r="F2385" i="7"/>
  <c r="F679" i="7"/>
  <c r="F879" i="7"/>
  <c r="F1079" i="7"/>
  <c r="F1309" i="7"/>
  <c r="F1529" i="7"/>
  <c r="F1739" i="7"/>
  <c r="F1989" i="7"/>
  <c r="F2074" i="7"/>
  <c r="F2102" i="7"/>
  <c r="F2156" i="7"/>
  <c r="F2246" i="7"/>
  <c r="F2247" i="7"/>
  <c r="F2352" i="7"/>
  <c r="F2171" i="7"/>
  <c r="F2513" i="7"/>
  <c r="F1823" i="7"/>
  <c r="F1864" i="7"/>
  <c r="F1885" i="7"/>
  <c r="F1906" i="7"/>
  <c r="F1916" i="7"/>
  <c r="F1937" i="7"/>
  <c r="F1990" i="7"/>
  <c r="F2388" i="7"/>
  <c r="F2389" i="7"/>
  <c r="F1049" i="7"/>
  <c r="F1259" i="7"/>
  <c r="F1499" i="7"/>
  <c r="F1699" i="7"/>
  <c r="F1959" i="7"/>
  <c r="F1980" i="7"/>
  <c r="F2159" i="7"/>
  <c r="F2249" i="7"/>
  <c r="F2483" i="7"/>
  <c r="F2547" i="7"/>
  <c r="F1970" i="7"/>
  <c r="F2051" i="7"/>
  <c r="F2120" i="7"/>
  <c r="F2119" i="7"/>
  <c r="F2173" i="7"/>
  <c r="F829" i="7"/>
  <c r="F1029" i="7"/>
  <c r="F1050" i="7"/>
  <c r="F1071" i="7"/>
  <c r="F1113" i="7"/>
  <c r="F1134" i="7"/>
  <c r="F1155" i="7"/>
  <c r="F1176" i="7"/>
  <c r="F1197" i="7"/>
  <c r="F1207" i="7"/>
  <c r="F1239" i="7"/>
  <c r="F1260" i="7"/>
  <c r="F1270" i="7"/>
  <c r="F1301" i="7"/>
  <c r="F1322" i="7"/>
  <c r="F1343" i="7"/>
  <c r="F1364" i="7"/>
  <c r="F1385" i="7"/>
  <c r="F1406" i="7"/>
  <c r="F1427" i="7"/>
  <c r="F1459" i="7"/>
  <c r="F1500" i="7"/>
  <c r="F1521" i="7"/>
  <c r="F1542" i="7"/>
  <c r="F1584" i="7"/>
  <c r="F1605" i="7"/>
  <c r="F1626" i="7"/>
  <c r="F1647" i="7"/>
  <c r="F1679" i="7"/>
  <c r="F1700" i="7"/>
  <c r="F1721" i="7"/>
  <c r="F1731" i="7"/>
  <c r="F1762" i="7"/>
  <c r="F1772" i="7"/>
  <c r="F1793" i="7"/>
  <c r="F1814" i="7"/>
  <c r="F1835" i="7"/>
  <c r="F1845" i="7"/>
  <c r="F1897" i="7"/>
  <c r="F1939" i="7"/>
  <c r="F1960" i="7"/>
  <c r="F2002" i="7"/>
  <c r="F2064" i="7"/>
  <c r="F2160" i="7"/>
  <c r="F2191" i="7"/>
  <c r="F2190" i="7"/>
  <c r="F2294" i="7"/>
  <c r="F2549" i="7"/>
  <c r="F609" i="7"/>
  <c r="F819" i="7"/>
  <c r="F1019" i="7"/>
  <c r="F1229" i="7"/>
  <c r="F1250" i="7"/>
  <c r="F1449" i="7"/>
  <c r="F1480" i="7"/>
  <c r="F1669" i="7"/>
  <c r="F1929" i="7"/>
  <c r="F1950" i="7"/>
  <c r="F2014" i="7"/>
  <c r="F2052" i="7"/>
  <c r="F2106" i="7"/>
  <c r="F2422" i="7"/>
  <c r="F2455" i="7"/>
  <c r="F2470" i="7"/>
  <c r="F2471" i="7"/>
  <c r="F2502" i="7"/>
  <c r="F809" i="7"/>
  <c r="F1009" i="7"/>
  <c r="F1030" i="7"/>
  <c r="F2107" i="7"/>
  <c r="F2126" i="7"/>
  <c r="F2148" i="7"/>
  <c r="F2258" i="7"/>
  <c r="F2326" i="7"/>
  <c r="F2396" i="7"/>
  <c r="F2408" i="7"/>
  <c r="F2236" i="7"/>
  <c r="F2338" i="7"/>
  <c r="F2350" i="7"/>
  <c r="F2420" i="7"/>
  <c r="F2490" i="7"/>
  <c r="F2722" i="7"/>
  <c r="F3494" i="7"/>
  <c r="F2724" i="7"/>
  <c r="F2855" i="7"/>
  <c r="F2898" i="7"/>
  <c r="F2946" i="7"/>
  <c r="F3342" i="7"/>
  <c r="F2238" i="7"/>
  <c r="F2340" i="7"/>
  <c r="F2631" i="7"/>
  <c r="F2658" i="7"/>
  <c r="F2841" i="7"/>
  <c r="F2947" i="7"/>
  <c r="F3110" i="7"/>
  <c r="F3411" i="7"/>
  <c r="F3481" i="7"/>
  <c r="F2096" i="7"/>
  <c r="F2118" i="7"/>
  <c r="F2306" i="7"/>
  <c r="F2481" i="7"/>
  <c r="F2538" i="7"/>
  <c r="F2550" i="7"/>
  <c r="F2620" i="7"/>
  <c r="F2659" i="7"/>
  <c r="F2784" i="7"/>
  <c r="F2842" i="7"/>
  <c r="F2843" i="7"/>
  <c r="F2982" i="7"/>
  <c r="F3111" i="7"/>
  <c r="F3343" i="7"/>
  <c r="F2516" i="7"/>
  <c r="F2551" i="7"/>
  <c r="F2586" i="7"/>
  <c r="F2621" i="7"/>
  <c r="F2647" i="7"/>
  <c r="F2770" i="7"/>
  <c r="F2886" i="7"/>
  <c r="F2933" i="7"/>
  <c r="F2983" i="7"/>
  <c r="F3045" i="7"/>
  <c r="F2098" i="7"/>
  <c r="F2130" i="7"/>
  <c r="F2141" i="7"/>
  <c r="F2152" i="7"/>
  <c r="F2163" i="7"/>
  <c r="F2218" i="7"/>
  <c r="F2296" i="7"/>
  <c r="F2528" i="7"/>
  <c r="F2540" i="7"/>
  <c r="F2598" i="7"/>
  <c r="F2610" i="7"/>
  <c r="F2076" i="7"/>
  <c r="F2087" i="7"/>
  <c r="F2186" i="7"/>
  <c r="F2197" i="7"/>
  <c r="F2208" i="7"/>
  <c r="F2320" i="7"/>
  <c r="F2366" i="7"/>
  <c r="F2378" i="7"/>
  <c r="F2390" i="7"/>
  <c r="F2436" i="7"/>
  <c r="F2448" i="7"/>
  <c r="F2460" i="7"/>
  <c r="F2712" i="7"/>
  <c r="F2772" i="7"/>
  <c r="F2773" i="7"/>
  <c r="F2888" i="7"/>
  <c r="F2935" i="7"/>
  <c r="F3097" i="7"/>
  <c r="F3163" i="7"/>
  <c r="F3467" i="7"/>
  <c r="F2518" i="7"/>
  <c r="F2529" i="7"/>
  <c r="F2830" i="7"/>
  <c r="F3232" i="7"/>
  <c r="F3233" i="7"/>
  <c r="F2066" i="7"/>
  <c r="F2176" i="7"/>
  <c r="F2298" i="7"/>
  <c r="F2623" i="7"/>
  <c r="F2675" i="7"/>
  <c r="F2700" i="7"/>
  <c r="F2714" i="7"/>
  <c r="F3315" i="7"/>
  <c r="F2356" i="7"/>
  <c r="F2368" i="7"/>
  <c r="F2380" i="7"/>
  <c r="F2426" i="7"/>
  <c r="F2438" i="7"/>
  <c r="F2450" i="7"/>
  <c r="F2496" i="7"/>
  <c r="F2637" i="7"/>
  <c r="F2636" i="7"/>
  <c r="F2663" i="7"/>
  <c r="F2760" i="7"/>
  <c r="F2816" i="7"/>
  <c r="F2970" i="7"/>
  <c r="F3383" i="7"/>
  <c r="F3150" i="7"/>
  <c r="F3302" i="7"/>
  <c r="F3303" i="7"/>
  <c r="F2036" i="7"/>
  <c r="F2058" i="7"/>
  <c r="F2168" i="7"/>
  <c r="F2278" i="7"/>
  <c r="F2312" i="7"/>
  <c r="F2382" i="7"/>
  <c r="F2510" i="7"/>
  <c r="F2544" i="7"/>
  <c r="F2556" i="7"/>
  <c r="F2568" i="7"/>
  <c r="F2580" i="7"/>
  <c r="F2653" i="7"/>
  <c r="F2678" i="7"/>
  <c r="F2690" i="7"/>
  <c r="F2704" i="7"/>
  <c r="F2850" i="7"/>
  <c r="F3020" i="7"/>
  <c r="F3203" i="7"/>
  <c r="F3439" i="7"/>
  <c r="F2146" i="7"/>
  <c r="F2256" i="7"/>
  <c r="F2290" i="7"/>
  <c r="F2406" i="7"/>
  <c r="F2476" i="7"/>
  <c r="F2720" i="7"/>
  <c r="F2719" i="7"/>
  <c r="F2793" i="7"/>
  <c r="F3070" i="7"/>
  <c r="F3137" i="7"/>
  <c r="F3204" i="7"/>
  <c r="F2839" i="7"/>
  <c r="F2908" i="7"/>
  <c r="F3032" i="7"/>
  <c r="F3176" i="7"/>
  <c r="F3189" i="7"/>
  <c r="F3216" i="7"/>
  <c r="F3231" i="7"/>
  <c r="F3301" i="7"/>
  <c r="F3356" i="7"/>
  <c r="F3370" i="7"/>
  <c r="F3412" i="7"/>
  <c r="F3440" i="7"/>
  <c r="F3482" i="7"/>
  <c r="F2758" i="7"/>
  <c r="F2782" i="7"/>
  <c r="F2828" i="7"/>
  <c r="F2852" i="7"/>
  <c r="F2922" i="7"/>
  <c r="F2959" i="7"/>
  <c r="F2971" i="7"/>
  <c r="F3008" i="7"/>
  <c r="F3021" i="7"/>
  <c r="F3058" i="7"/>
  <c r="F3072" i="7"/>
  <c r="F3098" i="7"/>
  <c r="F3112" i="7"/>
  <c r="F3138" i="7"/>
  <c r="F3152" i="7"/>
  <c r="F3246" i="7"/>
  <c r="F3260" i="7"/>
  <c r="F3288" i="7"/>
  <c r="F3329" i="7"/>
  <c r="F3372" i="7"/>
  <c r="F3442" i="7"/>
  <c r="F3469" i="7"/>
  <c r="F3496" i="7"/>
  <c r="F3178" i="7"/>
  <c r="F3191" i="7"/>
  <c r="F3218" i="7"/>
  <c r="F3316" i="7"/>
  <c r="F3358" i="7"/>
  <c r="F2702" i="7"/>
  <c r="F2899" i="7"/>
  <c r="F3086" i="7"/>
  <c r="F3179" i="7"/>
  <c r="F3192" i="7"/>
  <c r="F3219" i="7"/>
  <c r="F3262" i="7"/>
  <c r="F3290" i="7"/>
  <c r="F3331" i="7"/>
  <c r="F3359" i="7"/>
  <c r="F3386" i="7"/>
  <c r="F3400" i="7"/>
  <c r="F3428" i="7"/>
  <c r="F3456" i="7"/>
  <c r="F3497" i="7"/>
  <c r="F2948" i="7"/>
  <c r="F2961" i="7"/>
  <c r="F2973" i="7"/>
  <c r="F3010" i="7"/>
  <c r="F3023" i="7"/>
  <c r="F3060" i="7"/>
  <c r="F3276" i="7"/>
  <c r="F3317" i="7"/>
  <c r="F2692" i="7"/>
  <c r="F2749" i="7"/>
  <c r="F2819" i="7"/>
  <c r="F2912" i="7"/>
  <c r="F2949" i="7"/>
  <c r="F2998" i="7"/>
  <c r="F3011" i="7"/>
  <c r="F3061" i="7"/>
  <c r="F3101" i="7"/>
  <c r="F3141" i="7"/>
  <c r="F3221" i="7"/>
  <c r="F3249" i="7"/>
  <c r="F3318" i="7"/>
  <c r="F3346" i="7"/>
  <c r="F3402" i="7"/>
  <c r="F3430" i="7"/>
  <c r="F3472" i="7"/>
  <c r="F2648" i="7"/>
  <c r="F3048" i="7"/>
  <c r="F3088" i="7"/>
  <c r="F3128" i="7"/>
  <c r="F3168" i="7"/>
  <c r="F3181" i="7"/>
  <c r="F3222" i="7"/>
  <c r="F3333" i="7"/>
  <c r="F3388" i="7"/>
  <c r="F3416" i="7"/>
  <c r="F3458" i="7"/>
  <c r="F3486" i="7"/>
  <c r="F2682" i="7"/>
  <c r="F2913" i="7"/>
  <c r="F2925" i="7"/>
  <c r="F3049" i="7"/>
  <c r="F3089" i="7"/>
  <c r="F3129" i="7"/>
  <c r="F3182" i="7"/>
  <c r="F3236" i="7"/>
  <c r="F3251" i="7"/>
  <c r="F3278" i="7"/>
  <c r="F3306" i="7"/>
  <c r="F3320" i="7"/>
  <c r="F3362" i="7"/>
  <c r="F3389" i="7"/>
  <c r="F3432" i="7"/>
  <c r="F3459" i="7"/>
  <c r="F3473" i="7"/>
  <c r="F2902" i="7"/>
  <c r="F2938" i="7"/>
  <c r="F2951" i="7"/>
  <c r="F3000" i="7"/>
  <c r="F3076" i="7"/>
  <c r="F3103" i="7"/>
  <c r="F3348" i="7"/>
  <c r="F3376" i="7"/>
  <c r="F3417" i="7"/>
  <c r="F3446" i="7"/>
  <c r="F3487" i="7"/>
  <c r="F2672" i="7"/>
  <c r="F2988" i="7"/>
  <c r="F3001" i="7"/>
  <c r="F3209" i="7"/>
  <c r="F3280" i="7"/>
  <c r="F3322" i="7"/>
  <c r="F3349" i="7"/>
  <c r="F3391" i="7"/>
  <c r="F3461" i="7"/>
  <c r="F2728" i="7"/>
  <c r="F2752" i="7"/>
  <c r="F2822" i="7"/>
  <c r="F2989" i="7"/>
  <c r="F3002" i="7"/>
  <c r="F3038" i="7"/>
  <c r="F3051" i="7"/>
  <c r="F3091" i="7"/>
  <c r="F3131" i="7"/>
  <c r="F3157" i="7"/>
  <c r="F3238" i="7"/>
  <c r="F3253" i="7"/>
  <c r="F3132" i="7"/>
  <c r="F3211" i="7"/>
  <c r="F3239" i="7"/>
  <c r="F3282" i="7"/>
  <c r="F3309" i="7"/>
  <c r="F3336" i="7"/>
  <c r="F3351" i="7"/>
  <c r="F3420" i="7"/>
  <c r="F3434" i="7"/>
  <c r="F3448" i="7"/>
  <c r="F3197" i="7"/>
  <c r="F3393" i="7"/>
  <c r="F3406" i="7"/>
  <c r="F3463" i="7"/>
  <c r="F3476" i="7"/>
  <c r="F2859" i="7"/>
  <c r="F2870" i="7"/>
  <c r="F2978" i="7"/>
  <c r="F2991" i="7"/>
  <c r="F3053" i="7"/>
  <c r="F3093" i="7"/>
  <c r="F3133" i="7"/>
  <c r="F3241" i="7"/>
  <c r="F3283" i="7"/>
  <c r="F3311" i="7"/>
  <c r="F2708" i="7"/>
  <c r="F2754" i="7"/>
  <c r="F2824" i="7"/>
  <c r="F2979" i="7"/>
  <c r="F2992" i="7"/>
  <c r="F3016" i="7"/>
  <c r="F3041" i="7"/>
  <c r="F3199" i="7"/>
  <c r="F3242" i="7"/>
  <c r="F3269" i="7"/>
  <c r="F3338" i="7"/>
  <c r="F3366" i="7"/>
  <c r="F3380" i="7"/>
  <c r="F3436" i="7"/>
  <c r="F3451" i="7"/>
  <c r="F3492" i="7"/>
  <c r="F2642" i="7"/>
  <c r="F2778" i="7"/>
  <c r="F2848" i="7"/>
  <c r="F2883" i="7"/>
  <c r="F2930" i="7"/>
  <c r="F3029" i="7"/>
  <c r="F3067" i="7"/>
  <c r="F3081" i="7"/>
  <c r="F3107" i="7"/>
  <c r="F3121" i="7"/>
  <c r="F3147" i="7"/>
  <c r="F3161" i="7"/>
  <c r="F3227" i="7"/>
  <c r="F3478" i="7"/>
  <c r="F3082" i="7"/>
  <c r="F3122" i="7"/>
  <c r="F3162" i="7"/>
  <c r="F3201" i="7"/>
  <c r="F3228" i="7"/>
  <c r="F3271" i="7"/>
  <c r="F3298" i="7"/>
  <c r="F3326" i="7"/>
  <c r="F3340" i="7"/>
  <c r="F3382" i="7"/>
  <c r="F3409" i="7"/>
</calcChain>
</file>

<file path=xl/sharedStrings.xml><?xml version="1.0" encoding="utf-8"?>
<sst xmlns="http://schemas.openxmlformats.org/spreadsheetml/2006/main" count="35408" uniqueCount="5374">
  <si>
    <r>
      <rPr>
        <b/>
        <sz val="11"/>
        <color rgb="FFFFFFFF"/>
        <rFont val="ＭＳ Ｐゴシック"/>
        <family val="3"/>
      </rPr>
      <t>冷延条件</t>
    </r>
    <r>
      <rPr>
        <b/>
        <sz val="11"/>
        <color rgb="FFFFFFFF"/>
        <rFont val="Carlito"/>
      </rPr>
      <t>_key**</t>
    </r>
  </si>
  <si>
    <t>入側板厚[mm]</t>
  </si>
  <si>
    <t>出側板厚[mm]</t>
  </si>
  <si>
    <r>
      <rPr>
        <b/>
        <sz val="11"/>
        <color rgb="FFFFFFFF"/>
        <rFont val="ＭＳ Ｐゴシック"/>
        <family val="3"/>
      </rPr>
      <t>冷延率</t>
    </r>
    <r>
      <rPr>
        <b/>
        <sz val="11"/>
        <color rgb="FFFFFFFF"/>
        <rFont val="Carlito"/>
      </rPr>
      <t>[%]</t>
    </r>
  </si>
  <si>
    <t>プロジェクト名</t>
  </si>
  <si>
    <t>登録者</t>
  </si>
  <si>
    <t>登録日</t>
  </si>
  <si>
    <t>CR-00001</t>
  </si>
  <si>
    <t>成形性改善PJ</t>
  </si>
  <si>
    <t>高橋</t>
  </si>
  <si>
    <t>CR-00002</t>
  </si>
  <si>
    <t>表面品質PJ</t>
  </si>
  <si>
    <t>山田</t>
  </si>
  <si>
    <t>CR-00003</t>
  </si>
  <si>
    <t>工程短縮PJ</t>
  </si>
  <si>
    <t>CR-00004</t>
  </si>
  <si>
    <t>薄板高強度化PJ</t>
  </si>
  <si>
    <t>CR-00005</t>
  </si>
  <si>
    <t>CR-00006</t>
  </si>
  <si>
    <t>CR-00007</t>
  </si>
  <si>
    <t>CR-00008</t>
  </si>
  <si>
    <t>CR-00009</t>
  </si>
  <si>
    <t>CR-00010</t>
  </si>
  <si>
    <t>CR-00011</t>
  </si>
  <si>
    <t>CR-00012</t>
  </si>
  <si>
    <t>CR-00013</t>
  </si>
  <si>
    <t>CR-00014</t>
  </si>
  <si>
    <t>CR-00015</t>
  </si>
  <si>
    <t>CR-00016</t>
  </si>
  <si>
    <t>CR-00017</t>
  </si>
  <si>
    <t>CR-00018</t>
  </si>
  <si>
    <t>CR-00019</t>
  </si>
  <si>
    <t>CR-00020</t>
  </si>
  <si>
    <t>CR-00021</t>
  </si>
  <si>
    <t>CR-00022</t>
  </si>
  <si>
    <t>CR-00023</t>
  </si>
  <si>
    <t>CR-00024</t>
  </si>
  <si>
    <t>CR-00025</t>
  </si>
  <si>
    <t>CR-00026</t>
  </si>
  <si>
    <t>CR-00027</t>
  </si>
  <si>
    <t>CR-00028</t>
  </si>
  <si>
    <t>CR-00029</t>
  </si>
  <si>
    <t>CR-00030</t>
  </si>
  <si>
    <t>CR-00031</t>
  </si>
  <si>
    <t>CR-00032</t>
  </si>
  <si>
    <t>CR-00033</t>
  </si>
  <si>
    <t>CR-00034</t>
  </si>
  <si>
    <t>CR-00035</t>
  </si>
  <si>
    <t>CR-00036</t>
  </si>
  <si>
    <t>CR-00037</t>
  </si>
  <si>
    <t>CR-00038</t>
  </si>
  <si>
    <t>CR-00039</t>
  </si>
  <si>
    <t>CR-00040</t>
  </si>
  <si>
    <t>CR-00041</t>
  </si>
  <si>
    <t>CR-00042</t>
  </si>
  <si>
    <t>CR-00043</t>
  </si>
  <si>
    <t>CR-00044</t>
  </si>
  <si>
    <t>CR-00045</t>
  </si>
  <si>
    <t>CR-00046</t>
  </si>
  <si>
    <t>CR-00047</t>
  </si>
  <si>
    <t>CR-00048</t>
  </si>
  <si>
    <t>CR-00049</t>
  </si>
  <si>
    <t>CR-00050</t>
  </si>
  <si>
    <t>CR-00051</t>
  </si>
  <si>
    <t>CR-00052</t>
  </si>
  <si>
    <t>CR-00053</t>
  </si>
  <si>
    <t>CR-00054</t>
  </si>
  <si>
    <t>CR-00055</t>
  </si>
  <si>
    <t>CR-00056</t>
  </si>
  <si>
    <t>CR-00057</t>
  </si>
  <si>
    <t>CR-00058</t>
  </si>
  <si>
    <t>CR-00059</t>
  </si>
  <si>
    <t>CR-00060</t>
  </si>
  <si>
    <t>CR-00061</t>
  </si>
  <si>
    <t>CR-00062</t>
  </si>
  <si>
    <t>CR-00063</t>
  </si>
  <si>
    <t>CR-00064</t>
  </si>
  <si>
    <t>CR-00065</t>
  </si>
  <si>
    <t>CR-00066</t>
  </si>
  <si>
    <t>CR-00067</t>
  </si>
  <si>
    <t>CR-00068</t>
  </si>
  <si>
    <t>CR-00069</t>
  </si>
  <si>
    <t>CR-00070</t>
  </si>
  <si>
    <t>CR-00071</t>
  </si>
  <si>
    <t>CR-00072</t>
  </si>
  <si>
    <t>CR-00073</t>
  </si>
  <si>
    <t>CR-00074</t>
  </si>
  <si>
    <t>CR-00075</t>
  </si>
  <si>
    <t>CR-00076</t>
  </si>
  <si>
    <t>CR-00077</t>
  </si>
  <si>
    <t>CR-00078</t>
  </si>
  <si>
    <t>CR-00079</t>
  </si>
  <si>
    <t>CR-00080</t>
  </si>
  <si>
    <t>CR-00081</t>
  </si>
  <si>
    <t>CR-00082</t>
  </si>
  <si>
    <t>CR-00083</t>
  </si>
  <si>
    <t>CR-00084</t>
  </si>
  <si>
    <t>CR-00085</t>
  </si>
  <si>
    <t>CR-00086</t>
  </si>
  <si>
    <t>CR-00087</t>
  </si>
  <si>
    <t>CR-00088</t>
  </si>
  <si>
    <t>CR-00089</t>
  </si>
  <si>
    <t>CR-00090</t>
  </si>
  <si>
    <t>CR-00091</t>
  </si>
  <si>
    <t>CR-00092</t>
  </si>
  <si>
    <t>CR-00093</t>
  </si>
  <si>
    <t>CR-00094</t>
  </si>
  <si>
    <t>CR-00095</t>
  </si>
  <si>
    <t>CR-00096</t>
  </si>
  <si>
    <t>CR-00097</t>
  </si>
  <si>
    <t>CR-00098</t>
  </si>
  <si>
    <t>CR-00099</t>
  </si>
  <si>
    <t>CR-00100</t>
  </si>
  <si>
    <t>CR-00101</t>
  </si>
  <si>
    <t>CR-00102</t>
  </si>
  <si>
    <t>CR-00103</t>
  </si>
  <si>
    <t>CR-00104</t>
  </si>
  <si>
    <t>CR-00105</t>
  </si>
  <si>
    <t>CR-00106</t>
  </si>
  <si>
    <t>CR-00107</t>
  </si>
  <si>
    <t>CR-00108</t>
  </si>
  <si>
    <t>CR-00109</t>
  </si>
  <si>
    <t>CR-00110</t>
  </si>
  <si>
    <t>CR-00111</t>
  </si>
  <si>
    <t>CR-00112</t>
  </si>
  <si>
    <t>CR-00113</t>
  </si>
  <si>
    <t>CR-00114</t>
  </si>
  <si>
    <t>CR-00115</t>
  </si>
  <si>
    <t>CR-00116</t>
  </si>
  <si>
    <t>CR-00117</t>
  </si>
  <si>
    <t>CR-00118</t>
  </si>
  <si>
    <t>CR-00119</t>
  </si>
  <si>
    <t>CR-00120</t>
  </si>
  <si>
    <t>CR-00121</t>
  </si>
  <si>
    <t>CR-00122</t>
  </si>
  <si>
    <t>CR-00123</t>
  </si>
  <si>
    <t>CR-00124</t>
  </si>
  <si>
    <t>CR-00125</t>
  </si>
  <si>
    <t>CR-00126</t>
  </si>
  <si>
    <t>CR-00127</t>
  </si>
  <si>
    <t>CR-00128</t>
  </si>
  <si>
    <t>CR-00129</t>
  </si>
  <si>
    <t>CR-00130</t>
  </si>
  <si>
    <t>CR-00131</t>
  </si>
  <si>
    <t>CR-00132</t>
  </si>
  <si>
    <t>CR-00133</t>
  </si>
  <si>
    <t>CR-00134</t>
  </si>
  <si>
    <t>CR-00135</t>
  </si>
  <si>
    <t>CR-00136</t>
  </si>
  <si>
    <t>CR-00137</t>
  </si>
  <si>
    <t>CR-00138</t>
  </si>
  <si>
    <t>CR-00139</t>
  </si>
  <si>
    <t>CR-00140</t>
  </si>
  <si>
    <t>CR-00141</t>
  </si>
  <si>
    <t>CR-00142</t>
  </si>
  <si>
    <t>CR-00143</t>
  </si>
  <si>
    <t>CR-00144</t>
  </si>
  <si>
    <t>CR-00145</t>
  </si>
  <si>
    <t>CR-00146</t>
  </si>
  <si>
    <t>CR-00147</t>
  </si>
  <si>
    <t>CR-00148</t>
  </si>
  <si>
    <t>CR-00149</t>
  </si>
  <si>
    <t>CR-00150</t>
  </si>
  <si>
    <t>CR-00151</t>
  </si>
  <si>
    <t>CR-00152</t>
  </si>
  <si>
    <t>CR-00153</t>
  </si>
  <si>
    <t>CR-00154</t>
  </si>
  <si>
    <t>CR-00155</t>
  </si>
  <si>
    <t>CR-00156</t>
  </si>
  <si>
    <t>CR-00157</t>
  </si>
  <si>
    <t>CR-00158</t>
  </si>
  <si>
    <t>CR-00159</t>
  </si>
  <si>
    <t>CR-00160</t>
  </si>
  <si>
    <t>CR-00161</t>
  </si>
  <si>
    <t>CR-00162</t>
  </si>
  <si>
    <t>CR-00163</t>
  </si>
  <si>
    <t>CR-00164</t>
  </si>
  <si>
    <t>CR-00165</t>
  </si>
  <si>
    <t>CR-00166</t>
  </si>
  <si>
    <t>CR-00167</t>
  </si>
  <si>
    <t>CR-00168</t>
  </si>
  <si>
    <t>CR-00169</t>
  </si>
  <si>
    <t>CR-00170</t>
  </si>
  <si>
    <t>CR-00171</t>
  </si>
  <si>
    <t>CR-00172</t>
  </si>
  <si>
    <t>CR-00173</t>
  </si>
  <si>
    <t>CR-00174</t>
  </si>
  <si>
    <t>CR-00175</t>
  </si>
  <si>
    <t>CR-00176</t>
  </si>
  <si>
    <t>CR-00177</t>
  </si>
  <si>
    <t>CR-00178</t>
  </si>
  <si>
    <t>伊藤</t>
  </si>
  <si>
    <r>
      <rPr>
        <b/>
        <sz val="11"/>
        <color rgb="FFFFFFFF"/>
        <rFont val="ＭＳ Ｐゴシック"/>
        <family val="3"/>
      </rPr>
      <t>溶製成績書</t>
    </r>
    <r>
      <rPr>
        <b/>
        <sz val="11"/>
        <color rgb="FFFFFFFF"/>
        <rFont val="Carlito"/>
      </rPr>
      <t>_key**</t>
    </r>
  </si>
  <si>
    <r>
      <rPr>
        <b/>
        <sz val="11"/>
        <color rgb="FFFFFFFF"/>
        <rFont val="ＭＳ Ｐゴシック"/>
        <family val="3"/>
      </rPr>
      <t>熱延条件</t>
    </r>
    <r>
      <rPr>
        <b/>
        <sz val="11"/>
        <color rgb="FFFFFFFF"/>
        <rFont val="Carlito"/>
      </rPr>
      <t>_key**</t>
    </r>
  </si>
  <si>
    <r>
      <rPr>
        <b/>
        <sz val="11"/>
        <color rgb="FFFFFFFF"/>
        <rFont val="ＭＳ Ｐゴシック"/>
        <family val="3"/>
      </rPr>
      <t>焼鈍履歴</t>
    </r>
    <r>
      <rPr>
        <b/>
        <sz val="11"/>
        <color rgb="FFFFFFFF"/>
        <rFont val="Carlito"/>
      </rPr>
      <t>_key**</t>
    </r>
  </si>
  <si>
    <r>
      <rPr>
        <b/>
        <sz val="11"/>
        <color rgb="FFFFFFFF"/>
        <rFont val="ＭＳ Ｐゴシック"/>
        <family val="3"/>
      </rPr>
      <t>熱延引張実績</t>
    </r>
    <r>
      <rPr>
        <b/>
        <sz val="11"/>
        <color rgb="FFFFFFFF"/>
        <rFont val="Carlito"/>
      </rPr>
      <t>_key**</t>
    </r>
  </si>
  <si>
    <r>
      <rPr>
        <b/>
        <sz val="11"/>
        <color rgb="FFFFFFFF"/>
        <rFont val="ＭＳ Ｐゴシック"/>
        <family val="3"/>
      </rPr>
      <t>熱延組織</t>
    </r>
    <r>
      <rPr>
        <b/>
        <sz val="11"/>
        <color rgb="FFFFFFFF"/>
        <rFont val="Carlito"/>
      </rPr>
      <t>_key**</t>
    </r>
  </si>
  <si>
    <r>
      <rPr>
        <b/>
        <sz val="11"/>
        <color rgb="FFFFFFFF"/>
        <rFont val="ＭＳ Ｐゴシック"/>
        <family val="3"/>
      </rPr>
      <t>焼鈍引張実績</t>
    </r>
    <r>
      <rPr>
        <b/>
        <sz val="11"/>
        <color rgb="FFFFFFFF"/>
        <rFont val="Carlito"/>
      </rPr>
      <t>_key**</t>
    </r>
  </si>
  <si>
    <r>
      <rPr>
        <b/>
        <sz val="11"/>
        <color rgb="FFFFFFFF"/>
        <rFont val="ＭＳ Ｐゴシック"/>
        <family val="3"/>
      </rPr>
      <t>焼鈍穴拡げ実績</t>
    </r>
    <r>
      <rPr>
        <b/>
        <sz val="11"/>
        <color rgb="FFFFFFFF"/>
        <rFont val="Carlito"/>
      </rPr>
      <t>_key**</t>
    </r>
  </si>
  <si>
    <r>
      <rPr>
        <b/>
        <sz val="11"/>
        <color rgb="FFFFFFFF"/>
        <rFont val="ＭＳ Ｐゴシック"/>
        <family val="3"/>
      </rPr>
      <t>焼鈍板組織</t>
    </r>
    <r>
      <rPr>
        <b/>
        <sz val="11"/>
        <color rgb="FFFFFFFF"/>
        <rFont val="Carlito"/>
      </rPr>
      <t>_key**</t>
    </r>
  </si>
  <si>
    <t>dummy_key**</t>
  </si>
  <si>
    <t>ME-00001</t>
  </si>
  <si>
    <t>HR-00001</t>
  </si>
  <si>
    <t>HT-00001</t>
  </si>
  <si>
    <t>dummy001</t>
  </si>
  <si>
    <t>HT-00002</t>
  </si>
  <si>
    <t>dummy002</t>
  </si>
  <si>
    <t>HMS-00001</t>
  </si>
  <si>
    <t>dummy003</t>
  </si>
  <si>
    <t>HR-00002</t>
  </si>
  <si>
    <t>HT-00003</t>
  </si>
  <si>
    <t>dummy004</t>
  </si>
  <si>
    <t>HMS-00002</t>
  </si>
  <si>
    <t>dummy005</t>
  </si>
  <si>
    <t>HMS-00003</t>
  </si>
  <si>
    <t>dummy006</t>
  </si>
  <si>
    <t>HMS-00004</t>
  </si>
  <si>
    <t>dummy007</t>
  </si>
  <si>
    <t>ME-00002</t>
  </si>
  <si>
    <t>HR-00003</t>
  </si>
  <si>
    <t>HT-00004</t>
  </si>
  <si>
    <t>dummy008</t>
  </si>
  <si>
    <t>HT-00005</t>
  </si>
  <si>
    <t>dummy009</t>
  </si>
  <si>
    <t>HMS-00005</t>
  </si>
  <si>
    <t>dummy010</t>
  </si>
  <si>
    <t>HMS-00006</t>
  </si>
  <si>
    <t>dummy011</t>
  </si>
  <si>
    <t>HMS-00007</t>
  </si>
  <si>
    <t>dummy012</t>
  </si>
  <si>
    <t>HMS-00008</t>
  </si>
  <si>
    <t>dummy013</t>
  </si>
  <si>
    <t>ME-00003</t>
  </si>
  <si>
    <t>HR-00004</t>
  </si>
  <si>
    <t>HT-00006</t>
  </si>
  <si>
    <t>dummy014</t>
  </si>
  <si>
    <t>HT-00007</t>
  </si>
  <si>
    <t>dummy015</t>
  </si>
  <si>
    <t>HR-00005</t>
  </si>
  <si>
    <t>HT-00008</t>
  </si>
  <si>
    <t>dummy016</t>
  </si>
  <si>
    <t>HT-00009</t>
  </si>
  <si>
    <t>dummy017</t>
  </si>
  <si>
    <t>HT-00010</t>
  </si>
  <si>
    <t>dummy018</t>
  </si>
  <si>
    <t>ME-00004</t>
  </si>
  <si>
    <t>HR-00006</t>
  </si>
  <si>
    <t>HT-00011</t>
  </si>
  <si>
    <t>dummy019</t>
  </si>
  <si>
    <t>HR-00007</t>
  </si>
  <si>
    <t>HT-00012</t>
  </si>
  <si>
    <t>dummy020</t>
  </si>
  <si>
    <t>HT-00013</t>
  </si>
  <si>
    <t>dummy021</t>
  </si>
  <si>
    <t>ME-00005</t>
  </si>
  <si>
    <t>HR-00008</t>
  </si>
  <si>
    <t>HT-00014</t>
  </si>
  <si>
    <t>dummy022</t>
  </si>
  <si>
    <t>HT-00015</t>
  </si>
  <si>
    <t>dummy023</t>
  </si>
  <si>
    <t>HMS-00009</t>
  </si>
  <si>
    <t>dummy024</t>
  </si>
  <si>
    <t>HMS-00010</t>
  </si>
  <si>
    <t>dummy025</t>
  </si>
  <si>
    <t>HR-00009</t>
  </si>
  <si>
    <t>HT-00016</t>
  </si>
  <si>
    <t>dummy026</t>
  </si>
  <si>
    <t>HT-00017</t>
  </si>
  <si>
    <t>dummy027</t>
  </si>
  <si>
    <t>HT-00018</t>
  </si>
  <si>
    <t>dummy028</t>
  </si>
  <si>
    <t>ME-00006</t>
  </si>
  <si>
    <t>HR-00010</t>
  </si>
  <si>
    <t>HT-00019</t>
  </si>
  <si>
    <t>dummy029</t>
  </si>
  <si>
    <t>HT-00020</t>
  </si>
  <si>
    <t>dummy030</t>
  </si>
  <si>
    <t>HT-00021</t>
  </si>
  <si>
    <t>dummy031</t>
  </si>
  <si>
    <t>HMS-00011</t>
  </si>
  <si>
    <t>dummy032</t>
  </si>
  <si>
    <t>HMS-00012</t>
  </si>
  <si>
    <t>dummy033</t>
  </si>
  <si>
    <t>ME-00007</t>
  </si>
  <si>
    <t>HR-00011</t>
  </si>
  <si>
    <t>HT-00022</t>
  </si>
  <si>
    <t>dummy034</t>
  </si>
  <si>
    <t>HT-00023</t>
  </si>
  <si>
    <t>dummy035</t>
  </si>
  <si>
    <t>HMS-00013</t>
  </si>
  <si>
    <t>dummy036</t>
  </si>
  <si>
    <t>HMS-00014</t>
  </si>
  <si>
    <t>dummy037</t>
  </si>
  <si>
    <t>HMS-00015</t>
  </si>
  <si>
    <t>dummy038</t>
  </si>
  <si>
    <t>ME-00008</t>
  </si>
  <si>
    <t>HR-00012</t>
  </si>
  <si>
    <t>HT-00024</t>
  </si>
  <si>
    <t>dummy039</t>
  </si>
  <si>
    <t>HT-00025</t>
  </si>
  <si>
    <t>dummy040</t>
  </si>
  <si>
    <t>ME-00009</t>
  </si>
  <si>
    <t>HR-00013</t>
  </si>
  <si>
    <t>HT-00026</t>
  </si>
  <si>
    <t>dummy041</t>
  </si>
  <si>
    <t>HT-00027</t>
  </si>
  <si>
    <t>dummy042</t>
  </si>
  <si>
    <t>HR-00014</t>
  </si>
  <si>
    <t>HT-00028</t>
  </si>
  <si>
    <t>dummy043</t>
  </si>
  <si>
    <t>HT-00029</t>
  </si>
  <si>
    <t>dummy044</t>
  </si>
  <si>
    <t>HMS-00016</t>
  </si>
  <si>
    <t>dummy045</t>
  </si>
  <si>
    <t>HMS-00017</t>
  </si>
  <si>
    <t>dummy046</t>
  </si>
  <si>
    <t>ME-00010</t>
  </si>
  <si>
    <t>HR-00015</t>
  </si>
  <si>
    <t>HT-00030</t>
  </si>
  <si>
    <t>dummy047</t>
  </si>
  <si>
    <t>HT-00031</t>
  </si>
  <si>
    <t>dummy048</t>
  </si>
  <si>
    <t>HT-00032</t>
  </si>
  <si>
    <t>dummy049</t>
  </si>
  <si>
    <t>HMS-00018</t>
  </si>
  <si>
    <t>dummy050</t>
  </si>
  <si>
    <t>HR-00016</t>
  </si>
  <si>
    <t>HT-00033</t>
  </si>
  <si>
    <t>dummy051</t>
  </si>
  <si>
    <t>HT-00034</t>
  </si>
  <si>
    <t>dummy052</t>
  </si>
  <si>
    <t>HT-00035</t>
  </si>
  <si>
    <t>dummy053</t>
  </si>
  <si>
    <t>HMS-00019</t>
  </si>
  <si>
    <t>dummy054</t>
  </si>
  <si>
    <t>HR-00017</t>
  </si>
  <si>
    <t>HT-00036</t>
  </si>
  <si>
    <t>dummy055</t>
  </si>
  <si>
    <t>HT-00037</t>
  </si>
  <si>
    <t>dummy056</t>
  </si>
  <si>
    <t>HT-00038</t>
  </si>
  <si>
    <t>dummy057</t>
  </si>
  <si>
    <t>HMS-00020</t>
  </si>
  <si>
    <t>dummy058</t>
  </si>
  <si>
    <t>HMS-00021</t>
  </si>
  <si>
    <t>dummy059</t>
  </si>
  <si>
    <t>HR-00018</t>
  </si>
  <si>
    <t>HMS-00022</t>
  </si>
  <si>
    <t>dummy060</t>
  </si>
  <si>
    <t>HMS-00023</t>
  </si>
  <si>
    <t>dummy061</t>
  </si>
  <si>
    <t>HMS-00024</t>
  </si>
  <si>
    <t>dummy062</t>
  </si>
  <si>
    <t>ME-00012</t>
  </si>
  <si>
    <t>HR-00019</t>
  </si>
  <si>
    <t>dummy063</t>
  </si>
  <si>
    <t>ME-00013</t>
  </si>
  <si>
    <t>HR-00020</t>
  </si>
  <si>
    <t>HT-00039</t>
  </si>
  <si>
    <t>dummy064</t>
  </si>
  <si>
    <t>HT-00040</t>
  </si>
  <si>
    <t>dummy065</t>
  </si>
  <si>
    <t>HR-00021</t>
  </si>
  <si>
    <t>HT-00041</t>
  </si>
  <si>
    <t>dummy066</t>
  </si>
  <si>
    <t>HT-00042</t>
  </si>
  <si>
    <t>dummy067</t>
  </si>
  <si>
    <t>HR-00022</t>
  </si>
  <si>
    <t>HT-00043</t>
  </si>
  <si>
    <t>dummy068</t>
  </si>
  <si>
    <t>HT-00044</t>
  </si>
  <si>
    <t>dummy069</t>
  </si>
  <si>
    <t>ME-00014</t>
  </si>
  <si>
    <t>HR-00023</t>
  </si>
  <si>
    <t>HT-00045</t>
  </si>
  <si>
    <t>dummy070</t>
  </si>
  <si>
    <t>HT-00046</t>
  </si>
  <si>
    <t>dummy071</t>
  </si>
  <si>
    <t>HR-00024</t>
  </si>
  <si>
    <t>HT-00047</t>
  </si>
  <si>
    <t>dummy072</t>
  </si>
  <si>
    <t>HT-00048</t>
  </si>
  <si>
    <t>dummy073</t>
  </si>
  <si>
    <t>HMS-00025</t>
  </si>
  <si>
    <t>dummy074</t>
  </si>
  <si>
    <t>HMS-00026</t>
  </si>
  <si>
    <t>dummy075</t>
  </si>
  <si>
    <t>HMS-00027</t>
  </si>
  <si>
    <t>dummy076</t>
  </si>
  <si>
    <t>ME-00015</t>
  </si>
  <si>
    <t>HR-00025</t>
  </si>
  <si>
    <t>HT-00049</t>
  </si>
  <si>
    <t>dummy077</t>
  </si>
  <si>
    <t>HT-00050</t>
  </si>
  <si>
    <t>dummy078</t>
  </si>
  <si>
    <t>HMS-00028</t>
  </si>
  <si>
    <t>dummy079</t>
  </si>
  <si>
    <t>HMS-00029</t>
  </si>
  <si>
    <t>dummy080</t>
  </si>
  <si>
    <t>HMS-00030</t>
  </si>
  <si>
    <t>dummy081</t>
  </si>
  <si>
    <t>ME-00016</t>
  </si>
  <si>
    <t>HR-00026</t>
  </si>
  <si>
    <t>HT-00051</t>
  </si>
  <si>
    <t>dummy082</t>
  </si>
  <si>
    <t>HT-00052</t>
  </si>
  <si>
    <t>dummy083</t>
  </si>
  <si>
    <t>ME-00017</t>
  </si>
  <si>
    <t>HR-00027</t>
  </si>
  <si>
    <t>HT-00053</t>
  </si>
  <si>
    <t>dummy084</t>
  </si>
  <si>
    <t>ME-00018</t>
  </si>
  <si>
    <t>HR-00028</t>
  </si>
  <si>
    <t>HT-00054</t>
  </si>
  <si>
    <t>dummy085</t>
  </si>
  <si>
    <t>HT-00055</t>
  </si>
  <si>
    <t>dummy086</t>
  </si>
  <si>
    <t>HT-00056</t>
  </si>
  <si>
    <t>dummy087</t>
  </si>
  <si>
    <t>HR-00029</t>
  </si>
  <si>
    <t>HT-00057</t>
  </si>
  <si>
    <t>dummy088</t>
  </si>
  <si>
    <t>HT-00058</t>
  </si>
  <si>
    <t>dummy089</t>
  </si>
  <si>
    <t>HR-00030</t>
  </si>
  <si>
    <t>HT-00059</t>
  </si>
  <si>
    <t>dummy090</t>
  </si>
  <si>
    <t>HT-00060</t>
  </si>
  <si>
    <t>dummy091</t>
  </si>
  <si>
    <t>ME-00019</t>
  </si>
  <si>
    <t>HR-00031</t>
  </si>
  <si>
    <t>HT-00061</t>
  </si>
  <si>
    <t>dummy092</t>
  </si>
  <si>
    <t>HT-00062</t>
  </si>
  <si>
    <t>dummy093</t>
  </si>
  <si>
    <t>ME-00020</t>
  </si>
  <si>
    <t>HR-00032</t>
  </si>
  <si>
    <t>HT-00063</t>
  </si>
  <si>
    <t>dummy094</t>
  </si>
  <si>
    <t>HT-00064</t>
  </si>
  <si>
    <t>dummy095</t>
  </si>
  <si>
    <t>HMS-00031</t>
  </si>
  <si>
    <t>dummy096</t>
  </si>
  <si>
    <t>HMS-00032</t>
  </si>
  <si>
    <t>dummy097</t>
  </si>
  <si>
    <t>HMS-00033</t>
  </si>
  <si>
    <t>dummy098</t>
  </si>
  <si>
    <t>HMS-00034</t>
  </si>
  <si>
    <t>dummy099</t>
  </si>
  <si>
    <t>HR-00033</t>
  </si>
  <si>
    <t>HT-00065</t>
  </si>
  <si>
    <t>dummy100</t>
  </si>
  <si>
    <t>HT-00066</t>
  </si>
  <si>
    <t>dummy101</t>
  </si>
  <si>
    <t>HT-00067</t>
  </si>
  <si>
    <t>dummy102</t>
  </si>
  <si>
    <t>HMS-00035</t>
  </si>
  <si>
    <t>dummy103</t>
  </si>
  <si>
    <t>HMS-00036</t>
  </si>
  <si>
    <t>dummy104</t>
  </si>
  <si>
    <t>HMS-00037</t>
  </si>
  <si>
    <t>dummy105</t>
  </si>
  <si>
    <t>ME-00021</t>
  </si>
  <si>
    <t>HR-00034</t>
  </si>
  <si>
    <t>HT-00068</t>
  </si>
  <si>
    <t>dummy106</t>
  </si>
  <si>
    <t>HT-00069</t>
  </si>
  <si>
    <t>dummy107</t>
  </si>
  <si>
    <t>ME-00022</t>
  </si>
  <si>
    <t>HR-00035</t>
  </si>
  <si>
    <t>HT-00070</t>
  </si>
  <si>
    <t>dummy108</t>
  </si>
  <si>
    <t>HT-00071</t>
  </si>
  <si>
    <t>dummy109</t>
  </si>
  <si>
    <t>HT-00072</t>
  </si>
  <si>
    <t>dummy110</t>
  </si>
  <si>
    <t>HR-00036</t>
  </si>
  <si>
    <t>HT-00073</t>
  </si>
  <si>
    <t>dummy111</t>
  </si>
  <si>
    <t>HT-00074</t>
  </si>
  <si>
    <t>dummy112</t>
  </si>
  <si>
    <t>HT-00075</t>
  </si>
  <si>
    <t>dummy113</t>
  </si>
  <si>
    <t>HMS-00038</t>
  </si>
  <si>
    <t>dummy114</t>
  </si>
  <si>
    <t>HMS-00039</t>
  </si>
  <si>
    <t>dummy115</t>
  </si>
  <si>
    <t>ME-00023</t>
  </si>
  <si>
    <t>HR-00037</t>
  </si>
  <si>
    <t>HT-00076</t>
  </si>
  <si>
    <t>dummy116</t>
  </si>
  <si>
    <t>HT-00077</t>
  </si>
  <si>
    <t>dummy117</t>
  </si>
  <si>
    <t>HMS-00040</t>
  </si>
  <si>
    <t>dummy118</t>
  </si>
  <si>
    <t>HR-00038</t>
  </si>
  <si>
    <t>HT-00078</t>
  </si>
  <si>
    <t>dummy119</t>
  </si>
  <si>
    <t>HT-00079</t>
  </si>
  <si>
    <t>dummy120</t>
  </si>
  <si>
    <t>HMS-00041</t>
  </si>
  <si>
    <t>dummy121</t>
  </si>
  <si>
    <t>HMS-00042</t>
  </si>
  <si>
    <t>dummy122</t>
  </si>
  <si>
    <t>HMS-00043</t>
  </si>
  <si>
    <t>dummy123</t>
  </si>
  <si>
    <t>HMS-00044</t>
  </si>
  <si>
    <t>dummy124</t>
  </si>
  <si>
    <t>ME-00024</t>
  </si>
  <si>
    <t>HR-00039</t>
  </si>
  <si>
    <t>dummy125</t>
  </si>
  <si>
    <t>HR-00040</t>
  </si>
  <si>
    <t>HT-00080</t>
  </si>
  <si>
    <t>dummy126</t>
  </si>
  <si>
    <t>HT-00081</t>
  </si>
  <si>
    <t>dummy127</t>
  </si>
  <si>
    <t>HMS-00045</t>
  </si>
  <si>
    <t>dummy128</t>
  </si>
  <si>
    <t>HMS-00046</t>
  </si>
  <si>
    <t>dummy129</t>
  </si>
  <si>
    <t>HR-00041</t>
  </si>
  <si>
    <t>dummy130</t>
  </si>
  <si>
    <t>ME-00025</t>
  </si>
  <si>
    <t>HR-00042</t>
  </si>
  <si>
    <t>HT-00082</t>
  </si>
  <si>
    <t>dummy131</t>
  </si>
  <si>
    <t>HT-00083</t>
  </si>
  <si>
    <t>dummy132</t>
  </si>
  <si>
    <t>HMS-00047</t>
  </si>
  <si>
    <t>dummy133</t>
  </si>
  <si>
    <t>HR-00043</t>
  </si>
  <si>
    <t>HT-00084</t>
  </si>
  <si>
    <t>dummy134</t>
  </si>
  <si>
    <t>HT-00085</t>
  </si>
  <si>
    <t>dummy135</t>
  </si>
  <si>
    <t>HMS-00048</t>
  </si>
  <si>
    <t>dummy136</t>
  </si>
  <si>
    <t>HMS-00049</t>
  </si>
  <si>
    <t>dummy137</t>
  </si>
  <si>
    <t>HMS-00050</t>
  </si>
  <si>
    <t>dummy138</t>
  </si>
  <si>
    <t>HMS-00051</t>
  </si>
  <si>
    <t>dummy139</t>
  </si>
  <si>
    <t>HR-00044</t>
  </si>
  <si>
    <t>HT-00086</t>
  </si>
  <si>
    <t>dummy140</t>
  </si>
  <si>
    <t>HT-00087</t>
  </si>
  <si>
    <t>dummy141</t>
  </si>
  <si>
    <t>ME-00026</t>
  </si>
  <si>
    <t>HR-00045</t>
  </si>
  <si>
    <t>HMS-00052</t>
  </si>
  <si>
    <t>dummy142</t>
  </si>
  <si>
    <t>HMS-00053</t>
  </si>
  <si>
    <t>dummy143</t>
  </si>
  <si>
    <t>HMS-00054</t>
  </si>
  <si>
    <t>dummy144</t>
  </si>
  <si>
    <t>ME-00027</t>
  </si>
  <si>
    <t>HR-00046</t>
  </si>
  <si>
    <t>HT-00088</t>
  </si>
  <si>
    <t>dummy145</t>
  </si>
  <si>
    <t>ME-00028</t>
  </si>
  <si>
    <t>HR-00047</t>
  </si>
  <si>
    <t>HT-00089</t>
  </si>
  <si>
    <t>dummy146</t>
  </si>
  <si>
    <t>HT-00090</t>
  </si>
  <si>
    <t>dummy147</t>
  </si>
  <si>
    <t>HR-00048</t>
  </si>
  <si>
    <t>HT-00091</t>
  </si>
  <si>
    <t>dummy148</t>
  </si>
  <si>
    <t>HT-00092</t>
  </si>
  <si>
    <t>dummy149</t>
  </si>
  <si>
    <t>ME-00029</t>
  </si>
  <si>
    <t>HR-00049</t>
  </si>
  <si>
    <t>HT-00093</t>
  </si>
  <si>
    <t>dummy150</t>
  </si>
  <si>
    <t>HT-00094</t>
  </si>
  <si>
    <t>dummy151</t>
  </si>
  <si>
    <t>HR-00050</t>
  </si>
  <si>
    <t>HT-00095</t>
  </si>
  <si>
    <t>dummy152</t>
  </si>
  <si>
    <t>HT-00096</t>
  </si>
  <si>
    <t>dummy153</t>
  </si>
  <si>
    <t>HT-00097</t>
  </si>
  <si>
    <t>dummy154</t>
  </si>
  <si>
    <t>HR-00051</t>
  </si>
  <si>
    <t>HT-00098</t>
  </si>
  <si>
    <t>dummy155</t>
  </si>
  <si>
    <t>HT-00099</t>
  </si>
  <si>
    <t>dummy156</t>
  </si>
  <si>
    <t>ME-00030</t>
  </si>
  <si>
    <t>HR-00052</t>
  </si>
  <si>
    <t>HT-00100</t>
  </si>
  <si>
    <t>dummy157</t>
  </si>
  <si>
    <t>ME-00031</t>
  </si>
  <si>
    <t>HR-00053</t>
  </si>
  <si>
    <t>HT-00101</t>
  </si>
  <si>
    <t>dummy158</t>
  </si>
  <si>
    <t>HT-00102</t>
  </si>
  <si>
    <t>dummy159</t>
  </si>
  <si>
    <t>HR-00054</t>
  </si>
  <si>
    <t>HT-00103</t>
  </si>
  <si>
    <t>dummy160</t>
  </si>
  <si>
    <t>HT-00104</t>
  </si>
  <si>
    <t>dummy161</t>
  </si>
  <si>
    <t>HR-00055</t>
  </si>
  <si>
    <t>HT-00105</t>
  </si>
  <si>
    <t>dummy162</t>
  </si>
  <si>
    <t>HT-00106</t>
  </si>
  <si>
    <t>dummy163</t>
  </si>
  <si>
    <t>ME-00032</t>
  </si>
  <si>
    <t>HR-00056</t>
  </si>
  <si>
    <t>HMS-00055</t>
  </si>
  <si>
    <t>dummy164</t>
  </si>
  <si>
    <t>HMS-00056</t>
  </si>
  <si>
    <t>dummy165</t>
  </si>
  <si>
    <t>ME-00033</t>
  </si>
  <si>
    <t>HR-00057</t>
  </si>
  <si>
    <t>HT-00107</t>
  </si>
  <si>
    <t>dummy166</t>
  </si>
  <si>
    <t>HT-00108</t>
  </si>
  <si>
    <t>dummy167</t>
  </si>
  <si>
    <t>HT-00109</t>
  </si>
  <si>
    <t>dummy168</t>
  </si>
  <si>
    <t>HMS-00057</t>
  </si>
  <si>
    <t>dummy169</t>
  </si>
  <si>
    <t>HMS-00058</t>
  </si>
  <si>
    <t>dummy170</t>
  </si>
  <si>
    <t>HMS-00059</t>
  </si>
  <si>
    <t>dummy171</t>
  </si>
  <si>
    <t>ME-00034</t>
  </si>
  <si>
    <t>HR-00058</t>
  </si>
  <si>
    <t>HT-00110</t>
  </si>
  <si>
    <t>dummy172</t>
  </si>
  <si>
    <t>HT-00111</t>
  </si>
  <si>
    <t>dummy173</t>
  </si>
  <si>
    <t>ME-00035</t>
  </si>
  <si>
    <t>HR-00059</t>
  </si>
  <si>
    <t>HMS-00060</t>
  </si>
  <si>
    <t>dummy174</t>
  </si>
  <si>
    <t>HMS-00061</t>
  </si>
  <si>
    <t>dummy175</t>
  </si>
  <si>
    <t>HMS-00062</t>
  </si>
  <si>
    <t>dummy176</t>
  </si>
  <si>
    <t>ME-00036</t>
  </si>
  <si>
    <t>HR-00060</t>
  </si>
  <si>
    <t>dummy177</t>
  </si>
  <si>
    <t>HR-00061</t>
  </si>
  <si>
    <t>HT-00112</t>
  </si>
  <si>
    <t>dummy178</t>
  </si>
  <si>
    <t>HR-00062</t>
  </si>
  <si>
    <t>HMS-00063</t>
  </si>
  <si>
    <t>dummy179</t>
  </si>
  <si>
    <t>HMS-00064</t>
  </si>
  <si>
    <t>dummy180</t>
  </si>
  <si>
    <t>HMS-00065</t>
  </si>
  <si>
    <t>dummy181</t>
  </si>
  <si>
    <t>HMS-00066</t>
  </si>
  <si>
    <t>dummy182</t>
  </si>
  <si>
    <t>ME-00037</t>
  </si>
  <si>
    <t>HR-00063</t>
  </si>
  <si>
    <t>HT-00113</t>
  </si>
  <si>
    <t>dummy183</t>
  </si>
  <si>
    <t>HT-00114</t>
  </si>
  <si>
    <t>dummy184</t>
  </si>
  <si>
    <t>HR-00064</t>
  </si>
  <si>
    <t>dummy185</t>
  </si>
  <si>
    <t>ME-00038</t>
  </si>
  <si>
    <t>HR-00065</t>
  </si>
  <si>
    <t>HT-00115</t>
  </si>
  <si>
    <t>dummy186</t>
  </si>
  <si>
    <t>HT-00116</t>
  </si>
  <si>
    <t>dummy187</t>
  </si>
  <si>
    <t>ME-00039</t>
  </si>
  <si>
    <t>HR-00066</t>
  </si>
  <si>
    <t>dummy188</t>
  </si>
  <si>
    <t>HR-00067</t>
  </si>
  <si>
    <t>HT-00117</t>
  </si>
  <si>
    <t>dummy189</t>
  </si>
  <si>
    <t>HT-00118</t>
  </si>
  <si>
    <t>dummy190</t>
  </si>
  <si>
    <t>HT-00119</t>
  </si>
  <si>
    <t>dummy191</t>
  </si>
  <si>
    <t>HMS-00067</t>
  </si>
  <si>
    <t>dummy192</t>
  </si>
  <si>
    <t>HMS-00068</t>
  </si>
  <si>
    <t>dummy193</t>
  </si>
  <si>
    <t>ME-00040</t>
  </si>
  <si>
    <t>HR-00068</t>
  </si>
  <si>
    <t>HMS-00069</t>
  </si>
  <si>
    <t>dummy194</t>
  </si>
  <si>
    <t>HMS-00070</t>
  </si>
  <si>
    <t>dummy195</t>
  </si>
  <si>
    <t>HR-00069</t>
  </si>
  <si>
    <t>HT-00120</t>
  </si>
  <si>
    <t>dummy196</t>
  </si>
  <si>
    <t>HT-00121</t>
  </si>
  <si>
    <t>dummy197</t>
  </si>
  <si>
    <t>HT-00122</t>
  </si>
  <si>
    <t>dummy198</t>
  </si>
  <si>
    <t>ME-00041</t>
  </si>
  <si>
    <t>HR-00070</t>
  </si>
  <si>
    <t>HT-00123</t>
  </si>
  <si>
    <t>dummy199</t>
  </si>
  <si>
    <t>HT-00124</t>
  </si>
  <si>
    <t>dummy200</t>
  </si>
  <si>
    <t>HR-00071</t>
  </si>
  <si>
    <t>HMS-00071</t>
  </si>
  <si>
    <t>dummy201</t>
  </si>
  <si>
    <t>HMS-00072</t>
  </si>
  <si>
    <t>dummy202</t>
  </si>
  <si>
    <t>HMS-00073</t>
  </si>
  <si>
    <t>dummy203</t>
  </si>
  <si>
    <t>HMS-00074</t>
  </si>
  <si>
    <t>dummy204</t>
  </si>
  <si>
    <t>ME-00042</t>
  </si>
  <si>
    <t>HR-00072</t>
  </si>
  <si>
    <t>HT-00125</t>
  </si>
  <si>
    <t>dummy205</t>
  </si>
  <si>
    <t>HT-00126</t>
  </si>
  <si>
    <t>dummy206</t>
  </si>
  <si>
    <t>HT-00127</t>
  </si>
  <si>
    <t>dummy207</t>
  </si>
  <si>
    <t>HMS-00075</t>
  </si>
  <si>
    <t>dummy208</t>
  </si>
  <si>
    <t>HMS-00076</t>
  </si>
  <si>
    <t>dummy209</t>
  </si>
  <si>
    <t>HR-00073</t>
  </si>
  <si>
    <t>HMS-00077</t>
  </si>
  <si>
    <t>dummy210</t>
  </si>
  <si>
    <t>HMS-00078</t>
  </si>
  <si>
    <t>dummy211</t>
  </si>
  <si>
    <t>ME-00043</t>
  </si>
  <si>
    <t>HR-00074</t>
  </si>
  <si>
    <t>HT-00128</t>
  </si>
  <si>
    <t>dummy212</t>
  </si>
  <si>
    <t>HT-00129</t>
  </si>
  <si>
    <t>dummy213</t>
  </si>
  <si>
    <t>ME-00044</t>
  </si>
  <si>
    <t>HR-00075</t>
  </si>
  <si>
    <t>HT-00130</t>
  </si>
  <si>
    <t>dummy214</t>
  </si>
  <si>
    <t>HT-00131</t>
  </si>
  <si>
    <t>dummy215</t>
  </si>
  <si>
    <t>HR-00076</t>
  </si>
  <si>
    <t>HT-00132</t>
  </si>
  <si>
    <t>dummy216</t>
  </si>
  <si>
    <t>HT-00133</t>
  </si>
  <si>
    <t>dummy217</t>
  </si>
  <si>
    <t>HMS-00079</t>
  </si>
  <si>
    <t>dummy218</t>
  </si>
  <si>
    <t>HMS-00080</t>
  </si>
  <si>
    <t>dummy219</t>
  </si>
  <si>
    <t>HMS-00081</t>
  </si>
  <si>
    <t>dummy220</t>
  </si>
  <si>
    <t>HMS-00082</t>
  </si>
  <si>
    <t>dummy221</t>
  </si>
  <si>
    <t>ME-00045</t>
  </si>
  <si>
    <t>HR-00077</t>
  </si>
  <si>
    <t>dummy222</t>
  </si>
  <si>
    <t>ME-00046</t>
  </si>
  <si>
    <t>HR-00078</t>
  </si>
  <si>
    <t>HT-00134</t>
  </si>
  <si>
    <t>dummy223</t>
  </si>
  <si>
    <t>HMS-00083</t>
  </si>
  <si>
    <t>dummy224</t>
  </si>
  <si>
    <t>HR-00079</t>
  </si>
  <si>
    <t>dummy225</t>
  </si>
  <si>
    <t>ME-00047</t>
  </si>
  <si>
    <t>HR-00080</t>
  </si>
  <si>
    <t>HT-00135</t>
  </si>
  <si>
    <t>dummy226</t>
  </si>
  <si>
    <t>HT-00136</t>
  </si>
  <si>
    <t>dummy227</t>
  </si>
  <si>
    <t>HR-00081</t>
  </si>
  <si>
    <t>HT-00137</t>
  </si>
  <si>
    <t>dummy228</t>
  </si>
  <si>
    <t>HT-00138</t>
  </si>
  <si>
    <t>dummy229</t>
  </si>
  <si>
    <t>HT-00139</t>
  </si>
  <si>
    <t>dummy230</t>
  </si>
  <si>
    <t>HMS-00084</t>
  </si>
  <si>
    <t>dummy231</t>
  </si>
  <si>
    <t>HMS-00085</t>
  </si>
  <si>
    <t>dummy232</t>
  </si>
  <si>
    <t>HR-00082</t>
  </si>
  <si>
    <t>HT-00140</t>
  </si>
  <si>
    <t>dummy233</t>
  </si>
  <si>
    <t>HT-00141</t>
  </si>
  <si>
    <t>dummy234</t>
  </si>
  <si>
    <t>ME-00048</t>
  </si>
  <si>
    <t>HR-00083</t>
  </si>
  <si>
    <t>HT-00142</t>
  </si>
  <si>
    <t>dummy235</t>
  </si>
  <si>
    <t>HT-00143</t>
  </si>
  <si>
    <t>dummy236</t>
  </si>
  <si>
    <t>HMS-00086</t>
  </si>
  <si>
    <t>dummy237</t>
  </si>
  <si>
    <t>HMS-00087</t>
  </si>
  <si>
    <t>dummy238</t>
  </si>
  <si>
    <t>HR-00084</t>
  </si>
  <si>
    <t>HT-00144</t>
  </si>
  <si>
    <t>dummy239</t>
  </si>
  <si>
    <t>HR-00085</t>
  </si>
  <si>
    <t>HMS-00088</t>
  </si>
  <si>
    <t>dummy240</t>
  </si>
  <si>
    <t>ME-00049</t>
  </si>
  <si>
    <t>HR-00086</t>
  </si>
  <si>
    <t>HT-00145</t>
  </si>
  <si>
    <t>dummy241</t>
  </si>
  <si>
    <t>HT-00146</t>
  </si>
  <si>
    <t>dummy242</t>
  </si>
  <si>
    <t>HMS-00089</t>
  </si>
  <si>
    <t>dummy243</t>
  </si>
  <si>
    <t>HR-00087</t>
  </si>
  <si>
    <t>dummy244</t>
  </si>
  <si>
    <t>ME-00050</t>
  </si>
  <si>
    <t>HR-00088</t>
  </si>
  <si>
    <t>HT-00147</t>
  </si>
  <si>
    <t>dummy245</t>
  </si>
  <si>
    <t>HT-00148</t>
  </si>
  <si>
    <t>dummy246</t>
  </si>
  <si>
    <t>HT-00149</t>
  </si>
  <si>
    <t>dummy247</t>
  </si>
  <si>
    <t>HR-00089</t>
  </si>
  <si>
    <t>HT-00150</t>
  </si>
  <si>
    <t>dummy248</t>
  </si>
  <si>
    <t>HT-00151</t>
  </si>
  <si>
    <t>dummy249</t>
  </si>
  <si>
    <t>HMS-00090</t>
  </si>
  <si>
    <t>dummy250</t>
  </si>
  <si>
    <t>HMS-00091</t>
  </si>
  <si>
    <t>dummy251</t>
  </si>
  <si>
    <t>ME-00051</t>
  </si>
  <si>
    <t>HR-00090</t>
  </si>
  <si>
    <t>HT-00152</t>
  </si>
  <si>
    <t>dummy252</t>
  </si>
  <si>
    <t>HT-00153</t>
  </si>
  <si>
    <t>dummy253</t>
  </si>
  <si>
    <t>HMS-00092</t>
  </si>
  <si>
    <t>dummy254</t>
  </si>
  <si>
    <t>HMS-00093</t>
  </si>
  <si>
    <t>dummy255</t>
  </si>
  <si>
    <t>HMS-00094</t>
  </si>
  <si>
    <t>dummy256</t>
  </si>
  <si>
    <t>HR-00091</t>
  </si>
  <si>
    <t>HT-00154</t>
  </si>
  <si>
    <t>dummy257</t>
  </si>
  <si>
    <t>HT-00155</t>
  </si>
  <si>
    <t>dummy258</t>
  </si>
  <si>
    <t>HMS-00095</t>
  </si>
  <si>
    <t>dummy259</t>
  </si>
  <si>
    <t>HMS-00096</t>
  </si>
  <si>
    <t>dummy260</t>
  </si>
  <si>
    <t>ME-00052</t>
  </si>
  <si>
    <t>HR-00092</t>
  </si>
  <si>
    <t>HT-00156</t>
  </si>
  <si>
    <t>dummy261</t>
  </si>
  <si>
    <t>HT-00157</t>
  </si>
  <si>
    <t>dummy262</t>
  </si>
  <si>
    <t>HR-00093</t>
  </si>
  <si>
    <t>HT-00158</t>
  </si>
  <si>
    <t>dummy263</t>
  </si>
  <si>
    <t>HT-00159</t>
  </si>
  <si>
    <t>dummy264</t>
  </si>
  <si>
    <t>HMS-00097</t>
  </si>
  <si>
    <t>dummy265</t>
  </si>
  <si>
    <t>HMS-00098</t>
  </si>
  <si>
    <t>dummy266</t>
  </si>
  <si>
    <t>ME-00053</t>
  </si>
  <si>
    <t>HR-00094</t>
  </si>
  <si>
    <t>HT-00160</t>
  </si>
  <si>
    <t>dummy267</t>
  </si>
  <si>
    <t>HT-00161</t>
  </si>
  <si>
    <t>dummy268</t>
  </si>
  <si>
    <t>HMS-00099</t>
  </si>
  <si>
    <t>dummy269</t>
  </si>
  <si>
    <t>ME-00054</t>
  </si>
  <si>
    <t>HR-00095</t>
  </si>
  <si>
    <t>HT-00162</t>
  </si>
  <si>
    <t>dummy270</t>
  </si>
  <si>
    <t>HT-00163</t>
  </si>
  <si>
    <t>dummy271</t>
  </si>
  <si>
    <t>ME-00055</t>
  </si>
  <si>
    <t>HR-00096</t>
  </si>
  <si>
    <t>HT-00164</t>
  </si>
  <si>
    <t>dummy272</t>
  </si>
  <si>
    <t>HT-00165</t>
  </si>
  <si>
    <t>dummy273</t>
  </si>
  <si>
    <t>HMS-00100</t>
  </si>
  <si>
    <t>dummy274</t>
  </si>
  <si>
    <t>HMS-00101</t>
  </si>
  <si>
    <t>dummy275</t>
  </si>
  <si>
    <t>HR-00097</t>
  </si>
  <si>
    <t>HT-00166</t>
  </si>
  <si>
    <t>dummy276</t>
  </si>
  <si>
    <t>HT-00167</t>
  </si>
  <si>
    <t>dummy277</t>
  </si>
  <si>
    <t>HR-00098</t>
  </si>
  <si>
    <t>dummy278</t>
  </si>
  <si>
    <t>ME-00056</t>
  </si>
  <si>
    <t>HR-00099</t>
  </si>
  <si>
    <t>HT-00168</t>
  </si>
  <si>
    <t>dummy279</t>
  </si>
  <si>
    <t>HMS-00102</t>
  </si>
  <si>
    <t>dummy280</t>
  </si>
  <si>
    <t>HMS-00103</t>
  </si>
  <si>
    <t>dummy281</t>
  </si>
  <si>
    <t>ME-00057</t>
  </si>
  <si>
    <t>HR-00100</t>
  </si>
  <si>
    <t>HT-00169</t>
  </si>
  <si>
    <t>dummy282</t>
  </si>
  <si>
    <t>HT-00170</t>
  </si>
  <si>
    <t>dummy283</t>
  </si>
  <si>
    <t>HR-00101</t>
  </si>
  <si>
    <t>HT-00171</t>
  </si>
  <si>
    <t>dummy284</t>
  </si>
  <si>
    <t>HT-00172</t>
  </si>
  <si>
    <t>dummy285</t>
  </si>
  <si>
    <t>HMS-00104</t>
  </si>
  <si>
    <t>dummy286</t>
  </si>
  <si>
    <t>HMS-00105</t>
  </si>
  <si>
    <t>dummy287</t>
  </si>
  <si>
    <t>ME-00058</t>
  </si>
  <si>
    <t>HR-00102</t>
  </si>
  <si>
    <t>HT-00173</t>
  </si>
  <si>
    <t>dummy288</t>
  </si>
  <si>
    <t>HT-00174</t>
  </si>
  <si>
    <t>dummy289</t>
  </si>
  <si>
    <t>HT-00175</t>
  </si>
  <si>
    <t>dummy290</t>
  </si>
  <si>
    <t>HR-00103</t>
  </si>
  <si>
    <t>HMS-00106</t>
  </si>
  <si>
    <t>dummy291</t>
  </si>
  <si>
    <t>HMS-00107</t>
  </si>
  <si>
    <t>dummy292</t>
  </si>
  <si>
    <t>HMS-00108</t>
  </si>
  <si>
    <t>dummy293</t>
  </si>
  <si>
    <t>HMS-00109</t>
  </si>
  <si>
    <t>dummy294</t>
  </si>
  <si>
    <t>ME-00059</t>
  </si>
  <si>
    <t>HR-00104</t>
  </si>
  <si>
    <t>HT-00176</t>
  </si>
  <si>
    <t>dummy295</t>
  </si>
  <si>
    <t>HT-00177</t>
  </si>
  <si>
    <t>dummy296</t>
  </si>
  <si>
    <t>HMS-00110</t>
  </si>
  <si>
    <t>dummy297</t>
  </si>
  <si>
    <t>HMS-00111</t>
  </si>
  <si>
    <t>dummy298</t>
  </si>
  <si>
    <t>HMS-00112</t>
  </si>
  <si>
    <t>dummy299</t>
  </si>
  <si>
    <t>ME-00060</t>
  </si>
  <si>
    <t>HR-00105</t>
  </si>
  <si>
    <t>HT-00178</t>
  </si>
  <si>
    <t>dummy300</t>
  </si>
  <si>
    <t>HR-00106</t>
  </si>
  <si>
    <t>HT-00179</t>
  </si>
  <si>
    <t>dummy301</t>
  </si>
  <si>
    <t>HT-00180</t>
  </si>
  <si>
    <t>dummy302</t>
  </si>
  <si>
    <t>HMS-00113</t>
  </si>
  <si>
    <t>dummy303</t>
  </si>
  <si>
    <t>HMS-00114</t>
  </si>
  <si>
    <t>dummy304</t>
  </si>
  <si>
    <t>ME-00061</t>
  </si>
  <si>
    <t>HR-00107</t>
  </si>
  <si>
    <t>HT-00181</t>
  </si>
  <si>
    <t>dummy305</t>
  </si>
  <si>
    <t>HT-00182</t>
  </si>
  <si>
    <t>dummy306</t>
  </si>
  <si>
    <t>HMS-00115</t>
  </si>
  <si>
    <t>dummy307</t>
  </si>
  <si>
    <t>HR-00108</t>
  </si>
  <si>
    <t>HMS-00116</t>
  </si>
  <si>
    <t>dummy308</t>
  </si>
  <si>
    <t>HMS-00117</t>
  </si>
  <si>
    <t>dummy309</t>
  </si>
  <si>
    <t>HMS-00118</t>
  </si>
  <si>
    <t>dummy310</t>
  </si>
  <si>
    <t>HR-00109</t>
  </si>
  <si>
    <t>HT-00183</t>
  </si>
  <si>
    <t>dummy311</t>
  </si>
  <si>
    <t>HT-00184</t>
  </si>
  <si>
    <t>dummy312</t>
  </si>
  <si>
    <t>ME-00062</t>
  </si>
  <si>
    <t>HR-00110</t>
  </si>
  <si>
    <t>HT-00185</t>
  </si>
  <si>
    <t>dummy313</t>
  </si>
  <si>
    <t>HT-00186</t>
  </si>
  <si>
    <t>dummy314</t>
  </si>
  <si>
    <t>HMS-00119</t>
  </si>
  <si>
    <t>dummy315</t>
  </si>
  <si>
    <t>HMS-00120</t>
  </si>
  <si>
    <t>dummy316</t>
  </si>
  <si>
    <t>HR-00111</t>
  </si>
  <si>
    <t>HT-00187</t>
  </si>
  <si>
    <t>dummy317</t>
  </si>
  <si>
    <t>HT-00188</t>
  </si>
  <si>
    <t>dummy318</t>
  </si>
  <si>
    <t>HT-00189</t>
  </si>
  <si>
    <t>dummy319</t>
  </si>
  <si>
    <t>HMS-00121</t>
  </si>
  <si>
    <t>dummy320</t>
  </si>
  <si>
    <t>HMS-00122</t>
  </si>
  <si>
    <t>dummy321</t>
  </si>
  <si>
    <t>HR-00112</t>
  </si>
  <si>
    <t>HT-00190</t>
  </si>
  <si>
    <t>dummy322</t>
  </si>
  <si>
    <t>HT-00191</t>
  </si>
  <si>
    <t>dummy323</t>
  </si>
  <si>
    <t>ME-00063</t>
  </si>
  <si>
    <t>HR-00113</t>
  </si>
  <si>
    <t>HT-00192</t>
  </si>
  <si>
    <t>dummy324</t>
  </si>
  <si>
    <t>HT-00193</t>
  </si>
  <si>
    <t>dummy325</t>
  </si>
  <si>
    <t>HT-00194</t>
  </si>
  <si>
    <t>dummy326</t>
  </si>
  <si>
    <t>HMS-00123</t>
  </si>
  <si>
    <t>dummy327</t>
  </si>
  <si>
    <t>HMS-00124</t>
  </si>
  <si>
    <t>dummy328</t>
  </si>
  <si>
    <t>HMS-00125</t>
  </si>
  <si>
    <t>dummy329</t>
  </si>
  <si>
    <t>HR-00114</t>
  </si>
  <si>
    <t>HT-00195</t>
  </si>
  <si>
    <t>dummy330</t>
  </si>
  <si>
    <t>HMS-00126</t>
  </si>
  <si>
    <t>dummy331</t>
  </si>
  <si>
    <t>HMS-00127</t>
  </si>
  <si>
    <t>dummy332</t>
  </si>
  <si>
    <t>HMS-00128</t>
  </si>
  <si>
    <t>dummy333</t>
  </si>
  <si>
    <t>HMS-00129</t>
  </si>
  <si>
    <t>dummy334</t>
  </si>
  <si>
    <t>HR-00115</t>
  </si>
  <si>
    <t>HT-00196</t>
  </si>
  <si>
    <t>dummy335</t>
  </si>
  <si>
    <t>HT-00197</t>
  </si>
  <si>
    <t>dummy336</t>
  </si>
  <si>
    <t>HMS-00130</t>
  </si>
  <si>
    <t>dummy337</t>
  </si>
  <si>
    <t>HMS-00131</t>
  </si>
  <si>
    <t>dummy338</t>
  </si>
  <si>
    <t>HMS-00132</t>
  </si>
  <si>
    <t>dummy339</t>
  </si>
  <si>
    <t>ME-00064</t>
  </si>
  <si>
    <t>HR-00116</t>
  </si>
  <si>
    <t>HT-00198</t>
  </si>
  <si>
    <t>dummy340</t>
  </si>
  <si>
    <t>HT-00199</t>
  </si>
  <si>
    <t>dummy341</t>
  </si>
  <si>
    <t>HMS-00133</t>
  </si>
  <si>
    <t>dummy342</t>
  </si>
  <si>
    <t>HMS-00134</t>
  </si>
  <si>
    <t>dummy343</t>
  </si>
  <si>
    <t>ME-00065</t>
  </si>
  <si>
    <t>HR-00117</t>
  </si>
  <si>
    <t>HT-00200</t>
  </si>
  <si>
    <t>dummy344</t>
  </si>
  <si>
    <t>HT-00201</t>
  </si>
  <si>
    <t>dummy345</t>
  </si>
  <si>
    <t>HMS-00135</t>
  </si>
  <si>
    <t>dummy346</t>
  </si>
  <si>
    <t>HR-00118</t>
  </si>
  <si>
    <t>dummy347</t>
  </si>
  <si>
    <t>ME-00066</t>
  </si>
  <si>
    <t>HR-00119</t>
  </si>
  <si>
    <t>HT-00202</t>
  </si>
  <si>
    <t>dummy348</t>
  </si>
  <si>
    <t>HT-00203</t>
  </si>
  <si>
    <t>dummy349</t>
  </si>
  <si>
    <t>HMS-00136</t>
  </si>
  <si>
    <t>dummy350</t>
  </si>
  <si>
    <t>HMS-00137</t>
  </si>
  <si>
    <t>dummy351</t>
  </si>
  <si>
    <t>ME-00067</t>
  </si>
  <si>
    <t>HR-00120</t>
  </si>
  <si>
    <t>HT-00204</t>
  </si>
  <si>
    <t>dummy352</t>
  </si>
  <si>
    <t>HT-00205</t>
  </si>
  <si>
    <t>dummy353</t>
  </si>
  <si>
    <t>HMS-00138</t>
  </si>
  <si>
    <t>dummy354</t>
  </si>
  <si>
    <t>HMS-00139</t>
  </si>
  <si>
    <t>dummy355</t>
  </si>
  <si>
    <t>HR-00121</t>
  </si>
  <si>
    <t>HT-00206</t>
  </si>
  <si>
    <t>dummy356</t>
  </si>
  <si>
    <t>HT-00207</t>
  </si>
  <si>
    <t>dummy357</t>
  </si>
  <si>
    <t>HMS-00140</t>
  </si>
  <si>
    <t>dummy358</t>
  </si>
  <si>
    <t>HMS-00141</t>
  </si>
  <si>
    <t>dummy359</t>
  </si>
  <si>
    <t>HMS-00142</t>
  </si>
  <si>
    <t>dummy360</t>
  </si>
  <si>
    <t>HMS-00143</t>
  </si>
  <si>
    <t>dummy361</t>
  </si>
  <si>
    <t>HR-00122</t>
  </si>
  <si>
    <t>HT-00208</t>
  </si>
  <si>
    <t>dummy362</t>
  </si>
  <si>
    <t>HT-00209</t>
  </si>
  <si>
    <t>dummy363</t>
  </si>
  <si>
    <t>ME-00068</t>
  </si>
  <si>
    <t>HR-00123</t>
  </si>
  <si>
    <t>HT-00210</t>
  </si>
  <si>
    <t>dummy364</t>
  </si>
  <si>
    <t>HT-00211</t>
  </si>
  <si>
    <t>dummy365</t>
  </si>
  <si>
    <t>HT-00212</t>
  </si>
  <si>
    <t>dummy366</t>
  </si>
  <si>
    <t>HMS-00144</t>
  </si>
  <si>
    <t>dummy367</t>
  </si>
  <si>
    <t>HMS-00145</t>
  </si>
  <si>
    <t>dummy368</t>
  </si>
  <si>
    <t>HR-00124</t>
  </si>
  <si>
    <t>HT-00213</t>
  </si>
  <si>
    <t>dummy369</t>
  </si>
  <si>
    <t>HT-00214</t>
  </si>
  <si>
    <t>dummy370</t>
  </si>
  <si>
    <t>ME-00069</t>
  </si>
  <si>
    <t>HR-00125</t>
  </si>
  <si>
    <t>HT-00215</t>
  </si>
  <si>
    <t>dummy371</t>
  </si>
  <si>
    <t>HT-00216</t>
  </si>
  <si>
    <t>dummy372</t>
  </si>
  <si>
    <t>HMS-00146</t>
  </si>
  <si>
    <t>dummy373</t>
  </si>
  <si>
    <t>HMS-00147</t>
  </si>
  <si>
    <t>dummy374</t>
  </si>
  <si>
    <t>HR-00126</t>
  </si>
  <si>
    <t>HT-00217</t>
  </si>
  <si>
    <t>dummy375</t>
  </si>
  <si>
    <t>ME-00070</t>
  </si>
  <si>
    <t>HR-00127</t>
  </si>
  <si>
    <t>HT-00218</t>
  </si>
  <si>
    <t>dummy376</t>
  </si>
  <si>
    <t>HT-00219</t>
  </si>
  <si>
    <t>dummy377</t>
  </si>
  <si>
    <t>HMS-00148</t>
  </si>
  <si>
    <t>dummy378</t>
  </si>
  <si>
    <t>HMS-00149</t>
  </si>
  <si>
    <t>dummy379</t>
  </si>
  <si>
    <t>HR-00128</t>
  </si>
  <si>
    <t>HT-00220</t>
  </si>
  <si>
    <t>dummy380</t>
  </si>
  <si>
    <t>HT-00221</t>
  </si>
  <si>
    <t>dummy381</t>
  </si>
  <si>
    <t>ME-00071</t>
  </si>
  <si>
    <t>HR-00129</t>
  </si>
  <si>
    <t>HT-00222</t>
  </si>
  <si>
    <t>dummy382</t>
  </si>
  <si>
    <t>HT-00223</t>
  </si>
  <si>
    <t>dummy383</t>
  </si>
  <si>
    <t>HR-00130</t>
  </si>
  <si>
    <t>HT-00224</t>
  </si>
  <si>
    <t>dummy384</t>
  </si>
  <si>
    <t>HT-00225</t>
  </si>
  <si>
    <t>dummy385</t>
  </si>
  <si>
    <t>HMS-00150</t>
  </si>
  <si>
    <t>dummy386</t>
  </si>
  <si>
    <t>HMS-00151</t>
  </si>
  <si>
    <t>dummy387</t>
  </si>
  <si>
    <t>HMS-00152</t>
  </si>
  <si>
    <t>dummy388</t>
  </si>
  <si>
    <t>HR-00131</t>
  </si>
  <si>
    <t>dummy389</t>
  </si>
  <si>
    <t>ME-00072</t>
  </si>
  <si>
    <t>HR-00132</t>
  </si>
  <si>
    <t>HT-00226</t>
  </si>
  <si>
    <t>dummy390</t>
  </si>
  <si>
    <t>HT-00227</t>
  </si>
  <si>
    <t>dummy391</t>
  </si>
  <si>
    <t>HR-00133</t>
  </si>
  <si>
    <t>HMS-00153</t>
  </si>
  <si>
    <t>dummy392</t>
  </si>
  <si>
    <t>HMS-00154</t>
  </si>
  <si>
    <t>dummy393</t>
  </si>
  <si>
    <t>HMS-00155</t>
  </si>
  <si>
    <t>dummy394</t>
  </si>
  <si>
    <t>HR-00134</t>
  </si>
  <si>
    <t>HT-00228</t>
  </si>
  <si>
    <t>dummy395</t>
  </si>
  <si>
    <t>HT-00229</t>
  </si>
  <si>
    <t>dummy396</t>
  </si>
  <si>
    <t>ME-00073</t>
  </si>
  <si>
    <t>HR-00135</t>
  </si>
  <si>
    <t>HT-00230</t>
  </si>
  <si>
    <t>dummy397</t>
  </si>
  <si>
    <t>HT-00231</t>
  </si>
  <si>
    <t>dummy398</t>
  </si>
  <si>
    <t>HMS-00156</t>
  </si>
  <si>
    <t>dummy399</t>
  </si>
  <si>
    <t>HMS-00157</t>
  </si>
  <si>
    <t>dummy400</t>
  </si>
  <si>
    <t>HMS-00158</t>
  </si>
  <si>
    <t>dummy401</t>
  </si>
  <si>
    <t>HR-00136</t>
  </si>
  <si>
    <t>dummy402</t>
  </si>
  <si>
    <t>HR-00137</t>
  </si>
  <si>
    <t>HT-00232</t>
  </si>
  <si>
    <t>dummy403</t>
  </si>
  <si>
    <t>ME-00074</t>
  </si>
  <si>
    <t>HR-00138</t>
  </si>
  <si>
    <t>HT-00233</t>
  </si>
  <si>
    <t>dummy404</t>
  </si>
  <si>
    <t>HT-00234</t>
  </si>
  <si>
    <t>dummy405</t>
  </si>
  <si>
    <t>HMS-00159</t>
  </si>
  <si>
    <t>dummy406</t>
  </si>
  <si>
    <t>HMS-00160</t>
  </si>
  <si>
    <t>dummy407</t>
  </si>
  <si>
    <t>HR-00139</t>
  </si>
  <si>
    <t>HT-00235</t>
  </si>
  <si>
    <t>dummy408</t>
  </si>
  <si>
    <t>HT-00236</t>
  </si>
  <si>
    <t>dummy409</t>
  </si>
  <si>
    <t>HMS-00161</t>
  </si>
  <si>
    <t>dummy410</t>
  </si>
  <si>
    <t>HMS-00162</t>
  </si>
  <si>
    <t>dummy411</t>
  </si>
  <si>
    <t>HMS-00163</t>
  </si>
  <si>
    <t>dummy412</t>
  </si>
  <si>
    <t>ME-00075</t>
  </si>
  <si>
    <t>HR-00140</t>
  </si>
  <si>
    <t>HT-00237</t>
  </si>
  <si>
    <t>dummy413</t>
  </si>
  <si>
    <t>HT-00238</t>
  </si>
  <si>
    <t>dummy414</t>
  </si>
  <si>
    <t>HMS-00164</t>
  </si>
  <si>
    <t>dummy415</t>
  </si>
  <si>
    <t>HMS-00165</t>
  </si>
  <si>
    <t>dummy416</t>
  </si>
  <si>
    <t>ME-00076</t>
  </si>
  <si>
    <t>HR-00141</t>
  </si>
  <si>
    <t>HT-00239</t>
  </si>
  <si>
    <t>dummy417</t>
  </si>
  <si>
    <t>HT-00240</t>
  </si>
  <si>
    <t>dummy418</t>
  </si>
  <si>
    <t>HMS-00166</t>
  </si>
  <si>
    <t>dummy419</t>
  </si>
  <si>
    <t>HMS-00167</t>
  </si>
  <si>
    <t>dummy420</t>
  </si>
  <si>
    <t>HMS-00168</t>
  </si>
  <si>
    <t>dummy421</t>
  </si>
  <si>
    <t>ME-00077</t>
  </si>
  <si>
    <t>HR-00142</t>
  </si>
  <si>
    <t>dummy422</t>
  </si>
  <si>
    <t>HR-00143</t>
  </si>
  <si>
    <t>HT-00241</t>
  </si>
  <si>
    <t>dummy423</t>
  </si>
  <si>
    <t>HT-00242</t>
  </si>
  <si>
    <t>dummy424</t>
  </si>
  <si>
    <t>HMS-00169</t>
  </si>
  <si>
    <t>dummy425</t>
  </si>
  <si>
    <t>HMS-00170</t>
  </si>
  <si>
    <t>dummy426</t>
  </si>
  <si>
    <t>ME-00078</t>
  </si>
  <si>
    <t>HR-00144</t>
  </si>
  <si>
    <t>HT-00243</t>
  </si>
  <si>
    <t>dummy427</t>
  </si>
  <si>
    <t>HT-00244</t>
  </si>
  <si>
    <t>dummy428</t>
  </si>
  <si>
    <t>HMS-00171</t>
  </si>
  <si>
    <t>dummy429</t>
  </si>
  <si>
    <t>HR-00145</t>
  </si>
  <si>
    <t>HT-00245</t>
  </si>
  <si>
    <t>dummy430</t>
  </si>
  <si>
    <t>HT-00246</t>
  </si>
  <si>
    <t>dummy431</t>
  </si>
  <si>
    <t>HR-00146</t>
  </si>
  <si>
    <t>HT-00247</t>
  </si>
  <si>
    <t>dummy432</t>
  </si>
  <si>
    <t>HT-00248</t>
  </si>
  <si>
    <t>dummy433</t>
  </si>
  <si>
    <t>HMS-00172</t>
  </si>
  <si>
    <t>dummy434</t>
  </si>
  <si>
    <t>HMS-00173</t>
  </si>
  <si>
    <t>dummy435</t>
  </si>
  <si>
    <t>ME-00079</t>
  </si>
  <si>
    <t>HR-00147</t>
  </si>
  <si>
    <t>HT-00249</t>
  </si>
  <si>
    <t>dummy436</t>
  </si>
  <si>
    <t>HT-00250</t>
  </si>
  <si>
    <t>dummy437</t>
  </si>
  <si>
    <t>HR-00148</t>
  </si>
  <si>
    <t>HT-00251</t>
  </si>
  <si>
    <t>dummy438</t>
  </si>
  <si>
    <t>HT-00252</t>
  </si>
  <si>
    <t>dummy439</t>
  </si>
  <si>
    <t>HMS-00174</t>
  </si>
  <si>
    <t>dummy440</t>
  </si>
  <si>
    <t>HMS-00175</t>
  </si>
  <si>
    <t>dummy441</t>
  </si>
  <si>
    <t>HR-00149</t>
  </si>
  <si>
    <t>HT-00253</t>
  </si>
  <si>
    <t>dummy442</t>
  </si>
  <si>
    <t>HT-00254</t>
  </si>
  <si>
    <t>dummy443</t>
  </si>
  <si>
    <t>ME-00080</t>
  </si>
  <si>
    <t>HR-00150</t>
  </si>
  <si>
    <t>HT-00255</t>
  </si>
  <si>
    <t>dummy444</t>
  </si>
  <si>
    <t>HT-00256</t>
  </si>
  <si>
    <t>dummy445</t>
  </si>
  <si>
    <t>HR-00151</t>
  </si>
  <si>
    <t>HT-00257</t>
  </si>
  <si>
    <t>dummy446</t>
  </si>
  <si>
    <t>HT-00258</t>
  </si>
  <si>
    <t>dummy447</t>
  </si>
  <si>
    <t>HMS-00176</t>
  </si>
  <si>
    <t>dummy448</t>
  </si>
  <si>
    <t>HMS-00177</t>
  </si>
  <si>
    <t>dummy449</t>
  </si>
  <si>
    <t>ME-00081</t>
  </si>
  <si>
    <t>HR-00152</t>
  </si>
  <si>
    <t>HT-00259</t>
  </si>
  <si>
    <t>dummy450</t>
  </si>
  <si>
    <t>HT-00260</t>
  </si>
  <si>
    <t>dummy451</t>
  </si>
  <si>
    <t>HT-00261</t>
  </si>
  <si>
    <t>dummy452</t>
  </si>
  <si>
    <t>HR-00153</t>
  </si>
  <si>
    <t>HT-00262</t>
  </si>
  <si>
    <t>dummy453</t>
  </si>
  <si>
    <t>HMS-00178</t>
  </si>
  <si>
    <t>dummy454</t>
  </si>
  <si>
    <t>HR-00154</t>
  </si>
  <si>
    <t>HT-00263</t>
  </si>
  <si>
    <t>dummy455</t>
  </si>
  <si>
    <t>HMS-00179</t>
  </si>
  <si>
    <t>dummy456</t>
  </si>
  <si>
    <t>ME-00082</t>
  </si>
  <si>
    <t>HR-00155</t>
  </si>
  <si>
    <t>HT-00264</t>
  </si>
  <si>
    <t>dummy457</t>
  </si>
  <si>
    <t>HMS-00180</t>
  </si>
  <si>
    <t>dummy458</t>
  </si>
  <si>
    <t>HMS-00181</t>
  </si>
  <si>
    <t>dummy459</t>
  </si>
  <si>
    <t>HMS-00182</t>
  </si>
  <si>
    <t>dummy460</t>
  </si>
  <si>
    <t>HR-00156</t>
  </si>
  <si>
    <t>HMS-00183</t>
  </si>
  <si>
    <t>dummy461</t>
  </si>
  <si>
    <t>ME-00084</t>
  </si>
  <si>
    <t>HR-00157</t>
  </si>
  <si>
    <t>HT-00265</t>
  </si>
  <si>
    <t>dummy462</t>
  </si>
  <si>
    <t>HT-00266</t>
  </si>
  <si>
    <t>dummy463</t>
  </si>
  <si>
    <t>HMS-00184</t>
  </si>
  <si>
    <t>dummy464</t>
  </si>
  <si>
    <t>HMS-00185</t>
  </si>
  <si>
    <t>dummy465</t>
  </si>
  <si>
    <t>HR-00158</t>
  </si>
  <si>
    <t>HT-00267</t>
  </si>
  <si>
    <t>dummy466</t>
  </si>
  <si>
    <t>HT-00268</t>
  </si>
  <si>
    <t>dummy467</t>
  </si>
  <si>
    <t>HMS-00186</t>
  </si>
  <si>
    <t>dummy468</t>
  </si>
  <si>
    <t>HMS-00187</t>
  </si>
  <si>
    <t>dummy469</t>
  </si>
  <si>
    <t>HMS-00188</t>
  </si>
  <si>
    <t>dummy470</t>
  </si>
  <si>
    <t>ME-00085</t>
  </si>
  <si>
    <t>HR-00159</t>
  </si>
  <si>
    <t>HT-00269</t>
  </si>
  <si>
    <t>dummy471</t>
  </si>
  <si>
    <t>HT-00270</t>
  </si>
  <si>
    <t>dummy472</t>
  </si>
  <si>
    <t>ME-00086</t>
  </si>
  <si>
    <t>HR-00160</t>
  </si>
  <si>
    <t>HT-00271</t>
  </si>
  <si>
    <t>dummy473</t>
  </si>
  <si>
    <t>HT-00272</t>
  </si>
  <si>
    <t>dummy474</t>
  </si>
  <si>
    <t>HR-00161</t>
  </si>
  <si>
    <t>HT-00273</t>
  </si>
  <si>
    <t>dummy475</t>
  </si>
  <si>
    <t>HT-00274</t>
  </si>
  <si>
    <t>dummy476</t>
  </si>
  <si>
    <t>ME-00087</t>
  </si>
  <si>
    <t>HR-00162</t>
  </si>
  <si>
    <t>HMS-00189</t>
  </si>
  <si>
    <t>dummy477</t>
  </si>
  <si>
    <t>HMS-00190</t>
  </si>
  <si>
    <t>dummy478</t>
  </si>
  <si>
    <t>HMS-00191</t>
  </si>
  <si>
    <t>dummy479</t>
  </si>
  <si>
    <t>HMS-00192</t>
  </si>
  <si>
    <t>dummy480</t>
  </si>
  <si>
    <t>HR-00163</t>
  </si>
  <si>
    <t>dummy481</t>
  </si>
  <si>
    <t>ME-00088</t>
  </si>
  <si>
    <t>HR-00164</t>
  </si>
  <si>
    <t>HT-00275</t>
  </si>
  <si>
    <t>dummy482</t>
  </si>
  <si>
    <t>HT-00276</t>
  </si>
  <si>
    <t>dummy483</t>
  </si>
  <si>
    <t>HT-00277</t>
  </si>
  <si>
    <t>dummy484</t>
  </si>
  <si>
    <t>HR-00165</t>
  </si>
  <si>
    <t>HT-00278</t>
  </si>
  <si>
    <t>dummy485</t>
  </si>
  <si>
    <t>HMS-00193</t>
  </si>
  <si>
    <t>dummy486</t>
  </si>
  <si>
    <t>HMS-00194</t>
  </si>
  <si>
    <t>dummy487</t>
  </si>
  <si>
    <t>HMS-00195</t>
  </si>
  <si>
    <t>dummy488</t>
  </si>
  <si>
    <t>HMS-00196</t>
  </si>
  <si>
    <t>dummy489</t>
  </si>
  <si>
    <t>ME-00089</t>
  </si>
  <si>
    <t>HR-00166</t>
  </si>
  <si>
    <t>HT-00279</t>
  </si>
  <si>
    <t>dummy490</t>
  </si>
  <si>
    <t>HT-00280</t>
  </si>
  <si>
    <t>dummy491</t>
  </si>
  <si>
    <t>HR-00167</t>
  </si>
  <si>
    <t>HT-00281</t>
  </si>
  <si>
    <t>dummy492</t>
  </si>
  <si>
    <t>HMS-00197</t>
  </si>
  <si>
    <t>dummy493</t>
  </si>
  <si>
    <t>HMS-00198</t>
  </si>
  <si>
    <t>dummy494</t>
  </si>
  <si>
    <t>HMS-00199</t>
  </si>
  <si>
    <t>dummy495</t>
  </si>
  <si>
    <t>HR-00168</t>
  </si>
  <si>
    <t>HT-00282</t>
  </si>
  <si>
    <t>dummy496</t>
  </si>
  <si>
    <t>HT-00283</t>
  </si>
  <si>
    <t>dummy497</t>
  </si>
  <si>
    <t>ME-00090</t>
  </si>
  <si>
    <t>HR-00169</t>
  </si>
  <si>
    <t>HT-00284</t>
  </si>
  <si>
    <t>dummy498</t>
  </si>
  <si>
    <t>HT-00285</t>
  </si>
  <si>
    <t>dummy499</t>
  </si>
  <si>
    <t>HMS-00200</t>
  </si>
  <si>
    <t>dummy500</t>
  </si>
  <si>
    <t>HMS-00201</t>
  </si>
  <si>
    <t>dummy501</t>
  </si>
  <si>
    <t>HR-00170</t>
  </si>
  <si>
    <t>HT-00286</t>
  </si>
  <si>
    <t>dummy502</t>
  </si>
  <si>
    <t>HT-00287</t>
  </si>
  <si>
    <t>dummy503</t>
  </si>
  <si>
    <t>ME-00091</t>
  </si>
  <si>
    <t>HR-00171</t>
  </si>
  <si>
    <t>HT-00288</t>
  </si>
  <si>
    <t>dummy504</t>
  </si>
  <si>
    <t>HT-00289</t>
  </si>
  <si>
    <t>dummy505</t>
  </si>
  <si>
    <t>ME-00092</t>
  </si>
  <si>
    <t>HR-00172</t>
  </si>
  <si>
    <t>HT-00290</t>
  </si>
  <si>
    <t>dummy506</t>
  </si>
  <si>
    <t>HT-00291</t>
  </si>
  <si>
    <t>dummy507</t>
  </si>
  <si>
    <t>HT-00292</t>
  </si>
  <si>
    <t>dummy508</t>
  </si>
  <si>
    <t>HMS-00202</t>
  </si>
  <si>
    <t>dummy509</t>
  </si>
  <si>
    <t>HMS-00203</t>
  </si>
  <si>
    <t>dummy510</t>
  </si>
  <si>
    <t>ME-00093</t>
  </si>
  <si>
    <t>HR-00173</t>
  </si>
  <si>
    <t>dummy511</t>
  </si>
  <si>
    <t>HR-00174</t>
  </si>
  <si>
    <t>HT-00293</t>
  </si>
  <si>
    <t>dummy512</t>
  </si>
  <si>
    <t>HT-00294</t>
  </si>
  <si>
    <t>dummy513</t>
  </si>
  <si>
    <t>HR-00175</t>
  </si>
  <si>
    <t>HT-00295</t>
  </si>
  <si>
    <t>dummy514</t>
  </si>
  <si>
    <t>HT-00296</t>
  </si>
  <si>
    <t>dummy515</t>
  </si>
  <si>
    <t>HT-00297</t>
  </si>
  <si>
    <t>dummy516</t>
  </si>
  <si>
    <t>ME-00094</t>
  </si>
  <si>
    <t>HR-00176</t>
  </si>
  <si>
    <t>HT-00298</t>
  </si>
  <si>
    <t>dummy517</t>
  </si>
  <si>
    <t>HT-00299</t>
  </si>
  <si>
    <t>dummy518</t>
  </si>
  <si>
    <t>HR-00177</t>
  </si>
  <si>
    <t>HT-00300</t>
  </si>
  <si>
    <t>dummy519</t>
  </si>
  <si>
    <t>HT-00301</t>
  </si>
  <si>
    <t>dummy520</t>
  </si>
  <si>
    <t>HMS-00204</t>
  </si>
  <si>
    <t>dummy521</t>
  </si>
  <si>
    <t>ME-00095</t>
  </si>
  <si>
    <t>HR-00178</t>
  </si>
  <si>
    <t>HT-00302</t>
  </si>
  <si>
    <t>dummy522</t>
  </si>
  <si>
    <t>HT-00303</t>
  </si>
  <si>
    <t>dummy523</t>
  </si>
  <si>
    <t>HMS-00205</t>
  </si>
  <si>
    <t>dummy524</t>
  </si>
  <si>
    <t>HMS-00206</t>
  </si>
  <si>
    <t>dummy525</t>
  </si>
  <si>
    <t>HR-00179</t>
  </si>
  <si>
    <t>HT-00304</t>
  </si>
  <si>
    <t>dummy526</t>
  </si>
  <si>
    <t>HT-00305</t>
  </si>
  <si>
    <t>dummy527</t>
  </si>
  <si>
    <t>ME-00096</t>
  </si>
  <si>
    <t>HR-00180</t>
  </si>
  <si>
    <t>HT-00306</t>
  </si>
  <si>
    <t>dummy528</t>
  </si>
  <si>
    <t>HT-00307</t>
  </si>
  <si>
    <t>dummy529</t>
  </si>
  <si>
    <t>HR-00181</t>
  </si>
  <si>
    <t>HT-00308</t>
  </si>
  <si>
    <t>dummy530</t>
  </si>
  <si>
    <t>HT-00309</t>
  </si>
  <si>
    <t>dummy531</t>
  </si>
  <si>
    <t>ME-00097</t>
  </si>
  <si>
    <t>HR-00182</t>
  </si>
  <si>
    <t>HT-00310</t>
  </si>
  <si>
    <t>dummy532</t>
  </si>
  <si>
    <t>HT-00311</t>
  </si>
  <si>
    <t>dummy533</t>
  </si>
  <si>
    <t>HT-00312</t>
  </si>
  <si>
    <t>dummy534</t>
  </si>
  <si>
    <t>ME-00098</t>
  </si>
  <si>
    <t>HR-00183</t>
  </si>
  <si>
    <t>HT-00313</t>
  </si>
  <si>
    <t>dummy535</t>
  </si>
  <si>
    <t>HT-00314</t>
  </si>
  <si>
    <t>dummy536</t>
  </si>
  <si>
    <t>HMS-00207</t>
  </si>
  <si>
    <t>dummy537</t>
  </si>
  <si>
    <t>HR-00184</t>
  </si>
  <si>
    <t>HT-00315</t>
  </si>
  <si>
    <t>dummy538</t>
  </si>
  <si>
    <t>HT-00316</t>
  </si>
  <si>
    <t>dummy539</t>
  </si>
  <si>
    <t>HMS-00208</t>
  </si>
  <si>
    <t>dummy540</t>
  </si>
  <si>
    <t>HMS-00209</t>
  </si>
  <si>
    <t>dummy541</t>
  </si>
  <si>
    <t>ME-00099</t>
  </si>
  <si>
    <t>HR-00185</t>
  </si>
  <si>
    <t>HT-00317</t>
  </si>
  <si>
    <t>dummy542</t>
  </si>
  <si>
    <t>HT-00318</t>
  </si>
  <si>
    <t>dummy543</t>
  </si>
  <si>
    <t>HR-00186</t>
  </si>
  <si>
    <t>HT-00319</t>
  </si>
  <si>
    <t>dummy544</t>
  </si>
  <si>
    <t>HT-00320</t>
  </si>
  <si>
    <t>dummy545</t>
  </si>
  <si>
    <t>HT-00321</t>
  </si>
  <si>
    <t>dummy546</t>
  </si>
  <si>
    <t>HMS-00210</t>
  </si>
  <si>
    <t>dummy547</t>
  </si>
  <si>
    <t>ME-00100</t>
  </si>
  <si>
    <t>HR-00187</t>
  </si>
  <si>
    <t>HT-00322</t>
  </si>
  <si>
    <t>dummy548</t>
  </si>
  <si>
    <t>HT-00323</t>
  </si>
  <si>
    <t>dummy549</t>
  </si>
  <si>
    <t>HR-00188</t>
  </si>
  <si>
    <t>HT-00324</t>
  </si>
  <si>
    <t>dummy550</t>
  </si>
  <si>
    <t>HT-00325</t>
  </si>
  <si>
    <t>dummy551</t>
  </si>
  <si>
    <t>ME-00101</t>
  </si>
  <si>
    <t>HR-00189</t>
  </si>
  <si>
    <t>HT-00326</t>
  </si>
  <si>
    <t>dummy552</t>
  </si>
  <si>
    <t>HT-00327</t>
  </si>
  <si>
    <t>dummy553</t>
  </si>
  <si>
    <t>HMS-00211</t>
  </si>
  <si>
    <t>dummy554</t>
  </si>
  <si>
    <t>HMS-00212</t>
  </si>
  <si>
    <t>dummy555</t>
  </si>
  <si>
    <t>HMS-00213</t>
  </si>
  <si>
    <t>dummy556</t>
  </si>
  <si>
    <t>HR-00190</t>
  </si>
  <si>
    <t>HT-00328</t>
  </si>
  <si>
    <t>dummy557</t>
  </si>
  <si>
    <t>HT-00329</t>
  </si>
  <si>
    <t>dummy558</t>
  </si>
  <si>
    <t>HT-00330</t>
  </si>
  <si>
    <t>dummy559</t>
  </si>
  <si>
    <t>HMS-00214</t>
  </si>
  <si>
    <t>dummy560</t>
  </si>
  <si>
    <t>HMS-00215</t>
  </si>
  <si>
    <t>dummy561</t>
  </si>
  <si>
    <t>HR-00191</t>
  </si>
  <si>
    <t>HT-00331</t>
  </si>
  <si>
    <t>dummy562</t>
  </si>
  <si>
    <t>HT-00332</t>
  </si>
  <si>
    <t>dummy563</t>
  </si>
  <si>
    <t>HT-00333</t>
  </si>
  <si>
    <t>dummy564</t>
  </si>
  <si>
    <t>HMS-00216</t>
  </si>
  <si>
    <t>dummy565</t>
  </si>
  <si>
    <t>HMS-00217</t>
  </si>
  <si>
    <t>dummy566</t>
  </si>
  <si>
    <t>HMS-00218</t>
  </si>
  <si>
    <t>dummy567</t>
  </si>
  <si>
    <t>HMS-00219</t>
  </si>
  <si>
    <t>dummy568</t>
  </si>
  <si>
    <t>ME-00102</t>
  </si>
  <si>
    <t>HR-00192</t>
  </si>
  <si>
    <t>HT-00334</t>
  </si>
  <si>
    <t>dummy569</t>
  </si>
  <si>
    <t>HT-00335</t>
  </si>
  <si>
    <t>dummy570</t>
  </si>
  <si>
    <t>HT-00336</t>
  </si>
  <si>
    <t>dummy571</t>
  </si>
  <si>
    <t>ME-00103</t>
  </si>
  <si>
    <t>HR-00193</t>
  </si>
  <si>
    <t>HT-00337</t>
  </si>
  <si>
    <t>dummy572</t>
  </si>
  <si>
    <t>HT-00338</t>
  </si>
  <si>
    <t>dummy573</t>
  </si>
  <si>
    <t>HMS-00220</t>
  </si>
  <si>
    <t>dummy574</t>
  </si>
  <si>
    <t>HMS-00221</t>
  </si>
  <si>
    <t>dummy575</t>
  </si>
  <si>
    <t>HR-00194</t>
  </si>
  <si>
    <t>HT-00339</t>
  </si>
  <si>
    <t>dummy576</t>
  </si>
  <si>
    <t>HT-00340</t>
  </si>
  <si>
    <t>dummy577</t>
  </si>
  <si>
    <t>HMS-00222</t>
  </si>
  <si>
    <t>dummy578</t>
  </si>
  <si>
    <t>HMS-00223</t>
  </si>
  <si>
    <t>dummy579</t>
  </si>
  <si>
    <t>HR-00195</t>
  </si>
  <si>
    <t>HT-00341</t>
  </si>
  <si>
    <t>dummy580</t>
  </si>
  <si>
    <t>HT-00342</t>
  </si>
  <si>
    <t>dummy581</t>
  </si>
  <si>
    <t>ME-00104</t>
  </si>
  <si>
    <t>HR-00196</t>
  </si>
  <si>
    <t>HT-00343</t>
  </si>
  <si>
    <t>dummy582</t>
  </si>
  <si>
    <t>HT-00344</t>
  </si>
  <si>
    <t>dummy583</t>
  </si>
  <si>
    <t>ME-00105</t>
  </si>
  <si>
    <t>HR-00197</t>
  </si>
  <si>
    <t>HT-00345</t>
  </si>
  <si>
    <t>dummy584</t>
  </si>
  <si>
    <t>HT-00346</t>
  </si>
  <si>
    <t>dummy585</t>
  </si>
  <si>
    <t>HR-00198</t>
  </si>
  <si>
    <t>dummy586</t>
  </si>
  <si>
    <t>ME-00106</t>
  </si>
  <si>
    <t>HR-00199</t>
  </si>
  <si>
    <t>HMS-00224</t>
  </si>
  <si>
    <t>dummy587</t>
  </si>
  <si>
    <t>HMS-00225</t>
  </si>
  <si>
    <t>dummy588</t>
  </si>
  <si>
    <t>HR-00200</t>
  </si>
  <si>
    <t>HT-00347</t>
  </si>
  <si>
    <t>dummy589</t>
  </si>
  <si>
    <t>HT-00348</t>
  </si>
  <si>
    <t>dummy590</t>
  </si>
  <si>
    <t>HT-00349</t>
  </si>
  <si>
    <t>dummy591</t>
  </si>
  <si>
    <t>HMS-00226</t>
  </si>
  <si>
    <t>dummy592</t>
  </si>
  <si>
    <t>HMS-00227</t>
  </si>
  <si>
    <t>dummy593</t>
  </si>
  <si>
    <t>ME-00107</t>
  </si>
  <si>
    <t>HR-00201</t>
  </si>
  <si>
    <t>HT-00350</t>
  </si>
  <si>
    <t>dummy594</t>
  </si>
  <si>
    <t>HT-00351</t>
  </si>
  <si>
    <t>dummy595</t>
  </si>
  <si>
    <t>HT-00352</t>
  </si>
  <si>
    <t>dummy596</t>
  </si>
  <si>
    <t>HMS-00228</t>
  </si>
  <si>
    <t>dummy597</t>
  </si>
  <si>
    <t>HMS-00229</t>
  </si>
  <si>
    <t>dummy598</t>
  </si>
  <si>
    <t>HR-00202</t>
  </si>
  <si>
    <t>HT-00353</t>
  </si>
  <si>
    <t>dummy599</t>
  </si>
  <si>
    <t>HMS-00230</t>
  </si>
  <si>
    <t>dummy600</t>
  </si>
  <si>
    <t>HMS-00231</t>
  </si>
  <si>
    <t>dummy601</t>
  </si>
  <si>
    <t>HR-00203</t>
  </si>
  <si>
    <t>dummy602</t>
  </si>
  <si>
    <t>ME-00108</t>
  </si>
  <si>
    <t>HR-00204</t>
  </si>
  <si>
    <t>dummy603</t>
  </si>
  <si>
    <t>HR-00205</t>
  </si>
  <si>
    <t>HT-00354</t>
  </si>
  <si>
    <t>dummy604</t>
  </si>
  <si>
    <t>HMS-00232</t>
  </si>
  <si>
    <t>dummy605</t>
  </si>
  <si>
    <t>HMS-00233</t>
  </si>
  <si>
    <t>dummy606</t>
  </si>
  <si>
    <t>HMS-00234</t>
  </si>
  <si>
    <t>dummy607</t>
  </si>
  <si>
    <t>ME-00109</t>
  </si>
  <si>
    <t>HR-00206</t>
  </si>
  <si>
    <t>HT-00355</t>
  </si>
  <si>
    <t>dummy608</t>
  </si>
  <si>
    <t>HT-00356</t>
  </si>
  <si>
    <t>dummy609</t>
  </si>
  <si>
    <t>HMS-00235</t>
  </si>
  <si>
    <t>dummy610</t>
  </si>
  <si>
    <t>HMS-00236</t>
  </si>
  <si>
    <t>dummy611</t>
  </si>
  <si>
    <t>HR-00207</t>
  </si>
  <si>
    <t>HT-00357</t>
  </si>
  <si>
    <t>dummy612</t>
  </si>
  <si>
    <t>HT-00358</t>
  </si>
  <si>
    <t>dummy613</t>
  </si>
  <si>
    <t>ME-00110</t>
  </si>
  <si>
    <t>HR-00208</t>
  </si>
  <si>
    <t>HMS-00237</t>
  </si>
  <si>
    <t>dummy614</t>
  </si>
  <si>
    <t>HMS-00238</t>
  </si>
  <si>
    <t>dummy615</t>
  </si>
  <si>
    <t>HR-00209</t>
  </si>
  <si>
    <t>HT-00359</t>
  </si>
  <si>
    <t>dummy616</t>
  </si>
  <si>
    <t>HT-00360</t>
  </si>
  <si>
    <t>dummy617</t>
  </si>
  <si>
    <t>HMS-00239</t>
  </si>
  <si>
    <t>dummy618</t>
  </si>
  <si>
    <t>HMS-00240</t>
  </si>
  <si>
    <t>dummy619</t>
  </si>
  <si>
    <t>ME-00111</t>
  </si>
  <si>
    <t>HR-00210</t>
  </si>
  <si>
    <t>dummy620</t>
  </si>
  <si>
    <t>ME-00112</t>
  </si>
  <si>
    <t>HR-00211</t>
  </si>
  <si>
    <t>HT-00361</t>
  </si>
  <si>
    <t>dummy621</t>
  </si>
  <si>
    <t>HT-00362</t>
  </si>
  <si>
    <t>dummy622</t>
  </si>
  <si>
    <t>HMS-00241</t>
  </si>
  <si>
    <t>dummy623</t>
  </si>
  <si>
    <t>HMS-00242</t>
  </si>
  <si>
    <t>dummy624</t>
  </si>
  <si>
    <t>HR-00212</t>
  </si>
  <si>
    <t>HT-00363</t>
  </si>
  <si>
    <t>dummy625</t>
  </si>
  <si>
    <t>HT-00364</t>
  </si>
  <si>
    <t>dummy626</t>
  </si>
  <si>
    <t>HMS-00243</t>
  </si>
  <si>
    <t>dummy627</t>
  </si>
  <si>
    <t>HMS-00244</t>
  </si>
  <si>
    <t>dummy628</t>
  </si>
  <si>
    <t>HMS-00245</t>
  </si>
  <si>
    <t>dummy629</t>
  </si>
  <si>
    <t>ME-00113</t>
  </si>
  <si>
    <t>HR-00213</t>
  </si>
  <si>
    <t>HT-00365</t>
  </si>
  <si>
    <t>dummy630</t>
  </si>
  <si>
    <t>HT-00366</t>
  </si>
  <si>
    <t>dummy631</t>
  </si>
  <si>
    <t>HMS-00246</t>
  </si>
  <si>
    <t>dummy632</t>
  </si>
  <si>
    <t>HMS-00247</t>
  </si>
  <si>
    <t>dummy633</t>
  </si>
  <si>
    <t>HR-00214</t>
  </si>
  <si>
    <t>HT-00367</t>
  </si>
  <si>
    <t>dummy634</t>
  </si>
  <si>
    <t>HT-00368</t>
  </si>
  <si>
    <t>dummy635</t>
  </si>
  <si>
    <t>ME-00114</t>
  </si>
  <si>
    <t>HR-00215</t>
  </si>
  <si>
    <t>HT-00369</t>
  </si>
  <si>
    <t>dummy636</t>
  </si>
  <si>
    <t>HT-00370</t>
  </si>
  <si>
    <t>dummy637</t>
  </si>
  <si>
    <t>HMS-00248</t>
  </si>
  <si>
    <t>dummy638</t>
  </si>
  <si>
    <t>HMS-00249</t>
  </si>
  <si>
    <t>dummy639</t>
  </si>
  <si>
    <t>HR-00216</t>
  </si>
  <si>
    <t>HT-00371</t>
  </si>
  <si>
    <t>dummy640</t>
  </si>
  <si>
    <t>HT-00372</t>
  </si>
  <si>
    <t>dummy641</t>
  </si>
  <si>
    <t>HMS-00250</t>
  </si>
  <si>
    <t>dummy642</t>
  </si>
  <si>
    <t>HMS-00251</t>
  </si>
  <si>
    <t>dummy643</t>
  </si>
  <si>
    <t>ME-00116</t>
  </si>
  <si>
    <t>HR-00217</t>
  </si>
  <si>
    <t>HT-00373</t>
  </si>
  <si>
    <t>dummy644</t>
  </si>
  <si>
    <t>HT-00374</t>
  </si>
  <si>
    <t>dummy645</t>
  </si>
  <si>
    <t>HT-00375</t>
  </si>
  <si>
    <t>dummy646</t>
  </si>
  <si>
    <t>HMS-00252</t>
  </si>
  <si>
    <t>dummy647</t>
  </si>
  <si>
    <t>HMS-00253</t>
  </si>
  <si>
    <t>dummy648</t>
  </si>
  <si>
    <t>HR-00218</t>
  </si>
  <si>
    <t>dummy649</t>
  </si>
  <si>
    <t>ME-00117</t>
  </si>
  <si>
    <t>HR-00219</t>
  </si>
  <si>
    <t>HT-00376</t>
  </si>
  <si>
    <t>dummy650</t>
  </si>
  <si>
    <t>HT-00377</t>
  </si>
  <si>
    <t>dummy651</t>
  </si>
  <si>
    <t>ME-00118</t>
  </si>
  <si>
    <t>HR-00220</t>
  </si>
  <si>
    <t>HT-00378</t>
  </si>
  <si>
    <t>dummy652</t>
  </si>
  <si>
    <t>HT-00379</t>
  </si>
  <si>
    <t>dummy653</t>
  </si>
  <si>
    <t>HR-00221</t>
  </si>
  <si>
    <t>HT-00380</t>
  </si>
  <si>
    <t>dummy654</t>
  </si>
  <si>
    <t>HT-00381</t>
  </si>
  <si>
    <t>dummy655</t>
  </si>
  <si>
    <t>ME-00119</t>
  </si>
  <si>
    <t>HR-00222</t>
  </si>
  <si>
    <t>HMS-00254</t>
  </si>
  <si>
    <t>dummy656</t>
  </si>
  <si>
    <t>HMS-00255</t>
  </si>
  <si>
    <t>dummy657</t>
  </si>
  <si>
    <t>HR-00223</t>
  </si>
  <si>
    <t>HT-00382</t>
  </si>
  <si>
    <t>dummy658</t>
  </si>
  <si>
    <t>HT-00383</t>
  </si>
  <si>
    <t>dummy659</t>
  </si>
  <si>
    <t>HMS-00256</t>
  </si>
  <si>
    <t>dummy660</t>
  </si>
  <si>
    <t>HMS-00257</t>
  </si>
  <si>
    <t>dummy661</t>
  </si>
  <si>
    <t>ME-00120</t>
  </si>
  <si>
    <t>HR-00224</t>
  </si>
  <si>
    <t>HT-00384</t>
  </si>
  <si>
    <t>dummy662</t>
  </si>
  <si>
    <t>HT-00385</t>
  </si>
  <si>
    <t>dummy663</t>
  </si>
  <si>
    <t>HMS-00258</t>
  </si>
  <si>
    <t>dummy664</t>
  </si>
  <si>
    <t>HMS-00259</t>
  </si>
  <si>
    <t>dummy665</t>
  </si>
  <si>
    <t>HR-00225</t>
  </si>
  <si>
    <t>HT-00386</t>
  </si>
  <si>
    <t>dummy666</t>
  </si>
  <si>
    <t>HT-00387</t>
  </si>
  <si>
    <t>dummy667</t>
  </si>
  <si>
    <t>AN-00001</t>
  </si>
  <si>
    <t>HE-00001</t>
  </si>
  <si>
    <t>dummy668</t>
  </si>
  <si>
    <t>HE-00002</t>
  </si>
  <si>
    <t>dummy669</t>
  </si>
  <si>
    <t>HE-00003</t>
  </si>
  <si>
    <t>dummy670</t>
  </si>
  <si>
    <t>AMS-00001</t>
  </si>
  <si>
    <t>dummy671</t>
  </si>
  <si>
    <t>AMS-00002</t>
  </si>
  <si>
    <t>dummy672</t>
  </si>
  <si>
    <t>AN-00002</t>
  </si>
  <si>
    <t>TT-00001</t>
  </si>
  <si>
    <t>HE-00004</t>
  </si>
  <si>
    <t>dummy673</t>
  </si>
  <si>
    <t>HE-00005</t>
  </si>
  <si>
    <t>dummy674</t>
  </si>
  <si>
    <t>HE-00006</t>
  </si>
  <si>
    <t>dummy675</t>
  </si>
  <si>
    <t>HE-00007</t>
  </si>
  <si>
    <t>dummy676</t>
  </si>
  <si>
    <t>TT-00002</t>
  </si>
  <si>
    <t>dummy677</t>
  </si>
  <si>
    <t>dummy678</t>
  </si>
  <si>
    <t>dummy679</t>
  </si>
  <si>
    <t>dummy680</t>
  </si>
  <si>
    <t>AMS-00003</t>
  </si>
  <si>
    <t>dummy681</t>
  </si>
  <si>
    <t>AMS-00004</t>
  </si>
  <si>
    <t>dummy682</t>
  </si>
  <si>
    <t>AN-00003</t>
  </si>
  <si>
    <t>TT-00003</t>
  </si>
  <si>
    <t>HE-00008</t>
  </si>
  <si>
    <t>dummy683</t>
  </si>
  <si>
    <t>HE-00009</t>
  </si>
  <si>
    <t>dummy684</t>
  </si>
  <si>
    <t>HE-00010</t>
  </si>
  <si>
    <t>dummy685</t>
  </si>
  <si>
    <t>HE-00011</t>
  </si>
  <si>
    <t>dummy686</t>
  </si>
  <si>
    <t>HE-00012</t>
  </si>
  <si>
    <t>dummy687</t>
  </si>
  <si>
    <t>TT-00004</t>
  </si>
  <si>
    <t>dummy688</t>
  </si>
  <si>
    <t>dummy689</t>
  </si>
  <si>
    <t>dummy690</t>
  </si>
  <si>
    <t>dummy691</t>
  </si>
  <si>
    <t>dummy692</t>
  </si>
  <si>
    <t>AMS-00005</t>
  </si>
  <si>
    <t>dummy693</t>
  </si>
  <si>
    <t>AMS-00006</t>
  </si>
  <si>
    <t>dummy694</t>
  </si>
  <si>
    <t>AMS-00007</t>
  </si>
  <si>
    <t>dummy695</t>
  </si>
  <si>
    <t>AMS-00008</t>
  </si>
  <si>
    <t>dummy696</t>
  </si>
  <si>
    <t>AN-00004</t>
  </si>
  <si>
    <t>TT-00005</t>
  </si>
  <si>
    <t>HE-00013</t>
  </si>
  <si>
    <t>dummy697</t>
  </si>
  <si>
    <t>HE-00014</t>
  </si>
  <si>
    <t>dummy698</t>
  </si>
  <si>
    <t>HE-00015</t>
  </si>
  <si>
    <t>dummy699</t>
  </si>
  <si>
    <t>HE-00016</t>
  </si>
  <si>
    <t>dummy700</t>
  </si>
  <si>
    <t>TT-00006</t>
  </si>
  <si>
    <t>dummy701</t>
  </si>
  <si>
    <t>dummy702</t>
  </si>
  <si>
    <t>dummy703</t>
  </si>
  <si>
    <t>dummy704</t>
  </si>
  <si>
    <t>AN-00005</t>
  </si>
  <si>
    <t>HE-00017</t>
  </si>
  <si>
    <t>dummy705</t>
  </si>
  <si>
    <t>HE-00018</t>
  </si>
  <si>
    <t>dummy706</t>
  </si>
  <si>
    <t>HE-00019</t>
  </si>
  <si>
    <t>dummy707</t>
  </si>
  <si>
    <t>HE-00020</t>
  </si>
  <si>
    <t>dummy708</t>
  </si>
  <si>
    <t>AN-00006</t>
  </si>
  <si>
    <t>TT-00007</t>
  </si>
  <si>
    <t>dummy709</t>
  </si>
  <si>
    <t>AN-00007</t>
  </si>
  <si>
    <t>TT-00008</t>
  </si>
  <si>
    <t>dummy710</t>
  </si>
  <si>
    <t>TT-00009</t>
  </si>
  <si>
    <t>dummy711</t>
  </si>
  <si>
    <t>AN-00008</t>
  </si>
  <si>
    <t>TT-00010</t>
  </si>
  <si>
    <t>dummy712</t>
  </si>
  <si>
    <t>TT-00011</t>
  </si>
  <si>
    <t>dummy713</t>
  </si>
  <si>
    <t>AN-00009</t>
  </si>
  <si>
    <t>TT-00012</t>
  </si>
  <si>
    <t>HE-00021</t>
  </si>
  <si>
    <t>dummy714</t>
  </si>
  <si>
    <t>HE-00022</t>
  </si>
  <si>
    <t>dummy715</t>
  </si>
  <si>
    <t>HE-00023</t>
  </si>
  <si>
    <t>dummy716</t>
  </si>
  <si>
    <t>TT-00013</t>
  </si>
  <si>
    <t>dummy717</t>
  </si>
  <si>
    <t>dummy718</t>
  </si>
  <si>
    <t>dummy719</t>
  </si>
  <si>
    <t>AMS-00009</t>
  </si>
  <si>
    <t>dummy720</t>
  </si>
  <si>
    <t>AMS-00010</t>
  </si>
  <si>
    <t>dummy721</t>
  </si>
  <si>
    <t>AN-00010</t>
  </si>
  <si>
    <t>TT-00014</t>
  </si>
  <si>
    <t>HE-00024</t>
  </si>
  <si>
    <t>dummy722</t>
  </si>
  <si>
    <t>HE-00025</t>
  </si>
  <si>
    <t>dummy723</t>
  </si>
  <si>
    <t>HE-00026</t>
  </si>
  <si>
    <t>dummy724</t>
  </si>
  <si>
    <t>HE-00027</t>
  </si>
  <si>
    <t>dummy725</t>
  </si>
  <si>
    <t>TT-00015</t>
  </si>
  <si>
    <t>dummy726</t>
  </si>
  <si>
    <t>dummy727</t>
  </si>
  <si>
    <t>dummy728</t>
  </si>
  <si>
    <t>dummy729</t>
  </si>
  <si>
    <t>AN-00011</t>
  </si>
  <si>
    <t>HE-00028</t>
  </si>
  <si>
    <t>dummy730</t>
  </si>
  <si>
    <t>HE-00029</t>
  </si>
  <si>
    <t>dummy731</t>
  </si>
  <si>
    <t>HE-00030</t>
  </si>
  <si>
    <t>dummy732</t>
  </si>
  <si>
    <t>HE-00031</t>
  </si>
  <si>
    <t>dummy733</t>
  </si>
  <si>
    <t>AN-00012</t>
  </si>
  <si>
    <t>TT-00016</t>
  </si>
  <si>
    <t>HE-00032</t>
  </si>
  <si>
    <t>dummy734</t>
  </si>
  <si>
    <t>HE-00033</t>
  </si>
  <si>
    <t>dummy735</t>
  </si>
  <si>
    <t>HE-00034</t>
  </si>
  <si>
    <t>dummy736</t>
  </si>
  <si>
    <t>HE-00035</t>
  </si>
  <si>
    <t>dummy737</t>
  </si>
  <si>
    <t>TT-00017</t>
  </si>
  <si>
    <t>dummy738</t>
  </si>
  <si>
    <t>dummy739</t>
  </si>
  <si>
    <t>dummy740</t>
  </si>
  <si>
    <t>dummy741</t>
  </si>
  <si>
    <t>AN-00013</t>
  </si>
  <si>
    <t>TT-00018</t>
  </si>
  <si>
    <t>dummy742</t>
  </si>
  <si>
    <t>TT-00019</t>
  </si>
  <si>
    <t>dummy743</t>
  </si>
  <si>
    <t>AMS-00011</t>
  </si>
  <si>
    <t>dummy744</t>
  </si>
  <si>
    <t>AMS-00012</t>
  </si>
  <si>
    <t>dummy745</t>
  </si>
  <si>
    <t>AN-00014</t>
  </si>
  <si>
    <t>TT-00020</t>
  </si>
  <si>
    <t>HE-00036</t>
  </si>
  <si>
    <t>dummy746</t>
  </si>
  <si>
    <t>HE-00037</t>
  </si>
  <si>
    <t>dummy747</t>
  </si>
  <si>
    <t>HE-00038</t>
  </si>
  <si>
    <t>dummy748</t>
  </si>
  <si>
    <t>HE-00039</t>
  </si>
  <si>
    <t>dummy749</t>
  </si>
  <si>
    <t>TT-00021</t>
  </si>
  <si>
    <t>dummy750</t>
  </si>
  <si>
    <t>dummy751</t>
  </si>
  <si>
    <t>dummy752</t>
  </si>
  <si>
    <t>dummy753</t>
  </si>
  <si>
    <t>AMS-00013</t>
  </si>
  <si>
    <t>dummy754</t>
  </si>
  <si>
    <t>ME-00011</t>
  </si>
  <si>
    <t>AN-00015</t>
  </si>
  <si>
    <t>TT-00022</t>
  </si>
  <si>
    <t>HE-00040</t>
  </si>
  <si>
    <t>dummy755</t>
  </si>
  <si>
    <t>HE-00041</t>
  </si>
  <si>
    <t>dummy756</t>
  </si>
  <si>
    <t>HE-00042</t>
  </si>
  <si>
    <t>dummy757</t>
  </si>
  <si>
    <t>HE-00043</t>
  </si>
  <si>
    <t>dummy758</t>
  </si>
  <si>
    <t>TT-00023</t>
  </si>
  <si>
    <t>dummy759</t>
  </si>
  <si>
    <t>dummy760</t>
  </si>
  <si>
    <t>dummy761</t>
  </si>
  <si>
    <t>dummy762</t>
  </si>
  <si>
    <t>AN-00016</t>
  </si>
  <si>
    <t>TT-00024</t>
  </si>
  <si>
    <t>dummy763</t>
  </si>
  <si>
    <t>TT-00025</t>
  </si>
  <si>
    <t>dummy764</t>
  </si>
  <si>
    <t>AMS-00014</t>
  </si>
  <si>
    <t>dummy765</t>
  </si>
  <si>
    <t>AMS-00015</t>
  </si>
  <si>
    <t>dummy766</t>
  </si>
  <si>
    <t>AMS-00016</t>
  </si>
  <si>
    <t>dummy767</t>
  </si>
  <si>
    <t>AN-00017</t>
  </si>
  <si>
    <t>HE-00044</t>
  </si>
  <si>
    <t>dummy768</t>
  </si>
  <si>
    <t>HE-00045</t>
  </si>
  <si>
    <t>dummy769</t>
  </si>
  <si>
    <t>HE-00046</t>
  </si>
  <si>
    <t>dummy770</t>
  </si>
  <si>
    <t>HE-00047</t>
  </si>
  <si>
    <t>dummy771</t>
  </si>
  <si>
    <t>AMS-00017</t>
  </si>
  <si>
    <t>dummy772</t>
  </si>
  <si>
    <t>AMS-00018</t>
  </si>
  <si>
    <t>dummy773</t>
  </si>
  <si>
    <t>AMS-00019</t>
  </si>
  <si>
    <t>dummy774</t>
  </si>
  <si>
    <t>AMS-00020</t>
  </si>
  <si>
    <t>dummy775</t>
  </si>
  <si>
    <t>AN-00018</t>
  </si>
  <si>
    <t>TT-00026</t>
  </si>
  <si>
    <t>HE-00048</t>
  </si>
  <si>
    <t>dummy776</t>
  </si>
  <si>
    <t>HE-00049</t>
  </si>
  <si>
    <t>dummy777</t>
  </si>
  <si>
    <t>HE-00050</t>
  </si>
  <si>
    <t>dummy778</t>
  </si>
  <si>
    <t>HE-00051</t>
  </si>
  <si>
    <t>dummy779</t>
  </si>
  <si>
    <t>TT-00027</t>
  </si>
  <si>
    <t>dummy780</t>
  </si>
  <si>
    <t>dummy781</t>
  </si>
  <si>
    <t>dummy782</t>
  </si>
  <si>
    <t>dummy783</t>
  </si>
  <si>
    <t>AN-00019</t>
  </si>
  <si>
    <t>TT-00028</t>
  </si>
  <si>
    <t>dummy784</t>
  </si>
  <si>
    <t>TT-00029</t>
  </si>
  <si>
    <t>dummy785</t>
  </si>
  <si>
    <t>AMS-00021</t>
  </si>
  <si>
    <t>dummy786</t>
  </si>
  <si>
    <t>AMS-00022</t>
  </si>
  <si>
    <t>dummy787</t>
  </si>
  <si>
    <t>AMS-00023</t>
  </si>
  <si>
    <t>dummy788</t>
  </si>
  <si>
    <t>AN-00020</t>
  </si>
  <si>
    <t>HE-00052</t>
  </si>
  <si>
    <t>dummy789</t>
  </si>
  <si>
    <t>HE-00053</t>
  </si>
  <si>
    <t>dummy790</t>
  </si>
  <si>
    <t>HE-00054</t>
  </si>
  <si>
    <t>dummy791</t>
  </si>
  <si>
    <t>HE-00055</t>
  </si>
  <si>
    <t>dummy792</t>
  </si>
  <si>
    <t>HE-00056</t>
  </si>
  <si>
    <t>dummy793</t>
  </si>
  <si>
    <t>AMS-00024</t>
  </si>
  <si>
    <t>dummy794</t>
  </si>
  <si>
    <t>AMS-00025</t>
  </si>
  <si>
    <t>dummy795</t>
  </si>
  <si>
    <t>AMS-00026</t>
  </si>
  <si>
    <t>dummy796</t>
  </si>
  <si>
    <t>AN-00021</t>
  </si>
  <si>
    <t>TT-00030</t>
  </si>
  <si>
    <t>HE-00057</t>
  </si>
  <si>
    <t>dummy797</t>
  </si>
  <si>
    <t>HE-00058</t>
  </si>
  <si>
    <t>dummy798</t>
  </si>
  <si>
    <t>HE-00059</t>
  </si>
  <si>
    <t>dummy799</t>
  </si>
  <si>
    <t>TT-00031</t>
  </si>
  <si>
    <t>dummy800</t>
  </si>
  <si>
    <t>dummy801</t>
  </si>
  <si>
    <t>dummy802</t>
  </si>
  <si>
    <t>AN-00022</t>
  </si>
  <si>
    <t>TT-00032</t>
  </si>
  <si>
    <t>HE-00060</t>
  </si>
  <si>
    <t>dummy803</t>
  </si>
  <si>
    <t>HE-00061</t>
  </si>
  <si>
    <t>dummy804</t>
  </si>
  <si>
    <t>HE-00062</t>
  </si>
  <si>
    <t>dummy805</t>
  </si>
  <si>
    <t>HE-00063</t>
  </si>
  <si>
    <t>dummy806</t>
  </si>
  <si>
    <t>TT-00033</t>
  </si>
  <si>
    <t>dummy807</t>
  </si>
  <si>
    <t>dummy808</t>
  </si>
  <si>
    <t>dummy809</t>
  </si>
  <si>
    <t>dummy810</t>
  </si>
  <si>
    <t>AN-00023</t>
  </si>
  <si>
    <t>HE-00064</t>
  </si>
  <si>
    <t>dummy811</t>
  </si>
  <si>
    <t>HE-00065</t>
  </si>
  <si>
    <t>dummy812</t>
  </si>
  <si>
    <t>HE-00066</t>
  </si>
  <si>
    <t>dummy813</t>
  </si>
  <si>
    <t>HE-00067</t>
  </si>
  <si>
    <t>dummy814</t>
  </si>
  <si>
    <t>AN-00024</t>
  </si>
  <si>
    <t>TT-00034</t>
  </si>
  <si>
    <t>HE-00068</t>
  </si>
  <si>
    <t>dummy815</t>
  </si>
  <si>
    <t>HE-00069</t>
  </si>
  <si>
    <t>dummy816</t>
  </si>
  <si>
    <t>HE-00070</t>
  </si>
  <si>
    <t>dummy817</t>
  </si>
  <si>
    <t>HE-00071</t>
  </si>
  <si>
    <t>dummy818</t>
  </si>
  <si>
    <t>TT-00035</t>
  </si>
  <si>
    <t>dummy819</t>
  </si>
  <si>
    <t>dummy820</t>
  </si>
  <si>
    <t>dummy821</t>
  </si>
  <si>
    <t>dummy822</t>
  </si>
  <si>
    <t>AN-00025</t>
  </si>
  <si>
    <t>TT-00036</t>
  </si>
  <si>
    <t>dummy823</t>
  </si>
  <si>
    <t>TT-00037</t>
  </si>
  <si>
    <t>dummy824</t>
  </si>
  <si>
    <t>AMS-00027</t>
  </si>
  <si>
    <t>dummy825</t>
  </si>
  <si>
    <t>AMS-00028</t>
  </si>
  <si>
    <t>dummy826</t>
  </si>
  <si>
    <t>AMS-00029</t>
  </si>
  <si>
    <t>dummy827</t>
  </si>
  <si>
    <t>AN-00026</t>
  </si>
  <si>
    <t>TT-00038</t>
  </si>
  <si>
    <t>HE-00072</t>
  </si>
  <si>
    <t>dummy828</t>
  </si>
  <si>
    <t>HE-00073</t>
  </si>
  <si>
    <t>dummy829</t>
  </si>
  <si>
    <t>HE-00074</t>
  </si>
  <si>
    <t>dummy830</t>
  </si>
  <si>
    <t>HE-00075</t>
  </si>
  <si>
    <t>dummy831</t>
  </si>
  <si>
    <t>TT-00039</t>
  </si>
  <si>
    <t>dummy832</t>
  </si>
  <si>
    <t>dummy833</t>
  </si>
  <si>
    <t>dummy834</t>
  </si>
  <si>
    <t>dummy835</t>
  </si>
  <si>
    <t>AMS-00030</t>
  </si>
  <si>
    <t>dummy836</t>
  </si>
  <si>
    <t>AN-00027</t>
  </si>
  <si>
    <t>TT-00040</t>
  </si>
  <si>
    <t>dummy837</t>
  </si>
  <si>
    <t>TT-00041</t>
  </si>
  <si>
    <t>dummy838</t>
  </si>
  <si>
    <t>AMS-00031</t>
  </si>
  <si>
    <t>dummy839</t>
  </si>
  <si>
    <t>AMS-00032</t>
  </si>
  <si>
    <t>dummy840</t>
  </si>
  <si>
    <t>AMS-00033</t>
  </si>
  <si>
    <t>dummy841</t>
  </si>
  <si>
    <t>AMS-00034</t>
  </si>
  <si>
    <t>dummy842</t>
  </si>
  <si>
    <t>AN-00028</t>
  </si>
  <si>
    <t>TT-00042</t>
  </si>
  <si>
    <t>HE-00076</t>
  </si>
  <si>
    <t>dummy843</t>
  </si>
  <si>
    <t>HE-00077</t>
  </si>
  <si>
    <t>dummy844</t>
  </si>
  <si>
    <t>HE-00078</t>
  </si>
  <si>
    <t>dummy845</t>
  </si>
  <si>
    <t>HE-00079</t>
  </si>
  <si>
    <t>dummy846</t>
  </si>
  <si>
    <t>TT-00043</t>
  </si>
  <si>
    <t>dummy847</t>
  </si>
  <si>
    <t>dummy848</t>
  </si>
  <si>
    <t>dummy849</t>
  </si>
  <si>
    <t>dummy850</t>
  </si>
  <si>
    <t>AMS-00035</t>
  </si>
  <si>
    <t>dummy851</t>
  </si>
  <si>
    <t>AMS-00036</t>
  </si>
  <si>
    <t>dummy852</t>
  </si>
  <si>
    <t>AMS-00037</t>
  </si>
  <si>
    <t>dummy853</t>
  </si>
  <si>
    <t>AMS-00038</t>
  </si>
  <si>
    <t>dummy854</t>
  </si>
  <si>
    <t>AN-00029</t>
  </si>
  <si>
    <t>HE-00080</t>
  </si>
  <si>
    <t>dummy855</t>
  </si>
  <si>
    <t>HE-00081</t>
  </si>
  <si>
    <t>dummy856</t>
  </si>
  <si>
    <t>HE-00082</t>
  </si>
  <si>
    <t>dummy857</t>
  </si>
  <si>
    <t>HE-00083</t>
  </si>
  <si>
    <t>dummy858</t>
  </si>
  <si>
    <t>HE-00084</t>
  </si>
  <si>
    <t>dummy859</t>
  </si>
  <si>
    <t>AMS-00039</t>
  </si>
  <si>
    <t>dummy860</t>
  </si>
  <si>
    <t>AMS-00040</t>
  </si>
  <si>
    <t>dummy861</t>
  </si>
  <si>
    <t>AMS-00041</t>
  </si>
  <si>
    <t>dummy862</t>
  </si>
  <si>
    <t>AN-00030</t>
  </si>
  <si>
    <t>TT-00044</t>
  </si>
  <si>
    <t>dummy863</t>
  </si>
  <si>
    <t>TT-00045</t>
  </si>
  <si>
    <t>dummy864</t>
  </si>
  <si>
    <t>AMS-00042</t>
  </si>
  <si>
    <t>dummy865</t>
  </si>
  <si>
    <t>AN-00031</t>
  </si>
  <si>
    <t>TT-00046</t>
  </si>
  <si>
    <t>dummy866</t>
  </si>
  <si>
    <t>TT-00047</t>
  </si>
  <si>
    <t>dummy867</t>
  </si>
  <si>
    <t>AMS-00043</t>
  </si>
  <si>
    <t>dummy868</t>
  </si>
  <si>
    <t>AMS-00044</t>
  </si>
  <si>
    <t>dummy869</t>
  </si>
  <si>
    <t>AMS-00045</t>
  </si>
  <si>
    <t>dummy870</t>
  </si>
  <si>
    <t>AMS-00046</t>
  </si>
  <si>
    <t>dummy871</t>
  </si>
  <si>
    <t>AN-00032</t>
  </si>
  <si>
    <t>TT-00048</t>
  </si>
  <si>
    <t>HE-00085</t>
  </si>
  <si>
    <t>dummy872</t>
  </si>
  <si>
    <t>HE-00086</t>
  </si>
  <si>
    <t>dummy873</t>
  </si>
  <si>
    <t>HE-00087</t>
  </si>
  <si>
    <t>dummy874</t>
  </si>
  <si>
    <t>HE-00088</t>
  </si>
  <si>
    <t>dummy875</t>
  </si>
  <si>
    <t>TT-00049</t>
  </si>
  <si>
    <t>dummy876</t>
  </si>
  <si>
    <t>dummy877</t>
  </si>
  <si>
    <t>dummy878</t>
  </si>
  <si>
    <t>dummy879</t>
  </si>
  <si>
    <t>AMS-00047</t>
  </si>
  <si>
    <t>dummy880</t>
  </si>
  <si>
    <t>AMS-00048</t>
  </si>
  <si>
    <t>dummy881</t>
  </si>
  <si>
    <t>AMS-00049</t>
  </si>
  <si>
    <t>dummy882</t>
  </si>
  <si>
    <t>AMS-00050</t>
  </si>
  <si>
    <t>dummy883</t>
  </si>
  <si>
    <t>AN-00033</t>
  </si>
  <si>
    <t>TT-00050</t>
  </si>
  <si>
    <t>dummy884</t>
  </si>
  <si>
    <t>TT-00051</t>
  </si>
  <si>
    <t>dummy885</t>
  </si>
  <si>
    <t>TT-00052</t>
  </si>
  <si>
    <t>dummy886</t>
  </si>
  <si>
    <t>AN-00034</t>
  </si>
  <si>
    <t>dummy887</t>
  </si>
  <si>
    <t>AMS-00051</t>
  </si>
  <si>
    <t>dummy888</t>
  </si>
  <si>
    <t>AN-00035</t>
  </si>
  <si>
    <t>TT-00053</t>
  </si>
  <si>
    <t>dummy889</t>
  </si>
  <si>
    <t>TT-00054</t>
  </si>
  <si>
    <t>dummy890</t>
  </si>
  <si>
    <t>AN-00036</t>
  </si>
  <si>
    <t>HE-00089</t>
  </si>
  <si>
    <t>dummy891</t>
  </si>
  <si>
    <t>HE-00090</t>
  </si>
  <si>
    <t>dummy892</t>
  </si>
  <si>
    <t>HE-00091</t>
  </si>
  <si>
    <t>dummy893</t>
  </si>
  <si>
    <t>AMS-00052</t>
  </si>
  <si>
    <t>dummy894</t>
  </si>
  <si>
    <t>AMS-00053</t>
  </si>
  <si>
    <t>dummy895</t>
  </si>
  <si>
    <t>AN-00037</t>
  </si>
  <si>
    <t>TT-00055</t>
  </si>
  <si>
    <t>dummy896</t>
  </si>
  <si>
    <t>TT-00056</t>
  </si>
  <si>
    <t>dummy897</t>
  </si>
  <si>
    <t>AMS-00054</t>
  </si>
  <si>
    <t>dummy898</t>
  </si>
  <si>
    <t>AMS-00055</t>
  </si>
  <si>
    <t>dummy899</t>
  </si>
  <si>
    <t>AMS-00056</t>
  </si>
  <si>
    <t>dummy900</t>
  </si>
  <si>
    <t>AN-00038</t>
  </si>
  <si>
    <t>TT-00057</t>
  </si>
  <si>
    <t>dummy901</t>
  </si>
  <si>
    <t>TT-00058</t>
  </si>
  <si>
    <t>dummy902</t>
  </si>
  <si>
    <t>AMS-00057</t>
  </si>
  <si>
    <t>dummy903</t>
  </si>
  <si>
    <t>AMS-00058</t>
  </si>
  <si>
    <t>dummy904</t>
  </si>
  <si>
    <t>AMS-00059</t>
  </si>
  <si>
    <t>dummy905</t>
  </si>
  <si>
    <t>AMS-00060</t>
  </si>
  <si>
    <t>dummy906</t>
  </si>
  <si>
    <t>AN-00039</t>
  </si>
  <si>
    <t>TT-00059</t>
  </si>
  <si>
    <t>HE-00092</t>
  </si>
  <si>
    <t>dummy907</t>
  </si>
  <si>
    <t>HE-00093</t>
  </si>
  <si>
    <t>dummy908</t>
  </si>
  <si>
    <t>HE-00094</t>
  </si>
  <si>
    <t>dummy909</t>
  </si>
  <si>
    <t>HE-00095</t>
  </si>
  <si>
    <t>dummy910</t>
  </si>
  <si>
    <t>TT-00060</t>
  </si>
  <si>
    <t>dummy911</t>
  </si>
  <si>
    <t>dummy912</t>
  </si>
  <si>
    <t>dummy913</t>
  </si>
  <si>
    <t>dummy914</t>
  </si>
  <si>
    <t>TT-00061</t>
  </si>
  <si>
    <t>dummy915</t>
  </si>
  <si>
    <t>dummy916</t>
  </si>
  <si>
    <t>dummy917</t>
  </si>
  <si>
    <t>dummy918</t>
  </si>
  <si>
    <t>AN-00040</t>
  </si>
  <si>
    <t>HE-00096</t>
  </si>
  <si>
    <t>dummy919</t>
  </si>
  <si>
    <t>HE-00097</t>
  </si>
  <si>
    <t>dummy920</t>
  </si>
  <si>
    <t>HE-00098</t>
  </si>
  <si>
    <t>dummy921</t>
  </si>
  <si>
    <t>HE-00099</t>
  </si>
  <si>
    <t>dummy922</t>
  </si>
  <si>
    <t>AN-00041</t>
  </si>
  <si>
    <t>TT-00062</t>
  </si>
  <si>
    <t>dummy923</t>
  </si>
  <si>
    <t>TT-00063</t>
  </si>
  <si>
    <t>dummy924</t>
  </si>
  <si>
    <t>AMS-00061</t>
  </si>
  <si>
    <t>dummy925</t>
  </si>
  <si>
    <t>AMS-00062</t>
  </si>
  <si>
    <t>dummy926</t>
  </si>
  <si>
    <t>AMS-00063</t>
  </si>
  <si>
    <t>dummy927</t>
  </si>
  <si>
    <t>AMS-00064</t>
  </si>
  <si>
    <t>dummy928</t>
  </si>
  <si>
    <t>AN-00042</t>
  </si>
  <si>
    <t>TT-00064</t>
  </si>
  <si>
    <t>HE-00100</t>
  </si>
  <si>
    <t>dummy929</t>
  </si>
  <si>
    <t>HE-00101</t>
  </si>
  <si>
    <t>dummy930</t>
  </si>
  <si>
    <t>HE-00102</t>
  </si>
  <si>
    <t>dummy931</t>
  </si>
  <si>
    <t>HE-00103</t>
  </si>
  <si>
    <t>dummy932</t>
  </si>
  <si>
    <t>TT-00065</t>
  </si>
  <si>
    <t>dummy933</t>
  </si>
  <si>
    <t>dummy934</t>
  </si>
  <si>
    <t>dummy935</t>
  </si>
  <si>
    <t>dummy936</t>
  </si>
  <si>
    <t>AN-00043</t>
  </si>
  <si>
    <t>TT-00066</t>
  </si>
  <si>
    <t>HE-00104</t>
  </si>
  <si>
    <t>dummy937</t>
  </si>
  <si>
    <t>HE-00105</t>
  </si>
  <si>
    <t>dummy938</t>
  </si>
  <si>
    <t>HE-00106</t>
  </si>
  <si>
    <t>dummy939</t>
  </si>
  <si>
    <t>HE-00107</t>
  </si>
  <si>
    <t>dummy940</t>
  </si>
  <si>
    <t>TT-00067</t>
  </si>
  <si>
    <t>dummy941</t>
  </si>
  <si>
    <t>dummy942</t>
  </si>
  <si>
    <t>dummy943</t>
  </si>
  <si>
    <t>dummy944</t>
  </si>
  <si>
    <t>AN-00044</t>
  </si>
  <si>
    <t>TT-00068</t>
  </si>
  <si>
    <t>dummy945</t>
  </si>
  <si>
    <t>TT-00069</t>
  </si>
  <si>
    <t>dummy946</t>
  </si>
  <si>
    <t>AMS-00065</t>
  </si>
  <si>
    <t>dummy947</t>
  </si>
  <si>
    <t>AMS-00066</t>
  </si>
  <si>
    <t>dummy948</t>
  </si>
  <si>
    <t>AN-00045</t>
  </si>
  <si>
    <t>TT-00070</t>
  </si>
  <si>
    <t>HE-00108</t>
  </si>
  <si>
    <t>dummy949</t>
  </si>
  <si>
    <t>HE-00109</t>
  </si>
  <si>
    <t>dummy950</t>
  </si>
  <si>
    <t>HE-00110</t>
  </si>
  <si>
    <t>dummy951</t>
  </si>
  <si>
    <t>TT-00071</t>
  </si>
  <si>
    <t>dummy952</t>
  </si>
  <si>
    <t>dummy953</t>
  </si>
  <si>
    <t>dummy954</t>
  </si>
  <si>
    <t>AMS-00067</t>
  </si>
  <si>
    <t>dummy955</t>
  </si>
  <si>
    <t>AMS-00068</t>
  </si>
  <si>
    <t>dummy956</t>
  </si>
  <si>
    <t>AMS-00069</t>
  </si>
  <si>
    <t>dummy957</t>
  </si>
  <si>
    <t>AMS-00070</t>
  </si>
  <si>
    <t>dummy958</t>
  </si>
  <si>
    <t>AN-00046</t>
  </si>
  <si>
    <t>TT-00072</t>
  </si>
  <si>
    <t>dummy959</t>
  </si>
  <si>
    <t>TT-00073</t>
  </si>
  <si>
    <t>dummy960</t>
  </si>
  <si>
    <t>AMS-00071</t>
  </si>
  <si>
    <t>dummy961</t>
  </si>
  <si>
    <t>AMS-00072</t>
  </si>
  <si>
    <t>dummy962</t>
  </si>
  <si>
    <t>AMS-00073</t>
  </si>
  <si>
    <t>dummy963</t>
  </si>
  <si>
    <t>AN-00047</t>
  </si>
  <si>
    <t>dummy964</t>
  </si>
  <si>
    <t>AN-00048</t>
  </si>
  <si>
    <t>TT-00074</t>
  </si>
  <si>
    <t>HE-00111</t>
  </si>
  <si>
    <t>dummy965</t>
  </si>
  <si>
    <t>HE-00112</t>
  </si>
  <si>
    <t>dummy966</t>
  </si>
  <si>
    <t>HE-00113</t>
  </si>
  <si>
    <t>dummy967</t>
  </si>
  <si>
    <t>HE-00114</t>
  </si>
  <si>
    <t>dummy968</t>
  </si>
  <si>
    <t>HE-00115</t>
  </si>
  <si>
    <t>dummy969</t>
  </si>
  <si>
    <t>TT-00075</t>
  </si>
  <si>
    <t>dummy970</t>
  </si>
  <si>
    <t>dummy971</t>
  </si>
  <si>
    <t>dummy972</t>
  </si>
  <si>
    <t>dummy973</t>
  </si>
  <si>
    <t>dummy974</t>
  </si>
  <si>
    <t>AN-00049</t>
  </si>
  <si>
    <t>HE-00116</t>
  </si>
  <si>
    <t>dummy975</t>
  </si>
  <si>
    <t>HE-00117</t>
  </si>
  <si>
    <t>dummy976</t>
  </si>
  <si>
    <t>HE-00118</t>
  </si>
  <si>
    <t>dummy977</t>
  </si>
  <si>
    <t>AMS-00074</t>
  </si>
  <si>
    <t>dummy978</t>
  </si>
  <si>
    <t>AMS-00075</t>
  </si>
  <si>
    <t>dummy979</t>
  </si>
  <si>
    <t>AN-00050</t>
  </si>
  <si>
    <t>TT-00076</t>
  </si>
  <si>
    <t>dummy980</t>
  </si>
  <si>
    <t>TT-00077</t>
  </si>
  <si>
    <t>dummy981</t>
  </si>
  <si>
    <t>AN-00051</t>
  </si>
  <si>
    <t>TT-00078</t>
  </si>
  <si>
    <t>HE-00119</t>
  </si>
  <si>
    <t>dummy982</t>
  </si>
  <si>
    <t>HE-00120</t>
  </si>
  <si>
    <t>dummy983</t>
  </si>
  <si>
    <t>HE-00121</t>
  </si>
  <si>
    <t>dummy984</t>
  </si>
  <si>
    <t>HE-00122</t>
  </si>
  <si>
    <t>dummy985</t>
  </si>
  <si>
    <t>TT-00079</t>
  </si>
  <si>
    <t>dummy986</t>
  </si>
  <si>
    <t>dummy987</t>
  </si>
  <si>
    <t>dummy988</t>
  </si>
  <si>
    <t>dummy989</t>
  </si>
  <si>
    <t>AN-00052</t>
  </si>
  <si>
    <t>TT-00080</t>
  </si>
  <si>
    <t>HE-00123</t>
  </si>
  <si>
    <t>dummy990</t>
  </si>
  <si>
    <t>HE-00124</t>
  </si>
  <si>
    <t>dummy991</t>
  </si>
  <si>
    <t>HE-00125</t>
  </si>
  <si>
    <t>dummy992</t>
  </si>
  <si>
    <t>HE-00126</t>
  </si>
  <si>
    <t>dummy993</t>
  </si>
  <si>
    <t>TT-00081</t>
  </si>
  <si>
    <t>dummy994</t>
  </si>
  <si>
    <t>dummy995</t>
  </si>
  <si>
    <t>dummy996</t>
  </si>
  <si>
    <t>dummy997</t>
  </si>
  <si>
    <t>AN-00053</t>
  </si>
  <si>
    <t>TT-00082</t>
  </si>
  <si>
    <t>HE-00127</t>
  </si>
  <si>
    <t>dummy998</t>
  </si>
  <si>
    <t>HE-00128</t>
  </si>
  <si>
    <t>dummy999</t>
  </si>
  <si>
    <t>HE-00129</t>
  </si>
  <si>
    <t>dummy1000</t>
  </si>
  <si>
    <t>HE-00130</t>
  </si>
  <si>
    <t>dummy1001</t>
  </si>
  <si>
    <t>TT-00083</t>
  </si>
  <si>
    <t>dummy1002</t>
  </si>
  <si>
    <t>dummy1003</t>
  </si>
  <si>
    <t>dummy1004</t>
  </si>
  <si>
    <t>dummy1005</t>
  </si>
  <si>
    <t>AMS-00076</t>
  </si>
  <si>
    <t>dummy1006</t>
  </si>
  <si>
    <t>AMS-00077</t>
  </si>
  <si>
    <t>dummy1007</t>
  </si>
  <si>
    <t>AMS-00078</t>
  </si>
  <si>
    <t>dummy1008</t>
  </si>
  <si>
    <t>AMS-00079</t>
  </si>
  <si>
    <t>dummy1009</t>
  </si>
  <si>
    <t>AN-00054</t>
  </si>
  <si>
    <t>TT-00084</t>
  </si>
  <si>
    <t>HE-00131</t>
  </si>
  <si>
    <t>dummy1010</t>
  </si>
  <si>
    <t>HE-00132</t>
  </si>
  <si>
    <t>dummy1011</t>
  </si>
  <si>
    <t>HE-00133</t>
  </si>
  <si>
    <t>dummy1012</t>
  </si>
  <si>
    <t>HE-00134</t>
  </si>
  <si>
    <t>dummy1013</t>
  </si>
  <si>
    <t>TT-00085</t>
  </si>
  <si>
    <t>dummy1014</t>
  </si>
  <si>
    <t>dummy1015</t>
  </si>
  <si>
    <t>dummy1016</t>
  </si>
  <si>
    <t>dummy1017</t>
  </si>
  <si>
    <t>AMS-00080</t>
  </si>
  <si>
    <t>dummy1018</t>
  </si>
  <si>
    <t>AMS-00081</t>
  </si>
  <si>
    <t>dummy1019</t>
  </si>
  <si>
    <t>AMS-00082</t>
  </si>
  <si>
    <t>dummy1020</t>
  </si>
  <si>
    <t>AMS-00083</t>
  </si>
  <si>
    <t>dummy1021</t>
  </si>
  <si>
    <t>AN-00055</t>
  </si>
  <si>
    <t>TT-00086</t>
  </si>
  <si>
    <t>HE-00135</t>
  </si>
  <si>
    <t>dummy1022</t>
  </si>
  <si>
    <t>HE-00136</t>
  </si>
  <si>
    <t>dummy1023</t>
  </si>
  <si>
    <t>HE-00137</t>
  </si>
  <si>
    <t>dummy1024</t>
  </si>
  <si>
    <t>HE-00138</t>
  </si>
  <si>
    <t>dummy1025</t>
  </si>
  <si>
    <t>TT-00087</t>
  </si>
  <si>
    <t>dummy1026</t>
  </si>
  <si>
    <t>dummy1027</t>
  </si>
  <si>
    <t>dummy1028</t>
  </si>
  <si>
    <t>dummy1029</t>
  </si>
  <si>
    <t>AN-00056</t>
  </si>
  <si>
    <t>TT-00088</t>
  </si>
  <si>
    <t>HE-00139</t>
  </si>
  <si>
    <t>dummy1030</t>
  </si>
  <si>
    <t>HE-00140</t>
  </si>
  <si>
    <t>dummy1031</t>
  </si>
  <si>
    <t>HE-00141</t>
  </si>
  <si>
    <t>dummy1032</t>
  </si>
  <si>
    <t>HE-00142</t>
  </si>
  <si>
    <t>dummy1033</t>
  </si>
  <si>
    <t>AN-00057</t>
  </si>
  <si>
    <t>TT-00089</t>
  </si>
  <si>
    <t>dummy1034</t>
  </si>
  <si>
    <t>TT-00090</t>
  </si>
  <si>
    <t>dummy1035</t>
  </si>
  <si>
    <t>AN-00058</t>
  </si>
  <si>
    <t>TT-00091</t>
  </si>
  <si>
    <t>HE-00143</t>
  </si>
  <si>
    <t>dummy1036</t>
  </si>
  <si>
    <t>HE-00144</t>
  </si>
  <si>
    <t>dummy1037</t>
  </si>
  <si>
    <t>HE-00145</t>
  </si>
  <si>
    <t>dummy1038</t>
  </si>
  <si>
    <t>HE-00146</t>
  </si>
  <si>
    <t>dummy1039</t>
  </si>
  <si>
    <t>TT-00092</t>
  </si>
  <si>
    <t>dummy1040</t>
  </si>
  <si>
    <t>dummy1041</t>
  </si>
  <si>
    <t>dummy1042</t>
  </si>
  <si>
    <t>dummy1043</t>
  </si>
  <si>
    <t>AN-00059</t>
  </si>
  <si>
    <t>TT-00093</t>
  </si>
  <si>
    <t>dummy1044</t>
  </si>
  <si>
    <t>TT-00094</t>
  </si>
  <si>
    <t>dummy1045</t>
  </si>
  <si>
    <t>AMS-00084</t>
  </si>
  <si>
    <t>dummy1046</t>
  </si>
  <si>
    <t>AN-00060</t>
  </si>
  <si>
    <t>HE-00147</t>
  </si>
  <si>
    <t>dummy1047</t>
  </si>
  <si>
    <t>HE-00148</t>
  </si>
  <si>
    <t>dummy1048</t>
  </si>
  <si>
    <t>HE-00149</t>
  </si>
  <si>
    <t>dummy1049</t>
  </si>
  <si>
    <t>HE-00150</t>
  </si>
  <si>
    <t>dummy1050</t>
  </si>
  <si>
    <t>AN-00061</t>
  </si>
  <si>
    <t>TT-00095</t>
  </si>
  <si>
    <t>HE-00151</t>
  </si>
  <si>
    <t>dummy1051</t>
  </si>
  <si>
    <t>HE-00152</t>
  </si>
  <si>
    <t>dummy1052</t>
  </si>
  <si>
    <t>HE-00153</t>
  </si>
  <si>
    <t>dummy1053</t>
  </si>
  <si>
    <t>TT-00096</t>
  </si>
  <si>
    <t>dummy1054</t>
  </si>
  <si>
    <t>dummy1055</t>
  </si>
  <si>
    <t>dummy1056</t>
  </si>
  <si>
    <t>AN-00062</t>
  </si>
  <si>
    <t>HE-00154</t>
  </si>
  <si>
    <t>dummy1057</t>
  </si>
  <si>
    <t>HE-00155</t>
  </si>
  <si>
    <t>dummy1058</t>
  </si>
  <si>
    <t>HE-00156</t>
  </si>
  <si>
    <t>dummy1059</t>
  </si>
  <si>
    <t>HE-00157</t>
  </si>
  <si>
    <t>dummy1060</t>
  </si>
  <si>
    <t>AN-00063</t>
  </si>
  <si>
    <t>TT-00097</t>
  </si>
  <si>
    <t>dummy1061</t>
  </si>
  <si>
    <t>TT-00098</t>
  </si>
  <si>
    <t>dummy1062</t>
  </si>
  <si>
    <t>AN-00064</t>
  </si>
  <si>
    <t>TT-00099</t>
  </si>
  <si>
    <t>dummy1063</t>
  </si>
  <si>
    <t>TT-00100</t>
  </si>
  <si>
    <t>dummy1064</t>
  </si>
  <si>
    <t>AN-00065</t>
  </si>
  <si>
    <t>TT-00101</t>
  </si>
  <si>
    <t>HE-00158</t>
  </si>
  <si>
    <t>dummy1065</t>
  </si>
  <si>
    <t>HE-00159</t>
  </si>
  <si>
    <t>dummy1066</t>
  </si>
  <si>
    <t>HE-00160</t>
  </si>
  <si>
    <t>dummy1067</t>
  </si>
  <si>
    <t>HE-00161</t>
  </si>
  <si>
    <t>dummy1068</t>
  </si>
  <si>
    <t>TT-00102</t>
  </si>
  <si>
    <t>dummy1069</t>
  </si>
  <si>
    <t>dummy1070</t>
  </si>
  <si>
    <t>dummy1071</t>
  </si>
  <si>
    <t>dummy1072</t>
  </si>
  <si>
    <t>AN-00066</t>
  </si>
  <si>
    <t>TT-00103</t>
  </si>
  <si>
    <t>HE-00162</t>
  </si>
  <si>
    <t>dummy1073</t>
  </si>
  <si>
    <t>HE-00163</t>
  </si>
  <si>
    <t>dummy1074</t>
  </si>
  <si>
    <t>HE-00164</t>
  </si>
  <si>
    <t>dummy1075</t>
  </si>
  <si>
    <t>HE-00165</t>
  </si>
  <si>
    <t>dummy1076</t>
  </si>
  <si>
    <t>TT-00104</t>
  </si>
  <si>
    <t>dummy1077</t>
  </si>
  <si>
    <t>dummy1078</t>
  </si>
  <si>
    <t>dummy1079</t>
  </si>
  <si>
    <t>dummy1080</t>
  </si>
  <si>
    <t>AN-00067</t>
  </si>
  <si>
    <t>TT-00105</t>
  </si>
  <si>
    <t>HE-00166</t>
  </si>
  <si>
    <t>dummy1081</t>
  </si>
  <si>
    <t>HE-00167</t>
  </si>
  <si>
    <t>dummy1082</t>
  </si>
  <si>
    <t>HE-00168</t>
  </si>
  <si>
    <t>dummy1083</t>
  </si>
  <si>
    <t>HE-00169</t>
  </si>
  <si>
    <t>dummy1084</t>
  </si>
  <si>
    <t>TT-00106</t>
  </si>
  <si>
    <t>dummy1085</t>
  </si>
  <si>
    <t>dummy1086</t>
  </si>
  <si>
    <t>dummy1087</t>
  </si>
  <si>
    <t>dummy1088</t>
  </si>
  <si>
    <t>AN-00068</t>
  </si>
  <si>
    <t>TT-00107</t>
  </si>
  <si>
    <t>dummy1089</t>
  </si>
  <si>
    <t>AN-00069</t>
  </si>
  <si>
    <t>TT-00108</t>
  </si>
  <si>
    <t>dummy1090</t>
  </si>
  <si>
    <t>TT-00109</t>
  </si>
  <si>
    <t>dummy1091</t>
  </si>
  <si>
    <t>AN-00070</t>
  </si>
  <si>
    <t>HE-00170</t>
  </si>
  <si>
    <t>dummy1092</t>
  </si>
  <si>
    <t>HE-00171</t>
  </si>
  <si>
    <t>dummy1093</t>
  </si>
  <si>
    <t>HE-00172</t>
  </si>
  <si>
    <t>dummy1094</t>
  </si>
  <si>
    <t>HE-00173</t>
  </si>
  <si>
    <t>dummy1095</t>
  </si>
  <si>
    <t>AN-00071</t>
  </si>
  <si>
    <t>dummy1096</t>
  </si>
  <si>
    <t>AMS-00085</t>
  </si>
  <si>
    <t>dummy1097</t>
  </si>
  <si>
    <t>AMS-00086</t>
  </si>
  <si>
    <t>dummy1098</t>
  </si>
  <si>
    <t>AMS-00087</t>
  </si>
  <si>
    <t>dummy1099</t>
  </si>
  <si>
    <t>AN-00072</t>
  </si>
  <si>
    <t>TT-00110</t>
  </si>
  <si>
    <t>HE-00174</t>
  </si>
  <si>
    <t>dummy1100</t>
  </si>
  <si>
    <t>HE-00175</t>
  </si>
  <si>
    <t>dummy1101</t>
  </si>
  <si>
    <t>HE-00176</t>
  </si>
  <si>
    <t>dummy1102</t>
  </si>
  <si>
    <t>HE-00177</t>
  </si>
  <si>
    <t>dummy1103</t>
  </si>
  <si>
    <t>TT-00111</t>
  </si>
  <si>
    <t>dummy1104</t>
  </si>
  <si>
    <t>dummy1105</t>
  </si>
  <si>
    <t>dummy1106</t>
  </si>
  <si>
    <t>dummy1107</t>
  </si>
  <si>
    <t>AMS-00088</t>
  </si>
  <si>
    <t>dummy1108</t>
  </si>
  <si>
    <t>AMS-00089</t>
  </si>
  <si>
    <t>dummy1109</t>
  </si>
  <si>
    <t>AMS-00090</t>
  </si>
  <si>
    <t>dummy1110</t>
  </si>
  <si>
    <t>AN-00073</t>
  </si>
  <si>
    <t>HE-00178</t>
  </si>
  <si>
    <t>dummy1111</t>
  </si>
  <si>
    <t>HE-00179</t>
  </si>
  <si>
    <t>dummy1112</t>
  </si>
  <si>
    <t>HE-00180</t>
  </si>
  <si>
    <t>dummy1113</t>
  </si>
  <si>
    <t>AN-00074</t>
  </si>
  <si>
    <t>TT-00112</t>
  </si>
  <si>
    <t>HE-00181</t>
  </si>
  <si>
    <t>dummy1114</t>
  </si>
  <si>
    <t>HE-00182</t>
  </si>
  <si>
    <t>dummy1115</t>
  </si>
  <si>
    <t>HE-00183</t>
  </si>
  <si>
    <t>dummy1116</t>
  </si>
  <si>
    <t>AMS-00091</t>
  </si>
  <si>
    <t>dummy1117</t>
  </si>
  <si>
    <t>AMS-00092</t>
  </si>
  <si>
    <t>dummy1118</t>
  </si>
  <si>
    <t>AN-00075</t>
  </si>
  <si>
    <t>TT-00113</t>
  </si>
  <si>
    <t>dummy1119</t>
  </si>
  <si>
    <t>TT-00114</t>
  </si>
  <si>
    <t>dummy1120</t>
  </si>
  <si>
    <t>AN-00076</t>
  </si>
  <si>
    <t>TT-00115</t>
  </si>
  <si>
    <t>HE-00184</t>
  </si>
  <si>
    <t>dummy1121</t>
  </si>
  <si>
    <t>HE-00185</t>
  </si>
  <si>
    <t>dummy1122</t>
  </si>
  <si>
    <t>HE-00186</t>
  </si>
  <si>
    <t>dummy1123</t>
  </si>
  <si>
    <t>HE-00187</t>
  </si>
  <si>
    <t>dummy1124</t>
  </si>
  <si>
    <t>TT-00116</t>
  </si>
  <si>
    <t>dummy1125</t>
  </si>
  <si>
    <t>dummy1126</t>
  </si>
  <si>
    <t>dummy1127</t>
  </si>
  <si>
    <t>dummy1128</t>
  </si>
  <si>
    <t>AN-00077</t>
  </si>
  <si>
    <t>TT-00117</t>
  </si>
  <si>
    <t>HE-00188</t>
  </si>
  <si>
    <t>dummy1129</t>
  </si>
  <si>
    <t>HE-00189</t>
  </si>
  <si>
    <t>dummy1130</t>
  </si>
  <si>
    <t>HE-00190</t>
  </si>
  <si>
    <t>dummy1131</t>
  </si>
  <si>
    <t>HE-00191</t>
  </si>
  <si>
    <t>dummy1132</t>
  </si>
  <si>
    <t>TT-00118</t>
  </si>
  <si>
    <t>dummy1133</t>
  </si>
  <si>
    <t>dummy1134</t>
  </si>
  <si>
    <t>dummy1135</t>
  </si>
  <si>
    <t>dummy1136</t>
  </si>
  <si>
    <t>TT-00119</t>
  </si>
  <si>
    <t>dummy1137</t>
  </si>
  <si>
    <t>dummy1138</t>
  </si>
  <si>
    <t>dummy1139</t>
  </si>
  <si>
    <t>dummy1140</t>
  </si>
  <si>
    <t>AN-00078</t>
  </si>
  <si>
    <t>TT-00120</t>
  </si>
  <si>
    <t>HE-00192</t>
  </si>
  <si>
    <t>dummy1141</t>
  </si>
  <si>
    <t>HE-00193</t>
  </si>
  <si>
    <t>dummy1142</t>
  </si>
  <si>
    <t>HE-00194</t>
  </si>
  <si>
    <t>dummy1143</t>
  </si>
  <si>
    <t>HE-00195</t>
  </si>
  <si>
    <t>dummy1144</t>
  </si>
  <si>
    <t>TT-00121</t>
  </si>
  <si>
    <t>dummy1145</t>
  </si>
  <si>
    <t>dummy1146</t>
  </si>
  <si>
    <t>dummy1147</t>
  </si>
  <si>
    <t>dummy1148</t>
  </si>
  <si>
    <t>AN-00079</t>
  </si>
  <si>
    <t>TT-00122</t>
  </si>
  <si>
    <t>HE-00196</t>
  </si>
  <si>
    <t>dummy1149</t>
  </si>
  <si>
    <t>HE-00197</t>
  </si>
  <si>
    <t>dummy1150</t>
  </si>
  <si>
    <t>HE-00198</t>
  </si>
  <si>
    <t>dummy1151</t>
  </si>
  <si>
    <t>TT-00123</t>
  </si>
  <si>
    <t>dummy1152</t>
  </si>
  <si>
    <t>dummy1153</t>
  </si>
  <si>
    <t>dummy1154</t>
  </si>
  <si>
    <t>AMS-00093</t>
  </si>
  <si>
    <t>dummy1155</t>
  </si>
  <si>
    <t>AMS-00094</t>
  </si>
  <si>
    <t>dummy1156</t>
  </si>
  <si>
    <t>AN-00080</t>
  </si>
  <si>
    <t>TT-00124</t>
  </si>
  <si>
    <t>HE-00199</t>
  </si>
  <si>
    <t>dummy1157</t>
  </si>
  <si>
    <t>HE-00200</t>
  </si>
  <si>
    <t>dummy1158</t>
  </si>
  <si>
    <t>HE-00201</t>
  </si>
  <si>
    <t>dummy1159</t>
  </si>
  <si>
    <t>HE-00202</t>
  </si>
  <si>
    <t>dummy1160</t>
  </si>
  <si>
    <t>TT-00125</t>
  </si>
  <si>
    <t>dummy1161</t>
  </si>
  <si>
    <t>dummy1162</t>
  </si>
  <si>
    <t>dummy1163</t>
  </si>
  <si>
    <t>dummy1164</t>
  </si>
  <si>
    <t>AMS-00095</t>
  </si>
  <si>
    <t>dummy1165</t>
  </si>
  <si>
    <t>AMS-00096</t>
  </si>
  <si>
    <t>dummy1166</t>
  </si>
  <si>
    <t>AN-00081</t>
  </si>
  <si>
    <t>TT-00126</t>
  </si>
  <si>
    <t>dummy1167</t>
  </si>
  <si>
    <t>TT-00127</t>
  </si>
  <si>
    <t>dummy1168</t>
  </si>
  <si>
    <t>AN-00082</t>
  </si>
  <si>
    <t>TT-00128</t>
  </si>
  <si>
    <t>HE-00203</t>
  </si>
  <si>
    <t>dummy1169</t>
  </si>
  <si>
    <t>HE-00204</t>
  </si>
  <si>
    <t>dummy1170</t>
  </si>
  <si>
    <t>HE-00205</t>
  </si>
  <si>
    <t>dummy1171</t>
  </si>
  <si>
    <t>TT-00129</t>
  </si>
  <si>
    <t>dummy1172</t>
  </si>
  <si>
    <t>dummy1173</t>
  </si>
  <si>
    <t>dummy1174</t>
  </si>
  <si>
    <t>AN-00083</t>
  </si>
  <si>
    <t>TT-00130</t>
  </si>
  <si>
    <t>HE-00206</t>
  </si>
  <si>
    <t>dummy1175</t>
  </si>
  <si>
    <t>HE-00207</t>
  </si>
  <si>
    <t>dummy1176</t>
  </si>
  <si>
    <t>HE-00208</t>
  </si>
  <si>
    <t>dummy1177</t>
  </si>
  <si>
    <t>HE-00209</t>
  </si>
  <si>
    <t>dummy1178</t>
  </si>
  <si>
    <t>TT-00131</t>
  </si>
  <si>
    <t>dummy1179</t>
  </si>
  <si>
    <t>dummy1180</t>
  </si>
  <si>
    <t>dummy1181</t>
  </si>
  <si>
    <t>dummy1182</t>
  </si>
  <si>
    <t>AN-00084</t>
  </si>
  <si>
    <t>HE-00210</t>
  </si>
  <si>
    <t>dummy1183</t>
  </si>
  <si>
    <t>HE-00211</t>
  </si>
  <si>
    <t>dummy1184</t>
  </si>
  <si>
    <t>HE-00212</t>
  </si>
  <si>
    <t>dummy1185</t>
  </si>
  <si>
    <t>AN-00085</t>
  </si>
  <si>
    <t>TT-00132</t>
  </si>
  <si>
    <t>dummy1186</t>
  </si>
  <si>
    <t>TT-00133</t>
  </si>
  <si>
    <t>dummy1187</t>
  </si>
  <si>
    <t>AN-00086</t>
  </si>
  <si>
    <t>TT-00134</t>
  </si>
  <si>
    <t>HE-00213</t>
  </si>
  <si>
    <t>dummy1188</t>
  </si>
  <si>
    <t>HE-00214</t>
  </si>
  <si>
    <t>dummy1189</t>
  </si>
  <si>
    <t>HE-00215</t>
  </si>
  <si>
    <t>dummy1190</t>
  </si>
  <si>
    <t>HE-00216</t>
  </si>
  <si>
    <t>dummy1191</t>
  </si>
  <si>
    <t>TT-00135</t>
  </si>
  <si>
    <t>dummy1192</t>
  </si>
  <si>
    <t>dummy1193</t>
  </si>
  <si>
    <t>dummy1194</t>
  </si>
  <si>
    <t>dummy1195</t>
  </si>
  <si>
    <t>AN-00087</t>
  </si>
  <si>
    <t>TT-00136</t>
  </si>
  <si>
    <t>HE-00217</t>
  </si>
  <si>
    <t>dummy1196</t>
  </si>
  <si>
    <t>HE-00218</t>
  </si>
  <si>
    <t>dummy1197</t>
  </si>
  <si>
    <t>HE-00219</t>
  </si>
  <si>
    <t>dummy1198</t>
  </si>
  <si>
    <t>HE-00220</t>
  </si>
  <si>
    <t>dummy1199</t>
  </si>
  <si>
    <t>TT-00137</t>
  </si>
  <si>
    <t>dummy1200</t>
  </si>
  <si>
    <t>dummy1201</t>
  </si>
  <si>
    <t>dummy1202</t>
  </si>
  <si>
    <t>dummy1203</t>
  </si>
  <si>
    <t>AMS-00097</t>
  </si>
  <si>
    <t>dummy1204</t>
  </si>
  <si>
    <t>AN-00088</t>
  </si>
  <si>
    <t>TT-00138</t>
  </si>
  <si>
    <t>HE-00221</t>
  </si>
  <si>
    <t>dummy1205</t>
  </si>
  <si>
    <t>HE-00222</t>
  </si>
  <si>
    <t>dummy1206</t>
  </si>
  <si>
    <t>HE-00223</t>
  </si>
  <si>
    <t>dummy1207</t>
  </si>
  <si>
    <t>HE-00224</t>
  </si>
  <si>
    <t>dummy1208</t>
  </si>
  <si>
    <t>TT-00139</t>
  </si>
  <si>
    <t>dummy1209</t>
  </si>
  <si>
    <t>dummy1210</t>
  </si>
  <si>
    <t>dummy1211</t>
  </si>
  <si>
    <t>dummy1212</t>
  </si>
  <si>
    <t>AMS-00098</t>
  </si>
  <si>
    <t>dummy1213</t>
  </si>
  <si>
    <t>AMS-00099</t>
  </si>
  <si>
    <t>dummy1214</t>
  </si>
  <si>
    <t>AMS-00100</t>
  </si>
  <si>
    <t>dummy1215</t>
  </si>
  <si>
    <t>AMS-00101</t>
  </si>
  <si>
    <t>dummy1216</t>
  </si>
  <si>
    <t>AN-00089</t>
  </si>
  <si>
    <t>TT-00140</t>
  </si>
  <si>
    <t>HE-00225</t>
  </si>
  <si>
    <t>dummy1217</t>
  </si>
  <si>
    <t>HE-00226</t>
  </si>
  <si>
    <t>dummy1218</t>
  </si>
  <si>
    <t>HE-00227</t>
  </si>
  <si>
    <t>dummy1219</t>
  </si>
  <si>
    <t>HE-00228</t>
  </si>
  <si>
    <t>dummy1220</t>
  </si>
  <si>
    <t>TT-00141</t>
  </si>
  <si>
    <t>dummy1221</t>
  </si>
  <si>
    <t>dummy1222</t>
  </si>
  <si>
    <t>dummy1223</t>
  </si>
  <si>
    <t>dummy1224</t>
  </si>
  <si>
    <t>AMS-00102</t>
  </si>
  <si>
    <t>dummy1225</t>
  </si>
  <si>
    <t>AMS-00103</t>
  </si>
  <si>
    <t>dummy1226</t>
  </si>
  <si>
    <t>AMS-00104</t>
  </si>
  <si>
    <t>dummy1227</t>
  </si>
  <si>
    <t>AN-00090</t>
  </si>
  <si>
    <t>TT-00142</t>
  </si>
  <si>
    <t>HE-00229</t>
  </si>
  <si>
    <t>dummy1228</t>
  </si>
  <si>
    <t>HE-00230</t>
  </si>
  <si>
    <t>dummy1229</t>
  </si>
  <si>
    <t>HE-00231</t>
  </si>
  <si>
    <t>dummy1230</t>
  </si>
  <si>
    <t>TT-00143</t>
  </si>
  <si>
    <t>dummy1231</t>
  </si>
  <si>
    <t>dummy1232</t>
  </si>
  <si>
    <t>dummy1233</t>
  </si>
  <si>
    <t>AN-00091</t>
  </si>
  <si>
    <t>HE-00232</t>
  </si>
  <si>
    <t>dummy1234</t>
  </si>
  <si>
    <t>HE-00233</t>
  </si>
  <si>
    <t>dummy1235</t>
  </si>
  <si>
    <t>HE-00234</t>
  </si>
  <si>
    <t>dummy1236</t>
  </si>
  <si>
    <t>HE-00235</t>
  </si>
  <si>
    <t>dummy1237</t>
  </si>
  <si>
    <t>AN-00092</t>
  </si>
  <si>
    <t>dummy1238</t>
  </si>
  <si>
    <t>AN-00093</t>
  </si>
  <si>
    <t>TT-00144</t>
  </si>
  <si>
    <t>HE-00236</t>
  </si>
  <si>
    <t>dummy1239</t>
  </si>
  <si>
    <t>HE-00237</t>
  </si>
  <si>
    <t>dummy1240</t>
  </si>
  <si>
    <t>HE-00238</t>
  </si>
  <si>
    <t>dummy1241</t>
  </si>
  <si>
    <t>HE-00239</t>
  </si>
  <si>
    <t>dummy1242</t>
  </si>
  <si>
    <t>HE-00240</t>
  </si>
  <si>
    <t>dummy1243</t>
  </si>
  <si>
    <t>TT-00145</t>
  </si>
  <si>
    <t>dummy1244</t>
  </si>
  <si>
    <t>dummy1245</t>
  </si>
  <si>
    <t>dummy1246</t>
  </si>
  <si>
    <t>dummy1247</t>
  </si>
  <si>
    <t>dummy1248</t>
  </si>
  <si>
    <t>AMS-00105</t>
  </si>
  <si>
    <t>dummy1249</t>
  </si>
  <si>
    <t>AMS-00106</t>
  </si>
  <si>
    <t>dummy1250</t>
  </si>
  <si>
    <t>AMS-00107</t>
  </si>
  <si>
    <t>dummy1251</t>
  </si>
  <si>
    <t>AMS-00108</t>
  </si>
  <si>
    <t>dummy1252</t>
  </si>
  <si>
    <t>AN-00094</t>
  </si>
  <si>
    <t>TT-00146</t>
  </si>
  <si>
    <t>HE-00241</t>
  </si>
  <si>
    <t>dummy1253</t>
  </si>
  <si>
    <t>HE-00242</t>
  </si>
  <si>
    <t>dummy1254</t>
  </si>
  <si>
    <t>HE-00243</t>
  </si>
  <si>
    <t>dummy1255</t>
  </si>
  <si>
    <t>HE-00244</t>
  </si>
  <si>
    <t>dummy1256</t>
  </si>
  <si>
    <t>TT-00147</t>
  </si>
  <si>
    <t>dummy1257</t>
  </si>
  <si>
    <t>dummy1258</t>
  </si>
  <si>
    <t>dummy1259</t>
  </si>
  <si>
    <t>dummy1260</t>
  </si>
  <si>
    <t>AMS-00109</t>
  </si>
  <si>
    <t>dummy1261</t>
  </si>
  <si>
    <t>AMS-00110</t>
  </si>
  <si>
    <t>dummy1262</t>
  </si>
  <si>
    <t>AMS-00111</t>
  </si>
  <si>
    <t>dummy1263</t>
  </si>
  <si>
    <t>AMS-00112</t>
  </si>
  <si>
    <t>dummy1264</t>
  </si>
  <si>
    <t>AN-00095</t>
  </si>
  <si>
    <t>TT-00148</t>
  </si>
  <si>
    <t>HE-00245</t>
  </si>
  <si>
    <t>dummy1265</t>
  </si>
  <si>
    <t>HE-00246</t>
  </si>
  <si>
    <t>dummy1266</t>
  </si>
  <si>
    <t>HE-00247</t>
  </si>
  <si>
    <t>dummy1267</t>
  </si>
  <si>
    <t>HE-00248</t>
  </si>
  <si>
    <t>dummy1268</t>
  </si>
  <si>
    <t>TT-00149</t>
  </si>
  <si>
    <t>dummy1269</t>
  </si>
  <si>
    <t>dummy1270</t>
  </si>
  <si>
    <t>dummy1271</t>
  </si>
  <si>
    <t>dummy1272</t>
  </si>
  <si>
    <t>AN-00096</t>
  </si>
  <si>
    <t>TT-00150</t>
  </si>
  <si>
    <t>HE-00249</t>
  </si>
  <si>
    <t>dummy1273</t>
  </si>
  <si>
    <t>HE-00250</t>
  </si>
  <si>
    <t>dummy1274</t>
  </si>
  <si>
    <t>HE-00251</t>
  </si>
  <si>
    <t>dummy1275</t>
  </si>
  <si>
    <t>HE-00252</t>
  </si>
  <si>
    <t>dummy1276</t>
  </si>
  <si>
    <t>TT-00151</t>
  </si>
  <si>
    <t>dummy1277</t>
  </si>
  <si>
    <t>dummy1278</t>
  </si>
  <si>
    <t>dummy1279</t>
  </si>
  <si>
    <t>dummy1280</t>
  </si>
  <si>
    <t>AMS-00113</t>
  </si>
  <si>
    <t>dummy1281</t>
  </si>
  <si>
    <t>AMS-00114</t>
  </si>
  <si>
    <t>dummy1282</t>
  </si>
  <si>
    <t>AMS-00115</t>
  </si>
  <si>
    <t>dummy1283</t>
  </si>
  <si>
    <t>AN-00097</t>
  </si>
  <si>
    <t>TT-00152</t>
  </si>
  <si>
    <t>HE-00253</t>
  </si>
  <si>
    <t>dummy1284</t>
  </si>
  <si>
    <t>HE-00254</t>
  </si>
  <si>
    <t>dummy1285</t>
  </si>
  <si>
    <t>HE-00255</t>
  </si>
  <si>
    <t>dummy1286</t>
  </si>
  <si>
    <t>HE-00256</t>
  </si>
  <si>
    <t>dummy1287</t>
  </si>
  <si>
    <t>TT-00153</t>
  </si>
  <si>
    <t>dummy1288</t>
  </si>
  <si>
    <t>dummy1289</t>
  </si>
  <si>
    <t>dummy1290</t>
  </si>
  <si>
    <t>dummy1291</t>
  </si>
  <si>
    <t>AN-00098</t>
  </si>
  <si>
    <t>TT-00154</t>
  </si>
  <si>
    <t>HE-00257</t>
  </si>
  <si>
    <t>dummy1292</t>
  </si>
  <si>
    <t>HE-00258</t>
  </si>
  <si>
    <t>dummy1293</t>
  </si>
  <si>
    <t>HE-00259</t>
  </si>
  <si>
    <t>dummy1294</t>
  </si>
  <si>
    <t>TT-00155</t>
  </si>
  <si>
    <t>dummy1295</t>
  </si>
  <si>
    <t>dummy1296</t>
  </si>
  <si>
    <t>dummy1297</t>
  </si>
  <si>
    <t>AMS-00116</t>
  </si>
  <si>
    <t>dummy1298</t>
  </si>
  <si>
    <t>AMS-00117</t>
  </si>
  <si>
    <t>dummy1299</t>
  </si>
  <si>
    <t>AMS-00118</t>
  </si>
  <si>
    <t>dummy1300</t>
  </si>
  <si>
    <t>AMS-00119</t>
  </si>
  <si>
    <t>dummy1301</t>
  </si>
  <si>
    <t>AN-00099</t>
  </si>
  <si>
    <t>TT-00156</t>
  </si>
  <si>
    <t>HE-00260</t>
  </si>
  <si>
    <t>dummy1302</t>
  </si>
  <si>
    <t>HE-00261</t>
  </si>
  <si>
    <t>dummy1303</t>
  </si>
  <si>
    <t>HE-00262</t>
  </si>
  <si>
    <t>dummy1304</t>
  </si>
  <si>
    <t>HE-00263</t>
  </si>
  <si>
    <t>dummy1305</t>
  </si>
  <si>
    <t>TT-00157</t>
  </si>
  <si>
    <t>dummy1306</t>
  </si>
  <si>
    <t>dummy1307</t>
  </si>
  <si>
    <t>dummy1308</t>
  </si>
  <si>
    <t>dummy1309</t>
  </si>
  <si>
    <t>AMS-00120</t>
  </si>
  <si>
    <t>dummy1310</t>
  </si>
  <si>
    <t>AMS-00121</t>
  </si>
  <si>
    <t>dummy1311</t>
  </si>
  <si>
    <t>AMS-00122</t>
  </si>
  <si>
    <t>dummy1312</t>
  </si>
  <si>
    <t>AMS-00123</t>
  </si>
  <si>
    <t>dummy1313</t>
  </si>
  <si>
    <t>AN-00100</t>
  </si>
  <si>
    <t>TT-00158</t>
  </si>
  <si>
    <t>HE-00264</t>
  </si>
  <si>
    <t>dummy1314</t>
  </si>
  <si>
    <t>HE-00265</t>
  </si>
  <si>
    <t>dummy1315</t>
  </si>
  <si>
    <t>HE-00266</t>
  </si>
  <si>
    <t>dummy1316</t>
  </si>
  <si>
    <t>HE-00267</t>
  </si>
  <si>
    <t>dummy1317</t>
  </si>
  <si>
    <t>TT-00159</t>
  </si>
  <si>
    <t>dummy1318</t>
  </si>
  <si>
    <t>dummy1319</t>
  </si>
  <si>
    <t>dummy1320</t>
  </si>
  <si>
    <t>dummy1321</t>
  </si>
  <si>
    <t>AN-00101</t>
  </si>
  <si>
    <t>TT-00160</t>
  </si>
  <si>
    <t>HE-00268</t>
  </si>
  <si>
    <t>dummy1322</t>
  </si>
  <si>
    <t>HE-00269</t>
  </si>
  <si>
    <t>dummy1323</t>
  </si>
  <si>
    <t>HE-00270</t>
  </si>
  <si>
    <t>dummy1324</t>
  </si>
  <si>
    <t>TT-00161</t>
  </si>
  <si>
    <t>dummy1325</t>
  </si>
  <si>
    <t>dummy1326</t>
  </si>
  <si>
    <t>dummy1327</t>
  </si>
  <si>
    <t>AN-00102</t>
  </si>
  <si>
    <t>TT-00162</t>
  </si>
  <si>
    <t>HE-00271</t>
  </si>
  <si>
    <t>dummy1328</t>
  </si>
  <si>
    <t>HE-00272</t>
  </si>
  <si>
    <t>dummy1329</t>
  </si>
  <si>
    <t>HE-00273</t>
  </si>
  <si>
    <t>dummy1330</t>
  </si>
  <si>
    <t>HE-00274</t>
  </si>
  <si>
    <t>dummy1331</t>
  </si>
  <si>
    <t>HE-00275</t>
  </si>
  <si>
    <t>dummy1332</t>
  </si>
  <si>
    <t>TT-00163</t>
  </si>
  <si>
    <t>dummy1333</t>
  </si>
  <si>
    <t>dummy1334</t>
  </si>
  <si>
    <t>dummy1335</t>
  </si>
  <si>
    <t>dummy1336</t>
  </si>
  <si>
    <t>dummy1337</t>
  </si>
  <si>
    <t>TT-00164</t>
  </si>
  <si>
    <t>dummy1338</t>
  </si>
  <si>
    <t>dummy1339</t>
  </si>
  <si>
    <t>dummy1340</t>
  </si>
  <si>
    <t>dummy1341</t>
  </si>
  <si>
    <t>dummy1342</t>
  </si>
  <si>
    <t>AN-00103</t>
  </si>
  <si>
    <t>TT-00165</t>
  </si>
  <si>
    <t>HE-00276</t>
  </si>
  <si>
    <t>dummy1343</t>
  </si>
  <si>
    <t>HE-00277</t>
  </si>
  <si>
    <t>dummy1344</t>
  </si>
  <si>
    <t>HE-00278</t>
  </si>
  <si>
    <t>dummy1345</t>
  </si>
  <si>
    <t>HE-00279</t>
  </si>
  <si>
    <t>dummy1346</t>
  </si>
  <si>
    <t>TT-00166</t>
  </si>
  <si>
    <t>dummy1347</t>
  </si>
  <si>
    <t>dummy1348</t>
  </si>
  <si>
    <t>dummy1349</t>
  </si>
  <si>
    <t>dummy1350</t>
  </si>
  <si>
    <t>AN-00104</t>
  </si>
  <si>
    <t>TT-00167</t>
  </si>
  <si>
    <t>HE-00280</t>
  </si>
  <si>
    <t>dummy1351</t>
  </si>
  <si>
    <t>HE-00281</t>
  </si>
  <si>
    <t>dummy1352</t>
  </si>
  <si>
    <t>HE-00282</t>
  </si>
  <si>
    <t>dummy1353</t>
  </si>
  <si>
    <t>HE-00283</t>
  </si>
  <si>
    <t>dummy1354</t>
  </si>
  <si>
    <t>TT-00168</t>
  </si>
  <si>
    <t>dummy1355</t>
  </si>
  <si>
    <t>dummy1356</t>
  </si>
  <si>
    <t>dummy1357</t>
  </si>
  <si>
    <t>dummy1358</t>
  </si>
  <si>
    <t>AMS-00124</t>
  </si>
  <si>
    <t>dummy1359</t>
  </si>
  <si>
    <t>AMS-00125</t>
  </si>
  <si>
    <t>dummy1360</t>
  </si>
  <si>
    <t>AMS-00126</t>
  </si>
  <si>
    <t>dummy1361</t>
  </si>
  <si>
    <t>AMS-00127</t>
  </si>
  <si>
    <t>dummy1362</t>
  </si>
  <si>
    <t>AN-00105</t>
  </si>
  <si>
    <t>HE-00284</t>
  </si>
  <si>
    <t>dummy1363</t>
  </si>
  <si>
    <t>HE-00285</t>
  </si>
  <si>
    <t>dummy1364</t>
  </si>
  <si>
    <t>HE-00286</t>
  </si>
  <si>
    <t>dummy1365</t>
  </si>
  <si>
    <t>HE-00287</t>
  </si>
  <si>
    <t>dummy1366</t>
  </si>
  <si>
    <t>AN-00106</t>
  </si>
  <si>
    <t>TT-00169</t>
  </si>
  <si>
    <t>HE-00288</t>
  </si>
  <si>
    <t>dummy1367</t>
  </si>
  <si>
    <t>HE-00289</t>
  </si>
  <si>
    <t>dummy1368</t>
  </si>
  <si>
    <t>HE-00290</t>
  </si>
  <si>
    <t>dummy1369</t>
  </si>
  <si>
    <t>HE-00291</t>
  </si>
  <si>
    <t>dummy1370</t>
  </si>
  <si>
    <t>AN-00107</t>
  </si>
  <si>
    <t>HE-00292</t>
  </si>
  <si>
    <t>dummy1371</t>
  </si>
  <si>
    <t>HE-00293</t>
  </si>
  <si>
    <t>dummy1372</t>
  </si>
  <si>
    <t>HE-00294</t>
  </si>
  <si>
    <t>dummy1373</t>
  </si>
  <si>
    <t>HE-00295</t>
  </si>
  <si>
    <t>dummy1374</t>
  </si>
  <si>
    <t>HE-00296</t>
  </si>
  <si>
    <t>dummy1375</t>
  </si>
  <si>
    <t>AN-00108</t>
  </si>
  <si>
    <t>TT-00170</t>
  </si>
  <si>
    <t>dummy1376</t>
  </si>
  <si>
    <t>TT-00171</t>
  </si>
  <si>
    <t>dummy1377</t>
  </si>
  <si>
    <t>AN-00109</t>
  </si>
  <si>
    <t>TT-00172</t>
  </si>
  <si>
    <t>HE-00297</t>
  </si>
  <si>
    <t>dummy1378</t>
  </si>
  <si>
    <t>HE-00298</t>
  </si>
  <si>
    <t>dummy1379</t>
  </si>
  <si>
    <t>HE-00299</t>
  </si>
  <si>
    <t>dummy1380</t>
  </si>
  <si>
    <t>HE-00300</t>
  </si>
  <si>
    <t>dummy1381</t>
  </si>
  <si>
    <t>TT-00173</t>
  </si>
  <si>
    <t>dummy1382</t>
  </si>
  <si>
    <t>dummy1383</t>
  </si>
  <si>
    <t>dummy1384</t>
  </si>
  <si>
    <t>dummy1385</t>
  </si>
  <si>
    <t>AMS-00128</t>
  </si>
  <si>
    <t>dummy1386</t>
  </si>
  <si>
    <t>AMS-00129</t>
  </si>
  <si>
    <t>dummy1387</t>
  </si>
  <si>
    <t>AN-00110</t>
  </si>
  <si>
    <t>TT-00174</t>
  </si>
  <si>
    <t>HE-00301</t>
  </si>
  <si>
    <t>dummy1388</t>
  </si>
  <si>
    <t>HE-00302</t>
  </si>
  <si>
    <t>dummy1389</t>
  </si>
  <si>
    <t>HE-00303</t>
  </si>
  <si>
    <t>dummy1390</t>
  </si>
  <si>
    <t>HE-00304</t>
  </si>
  <si>
    <t>dummy1391</t>
  </si>
  <si>
    <t>TT-00175</t>
  </si>
  <si>
    <t>dummy1392</t>
  </si>
  <si>
    <t>dummy1393</t>
  </si>
  <si>
    <t>dummy1394</t>
  </si>
  <si>
    <t>dummy1395</t>
  </si>
  <si>
    <t>AMS-00130</t>
  </si>
  <si>
    <t>dummy1396</t>
  </si>
  <si>
    <t>AN-00111</t>
  </si>
  <si>
    <t>TT-00176</t>
  </si>
  <si>
    <t>dummy1397</t>
  </si>
  <si>
    <t>TT-00177</t>
  </si>
  <si>
    <t>dummy1398</t>
  </si>
  <si>
    <t>AN-00112</t>
  </si>
  <si>
    <t>HE-00305</t>
  </si>
  <si>
    <t>dummy1399</t>
  </si>
  <si>
    <t>HE-00306</t>
  </si>
  <si>
    <t>dummy1400</t>
  </si>
  <si>
    <t>HE-00307</t>
  </si>
  <si>
    <t>dummy1401</t>
  </si>
  <si>
    <t>HE-00308</t>
  </si>
  <si>
    <t>dummy1402</t>
  </si>
  <si>
    <t>AN-00113</t>
  </si>
  <si>
    <t>HE-00309</t>
  </si>
  <si>
    <t>dummy1403</t>
  </si>
  <si>
    <t>HE-00310</t>
  </si>
  <si>
    <t>dummy1404</t>
  </si>
  <si>
    <t>HE-00311</t>
  </si>
  <si>
    <t>dummy1405</t>
  </si>
  <si>
    <t>HE-00312</t>
  </si>
  <si>
    <t>dummy1406</t>
  </si>
  <si>
    <t>AN-00114</t>
  </si>
  <si>
    <t>TT-00178</t>
  </si>
  <si>
    <t>HE-00313</t>
  </si>
  <si>
    <t>dummy1407</t>
  </si>
  <si>
    <t>HE-00314</t>
  </si>
  <si>
    <t>dummy1408</t>
  </si>
  <si>
    <t>HE-00315</t>
  </si>
  <si>
    <t>dummy1409</t>
  </si>
  <si>
    <t>TT-00179</t>
  </si>
  <si>
    <t>dummy1410</t>
  </si>
  <si>
    <t>dummy1411</t>
  </si>
  <si>
    <t>dummy1412</t>
  </si>
  <si>
    <t>AN-00115</t>
  </si>
  <si>
    <t>TT-00180</t>
  </si>
  <si>
    <t>HE-00316</t>
  </si>
  <si>
    <t>dummy1413</t>
  </si>
  <si>
    <t>HE-00317</t>
  </si>
  <si>
    <t>dummy1414</t>
  </si>
  <si>
    <t>HE-00318</t>
  </si>
  <si>
    <t>dummy1415</t>
  </si>
  <si>
    <t>HE-00319</t>
  </si>
  <si>
    <t>dummy1416</t>
  </si>
  <si>
    <t>HE-00320</t>
  </si>
  <si>
    <t>dummy1417</t>
  </si>
  <si>
    <t>TT-00181</t>
  </si>
  <si>
    <t>dummy1418</t>
  </si>
  <si>
    <t>dummy1419</t>
  </si>
  <si>
    <t>dummy1420</t>
  </si>
  <si>
    <t>dummy1421</t>
  </si>
  <si>
    <t>dummy1422</t>
  </si>
  <si>
    <t>AMS-00131</t>
  </si>
  <si>
    <t>dummy1423</t>
  </si>
  <si>
    <t>AMS-00132</t>
  </si>
  <si>
    <t>dummy1424</t>
  </si>
  <si>
    <t>AN-00116</t>
  </si>
  <si>
    <t>HE-00321</t>
  </si>
  <si>
    <t>dummy1425</t>
  </si>
  <si>
    <t>HE-00322</t>
  </si>
  <si>
    <t>dummy1426</t>
  </si>
  <si>
    <t>HE-00323</t>
  </si>
  <si>
    <t>dummy1427</t>
  </si>
  <si>
    <t>HE-00324</t>
  </si>
  <si>
    <t>dummy1428</t>
  </si>
  <si>
    <t>AMS-00133</t>
  </si>
  <si>
    <t>dummy1429</t>
  </si>
  <si>
    <t>AMS-00134</t>
  </si>
  <si>
    <t>dummy1430</t>
  </si>
  <si>
    <t>AMS-00135</t>
  </si>
  <si>
    <t>dummy1431</t>
  </si>
  <si>
    <t>AN-00117</t>
  </si>
  <si>
    <t>HE-00325</t>
  </si>
  <si>
    <t>dummy1432</t>
  </si>
  <si>
    <t>HE-00326</t>
  </si>
  <si>
    <t>dummy1433</t>
  </si>
  <si>
    <t>HE-00327</t>
  </si>
  <si>
    <t>dummy1434</t>
  </si>
  <si>
    <t>HE-00328</t>
  </si>
  <si>
    <t>dummy1435</t>
  </si>
  <si>
    <t>AN-00118</t>
  </si>
  <si>
    <t>TT-00182</t>
  </si>
  <si>
    <t>HE-00329</t>
  </si>
  <si>
    <t>dummy1436</t>
  </si>
  <si>
    <t>HE-00330</t>
  </si>
  <si>
    <t>dummy1437</t>
  </si>
  <si>
    <t>HE-00331</t>
  </si>
  <si>
    <t>dummy1438</t>
  </si>
  <si>
    <t>HE-00332</t>
  </si>
  <si>
    <t>dummy1439</t>
  </si>
  <si>
    <t>AMS-00136</t>
  </si>
  <si>
    <t>dummy1440</t>
  </si>
  <si>
    <t>AMS-00137</t>
  </si>
  <si>
    <t>dummy1441</t>
  </si>
  <si>
    <t>AN-00119</t>
  </si>
  <si>
    <t>HE-00333</t>
  </si>
  <si>
    <t>dummy1442</t>
  </si>
  <si>
    <t>HE-00334</t>
  </si>
  <si>
    <t>dummy1443</t>
  </si>
  <si>
    <t>HE-00335</t>
  </si>
  <si>
    <t>dummy1444</t>
  </si>
  <si>
    <t>HE-00336</t>
  </si>
  <si>
    <t>dummy1445</t>
  </si>
  <si>
    <t>HE-00337</t>
  </si>
  <si>
    <t>dummy1446</t>
  </si>
  <si>
    <t>AN-00120</t>
  </si>
  <si>
    <t>TT-00183</t>
  </si>
  <si>
    <t>dummy1447</t>
  </si>
  <si>
    <t>TT-00184</t>
  </si>
  <si>
    <t>dummy1448</t>
  </si>
  <si>
    <t>AN-00121</t>
  </si>
  <si>
    <t>TT-00185</t>
  </si>
  <si>
    <t>HE-00338</t>
  </si>
  <si>
    <t>dummy1449</t>
  </si>
  <si>
    <t>HE-00339</t>
  </si>
  <si>
    <t>dummy1450</t>
  </si>
  <si>
    <t>HE-00340</t>
  </si>
  <si>
    <t>dummy1451</t>
  </si>
  <si>
    <t>HE-00341</t>
  </si>
  <si>
    <t>dummy1452</t>
  </si>
  <si>
    <t>HE-00342</t>
  </si>
  <si>
    <t>dummy1453</t>
  </si>
  <si>
    <t>TT-00186</t>
  </si>
  <si>
    <t>dummy1454</t>
  </si>
  <si>
    <t>dummy1455</t>
  </si>
  <si>
    <t>dummy1456</t>
  </si>
  <si>
    <t>dummy1457</t>
  </si>
  <si>
    <t>dummy1458</t>
  </si>
  <si>
    <t>AMS-00138</t>
  </si>
  <si>
    <t>dummy1459</t>
  </si>
  <si>
    <t>AMS-00139</t>
  </si>
  <si>
    <t>dummy1460</t>
  </si>
  <si>
    <t>AMS-00140</t>
  </si>
  <si>
    <t>dummy1461</t>
  </si>
  <si>
    <t>AMS-00141</t>
  </si>
  <si>
    <t>dummy1462</t>
  </si>
  <si>
    <t>AN-00122</t>
  </si>
  <si>
    <t>HE-00343</t>
  </si>
  <si>
    <t>dummy1463</t>
  </si>
  <si>
    <t>HE-00344</t>
  </si>
  <si>
    <t>dummy1464</t>
  </si>
  <si>
    <t>HE-00345</t>
  </si>
  <si>
    <t>dummy1465</t>
  </si>
  <si>
    <t>AN-00123</t>
  </si>
  <si>
    <t>HE-00346</t>
  </si>
  <si>
    <t>dummy1466</t>
  </si>
  <si>
    <t>HE-00347</t>
  </si>
  <si>
    <t>dummy1467</t>
  </si>
  <si>
    <t>HE-00348</t>
  </si>
  <si>
    <t>dummy1468</t>
  </si>
  <si>
    <t>HE-00349</t>
  </si>
  <si>
    <t>dummy1469</t>
  </si>
  <si>
    <t>HE-00350</t>
  </si>
  <si>
    <t>dummy1470</t>
  </si>
  <si>
    <t>AMS-00142</t>
  </si>
  <si>
    <t>dummy1471</t>
  </si>
  <si>
    <t>AMS-00143</t>
  </si>
  <si>
    <t>dummy1472</t>
  </si>
  <si>
    <t>AMS-00144</t>
  </si>
  <si>
    <t>dummy1473</t>
  </si>
  <si>
    <t>AMS-00145</t>
  </si>
  <si>
    <t>dummy1474</t>
  </si>
  <si>
    <t>AN-00124</t>
  </si>
  <si>
    <t>TT-00187</t>
  </si>
  <si>
    <t>HE-00351</t>
  </si>
  <si>
    <t>dummy1475</t>
  </si>
  <si>
    <t>HE-00352</t>
  </si>
  <si>
    <t>dummy1476</t>
  </si>
  <si>
    <t>HE-00353</t>
  </si>
  <si>
    <t>dummy1477</t>
  </si>
  <si>
    <t>TT-00188</t>
  </si>
  <si>
    <t>dummy1478</t>
  </si>
  <si>
    <t>dummy1479</t>
  </si>
  <si>
    <t>dummy1480</t>
  </si>
  <si>
    <t>AN-00125</t>
  </si>
  <si>
    <t>TT-00189</t>
  </si>
  <si>
    <t>HE-00354</t>
  </si>
  <si>
    <t>dummy1481</t>
  </si>
  <si>
    <t>HE-00355</t>
  </si>
  <si>
    <t>dummy1482</t>
  </si>
  <si>
    <t>HE-00356</t>
  </si>
  <si>
    <t>dummy1483</t>
  </si>
  <si>
    <t>HE-00357</t>
  </si>
  <si>
    <t>dummy1484</t>
  </si>
  <si>
    <t>TT-00190</t>
  </si>
  <si>
    <t>dummy1485</t>
  </si>
  <si>
    <t>dummy1486</t>
  </si>
  <si>
    <t>AMS-00146</t>
  </si>
  <si>
    <t>AMS-00147</t>
  </si>
  <si>
    <t>AMS-00148</t>
  </si>
  <si>
    <t>AN-00126</t>
  </si>
  <si>
    <t>AMS-00149</t>
  </si>
  <si>
    <t>AN-00127</t>
  </si>
  <si>
    <t>HE-00358</t>
  </si>
  <si>
    <t>HE-00359</t>
  </si>
  <si>
    <t>HE-00360</t>
  </si>
  <si>
    <t>HE-00361</t>
  </si>
  <si>
    <t>AN-00128</t>
  </si>
  <si>
    <t>TT-00191</t>
  </si>
  <si>
    <t>TT-00192</t>
  </si>
  <si>
    <t>AN-00129</t>
  </si>
  <si>
    <t>TT-00193</t>
  </si>
  <si>
    <t>HE-00362</t>
  </si>
  <si>
    <t>HE-00363</t>
  </si>
  <si>
    <t>HE-00364</t>
  </si>
  <si>
    <t>HE-00365</t>
  </si>
  <si>
    <t>TT-00194</t>
  </si>
  <si>
    <t>AN-00130</t>
  </si>
  <si>
    <t>TT-00195</t>
  </si>
  <si>
    <t>AN-00131</t>
  </si>
  <si>
    <t>TT-00196</t>
  </si>
  <si>
    <t>HE-00366</t>
  </si>
  <si>
    <t>HE-00367</t>
  </si>
  <si>
    <t>HE-00368</t>
  </si>
  <si>
    <t>HE-00369</t>
  </si>
  <si>
    <t>HE-00370</t>
  </si>
  <si>
    <t>TT-00197</t>
  </si>
  <si>
    <t>AMS-00150</t>
  </si>
  <si>
    <t>AMS-00151</t>
  </si>
  <si>
    <t>AN-00132</t>
  </si>
  <si>
    <t>TT-00198</t>
  </si>
  <si>
    <t>TT-00199</t>
  </si>
  <si>
    <t>AN-00133</t>
  </si>
  <si>
    <t>HE-00371</t>
  </si>
  <si>
    <t>HE-00372</t>
  </si>
  <si>
    <t>HE-00373</t>
  </si>
  <si>
    <t>AMS-00152</t>
  </si>
  <si>
    <t>AMS-00153</t>
  </si>
  <si>
    <t>AN-00134</t>
  </si>
  <si>
    <t>TT-00200</t>
  </si>
  <si>
    <t>TT-00201</t>
  </si>
  <si>
    <t>AN-00135</t>
  </si>
  <si>
    <t>TT-00202</t>
  </si>
  <si>
    <t>TT-00203</t>
  </si>
  <si>
    <t>AN-00136</t>
  </si>
  <si>
    <t>TT-00204</t>
  </si>
  <si>
    <t>TT-00205</t>
  </si>
  <si>
    <t>AN-00137</t>
  </si>
  <si>
    <t>TT-00206</t>
  </si>
  <si>
    <t>HE-00374</t>
  </si>
  <si>
    <t>HE-00375</t>
  </si>
  <si>
    <t>HE-00376</t>
  </si>
  <si>
    <t>HE-00377</t>
  </si>
  <si>
    <t>TT-00207</t>
  </si>
  <si>
    <t>AN-00138</t>
  </si>
  <si>
    <t>TT-00208</t>
  </si>
  <si>
    <t>TT-00209</t>
  </si>
  <si>
    <t>AMS-00154</t>
  </si>
  <si>
    <t>AMS-00155</t>
  </si>
  <si>
    <t>AMS-00156</t>
  </si>
  <si>
    <t>AN-00139</t>
  </si>
  <si>
    <t>TT-00210</t>
  </si>
  <si>
    <t>HE-00378</t>
  </si>
  <si>
    <t>HE-00379</t>
  </si>
  <si>
    <t>HE-00380</t>
  </si>
  <si>
    <t>HE-00381</t>
  </si>
  <si>
    <t>TT-00211</t>
  </si>
  <si>
    <t>AMS-00157</t>
  </si>
  <si>
    <t>AMS-00158</t>
  </si>
  <si>
    <t>AN-00140</t>
  </si>
  <si>
    <t>TT-00212</t>
  </si>
  <si>
    <t>HE-00382</t>
  </si>
  <si>
    <t>HE-00383</t>
  </si>
  <si>
    <t>HE-00384</t>
  </si>
  <si>
    <t>HE-00385</t>
  </si>
  <si>
    <t>AMS-00159</t>
  </si>
  <si>
    <t>AMS-00160</t>
  </si>
  <si>
    <t>AMS-00161</t>
  </si>
  <si>
    <t>AMS-00162</t>
  </si>
  <si>
    <t>AN-00141</t>
  </si>
  <si>
    <t>HE-00386</t>
  </si>
  <si>
    <t>HE-00387</t>
  </si>
  <si>
    <t>HE-00388</t>
  </si>
  <si>
    <t>AMS-00163</t>
  </si>
  <si>
    <t>AN-00142</t>
  </si>
  <si>
    <t>HE-00389</t>
  </si>
  <si>
    <t>HE-00390</t>
  </si>
  <si>
    <t>HE-00391</t>
  </si>
  <si>
    <t>HE-00392</t>
  </si>
  <si>
    <t>HE-00393</t>
  </si>
  <si>
    <t>AMS-00164</t>
  </si>
  <si>
    <t>AMS-00165</t>
  </si>
  <si>
    <t>AMS-00166</t>
  </si>
  <si>
    <t>AN-00143</t>
  </si>
  <si>
    <t>HE-00394</t>
  </si>
  <si>
    <t>HE-00395</t>
  </si>
  <si>
    <t>HE-00396</t>
  </si>
  <si>
    <t>HE-00397</t>
  </si>
  <si>
    <t>HE-00398</t>
  </si>
  <si>
    <t>AN-00144</t>
  </si>
  <si>
    <t>HE-00399</t>
  </si>
  <si>
    <t>HE-00400</t>
  </si>
  <si>
    <t>HE-00401</t>
  </si>
  <si>
    <t>HE-00402</t>
  </si>
  <si>
    <t>AN-00145</t>
  </si>
  <si>
    <t>TT-00213</t>
  </si>
  <si>
    <t>TT-00214</t>
  </si>
  <si>
    <t>AMS-00167</t>
  </si>
  <si>
    <t>AMS-00168</t>
  </si>
  <si>
    <t>AMS-00169</t>
  </si>
  <si>
    <t>AMS-00170</t>
  </si>
  <si>
    <t>AN-00146</t>
  </si>
  <si>
    <t>TT-00215</t>
  </si>
  <si>
    <t>HE-00403</t>
  </si>
  <si>
    <t>HE-00404</t>
  </si>
  <si>
    <t>HE-00405</t>
  </si>
  <si>
    <t>HE-00406</t>
  </si>
  <si>
    <t>AN-00147</t>
  </si>
  <si>
    <t>HE-00407</t>
  </si>
  <si>
    <t>HE-00408</t>
  </si>
  <si>
    <t>HE-00409</t>
  </si>
  <si>
    <t>HE-00410</t>
  </si>
  <si>
    <t>AN-00148</t>
  </si>
  <si>
    <t>TT-00216</t>
  </si>
  <si>
    <t>TT-00217</t>
  </si>
  <si>
    <t>AN-00149</t>
  </si>
  <si>
    <t>TT-00218</t>
  </si>
  <si>
    <t>TT-00219</t>
  </si>
  <si>
    <t>AMS-00171</t>
  </si>
  <si>
    <t>AMS-00172</t>
  </si>
  <si>
    <t>AN-00150</t>
  </si>
  <si>
    <t>TT-00220</t>
  </si>
  <si>
    <t>TT-00221</t>
  </si>
  <si>
    <t>AN-00151</t>
  </si>
  <si>
    <t>TT-00222</t>
  </si>
  <si>
    <t>TT-00223</t>
  </si>
  <si>
    <t>AMS-00173</t>
  </si>
  <si>
    <t>AMS-00174</t>
  </si>
  <si>
    <t>AMS-00175</t>
  </si>
  <si>
    <t>AMS-00176</t>
  </si>
  <si>
    <t>AN-00152</t>
  </si>
  <si>
    <t>TT-00224</t>
  </si>
  <si>
    <t>HE-00411</t>
  </si>
  <si>
    <t>HE-00412</t>
  </si>
  <si>
    <t>HE-00413</t>
  </si>
  <si>
    <t>TT-00225</t>
  </si>
  <si>
    <t>TT-00226</t>
  </si>
  <si>
    <t>AN-00153</t>
  </si>
  <si>
    <t>HE-00414</t>
  </si>
  <si>
    <t>HE-00415</t>
  </si>
  <si>
    <t>HE-00416</t>
  </si>
  <si>
    <t>HE-00417</t>
  </si>
  <si>
    <t>AN-00154</t>
  </si>
  <si>
    <t>AN-00155</t>
  </si>
  <si>
    <t>TT-00227</t>
  </si>
  <si>
    <t>HE-00418</t>
  </si>
  <si>
    <t>HE-00419</t>
  </si>
  <si>
    <t>HE-00420</t>
  </si>
  <si>
    <t>HE-00421</t>
  </si>
  <si>
    <t>TT-00228</t>
  </si>
  <si>
    <t>AN-00156</t>
  </si>
  <si>
    <t>TT-00229</t>
  </si>
  <si>
    <t>HE-00422</t>
  </si>
  <si>
    <t>HE-00423</t>
  </si>
  <si>
    <t>HE-00424</t>
  </si>
  <si>
    <t>HE-00425</t>
  </si>
  <si>
    <t>TT-00230</t>
  </si>
  <si>
    <t>AN-00157</t>
  </si>
  <si>
    <t>TT-00231</t>
  </si>
  <si>
    <t>HE-00426</t>
  </si>
  <si>
    <t>HE-00427</t>
  </si>
  <si>
    <t>HE-00428</t>
  </si>
  <si>
    <t>HE-00429</t>
  </si>
  <si>
    <t>TT-00232</t>
  </si>
  <si>
    <t>AN-00158</t>
  </si>
  <si>
    <t>HE-00430</t>
  </si>
  <si>
    <t>HE-00431</t>
  </si>
  <si>
    <t>HE-00432</t>
  </si>
  <si>
    <t>HE-00433</t>
  </si>
  <si>
    <t>AMS-00177</t>
  </si>
  <si>
    <t>AN-00159</t>
  </si>
  <si>
    <t>TT-00233</t>
  </si>
  <si>
    <t>HE-00434</t>
  </si>
  <si>
    <t>HE-00435</t>
  </si>
  <si>
    <t>HE-00436</t>
  </si>
  <si>
    <t>TT-00234</t>
  </si>
  <si>
    <t>TT-00235</t>
  </si>
  <si>
    <t>AN-00160</t>
  </si>
  <si>
    <t>TT-00236</t>
  </si>
  <si>
    <t>HE-00437</t>
  </si>
  <si>
    <t>HE-00438</t>
  </si>
  <si>
    <t>HE-00439</t>
  </si>
  <si>
    <t>HE-00440</t>
  </si>
  <si>
    <t>TT-00237</t>
  </si>
  <si>
    <t>AN-00161</t>
  </si>
  <si>
    <t>TT-00238</t>
  </si>
  <si>
    <t>TT-00239</t>
  </si>
  <si>
    <t>AMS-00178</t>
  </si>
  <si>
    <t>AMS-00179</t>
  </si>
  <si>
    <t>AMS-00180</t>
  </si>
  <si>
    <t>AMS-00181</t>
  </si>
  <si>
    <t>AN-00162</t>
  </si>
  <si>
    <t>TT-00240</t>
  </si>
  <si>
    <t>HE-00441</t>
  </si>
  <si>
    <t>HE-00442</t>
  </si>
  <si>
    <t>HE-00443</t>
  </si>
  <si>
    <t>dummy1682</t>
  </si>
  <si>
    <t>HE-00444</t>
  </si>
  <si>
    <t>dummy1683</t>
  </si>
  <si>
    <t>TT-00241</t>
  </si>
  <si>
    <t>dummy1684</t>
  </si>
  <si>
    <t>dummy1685</t>
  </si>
  <si>
    <t>dummy1686</t>
  </si>
  <si>
    <t>dummy1687</t>
  </si>
  <si>
    <t>TT-00242</t>
  </si>
  <si>
    <t>dummy1688</t>
  </si>
  <si>
    <t>dummy1689</t>
  </si>
  <si>
    <t>dummy1690</t>
  </si>
  <si>
    <t>dummy1691</t>
  </si>
  <si>
    <t>AMS-00182</t>
  </si>
  <si>
    <t>dummy1692</t>
  </si>
  <si>
    <t>AN-00163</t>
  </si>
  <si>
    <t>TT-00243</t>
  </si>
  <si>
    <t>HE-00445</t>
  </si>
  <si>
    <t>dummy1693</t>
  </si>
  <si>
    <t>HE-00446</t>
  </si>
  <si>
    <t>dummy1694</t>
  </si>
  <si>
    <t>HE-00447</t>
  </si>
  <si>
    <t>dummy1695</t>
  </si>
  <si>
    <t>HE-00448</t>
  </si>
  <si>
    <t>dummy1696</t>
  </si>
  <si>
    <t>TT-00244</t>
  </si>
  <si>
    <t>dummy1697</t>
  </si>
  <si>
    <t>dummy1698</t>
  </si>
  <si>
    <t>dummy1699</t>
  </si>
  <si>
    <t>dummy1700</t>
  </si>
  <si>
    <t>AMS-00183</t>
  </si>
  <si>
    <t>dummy1701</t>
  </si>
  <si>
    <t>AMS-00184</t>
  </si>
  <si>
    <t>dummy1702</t>
  </si>
  <si>
    <t>AN-00164</t>
  </si>
  <si>
    <t>TT-00245</t>
  </si>
  <si>
    <t>HE-00449</t>
  </si>
  <si>
    <t>dummy1703</t>
  </si>
  <si>
    <t>HE-00450</t>
  </si>
  <si>
    <t>dummy1704</t>
  </si>
  <si>
    <t>HE-00451</t>
  </si>
  <si>
    <t>dummy1705</t>
  </si>
  <si>
    <t>HE-00452</t>
  </si>
  <si>
    <t>dummy1706</t>
  </si>
  <si>
    <t>TT-00246</t>
  </si>
  <si>
    <t>dummy1707</t>
  </si>
  <si>
    <t>dummy1708</t>
  </si>
  <si>
    <t>dummy1709</t>
  </si>
  <si>
    <t>dummy1710</t>
  </si>
  <si>
    <t>AMS-00185</t>
  </si>
  <si>
    <t>dummy1711</t>
  </si>
  <si>
    <t>AMS-00186</t>
  </si>
  <si>
    <t>dummy1712</t>
  </si>
  <si>
    <t>AMS-00187</t>
  </si>
  <si>
    <t>dummy1713</t>
  </si>
  <si>
    <t>AN-00165</t>
  </si>
  <si>
    <t>HE-00453</t>
  </si>
  <si>
    <t>dummy1714</t>
  </si>
  <si>
    <t>HE-00454</t>
  </si>
  <si>
    <t>dummy1715</t>
  </si>
  <si>
    <t>HE-00455</t>
  </si>
  <si>
    <t>dummy1716</t>
  </si>
  <si>
    <t>HE-00456</t>
  </si>
  <si>
    <t>dummy1717</t>
  </si>
  <si>
    <t>AN-00166</t>
  </si>
  <si>
    <t>TT-00247</t>
  </si>
  <si>
    <t>HE-00457</t>
  </si>
  <si>
    <t>dummy1718</t>
  </si>
  <si>
    <t>HE-00458</t>
  </si>
  <si>
    <t>dummy1719</t>
  </si>
  <si>
    <t>HE-00459</t>
  </si>
  <si>
    <t>dummy1720</t>
  </si>
  <si>
    <t>TT-00248</t>
  </si>
  <si>
    <t>dummy1721</t>
  </si>
  <si>
    <t>dummy1722</t>
  </si>
  <si>
    <t>dummy1723</t>
  </si>
  <si>
    <t>AN-00167</t>
  </si>
  <si>
    <t>HE-00460</t>
  </si>
  <si>
    <t>dummy1724</t>
  </si>
  <si>
    <t>HE-00461</t>
  </si>
  <si>
    <t>dummy1725</t>
  </si>
  <si>
    <t>HE-00462</t>
  </si>
  <si>
    <t>dummy1726</t>
  </si>
  <si>
    <t>HE-00463</t>
  </si>
  <si>
    <t>dummy1727</t>
  </si>
  <si>
    <t>HE-00464</t>
  </si>
  <si>
    <t>dummy1728</t>
  </si>
  <si>
    <t>AMS-00188</t>
  </si>
  <si>
    <t>dummy1729</t>
  </si>
  <si>
    <t>AMS-00189</t>
  </si>
  <si>
    <t>dummy1730</t>
  </si>
  <si>
    <t>AMS-00190</t>
  </si>
  <si>
    <t>dummy1731</t>
  </si>
  <si>
    <t>AMS-00191</t>
  </si>
  <si>
    <t>dummy1732</t>
  </si>
  <si>
    <t>AN-00168</t>
  </si>
  <si>
    <t>TT-00249</t>
  </si>
  <si>
    <t>dummy1733</t>
  </si>
  <si>
    <t>AMS-00192</t>
  </si>
  <si>
    <t>dummy1734</t>
  </si>
  <si>
    <t>AN-00169</t>
  </si>
  <si>
    <t>TT-00250</t>
  </si>
  <si>
    <t>HE-00465</t>
  </si>
  <si>
    <t>dummy1735</t>
  </si>
  <si>
    <t>HE-00466</t>
  </si>
  <si>
    <t>dummy1736</t>
  </si>
  <si>
    <t>HE-00467</t>
  </si>
  <si>
    <t>dummy1737</t>
  </si>
  <si>
    <t>HE-00468</t>
  </si>
  <si>
    <t>dummy1738</t>
  </si>
  <si>
    <t>TT-00251</t>
  </si>
  <si>
    <t>dummy1739</t>
  </si>
  <si>
    <t>dummy1740</t>
  </si>
  <si>
    <t>dummy1741</t>
  </si>
  <si>
    <t>dummy1742</t>
  </si>
  <si>
    <t>AN-00170</t>
  </si>
  <si>
    <t>dummy1743</t>
  </si>
  <si>
    <t>AN-00171</t>
  </si>
  <si>
    <t>TT-00252</t>
  </si>
  <si>
    <t>dummy1744</t>
  </si>
  <si>
    <t>TT-00253</t>
  </si>
  <si>
    <t>dummy1745</t>
  </si>
  <si>
    <t>AN-00172</t>
  </si>
  <si>
    <t>HE-00469</t>
  </si>
  <si>
    <t>dummy1746</t>
  </si>
  <si>
    <t>HE-00470</t>
  </si>
  <si>
    <t>dummy1747</t>
  </si>
  <si>
    <t>HE-00471</t>
  </si>
  <si>
    <t>dummy1748</t>
  </si>
  <si>
    <t>HE-00472</t>
  </si>
  <si>
    <t>dummy1749</t>
  </si>
  <si>
    <t>HE-00473</t>
  </si>
  <si>
    <t>dummy1750</t>
  </si>
  <si>
    <t>AN-00173</t>
  </si>
  <si>
    <t>TT-00254</t>
  </si>
  <si>
    <t>HE-00474</t>
  </si>
  <si>
    <t>dummy1751</t>
  </si>
  <si>
    <t>HE-00475</t>
  </si>
  <si>
    <t>dummy1752</t>
  </si>
  <si>
    <t>HE-00476</t>
  </si>
  <si>
    <t>dummy1753</t>
  </si>
  <si>
    <t>HE-00477</t>
  </si>
  <si>
    <t>dummy1754</t>
  </si>
  <si>
    <t>TT-00255</t>
  </si>
  <si>
    <t>dummy1755</t>
  </si>
  <si>
    <t>dummy1756</t>
  </si>
  <si>
    <t>dummy1757</t>
  </si>
  <si>
    <t>dummy1758</t>
  </si>
  <si>
    <t>AN-00174</t>
  </si>
  <si>
    <t>TT-00256</t>
  </si>
  <si>
    <t>dummy1759</t>
  </si>
  <si>
    <t>AMS-00193</t>
  </si>
  <si>
    <t>dummy1760</t>
  </si>
  <si>
    <t>AMS-00194</t>
  </si>
  <si>
    <t>dummy1761</t>
  </si>
  <si>
    <t>AN-00175</t>
  </si>
  <si>
    <t>TT-00257</t>
  </si>
  <si>
    <t>HE-00478</t>
  </si>
  <si>
    <t>dummy1762</t>
  </si>
  <si>
    <t>HE-00479</t>
  </si>
  <si>
    <t>dummy1763</t>
  </si>
  <si>
    <t>HE-00480</t>
  </si>
  <si>
    <t>dummy1764</t>
  </si>
  <si>
    <t>HE-00481</t>
  </si>
  <si>
    <t>dummy1765</t>
  </si>
  <si>
    <t>TT-00258</t>
  </si>
  <si>
    <t>dummy1766</t>
  </si>
  <si>
    <t>dummy1767</t>
  </si>
  <si>
    <t>dummy1768</t>
  </si>
  <si>
    <t>dummy1769</t>
  </si>
  <si>
    <t>AN-00176</t>
  </si>
  <si>
    <t>TT-00259</t>
  </si>
  <si>
    <t>HE-00482</t>
  </si>
  <si>
    <t>dummy1770</t>
  </si>
  <si>
    <t>HE-00483</t>
  </si>
  <si>
    <t>dummy1771</t>
  </si>
  <si>
    <t>HE-00484</t>
  </si>
  <si>
    <t>dummy1772</t>
  </si>
  <si>
    <t>HE-00485</t>
  </si>
  <si>
    <t>dummy1773</t>
  </si>
  <si>
    <t>TT-00260</t>
  </si>
  <si>
    <t>dummy1774</t>
  </si>
  <si>
    <t>dummy1775</t>
  </si>
  <si>
    <t>dummy1776</t>
  </si>
  <si>
    <t>dummy1777</t>
  </si>
  <si>
    <t>AMS-00195</t>
  </si>
  <si>
    <t>dummy1778</t>
  </si>
  <si>
    <t>AMS-00196</t>
  </si>
  <si>
    <t>dummy1779</t>
  </si>
  <si>
    <t>AMS-00197</t>
  </si>
  <si>
    <t>dummy1780</t>
  </si>
  <si>
    <t>AN-00177</t>
  </si>
  <si>
    <t>TT-00261</t>
  </si>
  <si>
    <t>HE-00486</t>
  </si>
  <si>
    <t>dummy1781</t>
  </si>
  <si>
    <t>HE-00487</t>
  </si>
  <si>
    <t>dummy1782</t>
  </si>
  <si>
    <t>HE-00488</t>
  </si>
  <si>
    <t>dummy1783</t>
  </si>
  <si>
    <t>HE-00489</t>
  </si>
  <si>
    <t>dummy1784</t>
  </si>
  <si>
    <t>TT-00262</t>
  </si>
  <si>
    <t>dummy1785</t>
  </si>
  <si>
    <t>dummy1786</t>
  </si>
  <si>
    <t>dummy1787</t>
  </si>
  <si>
    <t>dummy1788</t>
  </si>
  <si>
    <t>AN-00178</t>
  </si>
  <si>
    <t>TT-00263</t>
  </si>
  <si>
    <t>HE-00490</t>
  </si>
  <si>
    <t>dummy1789</t>
  </si>
  <si>
    <t>HE-00491</t>
  </si>
  <si>
    <t>dummy1790</t>
  </si>
  <si>
    <t>HE-00492</t>
  </si>
  <si>
    <t>dummy1791</t>
  </si>
  <si>
    <t>HE-00493</t>
  </si>
  <si>
    <t>dummy1792</t>
  </si>
  <si>
    <t>TT-00264</t>
  </si>
  <si>
    <t>dummy1793</t>
  </si>
  <si>
    <t>dummy1794</t>
  </si>
  <si>
    <t>dummy1795</t>
  </si>
  <si>
    <t>dummy1796</t>
  </si>
  <si>
    <t>AN-00179</t>
  </si>
  <si>
    <t>HE-00494</t>
  </si>
  <si>
    <t>dummy1797</t>
  </si>
  <si>
    <t>HE-00495</t>
  </si>
  <si>
    <t>dummy1798</t>
  </si>
  <si>
    <t>HE-00496</t>
  </si>
  <si>
    <t>dummy1799</t>
  </si>
  <si>
    <t>HE-00497</t>
  </si>
  <si>
    <t>dummy1800</t>
  </si>
  <si>
    <t>AMS-00198</t>
  </si>
  <si>
    <t>dummy1801</t>
  </si>
  <si>
    <t>AMS-00199</t>
  </si>
  <si>
    <t>dummy1802</t>
  </si>
  <si>
    <t>AMS-00200</t>
  </si>
  <si>
    <t>dummy1803</t>
  </si>
  <si>
    <t>AN-00180</t>
  </si>
  <si>
    <t>HE-00498</t>
  </si>
  <si>
    <t>dummy1804</t>
  </si>
  <si>
    <t>HE-00499</t>
  </si>
  <si>
    <t>dummy1805</t>
  </si>
  <si>
    <t>HE-00500</t>
  </si>
  <si>
    <t>dummy1806</t>
  </si>
  <si>
    <t>HE-00501</t>
  </si>
  <si>
    <t>dummy1807</t>
  </si>
  <si>
    <t>AN-00181</t>
  </si>
  <si>
    <t>TT-00265</t>
  </si>
  <si>
    <t>HE-00502</t>
  </si>
  <si>
    <t>dummy1808</t>
  </si>
  <si>
    <t>HE-00503</t>
  </si>
  <si>
    <t>dummy1809</t>
  </si>
  <si>
    <t>HE-00504</t>
  </si>
  <si>
    <t>dummy1810</t>
  </si>
  <si>
    <t>HE-00505</t>
  </si>
  <si>
    <t>dummy1811</t>
  </si>
  <si>
    <t>TT-00266</t>
  </si>
  <si>
    <t>dummy1812</t>
  </si>
  <si>
    <t>dummy1813</t>
  </si>
  <si>
    <t>dummy1814</t>
  </si>
  <si>
    <t>dummy1815</t>
  </si>
  <si>
    <t>AMS-00201</t>
  </si>
  <si>
    <t>dummy1816</t>
  </si>
  <si>
    <t>AMS-00202</t>
  </si>
  <si>
    <t>dummy1817</t>
  </si>
  <si>
    <t>AMS-00203</t>
  </si>
  <si>
    <t>dummy1818</t>
  </si>
  <si>
    <t>AN-00182</t>
  </si>
  <si>
    <t>TT-00267</t>
  </si>
  <si>
    <t>dummy1819</t>
  </si>
  <si>
    <t>TT-00268</t>
  </si>
  <si>
    <t>dummy1820</t>
  </si>
  <si>
    <t>TT-00269</t>
  </si>
  <si>
    <t>dummy1821</t>
  </si>
  <si>
    <t>AMS-00204</t>
  </si>
  <si>
    <t>dummy1822</t>
  </si>
  <si>
    <t>AMS-00205</t>
  </si>
  <si>
    <t>dummy1823</t>
  </si>
  <si>
    <t>AMS-00206</t>
  </si>
  <si>
    <t>dummy1824</t>
  </si>
  <si>
    <t>AN-00183</t>
  </si>
  <si>
    <t>dummy1825</t>
  </si>
  <si>
    <t>AMS-00207</t>
  </si>
  <si>
    <t>dummy1826</t>
  </si>
  <si>
    <t>AMS-00208</t>
  </si>
  <si>
    <t>dummy1827</t>
  </si>
  <si>
    <t>AMS-00209</t>
  </si>
  <si>
    <t>dummy1828</t>
  </si>
  <si>
    <t>AMS-00210</t>
  </si>
  <si>
    <t>dummy1829</t>
  </si>
  <si>
    <t>AN-00184</t>
  </si>
  <si>
    <t>TT-00270</t>
  </si>
  <si>
    <t>HE-00506</t>
  </si>
  <si>
    <t>dummy1830</t>
  </si>
  <si>
    <t>HE-00507</t>
  </si>
  <si>
    <t>dummy1831</t>
  </si>
  <si>
    <t>HE-00508</t>
  </si>
  <si>
    <t>dummy1832</t>
  </si>
  <si>
    <t>TT-00271</t>
  </si>
  <si>
    <t>AN-00185</t>
  </si>
  <si>
    <t>TT-00272</t>
  </si>
  <si>
    <t>TT-00273</t>
  </si>
  <si>
    <t>AN-00186</t>
  </si>
  <si>
    <t>TT-00274</t>
  </si>
  <si>
    <t>TT-00275</t>
  </si>
  <si>
    <t>AN-00187</t>
  </si>
  <si>
    <t>TT-00276</t>
  </si>
  <si>
    <t>HE-00509</t>
  </si>
  <si>
    <t>HE-00510</t>
  </si>
  <si>
    <t>HE-00511</t>
  </si>
  <si>
    <t>TT-00277</t>
  </si>
  <si>
    <t>AN-00188</t>
  </si>
  <si>
    <t>TT-00278</t>
  </si>
  <si>
    <t>HE-00512</t>
  </si>
  <si>
    <t>HE-00513</t>
  </si>
  <si>
    <t>HE-00514</t>
  </si>
  <si>
    <t>HE-00515</t>
  </si>
  <si>
    <t>TT-00279</t>
  </si>
  <si>
    <t>AMS-00211</t>
  </si>
  <si>
    <t>AMS-00212</t>
  </si>
  <si>
    <t>AMS-00213</t>
  </si>
  <si>
    <t>AMS-00214</t>
  </si>
  <si>
    <t>AN-00189</t>
  </si>
  <si>
    <t>TT-00280</t>
  </si>
  <si>
    <t>HE-00516</t>
  </si>
  <si>
    <t>HE-00517</t>
  </si>
  <si>
    <t>HE-00518</t>
  </si>
  <si>
    <t>HE-00519</t>
  </si>
  <si>
    <t>TT-00281</t>
  </si>
  <si>
    <t>TT-00282</t>
  </si>
  <si>
    <t>AN-00190</t>
  </si>
  <si>
    <t>AMS-00215</t>
  </si>
  <si>
    <t>AN-00191</t>
  </si>
  <si>
    <t>TT-00283</t>
  </si>
  <si>
    <t>TT-00284</t>
  </si>
  <si>
    <t>AMS-00216</t>
  </si>
  <si>
    <t>AN-00192</t>
  </si>
  <si>
    <t>TT-00285</t>
  </si>
  <si>
    <t>TT-00286</t>
  </si>
  <si>
    <t>AMS-00217</t>
  </si>
  <si>
    <t>AMS-00218</t>
  </si>
  <si>
    <t>AMS-00219</t>
  </si>
  <si>
    <t>AN-00193</t>
  </si>
  <si>
    <t>HE-00520</t>
  </si>
  <si>
    <t>HE-00521</t>
  </si>
  <si>
    <t>HE-00522</t>
  </si>
  <si>
    <t>AN-00194</t>
  </si>
  <si>
    <t>TT-00287</t>
  </si>
  <si>
    <t>HE-00523</t>
  </si>
  <si>
    <t>HE-00524</t>
  </si>
  <si>
    <t>HE-00525</t>
  </si>
  <si>
    <t>TT-00288</t>
  </si>
  <si>
    <t>AN-00195</t>
  </si>
  <si>
    <t>TT-00289</t>
  </si>
  <si>
    <t>HE-00526</t>
  </si>
  <si>
    <t>HE-00527</t>
  </si>
  <si>
    <t>HE-00528</t>
  </si>
  <si>
    <t>TT-00290</t>
  </si>
  <si>
    <t>AN-00196</t>
  </si>
  <si>
    <t>TT-00291</t>
  </si>
  <si>
    <t>HE-00529</t>
  </si>
  <si>
    <t>HE-00530</t>
  </si>
  <si>
    <t>HE-00531</t>
  </si>
  <si>
    <t>HE-00532</t>
  </si>
  <si>
    <t>dummy1898</t>
  </si>
  <si>
    <t>TT-00292</t>
  </si>
  <si>
    <t>dummy1899</t>
  </si>
  <si>
    <t>dummy1900</t>
  </si>
  <si>
    <t>dummy1901</t>
  </si>
  <si>
    <t>dummy1902</t>
  </si>
  <si>
    <t>HT-NOT-FOUND</t>
  </si>
  <si>
    <t>dummy1903</t>
  </si>
  <si>
    <t>dummy1904</t>
  </si>
  <si>
    <t>dummy1905</t>
  </si>
  <si>
    <t>管理番号</t>
  </si>
  <si>
    <t>C[%]</t>
  </si>
  <si>
    <t>Si[%]</t>
  </si>
  <si>
    <t>Mn[%]</t>
  </si>
  <si>
    <t>P[%]</t>
  </si>
  <si>
    <t>S[%]</t>
  </si>
  <si>
    <t>Al[%]</t>
  </si>
  <si>
    <t>Cu[%]</t>
  </si>
  <si>
    <t>Ni[%]</t>
  </si>
  <si>
    <t>Cr[%]</t>
  </si>
  <si>
    <t>Mo[%]</t>
  </si>
  <si>
    <t>Ti[%]</t>
  </si>
  <si>
    <t>B[%]</t>
  </si>
  <si>
    <t>O[%]</t>
  </si>
  <si>
    <t>N[%]</t>
  </si>
  <si>
    <t>ロット</t>
  </si>
  <si>
    <t>CH-2024-0001</t>
  </si>
  <si>
    <t>ML-001</t>
  </si>
  <si>
    <t>CH-2024-0002</t>
  </si>
  <si>
    <t>CH-2024-0003</t>
  </si>
  <si>
    <t>CH-2024-0004</t>
  </si>
  <si>
    <t>CH-2024-0005</t>
  </si>
  <si>
    <t>CH-2024-0006</t>
  </si>
  <si>
    <t>ML-002</t>
  </si>
  <si>
    <t>CH-2024-0007</t>
  </si>
  <si>
    <t>CH-2024-0008</t>
  </si>
  <si>
    <t>CH-2024-0009</t>
  </si>
  <si>
    <t>CH-2024-0010</t>
  </si>
  <si>
    <t>CH-2024-0011</t>
  </si>
  <si>
    <t>ML-003</t>
  </si>
  <si>
    <t>CH-2024-0012</t>
  </si>
  <si>
    <t>CH-2024-0013</t>
  </si>
  <si>
    <t>CH-2024-0014</t>
  </si>
  <si>
    <t>CH-2024-0015</t>
  </si>
  <si>
    <t>CH-2024-0016</t>
  </si>
  <si>
    <t>ML-004</t>
  </si>
  <si>
    <t>CH-2024-0017</t>
  </si>
  <si>
    <t>CH-2024-0018</t>
  </si>
  <si>
    <t>CH-2024-0019</t>
  </si>
  <si>
    <t>CH-2024-0020</t>
  </si>
  <si>
    <t>CH-2024-0021</t>
  </si>
  <si>
    <t>ML-005</t>
  </si>
  <si>
    <t>CH-2024-0022</t>
  </si>
  <si>
    <t>CH-2024-0023</t>
  </si>
  <si>
    <t>CH-2024-0024</t>
  </si>
  <si>
    <t>CH-2024-0025</t>
  </si>
  <si>
    <t>CH-2024-0026</t>
  </si>
  <si>
    <t>ML-006</t>
  </si>
  <si>
    <t>CH-2024-0027</t>
  </si>
  <si>
    <t>CH-2024-0028</t>
  </si>
  <si>
    <t>CH-2024-0029</t>
  </si>
  <si>
    <t>CH-2024-0030</t>
  </si>
  <si>
    <t>CH-2024-0031</t>
  </si>
  <si>
    <t>ML-007</t>
  </si>
  <si>
    <t>CH-2024-0032</t>
  </si>
  <si>
    <t>CH-2024-0033</t>
  </si>
  <si>
    <t>CH-2024-0034</t>
  </si>
  <si>
    <t>CH-2024-0035</t>
  </si>
  <si>
    <t>CH-2024-0036</t>
  </si>
  <si>
    <t>ML-008</t>
  </si>
  <si>
    <t>CH-2024-0037</t>
  </si>
  <si>
    <t>CH-2024-0038</t>
  </si>
  <si>
    <t>CH-2024-0039</t>
  </si>
  <si>
    <t>CH-2024-0040</t>
  </si>
  <si>
    <t>CH-2024-0041</t>
  </si>
  <si>
    <t>ML-009</t>
  </si>
  <si>
    <t>CH-2024-0042</t>
  </si>
  <si>
    <t>CH-2024-0043</t>
  </si>
  <si>
    <t>CH-2024-0044</t>
  </si>
  <si>
    <t>CH-2024-0045</t>
  </si>
  <si>
    <t>CH-2024-0046</t>
  </si>
  <si>
    <t>ML-010</t>
  </si>
  <si>
    <t>CH-2024-0047</t>
  </si>
  <si>
    <t>CH-2024-0048</t>
  </si>
  <si>
    <t>CH-2024-0049</t>
  </si>
  <si>
    <t>CH-2024-0050</t>
  </si>
  <si>
    <t>CH-2024-0051</t>
  </si>
  <si>
    <t>ML-011</t>
  </si>
  <si>
    <t>CH-2024-0052</t>
  </si>
  <si>
    <t>CH-2024-0053</t>
  </si>
  <si>
    <t>CH-2024-0054</t>
  </si>
  <si>
    <t>CH-2024-0055</t>
  </si>
  <si>
    <t>CH-2024-0056</t>
  </si>
  <si>
    <t>ML-012</t>
  </si>
  <si>
    <t>CH-2024-0057</t>
  </si>
  <si>
    <t>CH-2024-0058</t>
  </si>
  <si>
    <t>CH-2024-0059</t>
  </si>
  <si>
    <t>CH-2024-0060</t>
  </si>
  <si>
    <t>CH-2024-0061</t>
  </si>
  <si>
    <t>ML-013</t>
  </si>
  <si>
    <t>CH-2024-0062</t>
  </si>
  <si>
    <t>CH-2024-0063</t>
  </si>
  <si>
    <t>CH-2024-0064</t>
  </si>
  <si>
    <t>CH-2024-0065</t>
  </si>
  <si>
    <t>CH-2024-0066</t>
  </si>
  <si>
    <t>ML-014</t>
  </si>
  <si>
    <t>CH-2024-0067</t>
  </si>
  <si>
    <t>CH-2024-0068</t>
  </si>
  <si>
    <t>CH-2024-0069</t>
  </si>
  <si>
    <t>CH-2024-0070</t>
  </si>
  <si>
    <t>CH-2025-0071</t>
  </si>
  <si>
    <t>ML-015</t>
  </si>
  <si>
    <t>CH-2025-0072</t>
  </si>
  <si>
    <t>CH-2025-0073</t>
  </si>
  <si>
    <t>CH-2025-0074</t>
  </si>
  <si>
    <t>CH-2025-0075</t>
  </si>
  <si>
    <t>CH-2025-0076</t>
  </si>
  <si>
    <t>ML-016</t>
  </si>
  <si>
    <t>CH-2025-0077</t>
  </si>
  <si>
    <t>CH-2025-0078</t>
  </si>
  <si>
    <t>CH-2025-0079</t>
  </si>
  <si>
    <t>CH-2025-0080</t>
  </si>
  <si>
    <t>CH-2025-0081</t>
  </si>
  <si>
    <t>ML-017</t>
  </si>
  <si>
    <t>CH-2025-0082</t>
  </si>
  <si>
    <t>ME-00083</t>
  </si>
  <si>
    <t>CH-2025-0083</t>
  </si>
  <si>
    <t>CH-2025-0084</t>
  </si>
  <si>
    <t>CH-2025-0085</t>
  </si>
  <si>
    <t>CH-2025-0086</t>
  </si>
  <si>
    <t>ML-018</t>
  </si>
  <si>
    <t>CH-2025-0087</t>
  </si>
  <si>
    <t>CH-2025-0088</t>
  </si>
  <si>
    <t>CH-2025-0089</t>
  </si>
  <si>
    <t>CH-2025-0090</t>
  </si>
  <si>
    <t>CH-2025-0091</t>
  </si>
  <si>
    <t>ML-019</t>
  </si>
  <si>
    <t>CH-2025-0092</t>
  </si>
  <si>
    <t>CH-2025-0093</t>
  </si>
  <si>
    <t>CH-2025-0094</t>
  </si>
  <si>
    <t>CH-2025-0095</t>
  </si>
  <si>
    <t>CH-2025-0096</t>
  </si>
  <si>
    <t>ML-020</t>
  </si>
  <si>
    <t>CH-2025-0097</t>
  </si>
  <si>
    <t>CH-2025-0098</t>
  </si>
  <si>
    <t>CH-2025-0099</t>
  </si>
  <si>
    <t>CH-2025-0100</t>
  </si>
  <si>
    <t>CH-2025-0101</t>
  </si>
  <si>
    <t>ML-021</t>
  </si>
  <si>
    <t>CH-2025-0102</t>
  </si>
  <si>
    <t>CH-2025-0103</t>
  </si>
  <si>
    <t>CH-2025-0104</t>
  </si>
  <si>
    <t>CH-2025-0105</t>
  </si>
  <si>
    <t>CH-2025-0106</t>
  </si>
  <si>
    <t>ML-022</t>
  </si>
  <si>
    <t>CH-2025-0107</t>
  </si>
  <si>
    <t>CH-2025-0108</t>
  </si>
  <si>
    <t>CH-2025-0109</t>
  </si>
  <si>
    <t>CH-2025-0110</t>
  </si>
  <si>
    <t>CH-2025-0111</t>
  </si>
  <si>
    <t>ML-023</t>
  </si>
  <si>
    <t>CH-2025-0112</t>
  </si>
  <si>
    <t>CH-2025-0113</t>
  </si>
  <si>
    <t>CH-2025-0114</t>
  </si>
  <si>
    <t>ME-00115</t>
  </si>
  <si>
    <t>CH-2025-0115</t>
  </si>
  <si>
    <t>CH-2025-0116</t>
  </si>
  <si>
    <t>ML-024</t>
  </si>
  <si>
    <t>CH-2025-0117</t>
  </si>
  <si>
    <t>CH-2025-0118</t>
  </si>
  <si>
    <t>CH-2025-0119</t>
  </si>
  <si>
    <t>CH-2025-0120</t>
  </si>
  <si>
    <t>熱延_key**</t>
  </si>
  <si>
    <t>均熱温度[℃]</t>
  </si>
  <si>
    <r>
      <rPr>
        <b/>
        <sz val="11"/>
        <color rgb="FFFFFFFF"/>
        <rFont val="ＭＳ Ｐゴシック"/>
        <family val="3"/>
      </rPr>
      <t>均熱時間</t>
    </r>
    <r>
      <rPr>
        <b/>
        <sz val="11"/>
        <color rgb="FFFFFFFF"/>
        <rFont val="Carlito"/>
      </rPr>
      <t>[min]</t>
    </r>
  </si>
  <si>
    <t>仕上げ温度[℃]</t>
  </si>
  <si>
    <r>
      <rPr>
        <b/>
        <sz val="11"/>
        <color rgb="FFFFFFFF"/>
        <rFont val="ＭＳ Ｐゴシック"/>
        <family val="3"/>
      </rPr>
      <t>冷却速度</t>
    </r>
    <r>
      <rPr>
        <b/>
        <sz val="11"/>
        <color rgb="FFFFFFFF"/>
        <rFont val="Carlito"/>
      </rPr>
      <t>[</t>
    </r>
    <r>
      <rPr>
        <b/>
        <sz val="11"/>
        <color rgb="FFFFFFFF"/>
        <rFont val="ＭＳ Ｐゴシック"/>
        <family val="3"/>
      </rPr>
      <t>℃</t>
    </r>
    <r>
      <rPr>
        <b/>
        <sz val="11"/>
        <color rgb="FFFFFFFF"/>
        <rFont val="Carlito"/>
      </rPr>
      <t>/s]</t>
    </r>
  </si>
  <si>
    <t>保持温度[℃]</t>
  </si>
  <si>
    <t>保持時間[min]</t>
  </si>
  <si>
    <t>設備</t>
  </si>
  <si>
    <t>試験依頼番号</t>
  </si>
  <si>
    <t>HR-LINE-1</t>
  </si>
  <si>
    <t>RQ-HR-00001</t>
  </si>
  <si>
    <t>HL-0001</t>
  </si>
  <si>
    <t>RQ-HR-00002</t>
  </si>
  <si>
    <t>RQ-HR-00003</t>
  </si>
  <si>
    <t>RQ-HR-00004</t>
  </si>
  <si>
    <t>RQ-HR-00005</t>
  </si>
  <si>
    <t>RQ-HR-00006</t>
  </si>
  <si>
    <t>RQ-HR-00007</t>
  </si>
  <si>
    <t>RQ-HR-00008</t>
  </si>
  <si>
    <t>HL-0002</t>
  </si>
  <si>
    <t>RQ-HR-00009</t>
  </si>
  <si>
    <t>RQ-HR-00010</t>
  </si>
  <si>
    <t>RQ-HR-00011</t>
  </si>
  <si>
    <t>RQ-HR-00012</t>
  </si>
  <si>
    <t>RQ-HR-00013</t>
  </si>
  <si>
    <t>RQ-HR-00014</t>
  </si>
  <si>
    <t>RQ-HR-00015</t>
  </si>
  <si>
    <t>RQ-HR-00016</t>
  </si>
  <si>
    <t>HL-0003</t>
  </si>
  <si>
    <t>RQ-HR-00017</t>
  </si>
  <si>
    <t>RQ-HR-00018</t>
  </si>
  <si>
    <t>RQ-HR-00019</t>
  </si>
  <si>
    <t>RQ-HR-00020</t>
  </si>
  <si>
    <t>RQ-HR-00021</t>
  </si>
  <si>
    <t>RQ-HR-00022</t>
  </si>
  <si>
    <t>RQ-HR-00023</t>
  </si>
  <si>
    <t>RQ-HR-00024</t>
  </si>
  <si>
    <t>HL-0004</t>
  </si>
  <si>
    <t>RQ-HR-00025</t>
  </si>
  <si>
    <t>RQ-HR-00026</t>
  </si>
  <si>
    <t>RQ-HR-00027</t>
  </si>
  <si>
    <t>RQ-HR-00028</t>
  </si>
  <si>
    <t>RQ-HR-00029</t>
  </si>
  <si>
    <t>RQ-HR-00030</t>
  </si>
  <si>
    <t>RQ-HR-00031</t>
  </si>
  <si>
    <t>RQ-HR-00032</t>
  </si>
  <si>
    <t>HL-0005</t>
  </si>
  <si>
    <t>RQ-HR-00033</t>
  </si>
  <si>
    <t>RQ-HR-00034</t>
  </si>
  <si>
    <t>RQ-HR-00035</t>
  </si>
  <si>
    <t>RQ-HR-00036</t>
  </si>
  <si>
    <t>RQ-HR-00037</t>
  </si>
  <si>
    <t>RQ-HR-00038</t>
  </si>
  <si>
    <t>RQ-HR-00039</t>
  </si>
  <si>
    <t>RQ-HR-00040</t>
  </si>
  <si>
    <t>HL-0006</t>
  </si>
  <si>
    <t>RQ-HR-00041</t>
  </si>
  <si>
    <t>RQ-HR-00042</t>
  </si>
  <si>
    <t>RQ-HR-00043</t>
  </si>
  <si>
    <t>RQ-HR-00044</t>
  </si>
  <si>
    <t>RQ-HR-00045</t>
  </si>
  <si>
    <t>RQ-HR-00046</t>
  </si>
  <si>
    <t>RQ-HR-00047</t>
  </si>
  <si>
    <t>RQ-HR-00048</t>
  </si>
  <si>
    <t>HL-0007</t>
  </si>
  <si>
    <t>RQ-HR-00049</t>
  </si>
  <si>
    <t>RQ-HR-00050</t>
  </si>
  <si>
    <t>RQ-HR-00051</t>
  </si>
  <si>
    <t>RQ-HR-00052</t>
  </si>
  <si>
    <t>RQ-HR-00053</t>
  </si>
  <si>
    <t>RQ-HR-00054</t>
  </si>
  <si>
    <t>RQ-HR-00055</t>
  </si>
  <si>
    <t>RQ-HR-00056</t>
  </si>
  <si>
    <t>HL-0008</t>
  </si>
  <si>
    <t>RQ-HR-00057</t>
  </si>
  <si>
    <t>RQ-HR-00058</t>
  </si>
  <si>
    <t>RQ-HR-00059</t>
  </si>
  <si>
    <t>RQ-HR-00060</t>
  </si>
  <si>
    <t>RQ-HR-00061</t>
  </si>
  <si>
    <t>RQ-HR-00062</t>
  </si>
  <si>
    <t>RQ-HR-00063</t>
  </si>
  <si>
    <t>RQ-HR-00064</t>
  </si>
  <si>
    <t>HL-0009</t>
  </si>
  <si>
    <t>RQ-HR-00065</t>
  </si>
  <si>
    <t>RQ-HR-00066</t>
  </si>
  <si>
    <t>RQ-HR-00067</t>
  </si>
  <si>
    <t>RQ-HR-00068</t>
  </si>
  <si>
    <t>RQ-HR-00069</t>
  </si>
  <si>
    <t>RQ-HR-00070</t>
  </si>
  <si>
    <t>RQ-HR-00071</t>
  </si>
  <si>
    <t>RQ-HR-00072</t>
  </si>
  <si>
    <t>HL-0010</t>
  </si>
  <si>
    <t>RQ-HR-00073</t>
  </si>
  <si>
    <t>RQ-HR-00074</t>
  </si>
  <si>
    <t>RQ-HR-00075</t>
  </si>
  <si>
    <t>RQ-HR-00076</t>
  </si>
  <si>
    <t>RQ-HR-00077</t>
  </si>
  <si>
    <t>RQ-HR-00078</t>
  </si>
  <si>
    <t>RQ-HR-00079</t>
  </si>
  <si>
    <t>RQ-HR-00080</t>
  </si>
  <si>
    <t>HL-0011</t>
  </si>
  <si>
    <t>RQ-HR-00081</t>
  </si>
  <si>
    <t>RQ-HR-00082</t>
  </si>
  <si>
    <t>RQ-HR-00083</t>
  </si>
  <si>
    <t>RQ-HR-00084</t>
  </si>
  <si>
    <t>RQ-HR-00085</t>
  </si>
  <si>
    <t>RQ-HR-00086</t>
  </si>
  <si>
    <t>RQ-HR-00087</t>
  </si>
  <si>
    <t>RQ-HR-00088</t>
  </si>
  <si>
    <t>HL-0012</t>
  </si>
  <si>
    <t>RQ-HR-00089</t>
  </si>
  <si>
    <t>RQ-HR-00090</t>
  </si>
  <si>
    <t>RQ-HR-00091</t>
  </si>
  <si>
    <t>RQ-HR-00092</t>
  </si>
  <si>
    <t>RQ-HR-00093</t>
  </si>
  <si>
    <t>RQ-HR-00094</t>
  </si>
  <si>
    <t>RQ-HR-00095</t>
  </si>
  <si>
    <t>RQ-HR-00096</t>
  </si>
  <si>
    <t>HL-0013</t>
  </si>
  <si>
    <t>RQ-HR-00097</t>
  </si>
  <si>
    <t>RQ-HR-00098</t>
  </si>
  <si>
    <t>RQ-HR-00099</t>
  </si>
  <si>
    <t>RQ-HR-00100</t>
  </si>
  <si>
    <t>RQ-HR-00101</t>
  </si>
  <si>
    <t>RQ-HR-00102</t>
  </si>
  <si>
    <t>RQ-HR-00103</t>
  </si>
  <si>
    <t>RQ-HR-00104</t>
  </si>
  <si>
    <t>HL-0014</t>
  </si>
  <si>
    <t>RQ-HR-00105</t>
  </si>
  <si>
    <t>RQ-HR-00106</t>
  </si>
  <si>
    <t>RQ-HR-00107</t>
  </si>
  <si>
    <t>RQ-HR-00108</t>
  </si>
  <si>
    <t>RQ-HR-00109</t>
  </si>
  <si>
    <t>RQ-HR-00110</t>
  </si>
  <si>
    <t>RQ-HR-00111</t>
  </si>
  <si>
    <t>RQ-HR-00112</t>
  </si>
  <si>
    <t>HL-0015</t>
  </si>
  <si>
    <t>RQ-HR-00113</t>
  </si>
  <si>
    <t>RQ-HR-00114</t>
  </si>
  <si>
    <t>RQ-HR-00115</t>
  </si>
  <si>
    <t>RQ-HR-00116</t>
  </si>
  <si>
    <t>RQ-HR-00117</t>
  </si>
  <si>
    <t>RQ-HR-00118</t>
  </si>
  <si>
    <t>RQ-HR-00119</t>
  </si>
  <si>
    <t>RQ-HR-00120</t>
  </si>
  <si>
    <t>HL-0016</t>
  </si>
  <si>
    <t>RQ-HR-00121</t>
  </si>
  <si>
    <t>RQ-HR-00122</t>
  </si>
  <si>
    <t>RQ-HR-00123</t>
  </si>
  <si>
    <t>RQ-HR-00124</t>
  </si>
  <si>
    <t>RQ-HR-00125</t>
  </si>
  <si>
    <t>RQ-HR-00126</t>
  </si>
  <si>
    <t>RQ-HR-00127</t>
  </si>
  <si>
    <t>RQ-HR-00128</t>
  </si>
  <si>
    <t>HL-0017</t>
  </si>
  <si>
    <t>RQ-HR-00129</t>
  </si>
  <si>
    <t>RQ-HR-00130</t>
  </si>
  <si>
    <t>RQ-HR-00131</t>
  </si>
  <si>
    <t>RQ-HR-00132</t>
  </si>
  <si>
    <t>RQ-HR-00133</t>
  </si>
  <si>
    <t>RQ-HR-00134</t>
  </si>
  <si>
    <t>RQ-HR-00135</t>
  </si>
  <si>
    <t>RQ-HR-00136</t>
  </si>
  <si>
    <t>HL-0018</t>
  </si>
  <si>
    <t>RQ-HR-00137</t>
  </si>
  <si>
    <t>RQ-HR-00138</t>
  </si>
  <si>
    <t>RQ-HR-00139</t>
  </si>
  <si>
    <t>RQ-HR-00140</t>
  </si>
  <si>
    <t>RQ-HR-00141</t>
  </si>
  <si>
    <t>RQ-HR-00142</t>
  </si>
  <si>
    <t>RQ-HR-00143</t>
  </si>
  <si>
    <t>RQ-HR-00144</t>
  </si>
  <si>
    <t>HL-0019</t>
  </si>
  <si>
    <t>RQ-HR-00145</t>
  </si>
  <si>
    <t>RQ-HR-00146</t>
  </si>
  <si>
    <t>RQ-HR-00147</t>
  </si>
  <si>
    <t>RQ-HR-00148</t>
  </si>
  <si>
    <t>RQ-HR-00149</t>
  </si>
  <si>
    <t>RQ-HR-00150</t>
  </si>
  <si>
    <t>RQ-HR-00151</t>
  </si>
  <si>
    <t>RQ-HR-00152</t>
  </si>
  <si>
    <t>HL-0020</t>
  </si>
  <si>
    <t>RQ-HR-00153</t>
  </si>
  <si>
    <t>RQ-HR-00154</t>
  </si>
  <si>
    <t>RQ-HR-00155</t>
  </si>
  <si>
    <t>RQ-HR-00156</t>
  </si>
  <si>
    <t>RQ-HR-00157</t>
  </si>
  <si>
    <t>RQ-HR-00158</t>
  </si>
  <si>
    <t>RQ-HR-00159</t>
  </si>
  <si>
    <t>RQ-HR-00160</t>
  </si>
  <si>
    <t>HL-0021</t>
  </si>
  <si>
    <t>RQ-HR-00161</t>
  </si>
  <si>
    <t>RQ-HR-00162</t>
  </si>
  <si>
    <t>RQ-HR-00163</t>
  </si>
  <si>
    <t>RQ-HR-00164</t>
  </si>
  <si>
    <t>RQ-HR-00165</t>
  </si>
  <si>
    <t>RQ-HR-00166</t>
  </si>
  <si>
    <t>RQ-HR-00167</t>
  </si>
  <si>
    <t>RQ-HR-00168</t>
  </si>
  <si>
    <t>HL-0022</t>
  </si>
  <si>
    <t>RQ-HR-00169</t>
  </si>
  <si>
    <t>RQ-HR-00170</t>
  </si>
  <si>
    <t>RQ-HR-00171</t>
  </si>
  <si>
    <t>RQ-HR-00172</t>
  </si>
  <si>
    <t>RQ-HR-00173</t>
  </si>
  <si>
    <t>RQ-HR-00174</t>
  </si>
  <si>
    <t>RQ-HR-00175</t>
  </si>
  <si>
    <t>RQ-HR-00176</t>
  </si>
  <si>
    <t>HL-0023</t>
  </si>
  <si>
    <t>RQ-HR-00177</t>
  </si>
  <si>
    <t>RQ-HR-00178</t>
  </si>
  <si>
    <t>RQ-HR-00179</t>
  </si>
  <si>
    <t>RQ-HR-00180</t>
  </si>
  <si>
    <t>RQ-HR-00181</t>
  </si>
  <si>
    <t>RQ-HR-00182</t>
  </si>
  <si>
    <t>RQ-HR-00183</t>
  </si>
  <si>
    <t>RQ-HR-00184</t>
  </si>
  <si>
    <t>HL-0024</t>
  </si>
  <si>
    <t>RQ-HR-00185</t>
  </si>
  <si>
    <t>RQ-HR-00186</t>
  </si>
  <si>
    <t>RQ-HR-00187</t>
  </si>
  <si>
    <t>RQ-HR-00188</t>
  </si>
  <si>
    <t>RQ-HR-00189</t>
  </si>
  <si>
    <t>RQ-HR-00190</t>
  </si>
  <si>
    <t>RQ-HR-00191</t>
  </si>
  <si>
    <t>RQ-HR-00192</t>
  </si>
  <si>
    <t>HL-0025</t>
  </si>
  <si>
    <t>RQ-HR-00193</t>
  </si>
  <si>
    <t>RQ-HR-00194</t>
  </si>
  <si>
    <t>RQ-HR-00195</t>
  </si>
  <si>
    <t>RQ-HR-00196</t>
  </si>
  <si>
    <t>RQ-HR-00197</t>
  </si>
  <si>
    <t>RQ-HR-00198</t>
  </si>
  <si>
    <t>RQ-HR-00199</t>
  </si>
  <si>
    <t>RQ-HR-00200</t>
  </si>
  <si>
    <t>HL-0026</t>
  </si>
  <si>
    <t>RQ-HR-00201</t>
  </si>
  <si>
    <t>RQ-HR-00202</t>
  </si>
  <si>
    <t>RQ-HR-00203</t>
  </si>
  <si>
    <t>RQ-HR-00204</t>
  </si>
  <si>
    <t>RQ-HR-00205</t>
  </si>
  <si>
    <t>RQ-HR-00206</t>
  </si>
  <si>
    <t>RQ-HR-00207</t>
  </si>
  <si>
    <t>RQ-HR-00208</t>
  </si>
  <si>
    <t>HL-0027</t>
  </si>
  <si>
    <t>RQ-HR-00209</t>
  </si>
  <si>
    <t>RQ-HR-00210</t>
  </si>
  <si>
    <t>RQ-HR-00211</t>
  </si>
  <si>
    <t>RQ-HR-00212</t>
  </si>
  <si>
    <t>RQ-HR-00213</t>
  </si>
  <si>
    <t>RQ-HR-00214</t>
  </si>
  <si>
    <t>RQ-HR-00215</t>
  </si>
  <si>
    <t>RQ-HR-00216</t>
  </si>
  <si>
    <t>HL-0028</t>
  </si>
  <si>
    <t>RQ-HR-00217</t>
  </si>
  <si>
    <t>RQ-HR-00218</t>
  </si>
  <si>
    <t>RQ-HR-00219</t>
  </si>
  <si>
    <t>RQ-HR-00220</t>
  </si>
  <si>
    <t>RQ-HR-00221</t>
  </si>
  <si>
    <t>RQ-HR-00222</t>
  </si>
  <si>
    <t>RQ-HR-00223</t>
  </si>
  <si>
    <t>RQ-HR-00224</t>
  </si>
  <si>
    <t>HL-0029</t>
  </si>
  <si>
    <t>RQ-HR-00225</t>
  </si>
  <si>
    <t>熱延組織_key**</t>
  </si>
  <si>
    <t>倍率</t>
  </si>
  <si>
    <t>腐食</t>
  </si>
  <si>
    <t>撮影日</t>
  </si>
  <si>
    <t>撮影者</t>
  </si>
  <si>
    <t>備考</t>
  </si>
  <si>
    <t>images/hot/HR-00001_100x_ナイタール_板厚中央.png</t>
  </si>
  <si>
    <t>SEM</t>
  </si>
  <si>
    <t>100x</t>
  </si>
  <si>
    <t>ナイタール</t>
  </si>
  <si>
    <t>板厚中央</t>
  </si>
  <si>
    <t>鈴木</t>
  </si>
  <si>
    <t>images/hot/HR-00002_100x_ナイタール_板厚中央.png</t>
  </si>
  <si>
    <t>images/hot/HR-00002_500x_ナイタール_板厚中央.png</t>
  </si>
  <si>
    <t>500x</t>
  </si>
  <si>
    <t>images/hot/HR-00002_1000x_レペラ_表層.png</t>
  </si>
  <si>
    <t>1000x</t>
  </si>
  <si>
    <t>レペラ</t>
  </si>
  <si>
    <t>表層</t>
  </si>
  <si>
    <t>渡辺</t>
  </si>
  <si>
    <t>images/hot/HR-00003_100x_ナイタール_板厚中央.png</t>
  </si>
  <si>
    <t>images/hot/HR-00003_500x_ナイタール_板厚中央.png</t>
  </si>
  <si>
    <t>佐藤</t>
  </si>
  <si>
    <t>images/hot/HR-00003_1000x_レペラ_表層.png</t>
  </si>
  <si>
    <t>images/hot/HR-00003_1000x_ナイタール_t/4.png</t>
  </si>
  <si>
    <t>t/4</t>
  </si>
  <si>
    <t>images/hot/HR-00008_100x_ナイタール_板厚中央.png</t>
  </si>
  <si>
    <t>images/hot/HR-00008_500x_ナイタール_板厚中央.png</t>
  </si>
  <si>
    <t>images/hot/HR-00010_100x_ナイタール_板厚中央.png</t>
  </si>
  <si>
    <t>images/hot/HR-00010_500x_ナイタール_板厚中央.png</t>
  </si>
  <si>
    <t>images/hot/HR-00011_100x_ナイタール_板厚中央.png</t>
  </si>
  <si>
    <t>images/hot/HR-00011_500x_ナイタール_板厚中央.png</t>
  </si>
  <si>
    <t>images/hot/HR-00011_1000x_レペラ_表層.png</t>
  </si>
  <si>
    <t>images/hot/HR-00014_100x_ナイタール_板厚中央.png</t>
  </si>
  <si>
    <t>images/hot/HR-00014_500x_ナイタール_板厚中央.png</t>
  </si>
  <si>
    <t>images/hot/HR-00015_100x_ナイタール_板厚中央.png</t>
  </si>
  <si>
    <t>images/hot/HR-00016_100x_ナイタール_板厚中央.png</t>
  </si>
  <si>
    <t>images/hot/HR-00017_100x_ナイタール_板厚中央.png</t>
  </si>
  <si>
    <t>images/hot/HR-00017_500x_ナイタール_板厚中央.png</t>
  </si>
  <si>
    <t>images/hot/HR-00018_100x_ナイタール_板厚中央.png</t>
  </si>
  <si>
    <t>images/hot/HR-00018_500x_ナイタール_板厚中央.png</t>
  </si>
  <si>
    <t>images/hot/HR-00018_1000x_レペラ_表層.png</t>
  </si>
  <si>
    <t>images/hot/HR-00024_100x_ナイタール_板厚中央.png</t>
  </si>
  <si>
    <t>images/hot/HR-00024_500x_ナイタール_板厚中央.png</t>
  </si>
  <si>
    <t>images/hot/HR-00024_1000x_レペラ_表層.png</t>
  </si>
  <si>
    <t>images/hot/HR-00025_100x_ナイタール_板厚中央.png</t>
  </si>
  <si>
    <t>images/hot/HR-00025_500x_ナイタール_板厚中央.png</t>
  </si>
  <si>
    <t>images/hot/HR-00025_1000x_レペラ_表層.png</t>
  </si>
  <si>
    <t>images/hot/HR-00032_100x_ナイタール_板厚中央.png</t>
  </si>
  <si>
    <t>images/hot/HR-00032_500x_ナイタール_板厚中央.png</t>
  </si>
  <si>
    <t>images/hot/HR-00032_1000x_レペラ_表層.png</t>
  </si>
  <si>
    <t>images/hot/HR-00032_1000x_ナイタール_t/4.png</t>
  </si>
  <si>
    <t>images/hot/HR-00033_100x_ナイタール_板厚中央.png</t>
  </si>
  <si>
    <t>images/hot/HR-00033_500x_ナイタール_板厚中央.png</t>
  </si>
  <si>
    <t>images/hot/HR-00033_1000x_レペラ_表層.png</t>
  </si>
  <si>
    <t>images/hot/HR-00036_100x_ナイタール_板厚中央.png</t>
  </si>
  <si>
    <t>images/hot/HR-00036_500x_ナイタール_板厚中央.png</t>
  </si>
  <si>
    <t>images/hot/HR-00037_100x_ナイタール_板厚中央.png</t>
  </si>
  <si>
    <t>images/hot/HR-00038_100x_ナイタール_板厚中央.png</t>
  </si>
  <si>
    <t>images/hot/HR-00038_500x_ナイタール_板厚中央.png</t>
  </si>
  <si>
    <t>images/hot/HR-00038_1000x_レペラ_表層.png</t>
  </si>
  <si>
    <t>images/hot/HR-00038_1000x_ナイタール_t/4.png</t>
  </si>
  <si>
    <t>images/hot/HR-00040_100x_ナイタール_板厚中央.png</t>
  </si>
  <si>
    <t>images/hot/HR-00040_500x_ナイタール_板厚中央.png</t>
  </si>
  <si>
    <t>images/hot/HR-00042_100x_ナイタール_板厚中央.png</t>
  </si>
  <si>
    <t>images/hot/HR-00043_100x_ナイタール_板厚中央.png</t>
  </si>
  <si>
    <t>images/hot/HR-00043_500x_ナイタール_板厚中央.png</t>
  </si>
  <si>
    <t>images/hot/HR-00043_1000x_レペラ_表層.png</t>
  </si>
  <si>
    <t>images/hot/HR-00043_1000x_ナイタール_t/4.png</t>
  </si>
  <si>
    <t>images/hot/HR-00045_100x_ナイタール_板厚中央.png</t>
  </si>
  <si>
    <t>images/hot/HR-00045_500x_ナイタール_板厚中央.png</t>
  </si>
  <si>
    <t>images/hot/HR-00045_1000x_レペラ_表層.png</t>
  </si>
  <si>
    <t>images/hot/HR-00056_100x_ナイタール_板厚中央.png</t>
  </si>
  <si>
    <t>images/hot/HR-00056_500x_ナイタール_板厚中央.png</t>
  </si>
  <si>
    <t>images/hot/HR-00057_100x_ナイタール_板厚中央.png</t>
  </si>
  <si>
    <t>images/hot/HR-00057_500x_ナイタール_板厚中央.png</t>
  </si>
  <si>
    <t>images/hot/HR-00057_1000x_レペラ_表層.png</t>
  </si>
  <si>
    <t>images/hot/HR-00059_100x_ナイタール_板厚中央.png</t>
  </si>
  <si>
    <t>images/hot/HR-00059_500x_ナイタール_板厚中央.png</t>
  </si>
  <si>
    <t>images/hot/HR-00059_1000x_レペラ_表層.png</t>
  </si>
  <si>
    <t>images/hot/HR-00062_100x_ナイタール_板厚中央.png</t>
  </si>
  <si>
    <t>images/hot/HR-00062_500x_ナイタール_板厚中央.png</t>
  </si>
  <si>
    <t>images/hot/HR-00062_1000x_レペラ_表層.png</t>
  </si>
  <si>
    <t>images/hot/HR-00062_1000x_ナイタール_t/4.png</t>
  </si>
  <si>
    <t>images/hot/HR-00067_100x_ナイタール_板厚中央.png</t>
  </si>
  <si>
    <t>images/hot/HR-00067_500x_ナイタール_板厚中央.png</t>
  </si>
  <si>
    <t>images/hot/HR-00068_100x_ナイタール_板厚中央.png</t>
  </si>
  <si>
    <t>images/hot/HR-00068_500x_ナイタール_板厚中央.png</t>
  </si>
  <si>
    <t>images/hot/HR-00071_100x_ナイタール_板厚中央.png</t>
  </si>
  <si>
    <t>images/hot/HR-00071_500x_ナイタール_板厚中央.png</t>
  </si>
  <si>
    <t>images/hot/HR-00071_1000x_レペラ_表層.png</t>
  </si>
  <si>
    <t>images/hot/HR-00071_1000x_ナイタール_t/4.png</t>
  </si>
  <si>
    <t>images/hot/HR-00072_100x_ナイタール_板厚中央.png</t>
  </si>
  <si>
    <t>images/hot/HR-00072_500x_ナイタール_板厚中央.png</t>
  </si>
  <si>
    <t>images/hot/HR-00073_100x_ナイタール_板厚中央.png</t>
  </si>
  <si>
    <t>images/hot/HR-00073_500x_ナイタール_板厚中央.png</t>
  </si>
  <si>
    <t>images/hot/HR-00076_100x_ナイタール_板厚中央.png</t>
  </si>
  <si>
    <t>images/hot/HR-00076_500x_ナイタール_板厚中央.png</t>
  </si>
  <si>
    <t>images/hot/HR-00076_1000x_レペラ_表層.png</t>
  </si>
  <si>
    <t>images/hot/HR-00076_1000x_ナイタール_t/4.png</t>
  </si>
  <si>
    <t>images/hot/HR-00078_100x_ナイタール_板厚中央.png</t>
  </si>
  <si>
    <t>images/hot/HR-00081_100x_ナイタール_板厚中央.png</t>
  </si>
  <si>
    <t>images/hot/HR-00081_500x_ナイタール_板厚中央.png</t>
  </si>
  <si>
    <t>images/hot/HR-00083_100x_ナイタール_板厚中央.png</t>
  </si>
  <si>
    <t>images/hot/HR-00083_500x_ナイタール_板厚中央.png</t>
  </si>
  <si>
    <t>images/hot/HR-00085_100x_ナイタール_板厚中央.png</t>
  </si>
  <si>
    <t>images/hot/HR-00086_100x_ナイタール_板厚中央.png</t>
  </si>
  <si>
    <t>images/hot/HR-00089_100x_ナイタール_板厚中央.png</t>
  </si>
  <si>
    <t>images/hot/HR-00089_500x_ナイタール_板厚中央.png</t>
  </si>
  <si>
    <t>images/hot/HR-00090_100x_ナイタール_板厚中央.png</t>
  </si>
  <si>
    <t>images/hot/HR-00090_500x_ナイタール_板厚中央.png</t>
  </si>
  <si>
    <t>images/hot/HR-00090_1000x_レペラ_表層.png</t>
  </si>
  <si>
    <t>images/hot/HR-00091_100x_ナイタール_板厚中央.png</t>
  </si>
  <si>
    <t>images/hot/HR-00091_500x_ナイタール_板厚中央.png</t>
  </si>
  <si>
    <t>images/hot/HR-00093_100x_ナイタール_板厚中央.png</t>
  </si>
  <si>
    <t>images/hot/HR-00093_500x_ナイタール_板厚中央.png</t>
  </si>
  <si>
    <t>images/hot/HR-00094_100x_ナイタール_板厚中央.png</t>
  </si>
  <si>
    <t>images/hot/HR-00096_100x_ナイタール_板厚中央.png</t>
  </si>
  <si>
    <t>images/hot/HR-00096_500x_ナイタール_板厚中央.png</t>
  </si>
  <si>
    <t>images/hot/HR-00099_100x_ナイタール_板厚中央.png</t>
  </si>
  <si>
    <t>images/hot/HR-00099_500x_ナイタール_板厚中央.png</t>
  </si>
  <si>
    <t>images/hot/HR-00101_100x_ナイタール_板厚中央.png</t>
  </si>
  <si>
    <t>images/hot/HR-00101_500x_ナイタール_板厚中央.png</t>
  </si>
  <si>
    <t>images/hot/HR-00103_100x_ナイタール_板厚中央.png</t>
  </si>
  <si>
    <t>images/hot/HR-00103_500x_ナイタール_板厚中央.png</t>
  </si>
  <si>
    <t>images/hot/HR-00103_1000x_レペラ_表層.png</t>
  </si>
  <si>
    <t>images/hot/HR-00103_1000x_ナイタール_t/4.png</t>
  </si>
  <si>
    <t>images/hot/HR-00104_100x_ナイタール_板厚中央.png</t>
  </si>
  <si>
    <t>images/hot/HR-00104_500x_ナイタール_板厚中央.png</t>
  </si>
  <si>
    <t>images/hot/HR-00104_1000x_レペラ_表層.png</t>
  </si>
  <si>
    <t>images/hot/HR-00106_100x_ナイタール_板厚中央.png</t>
  </si>
  <si>
    <t>images/hot/HR-00106_500x_ナイタール_板厚中央.png</t>
  </si>
  <si>
    <t>images/hot/HR-00107_100x_ナイタール_板厚中央.png</t>
  </si>
  <si>
    <t>images/hot/HR-00108_100x_ナイタール_板厚中央.png</t>
  </si>
  <si>
    <t>images/hot/HR-00108_500x_ナイタール_板厚中央.png</t>
  </si>
  <si>
    <t>images/hot/HR-00108_1000x_レペラ_表層.png</t>
  </si>
  <si>
    <t>images/hot/HR-00110_100x_ナイタール_板厚中央.png</t>
  </si>
  <si>
    <t>images/hot/HR-00110_500x_ナイタール_板厚中央.png</t>
  </si>
  <si>
    <t>images/hot/HR-00111_100x_ナイタール_板厚中央.png</t>
  </si>
  <si>
    <t>images/hot/HR-00111_500x_ナイタール_板厚中央.png</t>
  </si>
  <si>
    <t>images/hot/HR-00113_100x_ナイタール_板厚中央.png</t>
  </si>
  <si>
    <t>images/hot/HR-00113_500x_ナイタール_板厚中央.png</t>
  </si>
  <si>
    <t>images/hot/HR-00113_1000x_レペラ_表層.png</t>
  </si>
  <si>
    <t>images/hot/HR-00114_100x_ナイタール_板厚中央.png</t>
  </si>
  <si>
    <t>images/hot/HR-00114_500x_ナイタール_板厚中央.png</t>
  </si>
  <si>
    <t>images/hot/HR-00114_1000x_レペラ_表層.png</t>
  </si>
  <si>
    <t>images/hot/HR-00114_1000x_ナイタール_t/4.png</t>
  </si>
  <si>
    <t>images/hot/HR-00115_100x_ナイタール_板厚中央.png</t>
  </si>
  <si>
    <t>images/hot/HR-00115_500x_ナイタール_板厚中央.png</t>
  </si>
  <si>
    <t>images/hot/HR-00115_1000x_レペラ_表層.png</t>
  </si>
  <si>
    <t>images/hot/HR-00116_100x_ナイタール_板厚中央.png</t>
  </si>
  <si>
    <t>images/hot/HR-00116_500x_ナイタール_板厚中央.png</t>
  </si>
  <si>
    <t>images/hot/HR-00117_100x_ナイタール_板厚中央.png</t>
  </si>
  <si>
    <t>images/hot/HR-00119_100x_ナイタール_板厚中央.png</t>
  </si>
  <si>
    <t>images/hot/HR-00119_500x_ナイタール_板厚中央.png</t>
  </si>
  <si>
    <t>images/hot/HR-00120_100x_ナイタール_板厚中央.png</t>
  </si>
  <si>
    <t>images/hot/HR-00120_500x_ナイタール_板厚中央.png</t>
  </si>
  <si>
    <t>images/hot/HR-00121_100x_ナイタール_板厚中央.png</t>
  </si>
  <si>
    <t>images/hot/HR-00121_500x_ナイタール_板厚中央.png</t>
  </si>
  <si>
    <t>images/hot/HR-00121_1000x_レペラ_表層.png</t>
  </si>
  <si>
    <t>images/hot/HR-00121_1000x_ナイタール_t/4.png</t>
  </si>
  <si>
    <t>images/hot/HR-00123_100x_ナイタール_板厚中央.png</t>
  </si>
  <si>
    <t>images/hot/HR-00123_500x_ナイタール_板厚中央.png</t>
  </si>
  <si>
    <t>images/hot/HR-00125_100x_ナイタール_板厚中央.png</t>
  </si>
  <si>
    <t>images/hot/HR-00125_500x_ナイタール_板厚中央.png</t>
  </si>
  <si>
    <t>images/hot/HR-00127_100x_ナイタール_板厚中央.png</t>
  </si>
  <si>
    <t>images/hot/HR-00127_500x_ナイタール_板厚中央.png</t>
  </si>
  <si>
    <t>images/hot/HR-00130_100x_ナイタール_板厚中央.png</t>
  </si>
  <si>
    <t>images/hot/HR-00130_500x_ナイタール_板厚中央.png</t>
  </si>
  <si>
    <t>images/hot/HR-00130_1000x_レペラ_表層.png</t>
  </si>
  <si>
    <t>images/hot/HR-00133_100x_ナイタール_板厚中央.png</t>
  </si>
  <si>
    <t>images/hot/HR-00133_500x_ナイタール_板厚中央.png</t>
  </si>
  <si>
    <t>images/hot/HR-00133_1000x_レペラ_表層.png</t>
  </si>
  <si>
    <t>images/hot/HR-00135_100x_ナイタール_板厚中央.png</t>
  </si>
  <si>
    <t>images/hot/HR-00135_500x_ナイタール_板厚中央.png</t>
  </si>
  <si>
    <t>images/hot/HR-00135_1000x_レペラ_表層.png</t>
  </si>
  <si>
    <t>images/hot/HR-00138_100x_ナイタール_板厚中央.png</t>
  </si>
  <si>
    <t>images/hot/HR-00138_500x_ナイタール_板厚中央.png</t>
  </si>
  <si>
    <t>images/hot/HR-00139_100x_ナイタール_板厚中央.png</t>
  </si>
  <si>
    <t>images/hot/HR-00139_500x_ナイタール_板厚中央.png</t>
  </si>
  <si>
    <t>images/hot/HR-00139_1000x_レペラ_表層.png</t>
  </si>
  <si>
    <t>images/hot/HR-00140_100x_ナイタール_板厚中央.png</t>
  </si>
  <si>
    <t>images/hot/HR-00140_500x_ナイタール_板厚中央.png</t>
  </si>
  <si>
    <t>images/hot/HR-00141_100x_ナイタール_板厚中央.png</t>
  </si>
  <si>
    <t>images/hot/HR-00141_500x_ナイタール_板厚中央.png</t>
  </si>
  <si>
    <t>images/hot/HR-00141_1000x_レペラ_表層.png</t>
  </si>
  <si>
    <t>images/hot/HR-00143_100x_ナイタール_板厚中央.png</t>
  </si>
  <si>
    <t>images/hot/HR-00143_500x_ナイタール_板厚中央.png</t>
  </si>
  <si>
    <t>images/hot/HR-00144_100x_ナイタール_板厚中央.png</t>
  </si>
  <si>
    <t>images/hot/HR-00146_100x_ナイタール_板厚中央.png</t>
  </si>
  <si>
    <t>images/hot/HR-00146_500x_ナイタール_板厚中央.png</t>
  </si>
  <si>
    <t>images/hot/HR-00148_100x_ナイタール_板厚中央.png</t>
  </si>
  <si>
    <t>images/hot/HR-00148_500x_ナイタール_板厚中央.png</t>
  </si>
  <si>
    <t>images/hot/HR-00151_100x_ナイタール_板厚中央.png</t>
  </si>
  <si>
    <t>images/hot/HR-00151_500x_ナイタール_板厚中央.png</t>
  </si>
  <si>
    <t>images/hot/HR-00153_100x_ナイタール_板厚中央.png</t>
  </si>
  <si>
    <t>images/hot/HR-00154_100x_ナイタール_板厚中央.png</t>
  </si>
  <si>
    <t>images/hot/HR-00155_100x_ナイタール_板厚中央.png</t>
  </si>
  <si>
    <t>images/hot/HR-00155_500x_ナイタール_板厚中央.png</t>
  </si>
  <si>
    <t>images/hot/HR-00155_1000x_レペラ_表層.png</t>
  </si>
  <si>
    <t>images/hot/HR-00156_100x_ナイタール_板厚中央.png</t>
  </si>
  <si>
    <t>images/hot/HR-00157_100x_ナイタール_板厚中央.png</t>
  </si>
  <si>
    <t>images/hot/HR-00157_500x_ナイタール_板厚中央.png</t>
  </si>
  <si>
    <t>images/hot/HR-00158_100x_ナイタール_板厚中央.png</t>
  </si>
  <si>
    <t>images/hot/HR-00158_500x_ナイタール_板厚中央.png</t>
  </si>
  <si>
    <t>images/hot/HR-00158_1000x_レペラ_表層.png</t>
  </si>
  <si>
    <t>images/hot/HR-00162_100x_ナイタール_板厚中央.png</t>
  </si>
  <si>
    <t>images/hot/HR-00162_500x_ナイタール_板厚中央.png</t>
  </si>
  <si>
    <t>images/hot/HR-00162_1000x_レペラ_表層.png</t>
  </si>
  <si>
    <t>images/hot/HR-00162_1000x_ナイタール_t/4.png</t>
  </si>
  <si>
    <t>images/hot/HR-00165_100x_ナイタール_板厚中央.png</t>
  </si>
  <si>
    <t>images/hot/HR-00165_500x_ナイタール_板厚中央.png</t>
  </si>
  <si>
    <t>images/hot/HR-00165_1000x_レペラ_表層.png</t>
  </si>
  <si>
    <t>images/hot/HR-00165_1000x_ナイタール_t/4.png</t>
  </si>
  <si>
    <t>images/hot/HR-00167_100x_ナイタール_板厚中央.png</t>
  </si>
  <si>
    <t>images/hot/HR-00167_500x_ナイタール_板厚中央.png</t>
  </si>
  <si>
    <t>images/hot/HR-00167_1000x_レペラ_表層.png</t>
  </si>
  <si>
    <t>images/hot/HR-00169_100x_ナイタール_板厚中央.png</t>
  </si>
  <si>
    <t>images/hot/HR-00169_500x_ナイタール_板厚中央.png</t>
  </si>
  <si>
    <t>images/hot/HR-00172_100x_ナイタール_板厚中央.png</t>
  </si>
  <si>
    <t>images/hot/HR-00172_500x_ナイタール_板厚中央.png</t>
  </si>
  <si>
    <t>images/hot/HR-00177_100x_ナイタール_板厚中央.png</t>
  </si>
  <si>
    <t>images/hot/HR-00178_100x_ナイタール_板厚中央.png</t>
  </si>
  <si>
    <t>images/hot/HR-00178_500x_ナイタール_板厚中央.png</t>
  </si>
  <si>
    <t>images/hot/HR-00183_100x_ナイタール_板厚中央.png</t>
  </si>
  <si>
    <t>images/hot/HR-00184_100x_ナイタール_板厚中央.png</t>
  </si>
  <si>
    <t>images/hot/HR-00184_500x_ナイタール_板厚中央.png</t>
  </si>
  <si>
    <t>images/hot/HR-00186_100x_ナイタール_板厚中央.png</t>
  </si>
  <si>
    <t>images/hot/HR-00189_100x_ナイタール_板厚中央.png</t>
  </si>
  <si>
    <t>images/hot/HR-00189_500x_ナイタール_板厚中央.png</t>
  </si>
  <si>
    <t>images/hot/HR-00189_1000x_レペラ_表層.png</t>
  </si>
  <si>
    <t>images/hot/HR-00190_100x_ナイタール_板厚中央.png</t>
  </si>
  <si>
    <t>images/hot/HR-00190_500x_ナイタール_板厚中央.png</t>
  </si>
  <si>
    <t>images/hot/HR-00191_100x_ナイタール_板厚中央.png</t>
  </si>
  <si>
    <t>images/hot/HR-00191_500x_ナイタール_板厚中央.png</t>
  </si>
  <si>
    <t>images/hot/HR-00191_1000x_レペラ_表層.png</t>
  </si>
  <si>
    <t>images/hot/HR-00191_1000x_ナイタール_t/4.png</t>
  </si>
  <si>
    <t>images/hot/HR-00193_100x_ナイタール_板厚中央.png</t>
  </si>
  <si>
    <t>images/hot/HR-00193_500x_ナイタール_板厚中央.png</t>
  </si>
  <si>
    <t>images/hot/HR-00194_100x_ナイタール_板厚中央.png</t>
  </si>
  <si>
    <t>images/hot/HR-00194_500x_ナイタール_板厚中央.png</t>
  </si>
  <si>
    <t>images/hot/HR-00199_100x_ナイタール_板厚中央.png</t>
  </si>
  <si>
    <t>images/hot/HR-00199_500x_ナイタール_板厚中央.png</t>
  </si>
  <si>
    <t>images/hot/HR-00200_100x_ナイタール_板厚中央.png</t>
  </si>
  <si>
    <t>images/hot/HR-00200_500x_ナイタール_板厚中央.png</t>
  </si>
  <si>
    <t>images/hot/HR-00201_100x_ナイタール_板厚中央.png</t>
  </si>
  <si>
    <t>images/hot/HR-00201_500x_ナイタール_板厚中央.png</t>
  </si>
  <si>
    <t>images/hot/HR-00202_100x_ナイタール_板厚中央.png</t>
  </si>
  <si>
    <t>images/hot/HR-00202_500x_ナイタール_板厚中央.png</t>
  </si>
  <si>
    <t>images/hot/HR-00205_100x_ナイタール_板厚中央.png</t>
  </si>
  <si>
    <t>images/hot/HR-00205_500x_ナイタール_板厚中央.png</t>
  </si>
  <si>
    <t>images/hot/HR-00205_1000x_レペラ_表層.png</t>
  </si>
  <si>
    <t>images/hot/HR-00206_100x_ナイタール_板厚中央.png</t>
  </si>
  <si>
    <t>images/hot/HR-00206_500x_ナイタール_板厚中央.png</t>
  </si>
  <si>
    <t>images/hot/HR-00208_100x_ナイタール_板厚中央.png</t>
  </si>
  <si>
    <t>images/hot/HR-00208_500x_ナイタール_板厚中央.png</t>
  </si>
  <si>
    <t>images/hot/HR-00209_100x_ナイタール_板厚中央.png</t>
  </si>
  <si>
    <t>images/hot/HR-00209_500x_ナイタール_板厚中央.png</t>
  </si>
  <si>
    <t>images/hot/HR-00211_100x_ナイタール_板厚中央.png</t>
  </si>
  <si>
    <t>images/hot/HR-00211_500x_ナイタール_板厚中央.png</t>
  </si>
  <si>
    <t>images/hot/HR-00212_100x_ナイタール_板厚中央.png</t>
  </si>
  <si>
    <t>images/hot/HR-00212_500x_ナイタール_板厚中央.png</t>
  </si>
  <si>
    <t>images/hot/HR-00212_1000x_レペラ_表層.png</t>
  </si>
  <si>
    <t>images/hot/HR-00213_100x_ナイタール_板厚中央.png</t>
  </si>
  <si>
    <t>images/hot/HR-00213_500x_ナイタール_板厚中央.png</t>
  </si>
  <si>
    <t>images/hot/HR-00215_100x_ナイタール_板厚中央.png</t>
  </si>
  <si>
    <t>images/hot/HR-00215_500x_ナイタール_板厚中央.png</t>
  </si>
  <si>
    <t>images/hot/HR-00216_100x_ナイタール_板厚中央.png</t>
  </si>
  <si>
    <t>images/hot/HR-00216_500x_ナイタール_板厚中央.png</t>
  </si>
  <si>
    <t>images/hot/HR-00217_100x_ナイタール_板厚中央.png</t>
  </si>
  <si>
    <t>images/hot/HR-00217_500x_ナイタール_板厚中央.png</t>
  </si>
  <si>
    <t>images/hot/HR-00222_100x_ナイタール_板厚中央.png</t>
  </si>
  <si>
    <t>images/hot/HR-00222_500x_ナイタール_板厚中央.png</t>
  </si>
  <si>
    <t>images/hot/HR-00223_100x_ナイタール_板厚中央.png</t>
  </si>
  <si>
    <t>images/hot/HR-00223_500x_ナイタール_板厚中央.png</t>
  </si>
  <si>
    <t>images/hot/HR-00224_100x_ナイタール_板厚中央.png</t>
  </si>
  <si>
    <t>images/hot/HR-00224_500x_ナイタール_板厚中央.png</t>
  </si>
  <si>
    <r>
      <rPr>
        <b/>
        <sz val="11"/>
        <color rgb="FFFFFFFF"/>
        <rFont val="ＭＳ Ｐゴシック"/>
        <family val="3"/>
      </rPr>
      <t>引張強さ</t>
    </r>
    <r>
      <rPr>
        <b/>
        <sz val="11"/>
        <color rgb="FFFFFFFF"/>
        <rFont val="Carlito"/>
      </rPr>
      <t>[MPa]</t>
    </r>
  </si>
  <si>
    <r>
      <rPr>
        <b/>
        <sz val="11"/>
        <color rgb="FFFFFFFF"/>
        <rFont val="ＭＳ Ｐゴシック"/>
        <family val="3"/>
      </rPr>
      <t>降伏点</t>
    </r>
    <r>
      <rPr>
        <b/>
        <sz val="11"/>
        <color rgb="FFFFFFFF"/>
        <rFont val="Carlito"/>
      </rPr>
      <t>[MPa]</t>
    </r>
  </si>
  <si>
    <r>
      <t>0.2%</t>
    </r>
    <r>
      <rPr>
        <b/>
        <sz val="11"/>
        <color rgb="FFFFFFFF"/>
        <rFont val="ＭＳ Ｐゴシック"/>
        <family val="3"/>
      </rPr>
      <t>耐力</t>
    </r>
    <r>
      <rPr>
        <b/>
        <sz val="11"/>
        <color rgb="FFFFFFFF"/>
        <rFont val="Carlito"/>
        <family val="3"/>
      </rPr>
      <t>[Mpa]</t>
    </r>
  </si>
  <si>
    <r>
      <rPr>
        <b/>
        <sz val="11"/>
        <color rgb="FFFFFFFF"/>
        <rFont val="ＭＳ Ｐゴシック"/>
        <family val="3"/>
      </rPr>
      <t>一様伸び</t>
    </r>
    <r>
      <rPr>
        <b/>
        <sz val="11"/>
        <color rgb="FFFFFFFF"/>
        <rFont val="Carlito"/>
      </rPr>
      <t>[%]</t>
    </r>
  </si>
  <si>
    <t>均一伸び[%]</t>
  </si>
  <si>
    <t>試験片方向</t>
  </si>
  <si>
    <t>標点距離[mm]</t>
  </si>
  <si>
    <t>破断位置</t>
  </si>
  <si>
    <t>試験日</t>
  </si>
  <si>
    <t>試験者</t>
  </si>
  <si>
    <t>L</t>
  </si>
  <si>
    <t>A</t>
  </si>
  <si>
    <t>B</t>
  </si>
  <si>
    <t>C</t>
  </si>
  <si>
    <t>破断位置を要確認</t>
  </si>
  <si>
    <t>HT-00388</t>
  </si>
  <si>
    <t>依頼票のみ残存、母材不明</t>
  </si>
  <si>
    <r>
      <rPr>
        <b/>
        <sz val="11"/>
        <color rgb="FFFFFFFF"/>
        <rFont val="ＭＳ Ｐゴシック"/>
        <family val="3"/>
      </rPr>
      <t>穴拡げ率</t>
    </r>
    <r>
      <rPr>
        <b/>
        <sz val="11"/>
        <color rgb="FFFFFFFF"/>
        <rFont val="Carlito"/>
      </rPr>
      <t>[%]</t>
    </r>
  </si>
  <si>
    <r>
      <rPr>
        <b/>
        <sz val="11"/>
        <color rgb="FFFFFFFF"/>
        <rFont val="ＭＳ Ｐゴシック"/>
        <family val="3"/>
      </rPr>
      <t>打ち抜き径</t>
    </r>
    <r>
      <rPr>
        <b/>
        <sz val="11"/>
        <color rgb="FFFFFFFF"/>
        <rFont val="Carlito"/>
      </rPr>
      <t>[mm]</t>
    </r>
  </si>
  <si>
    <r>
      <rPr>
        <b/>
        <sz val="11"/>
        <color rgb="FFFFFFFF"/>
        <rFont val="ＭＳ Ｐゴシック"/>
        <family val="3"/>
      </rPr>
      <t>ダイス径</t>
    </r>
    <r>
      <rPr>
        <b/>
        <sz val="11"/>
        <color rgb="FFFFFFFF"/>
        <rFont val="Carlito"/>
      </rPr>
      <t>[mm]</t>
    </r>
  </si>
  <si>
    <r>
      <t>0.2</t>
    </r>
    <r>
      <rPr>
        <b/>
        <sz val="11"/>
        <color rgb="FFFFFFFF"/>
        <rFont val="ＭＳ Ｐゴシック"/>
        <family val="3"/>
      </rPr>
      <t>耐力点</t>
    </r>
    <r>
      <rPr>
        <b/>
        <sz val="11"/>
        <color rgb="FFFFFFFF"/>
        <rFont val="Carlito"/>
        <family val="3"/>
      </rPr>
      <t>[MPa]</t>
    </r>
  </si>
  <si>
    <r>
      <rPr>
        <b/>
        <sz val="11"/>
        <color rgb="FFFFFFFF"/>
        <rFont val="ＭＳ Ｐゴシック"/>
        <family val="3"/>
      </rPr>
      <t>伸び</t>
    </r>
    <r>
      <rPr>
        <b/>
        <sz val="11"/>
        <color rgb="FFFFFFFF"/>
        <rFont val="Carlito"/>
      </rPr>
      <t>_</t>
    </r>
    <r>
      <rPr>
        <b/>
        <sz val="11"/>
        <color rgb="FFFFFFFF"/>
        <rFont val="ＭＳ Ｐゴシック"/>
        <family val="3"/>
      </rPr>
      <t>突き合わせ</t>
    </r>
    <r>
      <rPr>
        <b/>
        <sz val="11"/>
        <color rgb="FFFFFFFF"/>
        <rFont val="Carlito"/>
      </rPr>
      <t>[%]</t>
    </r>
  </si>
  <si>
    <t>n値[-]</t>
  </si>
  <si>
    <t>GPa値をMPa列に入力した疑い</t>
  </si>
  <si>
    <t>観察位置</t>
  </si>
  <si>
    <t>断面方向</t>
  </si>
  <si>
    <t>画像状態</t>
  </si>
  <si>
    <t>images/anneal/AN-00001_100x_ナイタール_板厚中央.png</t>
  </si>
  <si>
    <t>L断面</t>
  </si>
  <si>
    <t>利用可</t>
  </si>
  <si>
    <t>images/anneal/AN-00001_500x_ナイタール_板厚中央.png</t>
  </si>
  <si>
    <t>images/anneal/AN-00002_100x_ナイタール_板厚中央.png</t>
  </si>
  <si>
    <t>images/anneal/AN-00002_500x_ナイタール_板厚中央.png</t>
  </si>
  <si>
    <t>images/anneal/AN-00003_100x_ナイタール_板厚中央.png</t>
  </si>
  <si>
    <t>images/anneal/AN-00003_500x_ナイタール_板厚中央.png</t>
  </si>
  <si>
    <t>images/anneal/AN-00003_1000x_レペラ_表層.png</t>
  </si>
  <si>
    <t>images/anneal/AN-00003_1000x_ナイタール_1/4厚.png</t>
  </si>
  <si>
    <t>1/4厚</t>
  </si>
  <si>
    <t>C断面</t>
  </si>
  <si>
    <t>images/anneal/AN-00009_100x_ナイタール_板厚中央.png</t>
  </si>
  <si>
    <t>images/anneal/AN-00009_500x_ナイタール_板厚中央.png</t>
  </si>
  <si>
    <t>images/anneal/AN-00013_100x_ナイタール_板厚中央.png</t>
  </si>
  <si>
    <t>images/anneal/AN-00013_500x_ナイタール_板厚中央.png</t>
  </si>
  <si>
    <t>images/anneal/AN-00014_100x_ナイタール_板厚中央.png</t>
  </si>
  <si>
    <t>images/anneal/AN-00016_100x_ナイタール_板厚中央.png</t>
  </si>
  <si>
    <t>images/anneal/AN-00016_500x_ナイタール_板厚中央.png</t>
  </si>
  <si>
    <t>images/anneal/AN-00016_1000x_レペラ_表層.png</t>
  </si>
  <si>
    <t>images/anneal/AN-00017_100x_ナイタール_板厚中央.png</t>
  </si>
  <si>
    <t>images/anneal/AN-00017_500x_ナイタール_板厚中央.png</t>
  </si>
  <si>
    <t>images/anneal/AN-00017_1000x_レペラ_表層.png</t>
  </si>
  <si>
    <t>images/anneal/AN-00017_1000x_ナイタール_1/4厚.png</t>
  </si>
  <si>
    <t>images/anneal/AN-00019_100x_ナイタール_板厚中央.png</t>
  </si>
  <si>
    <t>images/anneal/AN-00019_500x_ナイタール_板厚中央.png</t>
  </si>
  <si>
    <t>images/anneal/AN-00019_1000x_レペラ_表層.png</t>
  </si>
  <si>
    <t>images/anneal/AN-00020_100x_ナイタール_板厚中央.png</t>
  </si>
  <si>
    <t>images/anneal/AN-00020_500x_ナイタール_板厚中央.png</t>
  </si>
  <si>
    <t>images/anneal/AN-00020_1000x_レペラ_表層.png</t>
  </si>
  <si>
    <t>images/anneal/AN-00025_100x_ナイタール_板厚中央.png</t>
  </si>
  <si>
    <t>images/anneal/AN-00025_500x_ナイタール_板厚中央.png</t>
  </si>
  <si>
    <t>images/anneal/AN-00025_1000x_レペラ_表層.png</t>
  </si>
  <si>
    <t>images/anneal/AN-00026_100x_ナイタール_板厚中央.png</t>
  </si>
  <si>
    <t>images/anneal/AN-00027_100x_ナイタール_板厚中央.png</t>
  </si>
  <si>
    <t>images/anneal/AN-00027_500x_ナイタール_板厚中央.png</t>
  </si>
  <si>
    <t>ファイル欠損</t>
  </si>
  <si>
    <t>images/anneal/AN-00027_1000x_レペラ_表層.png</t>
  </si>
  <si>
    <t>images/anneal/AN-00027_1000x_ナイタール_1/4厚.png</t>
  </si>
  <si>
    <t>images/anneal/AN-00028_100x_ナイタール_板厚中央.png</t>
  </si>
  <si>
    <t>images/anneal/AN-00028_500x_ナイタール_板厚中央.png</t>
  </si>
  <si>
    <t>images/anneal/AN-00028_1000x_レペラ_表層.png</t>
  </si>
  <si>
    <t>images/anneal/AN-00028_1000x_ナイタール_1/4厚.png</t>
  </si>
  <si>
    <t>images/anneal/AN-00029_100x_ナイタール_板厚中央.png</t>
  </si>
  <si>
    <t>images/anneal/AN-00029_500x_ナイタール_板厚中央.png</t>
  </si>
  <si>
    <t>images/anneal/AN-00029_1000x_レペラ_表層.png</t>
  </si>
  <si>
    <t>images/anneal/AN-00030_100x_ナイタール_板厚中央.png</t>
  </si>
  <si>
    <t>images/anneal/AN-00031_100x_ナイタール_板厚中央.png</t>
  </si>
  <si>
    <t>images/anneal/AN-00031_500x_ナイタール_板厚中央.png</t>
  </si>
  <si>
    <t>images/anneal/AN-00031_1000x_レペラ_表層.png</t>
  </si>
  <si>
    <t>images/anneal/AN-00031_1000x_ナイタール_1/4厚.png</t>
  </si>
  <si>
    <t>images/anneal/AN-00032_100x_ナイタール_板厚中央.png</t>
  </si>
  <si>
    <t>images/anneal/AN-00032_500x_ナイタール_板厚中央.png</t>
  </si>
  <si>
    <t>images/anneal/AN-00032_1000x_レペラ_表層.png</t>
  </si>
  <si>
    <t>images/anneal/AN-00032_1000x_ナイタール_1/4厚.png</t>
  </si>
  <si>
    <t>images/anneal/AN-00034_100x_ナイタール_板厚中央.png</t>
  </si>
  <si>
    <t>images/anneal/AN-00036_100x_ナイタール_板厚中央.png</t>
  </si>
  <si>
    <t>images/anneal/AN-00036_500x_ナイタール_板厚中央.png</t>
  </si>
  <si>
    <t>images/anneal/AN-00037_100x_ナイタール_板厚中央.png</t>
  </si>
  <si>
    <t>images/anneal/AN-00037_500x_ナイタール_板厚中央.png</t>
  </si>
  <si>
    <t>images/anneal/AN-00037_1000x_レペラ_表層.png</t>
  </si>
  <si>
    <t>images/anneal/AN-00038_100x_ナイタール_板厚中央.png</t>
  </si>
  <si>
    <t>images/anneal/AN-00038_500x_ナイタール_板厚中央.png</t>
  </si>
  <si>
    <t>images/anneal/AN-00038_1000x_レペラ_表層.png</t>
  </si>
  <si>
    <t>images/anneal/AN-00038_1000x_ナイタール_1/4厚.png</t>
  </si>
  <si>
    <t>images/anneal/AN-00041_100x_ナイタール_板厚中央.png</t>
  </si>
  <si>
    <t>images/anneal/AN-00041_500x_ナイタール_板厚中央.png</t>
  </si>
  <si>
    <t>images/anneal/AN-00041_1000x_レペラ_表層.png</t>
  </si>
  <si>
    <t>images/anneal/AN-00041_1000x_ナイタール_1/4厚.png</t>
  </si>
  <si>
    <t>images/anneal/AN-00044_100x_ナイタール_板厚中央.png</t>
  </si>
  <si>
    <t>images/anneal/AN-00044_500x_ナイタール_板厚中央.png</t>
  </si>
  <si>
    <t>images/anneal/AN-00045_100x_ナイタール_板厚中央.png</t>
  </si>
  <si>
    <t>images/anneal/AN-00045_500x_ナイタール_板厚中央.png</t>
  </si>
  <si>
    <t>images/anneal/AN-00045_1000x_レペラ_表層.png</t>
  </si>
  <si>
    <t>images/anneal/AN-00045_1000x_ナイタール_1/4厚.png</t>
  </si>
  <si>
    <t>images/anneal/AN-00046_100x_ナイタール_板厚中央.png</t>
  </si>
  <si>
    <t>images/anneal/AN-00046_500x_ナイタール_板厚中央.png</t>
  </si>
  <si>
    <t>images/anneal/AN-00046_1000x_レペラ_表層.png</t>
  </si>
  <si>
    <t>images/anneal/AN-00049_100x_ナイタール_板厚中央.png</t>
  </si>
  <si>
    <t>images/anneal/AN-00049_500x_ナイタール_板厚中央.png</t>
  </si>
  <si>
    <t>images/anneal/AN-00053_100x_ナイタール_板厚中央.png</t>
  </si>
  <si>
    <t>images/anneal/AN-00053_500x_ナイタール_板厚中央.png</t>
  </si>
  <si>
    <t>images/anneal/AN-00053_1000x_レペラ_表層.png</t>
  </si>
  <si>
    <t>images/anneal/AN-00053_1000x_ナイタール_1/4厚.png</t>
  </si>
  <si>
    <t>images/anneal/AN-00054_100x_ナイタール_板厚中央.png</t>
  </si>
  <si>
    <t>images/anneal/AN-00054_500x_ナイタール_板厚中央.png</t>
  </si>
  <si>
    <t>images/anneal/AN-00054_1000x_レペラ_表層.png</t>
  </si>
  <si>
    <t>images/anneal/AN-00054_1000x_ナイタール_1/4厚.png</t>
  </si>
  <si>
    <t>images/anneal/AN-00059_100x_ナイタール_板厚中央.png</t>
  </si>
  <si>
    <t>images/anneal/AN-00071_100x_ナイタール_板厚中央.png</t>
  </si>
  <si>
    <t>images/anneal/AN-00071_500x_ナイタール_板厚中央.png</t>
  </si>
  <si>
    <t>images/anneal/AN-00071_1000x_レペラ_表層.png</t>
  </si>
  <si>
    <t>images/anneal/AN-00072_100x_ナイタール_板厚中央.png</t>
  </si>
  <si>
    <t>images/anneal/AN-00072_500x_ナイタール_板厚中央.png</t>
  </si>
  <si>
    <t>images/anneal/AN-00072_1000x_レペラ_表層.png</t>
  </si>
  <si>
    <t>images/anneal/AN-00074_100x_ナイタール_板厚中央.png</t>
  </si>
  <si>
    <t>images/anneal/AN-00074_500x_ナイタール_板厚中央.png</t>
  </si>
  <si>
    <t>images/anneal/AN-00079_100x_ナイタール_板厚中央.png</t>
  </si>
  <si>
    <t>images/anneal/AN-00079_500x_ナイタール_板厚中央.png</t>
  </si>
  <si>
    <t>images/anneal/AN-00080_100x_ナイタール_板厚中央.png</t>
  </si>
  <si>
    <t>images/anneal/AN-00080_500x_ナイタール_板厚中央.png</t>
  </si>
  <si>
    <t>images/anneal/AN-00087_100x_ナイタール_板厚中央.png</t>
  </si>
  <si>
    <t>images/anneal/AN-00088_100x_ナイタール_板厚中央.png</t>
  </si>
  <si>
    <t>images/anneal/AN-00088_500x_ナイタール_板厚中央.png</t>
  </si>
  <si>
    <t>images/anneal/AN-00088_1000x_レペラ_表層.png</t>
  </si>
  <si>
    <t>images/anneal/AN-00088_1000x_ナイタール_1/4厚.png</t>
  </si>
  <si>
    <t>images/anneal/AN-00089_100x_ナイタール_板厚中央.png</t>
  </si>
  <si>
    <t>images/anneal/AN-00089_500x_ナイタール_板厚中央.png</t>
  </si>
  <si>
    <t>images/anneal/AN-00089_1000x_レペラ_表層.png</t>
  </si>
  <si>
    <t>images/anneal/AN-00093_100x_ナイタール_板厚中央.png</t>
  </si>
  <si>
    <t>images/anneal/AN-00093_500x_ナイタール_板厚中央.png</t>
  </si>
  <si>
    <t>images/anneal/AN-00093_1000x_レペラ_表層.png</t>
  </si>
  <si>
    <t>images/anneal/AN-00093_1000x_ナイタール_1/4厚.png</t>
  </si>
  <si>
    <t>images/anneal/AN-00094_100x_ナイタール_板厚中央.png</t>
  </si>
  <si>
    <t>images/anneal/AN-00094_500x_ナイタール_板厚中央.png</t>
  </si>
  <si>
    <t>images/anneal/AN-00094_1000x_レペラ_表層.png</t>
  </si>
  <si>
    <t>images/anneal/AN-00094_1000x_ナイタール_1/4厚.png</t>
  </si>
  <si>
    <t>images/anneal/AN-00096_100x_ナイタール_板厚中央.png</t>
  </si>
  <si>
    <t>images/anneal/AN-00096_500x_ナイタール_板厚中央.png</t>
  </si>
  <si>
    <t>images/anneal/AN-00096_1000x_レペラ_表層.png</t>
  </si>
  <si>
    <t>images/anneal/AN-00098_100x_ナイタール_板厚中央.png</t>
  </si>
  <si>
    <t>images/anneal/AN-00098_500x_ナイタール_板厚中央.png</t>
  </si>
  <si>
    <t>images/anneal/AN-00098_1000x_レペラ_表層.png</t>
  </si>
  <si>
    <t>images/anneal/AN-00098_1000x_ナイタール_1/4厚.png</t>
  </si>
  <si>
    <t>images/anneal/AN-00099_100x_ナイタール_板厚中央.png</t>
  </si>
  <si>
    <t>images/anneal/AN-00099_500x_ナイタール_板厚中央.png</t>
  </si>
  <si>
    <t>images/anneal/AN-00099_1000x_レペラ_表層.png</t>
  </si>
  <si>
    <t>images/anneal/AN-00099_1000x_ナイタール_1/4厚.png</t>
  </si>
  <si>
    <t>images/anneal/AN-00104_100x_ナイタール_板厚中央.png</t>
  </si>
  <si>
    <t>images/anneal/AN-00104_500x_ナイタール_板厚中央.png</t>
  </si>
  <si>
    <t>images/anneal/AN-00104_1000x_レペラ_表層.png</t>
  </si>
  <si>
    <t>images/anneal/AN-00104_1000x_ナイタール_1/4厚.png</t>
  </si>
  <si>
    <t>images/anneal/AN-00109_100x_ナイタール_板厚中央.png</t>
  </si>
  <si>
    <t>images/anneal/AN-00109_500x_ナイタール_板厚中央.png</t>
  </si>
  <si>
    <t>images/anneal/AN-00110_100x_ナイタール_板厚中央.png</t>
  </si>
  <si>
    <t>images/anneal/AN-00115_100x_ナイタール_板厚中央.png</t>
  </si>
  <si>
    <t>images/anneal/AN-00115_500x_ナイタール_板厚中央.png</t>
  </si>
  <si>
    <t>images/anneal/AN-00116_100x_ナイタール_板厚中央.png</t>
  </si>
  <si>
    <t>images/anneal/AN-00116_500x_ナイタール_板厚中央.png</t>
  </si>
  <si>
    <t>images/anneal/AN-00116_1000x_レペラ_表層.png</t>
  </si>
  <si>
    <t>images/anneal/AN-00118_100x_ナイタール_板厚中央.png</t>
  </si>
  <si>
    <t>images/anneal/AN-00118_500x_ナイタール_板厚中央.png</t>
  </si>
  <si>
    <t>images/anneal/AN-00121_100x_ナイタール_板厚中央.png</t>
  </si>
  <si>
    <t>images/anneal/AN-00121_500x_ナイタール_板厚中央.png</t>
  </si>
  <si>
    <t>images/anneal/AN-00121_1000x_レペラ_表層.png</t>
  </si>
  <si>
    <t>images/anneal/AN-00121_1000x_ナイタール_1/4厚.png</t>
  </si>
  <si>
    <t>images/anneal/AN-00123_100x_ナイタール_板厚中央.png</t>
  </si>
  <si>
    <t>images/anneal/AN-00123_500x_ナイタール_板厚中央.png</t>
  </si>
  <si>
    <t>images/anneal/AN-00123_1000x_レペラ_表層.png</t>
  </si>
  <si>
    <t>images/anneal/AN-00123_1000x_ナイタール_1/4厚.png</t>
  </si>
  <si>
    <t>images/anneal/AN-00125_100x_ナイタール_板厚中央.png</t>
  </si>
  <si>
    <t>images/anneal/AN-00125_500x_ナイタール_板厚中央.png</t>
  </si>
  <si>
    <t>images/anneal/AN-00125_1000x_レペラ_表層.png</t>
  </si>
  <si>
    <t>images/anneal/AN-00126_100x_ナイタール_板厚中央.png</t>
  </si>
  <si>
    <t>images/anneal/AN-00131_100x_ナイタール_板厚中央.png</t>
  </si>
  <si>
    <t>images/anneal/AN-00131_500x_ナイタール_板厚中央.png</t>
  </si>
  <si>
    <t>images/anneal/AN-00133_100x_ナイタール_板厚中央.png</t>
  </si>
  <si>
    <t>images/anneal/AN-00133_500x_ナイタール_板厚中央.png</t>
  </si>
  <si>
    <t>images/anneal/AN-00138_100x_ナイタール_板厚中央.png</t>
  </si>
  <si>
    <t>images/anneal/AN-00138_500x_ナイタール_板厚中央.png</t>
  </si>
  <si>
    <t>images/anneal/AN-00138_1000x_レペラ_表層.png</t>
  </si>
  <si>
    <t>images/anneal/AN-00139_100x_ナイタール_板厚中央.png</t>
  </si>
  <si>
    <t>images/anneal/AN-00139_500x_ナイタール_板厚中央.png</t>
  </si>
  <si>
    <t>images/anneal/AN-00140_100x_ナイタール_板厚中央.png</t>
  </si>
  <si>
    <t>images/anneal/AN-00140_500x_ナイタール_板厚中央.png</t>
  </si>
  <si>
    <t>images/anneal/AN-00140_1000x_レペラ_表層.png</t>
  </si>
  <si>
    <t>images/anneal/AN-00140_1000x_ナイタール_1/4厚.png</t>
  </si>
  <si>
    <t>images/anneal/AN-00141_100x_ナイタール_板厚中央.png</t>
  </si>
  <si>
    <t>images/anneal/AN-00142_100x_ナイタール_板厚中央.png</t>
  </si>
  <si>
    <t>images/anneal/AN-00142_500x_ナイタール_板厚中央.png</t>
  </si>
  <si>
    <t>images/anneal/AN-00142_1000x_レペラ_表層.png</t>
  </si>
  <si>
    <t>images/anneal/AN-00145_100x_ナイタール_板厚中央.png</t>
  </si>
  <si>
    <t>images/anneal/AN-00145_500x_ナイタール_板厚中央.png</t>
  </si>
  <si>
    <t>images/anneal/AN-00145_1000x_レペラ_表層.png</t>
  </si>
  <si>
    <t>images/anneal/AN-00145_1000x_ナイタール_1/4厚.png</t>
  </si>
  <si>
    <t>images/anneal/AN-00149_100x_ナイタール_板厚中央.png</t>
  </si>
  <si>
    <t>images/anneal/AN-00149_500x_ナイタール_板厚中央.png</t>
  </si>
  <si>
    <t>images/anneal/AN-00151_100x_ナイタール_板厚中央.png</t>
  </si>
  <si>
    <t>images/anneal/AN-00151_500x_ナイタール_板厚中央.png</t>
  </si>
  <si>
    <t>images/anneal/AN-00151_1000x_レペラ_表層.png</t>
  </si>
  <si>
    <t>images/anneal/AN-00151_1000x_ナイタール_1/4厚.png</t>
  </si>
  <si>
    <t>images/anneal/AN-00158_100x_ナイタール_板厚中央.png</t>
  </si>
  <si>
    <t>images/anneal/AN-00161_100x_ナイタール_板厚中央.png</t>
  </si>
  <si>
    <t>images/anneal/AN-00161_500x_ナイタール_板厚中央.png</t>
  </si>
  <si>
    <t>images/anneal/AN-00161_1000x_レペラ_表層.png</t>
  </si>
  <si>
    <t>images/anneal/AN-00161_1000x_ナイタール_1/4厚.png</t>
  </si>
  <si>
    <t>images/anneal/AN-00162_100x_ナイタール_板厚中央.png</t>
  </si>
  <si>
    <t>images/anneal/AN-00163_100x_ナイタール_板厚中央.png</t>
  </si>
  <si>
    <t>images/anneal/AN-00163_500x_ナイタール_板厚中央.png</t>
  </si>
  <si>
    <t>images/anneal/AN-00164_100x_ナイタール_板厚中央.png</t>
  </si>
  <si>
    <t>images/anneal/AN-00164_500x_ナイタール_板厚中央.png</t>
  </si>
  <si>
    <t>images/anneal/AN-00164_1000x_レペラ_表層.png</t>
  </si>
  <si>
    <t>images/anneal/AN-00167_100x_ナイタール_板厚中央.png</t>
  </si>
  <si>
    <t>images/anneal/AN-00167_500x_ナイタール_板厚中央.png</t>
  </si>
  <si>
    <t>images/anneal/AN-00167_1000x_レペラ_表層.png</t>
  </si>
  <si>
    <t>images/anneal/AN-00167_1000x_ナイタール_1/4厚.png</t>
  </si>
  <si>
    <t>images/anneal/AN-00168_100x_ナイタール_板厚中央.png</t>
  </si>
  <si>
    <t>images/anneal/AN-00174_100x_ナイタール_板厚中央.png</t>
  </si>
  <si>
    <t>images/anneal/AN-00174_500x_ナイタール_板厚中央.png</t>
  </si>
  <si>
    <t>images/anneal/AN-00176_100x_ナイタール_板厚中央.png</t>
  </si>
  <si>
    <t>images/anneal/AN-00176_500x_ナイタール_板厚中央.png</t>
  </si>
  <si>
    <t>images/anneal/AN-00176_1000x_レペラ_表層.png</t>
  </si>
  <si>
    <t>images/anneal/AN-00179_100x_ナイタール_板厚中央.png</t>
  </si>
  <si>
    <t>images/anneal/AN-00179_500x_ナイタール_板厚中央.png</t>
  </si>
  <si>
    <t>images/anneal/AN-00179_1000x_レペラ_表層.png</t>
  </si>
  <si>
    <t>images/anneal/AN-00181_100x_ナイタール_板厚中央.png</t>
  </si>
  <si>
    <t>images/anneal/AN-00181_500x_ナイタール_板厚中央.png</t>
  </si>
  <si>
    <t>images/anneal/AN-00181_1000x_レペラ_表層.png</t>
  </si>
  <si>
    <t>images/anneal/AN-00182_100x_ナイタール_板厚中央.png</t>
  </si>
  <si>
    <t>images/anneal/AN-00182_500x_ナイタール_板厚中央.png</t>
  </si>
  <si>
    <t>images/anneal/AN-00182_1000x_レペラ_表層.png</t>
  </si>
  <si>
    <t>images/anneal/AN-00183_100x_ナイタール_板厚中央.png</t>
  </si>
  <si>
    <t>images/anneal/AN-00183_500x_ナイタール_板厚中央.png</t>
  </si>
  <si>
    <t>images/anneal/AN-00183_1000x_レペラ_表層.png</t>
  </si>
  <si>
    <t>images/anneal/AN-00183_1000x_ナイタール_1/4厚.png</t>
  </si>
  <si>
    <t>images/anneal/AN-00188_100x_ナイタール_板厚中央.png</t>
  </si>
  <si>
    <t>images/anneal/AN-00188_500x_ナイタール_板厚中央.png</t>
  </si>
  <si>
    <t>images/anneal/AN-00188_1000x_レペラ_表層.png</t>
  </si>
  <si>
    <t>images/anneal/AN-00188_1000x_ナイタール_1/4厚.png</t>
  </si>
  <si>
    <t>images/anneal/AN-00190_100x_ナイタール_板厚中央.png</t>
  </si>
  <si>
    <t>images/anneal/AN-00191_100x_ナイタール_板厚中央.png</t>
  </si>
  <si>
    <t>images/anneal/AN-00192_100x_ナイタール_板厚中央.png</t>
  </si>
  <si>
    <t>images/anneal/AN-00192_500x_ナイタール_板厚中央.png</t>
  </si>
  <si>
    <t>images/anneal/AN-00192_1000x_レペラ_表層.png</t>
  </si>
  <si>
    <t>最終冷却</t>
  </si>
  <si>
    <t>炉冷</t>
  </si>
  <si>
    <t>画像リンク先</t>
  </si>
  <si>
    <t>撮影方法</t>
  </si>
  <si>
    <t>観察部位</t>
  </si>
  <si>
    <t>焼鈍履歴_key**</t>
  </si>
  <si>
    <t>チャンネル</t>
  </si>
  <si>
    <t>工程</t>
  </si>
  <si>
    <t>到達時間[秒]</t>
  </si>
  <si>
    <t>温度[℃]</t>
  </si>
  <si>
    <t>昇温速度[℃/秒]</t>
  </si>
  <si>
    <t>入力者</t>
  </si>
  <si>
    <t>開始</t>
  </si>
  <si>
    <t>設計値（CAL）</t>
  </si>
  <si>
    <t>PHF</t>
  </si>
  <si>
    <t>RTH</t>
  </si>
  <si>
    <t>RTS</t>
  </si>
  <si>
    <t>4BR入</t>
  </si>
  <si>
    <t>SCS</t>
  </si>
  <si>
    <t>1RCS入</t>
  </si>
  <si>
    <t>1RCS</t>
  </si>
  <si>
    <t>2RCS</t>
  </si>
  <si>
    <t>HDS</t>
  </si>
  <si>
    <t>3RCS</t>
  </si>
  <si>
    <t>OAS入側</t>
  </si>
  <si>
    <t>OAS出口</t>
  </si>
  <si>
    <t>2RHF</t>
  </si>
  <si>
    <t>FCS</t>
  </si>
  <si>
    <t>AJC</t>
  </si>
  <si>
    <t>水冷入</t>
  </si>
  <si>
    <t>水冷</t>
  </si>
  <si>
    <t>3RCS入</t>
  </si>
  <si>
    <t>設計値（GI）</t>
  </si>
  <si>
    <t>GF入</t>
  </si>
  <si>
    <t>OAS入側中間</t>
  </si>
  <si>
    <t>設計値（GA）</t>
  </si>
  <si>
    <t>GF</t>
  </si>
  <si>
    <t>GHF</t>
  </si>
  <si>
    <t>DFF</t>
  </si>
  <si>
    <t>高棟トップロール</t>
  </si>
  <si>
    <t>1RHF</t>
  </si>
  <si>
    <t>設計値（GA） / m/s値をm/min列に入力した疑い</t>
  </si>
  <si>
    <t>焼鈍条件-3CGL_key**</t>
  </si>
  <si>
    <t>LS[mpm]</t>
  </si>
  <si>
    <t>開始[℃]</t>
  </si>
  <si>
    <t>PHF[℃]</t>
  </si>
  <si>
    <t>DFF[℃]</t>
  </si>
  <si>
    <t>RTH[℃]</t>
  </si>
  <si>
    <t>RTS[℃]</t>
  </si>
  <si>
    <t>4BR入[℃]</t>
  </si>
  <si>
    <t>SCS[℃]</t>
  </si>
  <si>
    <t>1RCS入[℃]</t>
  </si>
  <si>
    <t>1RCS[℃]</t>
  </si>
  <si>
    <t>2RCS[℃]</t>
  </si>
  <si>
    <t>HDS[℃]</t>
  </si>
  <si>
    <t>3RCS入[℃]</t>
  </si>
  <si>
    <t>3RCS[℃]</t>
  </si>
  <si>
    <t>ダミー[℃]</t>
  </si>
  <si>
    <t>1RHF[℃]</t>
  </si>
  <si>
    <t>OAS入側[℃]</t>
  </si>
  <si>
    <t>OAS入側中間[℃]</t>
  </si>
  <si>
    <t>OAS出口[℃]</t>
  </si>
  <si>
    <t>2RHF[℃]</t>
  </si>
  <si>
    <t>FCS[℃]</t>
  </si>
  <si>
    <t>GF入[℃]</t>
  </si>
  <si>
    <t>GF[℃]</t>
  </si>
  <si>
    <t>GHF[℃]</t>
  </si>
  <si>
    <t>高棟トップロール[℃]</t>
  </si>
  <si>
    <t>AJC[℃]</t>
  </si>
  <si>
    <t>水冷入[℃]</t>
  </si>
  <si>
    <t>水冷[℃]</t>
  </si>
  <si>
    <t>RQ-AN-00001</t>
  </si>
  <si>
    <t>AL-0001</t>
  </si>
  <si>
    <t>RQ-AN-00002</t>
  </si>
  <si>
    <t>RQ-AN-00003</t>
  </si>
  <si>
    <t>RQ-AN-00004</t>
  </si>
  <si>
    <t>RQ-AN-00005</t>
  </si>
  <si>
    <t>RQ-AN-00006</t>
  </si>
  <si>
    <t>RQ-AN-00007</t>
  </si>
  <si>
    <t>RQ-AN-00008</t>
  </si>
  <si>
    <t>RQ-AN-00009</t>
  </si>
  <si>
    <t>RQ-AN-00010</t>
  </si>
  <si>
    <t>AL-0002</t>
  </si>
  <si>
    <t>RQ-AN-00011</t>
  </si>
  <si>
    <t>RQ-AN-00012</t>
  </si>
  <si>
    <t>RQ-AN-00013</t>
  </si>
  <si>
    <t>RQ-AN-00014</t>
  </si>
  <si>
    <t>RQ-AN-00015</t>
  </si>
  <si>
    <t>RQ-AN-00016</t>
  </si>
  <si>
    <t>RQ-AN-00017</t>
  </si>
  <si>
    <t>RQ-AN-00018</t>
  </si>
  <si>
    <t>RQ-AN-00019</t>
  </si>
  <si>
    <t>m/s値をm/min列に入力した疑い</t>
  </si>
  <si>
    <t>RQ-AN-00020</t>
  </si>
  <si>
    <t>AL-0003</t>
  </si>
  <si>
    <t>RQ-AN-00021</t>
  </si>
  <si>
    <t>RQ-AN-00022</t>
  </si>
  <si>
    <t>RQ-AN-00023</t>
  </si>
  <si>
    <t>RQ-AN-00024</t>
  </si>
  <si>
    <t>RQ-AN-00025</t>
  </si>
  <si>
    <t>RQ-AN-00026</t>
  </si>
  <si>
    <t>RQ-AN-00027</t>
  </si>
  <si>
    <t>RQ-AN-00028</t>
  </si>
  <si>
    <t>RQ-AN-00029</t>
  </si>
  <si>
    <t>RQ-AN-00030</t>
  </si>
  <si>
    <t>AL-0004</t>
  </si>
  <si>
    <t>RQ-AN-00031</t>
  </si>
  <si>
    <t>RQ-AN-00032</t>
  </si>
  <si>
    <t>RQ-AN-00033</t>
  </si>
  <si>
    <t>RQ-AN-00034</t>
  </si>
  <si>
    <t>RQ-AN-00035</t>
  </si>
  <si>
    <t>RQ-AN-00036</t>
  </si>
  <si>
    <t>RQ-AN-00037</t>
  </si>
  <si>
    <t>RQ-AN-00038</t>
  </si>
  <si>
    <t>RQ-AN-00039</t>
  </si>
  <si>
    <t>RQ-AN-00040</t>
  </si>
  <si>
    <t>AL-0005</t>
  </si>
  <si>
    <t>RQ-AN-00041</t>
  </si>
  <si>
    <t>RQ-AN-00042</t>
  </si>
  <si>
    <t>RQ-AN-00043</t>
  </si>
  <si>
    <t>RQ-AN-00044</t>
  </si>
  <si>
    <t>RQ-AN-00045</t>
  </si>
  <si>
    <t>RQ-AN-00046</t>
  </si>
  <si>
    <t>RQ-AN-00047</t>
  </si>
  <si>
    <t>RQ-AN-00048</t>
  </si>
  <si>
    <t>RQ-AN-00049</t>
  </si>
  <si>
    <t>RQ-AN-00050</t>
  </si>
  <si>
    <t>AL-0006</t>
  </si>
  <si>
    <t>RQ-AN-00051</t>
  </si>
  <si>
    <t>RQ-AN-00052</t>
  </si>
  <si>
    <t>RQ-AN-00053</t>
  </si>
  <si>
    <t>RQ-AN-00054</t>
  </si>
  <si>
    <t>RQ-AN-00055</t>
  </si>
  <si>
    <t>RQ-AN-00056</t>
  </si>
  <si>
    <t>RQ-AN-00057</t>
  </si>
  <si>
    <t>RQ-AN-00058</t>
  </si>
  <si>
    <t>RQ-AN-00059</t>
  </si>
  <si>
    <t>RQ-AN-00060</t>
  </si>
  <si>
    <t>AL-0007</t>
  </si>
  <si>
    <t>RQ-AN-00061</t>
  </si>
  <si>
    <t>RQ-AN-00062</t>
  </si>
  <si>
    <t>RQ-AN-00063</t>
  </si>
  <si>
    <t>RQ-AN-00064</t>
  </si>
  <si>
    <t>RQ-AN-00065</t>
  </si>
  <si>
    <t>RQ-AN-00066</t>
  </si>
  <si>
    <t>RQ-AN-00067</t>
  </si>
  <si>
    <t>RQ-AN-00068</t>
  </si>
  <si>
    <t>RQ-AN-00069</t>
  </si>
  <si>
    <t>RQ-AN-00070</t>
  </si>
  <si>
    <t>AL-0008</t>
  </si>
  <si>
    <t>RQ-AN-00071</t>
  </si>
  <si>
    <t>RQ-AN-00072</t>
  </si>
  <si>
    <t>RQ-AN-00073</t>
  </si>
  <si>
    <t>RQ-AN-00074</t>
  </si>
  <si>
    <t>RQ-AN-00075</t>
  </si>
  <si>
    <t>RQ-AN-00076</t>
  </si>
  <si>
    <t>RQ-AN-00077</t>
  </si>
  <si>
    <t>RQ-AN-00078</t>
  </si>
  <si>
    <t>RQ-AN-00079</t>
  </si>
  <si>
    <t>RQ-AN-00080</t>
  </si>
  <si>
    <t>AL-0009</t>
  </si>
  <si>
    <t>RQ-AN-00081</t>
  </si>
  <si>
    <t>RQ-AN-00082</t>
  </si>
  <si>
    <t>RQ-AN-00083</t>
  </si>
  <si>
    <t>RQ-AN-00084</t>
  </si>
  <si>
    <t>RQ-AN-00085</t>
  </si>
  <si>
    <t>RQ-AN-00086</t>
  </si>
  <si>
    <t>RQ-AN-00087</t>
  </si>
  <si>
    <t>RQ-AN-00088</t>
  </si>
  <si>
    <t>RQ-AN-00089</t>
  </si>
  <si>
    <t>RQ-AN-00090</t>
  </si>
  <si>
    <t>AL-0010</t>
  </si>
  <si>
    <t>RQ-AN-00091</t>
  </si>
  <si>
    <t>RQ-AN-00092</t>
  </si>
  <si>
    <t>RQ-AN-00093</t>
  </si>
  <si>
    <t>RQ-AN-00094</t>
  </si>
  <si>
    <t>RQ-AN-00095</t>
  </si>
  <si>
    <t>RQ-AN-00096</t>
  </si>
  <si>
    <t>RQ-AN-00097</t>
  </si>
  <si>
    <t>RQ-AN-00098</t>
  </si>
  <si>
    <t>RQ-AN-00099</t>
  </si>
  <si>
    <t>RQ-AN-00100</t>
  </si>
  <si>
    <t>AL-0011</t>
  </si>
  <si>
    <t>RQ-AN-00101</t>
  </si>
  <si>
    <t>RQ-AN-00102</t>
  </si>
  <si>
    <t>RQ-AN-00103</t>
  </si>
  <si>
    <t>RQ-AN-00104</t>
  </si>
  <si>
    <t>RQ-AN-00105</t>
  </si>
  <si>
    <t>RQ-AN-00106</t>
  </si>
  <si>
    <t>RQ-AN-00107</t>
  </si>
  <si>
    <t>RQ-AN-00108</t>
  </si>
  <si>
    <t>RQ-AN-00109</t>
  </si>
  <si>
    <t>RQ-AN-00110</t>
  </si>
  <si>
    <t>AL-0012</t>
  </si>
  <si>
    <t>RQ-AN-00111</t>
  </si>
  <si>
    <t>RQ-AN-00112</t>
  </si>
  <si>
    <t>RQ-AN-00113</t>
  </si>
  <si>
    <t>RQ-AN-00114</t>
  </si>
  <si>
    <t>RQ-AN-00115</t>
  </si>
  <si>
    <t>RQ-AN-00116</t>
  </si>
  <si>
    <t>RQ-AN-00117</t>
  </si>
  <si>
    <t>RQ-AN-00118</t>
  </si>
  <si>
    <t>RQ-AN-00119</t>
  </si>
  <si>
    <t>RQ-AN-00120</t>
  </si>
  <si>
    <t>AL-0013</t>
  </si>
  <si>
    <t>RQ-AN-00121</t>
  </si>
  <si>
    <t>RQ-AN-00122</t>
  </si>
  <si>
    <t>RQ-AN-00123</t>
  </si>
  <si>
    <t>RQ-AN-00124</t>
  </si>
  <si>
    <t>RQ-AN-00125</t>
  </si>
  <si>
    <t>RQ-AN-00126</t>
  </si>
  <si>
    <t>RQ-AN-00127</t>
  </si>
  <si>
    <t>RQ-AN-00128</t>
  </si>
  <si>
    <t>RQ-AN-00129</t>
  </si>
  <si>
    <t>RQ-AN-00130</t>
  </si>
  <si>
    <t>AL-0014</t>
  </si>
  <si>
    <t>RQ-AN-00131</t>
  </si>
  <si>
    <t>RQ-AN-00132</t>
  </si>
  <si>
    <t>RQ-AN-00133</t>
  </si>
  <si>
    <t>RQ-AN-00134</t>
  </si>
  <si>
    <t>RQ-AN-00135</t>
  </si>
  <si>
    <t>RQ-AN-00136</t>
  </si>
  <si>
    <t>RQ-AN-00137</t>
  </si>
  <si>
    <t>RQ-AN-00138</t>
  </si>
  <si>
    <t>RQ-AN-00139</t>
  </si>
  <si>
    <t>RQ-AN-00140</t>
  </si>
  <si>
    <t>AL-0015</t>
  </si>
  <si>
    <t>RQ-AN-00141</t>
  </si>
  <si>
    <t>RQ-AN-00142</t>
  </si>
  <si>
    <t>RQ-AN-00143</t>
  </si>
  <si>
    <t>RQ-AN-00144</t>
  </si>
  <si>
    <t>RQ-AN-00145</t>
  </si>
  <si>
    <t>RQ-AN-00146</t>
  </si>
  <si>
    <t>RQ-AN-00147</t>
  </si>
  <si>
    <t>RQ-AN-00148</t>
  </si>
  <si>
    <t>RQ-AN-00149</t>
  </si>
  <si>
    <t>RQ-AN-00150</t>
  </si>
  <si>
    <t>AL-0016</t>
  </si>
  <si>
    <t>RQ-AN-00151</t>
  </si>
  <si>
    <t>RQ-AN-00152</t>
  </si>
  <si>
    <t>RQ-AN-00153</t>
  </si>
  <si>
    <t>RQ-AN-00154</t>
  </si>
  <si>
    <t>RQ-AN-00155</t>
  </si>
  <si>
    <t>RQ-AN-00156</t>
  </si>
  <si>
    <t>RQ-AN-00157</t>
  </si>
  <si>
    <t>RQ-AN-00158</t>
  </si>
  <si>
    <t>RQ-AN-00159</t>
  </si>
  <si>
    <t>RQ-AN-00160</t>
  </si>
  <si>
    <t>AL-0017</t>
  </si>
  <si>
    <t>RQ-AN-00161</t>
  </si>
  <si>
    <t>RQ-AN-00162</t>
  </si>
  <si>
    <t>RQ-AN-00163</t>
  </si>
  <si>
    <t>RQ-AN-00164</t>
  </si>
  <si>
    <t>RQ-AN-00165</t>
  </si>
  <si>
    <t>RQ-AN-00166</t>
  </si>
  <si>
    <t>RQ-AN-00167</t>
  </si>
  <si>
    <t>RQ-AN-00168</t>
  </si>
  <si>
    <t>RQ-AN-00169</t>
  </si>
  <si>
    <t>RQ-AN-00170</t>
  </si>
  <si>
    <t>AL-0018</t>
  </si>
  <si>
    <t>RQ-AN-00171</t>
  </si>
  <si>
    <t>RQ-AN-00172</t>
  </si>
  <si>
    <t>RQ-AN-00173</t>
  </si>
  <si>
    <t>RQ-AN-00174</t>
  </si>
  <si>
    <t>RQ-AN-00175</t>
  </si>
  <si>
    <t>RQ-AN-00176</t>
  </si>
  <si>
    <t>RQ-AN-00177</t>
  </si>
  <si>
    <t>RQ-AN-00178</t>
  </si>
  <si>
    <t>RQ-AN-00179</t>
  </si>
  <si>
    <t>RQ-AN-00180</t>
  </si>
  <si>
    <t>AL-0019</t>
  </si>
  <si>
    <t>RQ-AN-00181</t>
  </si>
  <si>
    <t>RQ-AN-00182</t>
  </si>
  <si>
    <t>RQ-AN-00183</t>
  </si>
  <si>
    <t>RQ-AN-00184</t>
  </si>
  <si>
    <t>RQ-AN-00185</t>
  </si>
  <si>
    <t>RQ-AN-00186</t>
  </si>
  <si>
    <t>RQ-AN-00187</t>
  </si>
  <si>
    <t>RQ-AN-00188</t>
  </si>
  <si>
    <t>RQ-AN-00189</t>
  </si>
  <si>
    <t>RQ-AN-00190</t>
  </si>
  <si>
    <t>AL-0020</t>
  </si>
  <si>
    <t>RQ-AN-00191</t>
  </si>
  <si>
    <t>RQ-AN-00192</t>
  </si>
  <si>
    <t>RQ-AN-00193</t>
  </si>
  <si>
    <t>RQ-AN-00194</t>
  </si>
  <si>
    <t>RQ-AN-00195</t>
  </si>
  <si>
    <t>RQ-AN-00196</t>
  </si>
  <si>
    <t>画像リンク名</t>
  </si>
  <si>
    <t>設備コード</t>
  </si>
  <si>
    <t>点順</t>
  </si>
  <si>
    <t>測温点コード</t>
  </si>
  <si>
    <t>名称</t>
  </si>
  <si>
    <t>入口からの距離[m]</t>
  </si>
  <si>
    <t>出口までの残距離[m]</t>
  </si>
  <si>
    <t>実機温度計</t>
  </si>
  <si>
    <t>利用温度</t>
  </si>
  <si>
    <t>AN-LINE-1</t>
  </si>
  <si>
    <t>P01</t>
  </si>
  <si>
    <t>◯</t>
  </si>
  <si>
    <t>P02</t>
  </si>
  <si>
    <t>予熱帯</t>
  </si>
  <si>
    <t>P03</t>
  </si>
  <si>
    <t>直下帯</t>
  </si>
  <si>
    <t>P04</t>
  </si>
  <si>
    <t>加熱帯</t>
  </si>
  <si>
    <t>P05</t>
  </si>
  <si>
    <t>均熱帯</t>
  </si>
  <si>
    <t>P06</t>
  </si>
  <si>
    <t>徐冷帯</t>
  </si>
  <si>
    <t>P07</t>
  </si>
  <si>
    <t>徐冷帯（温度計）</t>
  </si>
  <si>
    <t>P08</t>
  </si>
  <si>
    <t>1急冷帯入側</t>
  </si>
  <si>
    <t>P09</t>
  </si>
  <si>
    <t>P10</t>
  </si>
  <si>
    <t>2急冷帯</t>
  </si>
  <si>
    <t>P11</t>
  </si>
  <si>
    <t>保持帯(温度計)</t>
  </si>
  <si>
    <t>P12</t>
  </si>
  <si>
    <t>3急冷入側</t>
  </si>
  <si>
    <t>P13</t>
  </si>
  <si>
    <t>3急冷帯</t>
  </si>
  <si>
    <t>P14</t>
  </si>
  <si>
    <t>ダミー</t>
  </si>
  <si>
    <t>P15</t>
  </si>
  <si>
    <t>1再加熱帯</t>
  </si>
  <si>
    <t>P16</t>
  </si>
  <si>
    <t>過時効帯</t>
  </si>
  <si>
    <t>P17</t>
  </si>
  <si>
    <t>P18</t>
  </si>
  <si>
    <t>P19</t>
  </si>
  <si>
    <t>2再加熱帯</t>
  </si>
  <si>
    <t>P20</t>
  </si>
  <si>
    <t>最終冷却帯</t>
  </si>
  <si>
    <t>P21</t>
  </si>
  <si>
    <t>めっき浴</t>
  </si>
  <si>
    <t>P22</t>
  </si>
  <si>
    <t>合金化炉</t>
  </si>
  <si>
    <t>P23</t>
  </si>
  <si>
    <t>合金化保持帯</t>
  </si>
  <si>
    <t>P24</t>
  </si>
  <si>
    <t>P25</t>
  </si>
  <si>
    <t>P26</t>
  </si>
  <si>
    <t>P27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</si>
</sst>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0.00000"/>
    <numFmt numFmtId="178" formatCode="0.000"/>
    <numFmt numFmtId="179" formatCode="0.0"/>
  </numFmts>
  <fonts count="16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b/>
      <sz val="11"/>
      <color rgb="FFFFFFFF"/>
      <name val="Carlito"/>
    </font>
    <font>
      <b/>
      <sz val="11"/>
      <color rgb="FFFFFFFF"/>
      <name val="ＭＳ Ｐゴシック"/>
      <family val="3"/>
      <charset val="128"/>
    </font>
    <font>
      <sz val="11"/>
      <color theme="1"/>
      <name val="Carlito"/>
    </font>
    <font>
      <b/>
      <sz val="11"/>
      <color rgb="FFFFFFFF"/>
      <name val="Carlito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rgb="FFFFFFFF"/>
      <name val="Carlito"/>
    </font>
    <font>
      <sz val="11"/>
      <color theme="1"/>
      <name val="Carlito"/>
    </font>
    <font>
      <sz val="11"/>
      <color rgb="FF1F2937"/>
      <name val="Carlito"/>
    </font>
    <font>
      <b/>
      <sz val="11"/>
      <color rgb="FFFFFFFF"/>
      <name val="ＭＳ Ｐゴシック"/>
      <family val="3"/>
    </font>
    <font>
      <b/>
      <sz val="11"/>
      <color rgb="FFFFFFFF"/>
      <name val="Carlito"/>
      <family val="3"/>
    </font>
  </fonts>
  <fills count="20">
    <fill>
      <patternFill patternType="none"/>
    </fill>
    <fill>
      <patternFill patternType="gray125"/>
    </fill>
    <fill>
      <patternFill patternType="solid">
        <fgColor rgb="FF244B5A"/>
      </patternFill>
    </fill>
    <fill>
      <patternFill patternType="solid">
        <fgColor rgb="FF244B5A"/>
      </patternFill>
    </fill>
    <fill>
      <patternFill patternType="solid">
        <fgColor rgb="FF0F5B78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D9D9D9"/>
      </patternFill>
    </fill>
    <fill>
      <patternFill patternType="solid">
        <fgColor rgb="FFFCE5CD"/>
      </patternFill>
    </fill>
    <fill>
      <patternFill patternType="solid">
        <fgColor rgb="FFF4CCCC"/>
      </patternFill>
    </fill>
    <fill>
      <patternFill patternType="solid">
        <fgColor rgb="FFEAD1DC"/>
      </patternFill>
    </fill>
    <fill>
      <patternFill patternType="solid">
        <fgColor rgb="FFCFE2F3"/>
      </patternFill>
    </fill>
    <fill>
      <patternFill patternType="solid">
        <fgColor rgb="FFF9CB9C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FE599"/>
      </patternFill>
    </fill>
    <fill>
      <patternFill patternType="solid">
        <fgColor rgb="FFD0E0E3"/>
      </patternFill>
    </fill>
    <fill>
      <patternFill patternType="solid">
        <fgColor rgb="FFC9DAF8"/>
      </patternFill>
    </fill>
    <fill>
      <patternFill patternType="solid">
        <fgColor rgb="FFE6E6E6"/>
      </patternFill>
    </fill>
    <fill>
      <patternFill patternType="solid">
        <fgColor rgb="FF214F60"/>
      </patternFill>
    </fill>
    <fill>
      <patternFill patternType="solid">
        <fgColor rgb="FFCDEAF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2" fillId="0" borderId="1"/>
  </cellStyleXfs>
  <cellXfs count="84">
    <xf numFmtId="0" fontId="0" fillId="0" borderId="0" xfId="0" applyBorder="1"/>
    <xf numFmtId="0" fontId="0" fillId="0" borderId="1" xfId="1" applyFont="1"/>
    <xf numFmtId="0" fontId="1" fillId="2" borderId="0" xfId="1" applyFont="1" applyFill="1" applyBorder="1" applyAlignment="1">
      <alignment horizontal="center" vertical="center" wrapText="1"/>
    </xf>
    <xf numFmtId="49" fontId="0" fillId="0" borderId="0" xfId="1" applyNumberFormat="1" applyFont="1" applyBorder="1"/>
    <xf numFmtId="49" fontId="0" fillId="0" borderId="1" xfId="1" applyNumberFormat="1" applyFont="1"/>
    <xf numFmtId="176" fontId="0" fillId="0" borderId="0" xfId="1" applyNumberFormat="1" applyFont="1" applyBorder="1"/>
    <xf numFmtId="176" fontId="0" fillId="0" borderId="1" xfId="1" applyNumberFormat="1" applyFont="1"/>
    <xf numFmtId="177" fontId="0" fillId="0" borderId="1" xfId="1" applyNumberFormat="1" applyFont="1"/>
    <xf numFmtId="178" fontId="0" fillId="0" borderId="0" xfId="1" applyNumberFormat="1" applyFont="1" applyBorder="1"/>
    <xf numFmtId="178" fontId="0" fillId="0" borderId="1" xfId="1" applyNumberFormat="1" applyFont="1"/>
    <xf numFmtId="0" fontId="1" fillId="3" borderId="0" xfId="1" applyFont="1" applyFill="1" applyBorder="1" applyAlignment="1">
      <alignment horizontal="center" wrapText="1"/>
    </xf>
    <xf numFmtId="0" fontId="1" fillId="3" borderId="1" xfId="1" applyFont="1" applyFill="1" applyAlignment="1">
      <alignment horizontal="center" vertical="center" wrapText="1"/>
    </xf>
    <xf numFmtId="0" fontId="5" fillId="2" borderId="0" xfId="1" applyFont="1" applyFill="1" applyBorder="1" applyAlignment="1">
      <alignment horizontal="center" vertical="center" wrapText="1"/>
    </xf>
    <xf numFmtId="0" fontId="5" fillId="3" borderId="1" xfId="1" applyFont="1" applyFill="1" applyAlignment="1">
      <alignment horizontal="center" vertical="center" wrapText="1"/>
    </xf>
    <xf numFmtId="0" fontId="4" fillId="3" borderId="0" xfId="1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0" fillId="0" borderId="1" xfId="0"/>
    <xf numFmtId="0" fontId="8" fillId="3" borderId="1" xfId="1" applyFont="1" applyFill="1" applyAlignment="1">
      <alignment horizontal="center" vertical="center" wrapText="1"/>
    </xf>
    <xf numFmtId="0" fontId="8" fillId="2" borderId="0" xfId="1" applyFont="1" applyFill="1" applyBorder="1" applyAlignment="1">
      <alignment horizontal="center" vertical="center" wrapText="1"/>
    </xf>
    <xf numFmtId="0" fontId="4" fillId="2" borderId="1" xfId="1" applyFont="1" applyFill="1" applyAlignment="1">
      <alignment horizontal="center" vertical="center" wrapText="1"/>
    </xf>
    <xf numFmtId="0" fontId="4" fillId="2" borderId="0" xfId="1" applyFont="1" applyFill="1" applyBorder="1" applyAlignment="1">
      <alignment horizontal="center" vertical="center" wrapText="1"/>
    </xf>
    <xf numFmtId="0" fontId="4" fillId="3" borderId="1" xfId="1" applyFont="1" applyFill="1" applyAlignment="1">
      <alignment horizontal="center" vertical="center" wrapText="1"/>
    </xf>
    <xf numFmtId="178" fontId="10" fillId="0" borderId="1" xfId="1" applyNumberFormat="1" applyFont="1"/>
    <xf numFmtId="0" fontId="8" fillId="2" borderId="1" xfId="1" applyFont="1" applyFill="1" applyAlignment="1">
      <alignment horizontal="center" vertical="center" wrapText="1"/>
    </xf>
    <xf numFmtId="0" fontId="6" fillId="3" borderId="0" xfId="1" applyFont="1" applyFill="1" applyBorder="1" applyAlignment="1">
      <alignment horizontal="center" vertical="center" wrapText="1"/>
    </xf>
    <xf numFmtId="0" fontId="2" fillId="0" borderId="0" xfId="0" applyFont="1" applyBorder="1"/>
    <xf numFmtId="0" fontId="11" fillId="3" borderId="0" xfId="1" applyFont="1" applyFill="1" applyBorder="1" applyAlignment="1">
      <alignment horizontal="center" vertical="center" wrapText="1"/>
    </xf>
    <xf numFmtId="0" fontId="6" fillId="3" borderId="1" xfId="1" applyFont="1" applyFill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179" fontId="7" fillId="5" borderId="3" xfId="0" applyNumberFormat="1" applyFont="1" applyFill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7" borderId="3" xfId="0" applyFont="1" applyFill="1" applyBorder="1" applyAlignment="1">
      <alignment wrapText="1"/>
    </xf>
    <xf numFmtId="179" fontId="7" fillId="0" borderId="3" xfId="0" applyNumberFormat="1" applyFont="1" applyBorder="1" applyAlignment="1">
      <alignment wrapText="1"/>
    </xf>
    <xf numFmtId="0" fontId="7" fillId="8" borderId="3" xfId="0" applyFont="1" applyFill="1" applyBorder="1" applyAlignment="1">
      <alignment wrapText="1"/>
    </xf>
    <xf numFmtId="0" fontId="7" fillId="9" borderId="3" xfId="0" applyFont="1" applyFill="1" applyBorder="1" applyAlignment="1">
      <alignment wrapText="1"/>
    </xf>
    <xf numFmtId="0" fontId="7" fillId="10" borderId="3" xfId="0" applyFont="1" applyFill="1" applyBorder="1" applyAlignment="1">
      <alignment wrapText="1"/>
    </xf>
    <xf numFmtId="0" fontId="7" fillId="11" borderId="3" xfId="0" applyFont="1" applyFill="1" applyBorder="1" applyAlignment="1">
      <alignment wrapText="1"/>
    </xf>
    <xf numFmtId="0" fontId="7" fillId="13" borderId="3" xfId="0" applyFont="1" applyFill="1" applyBorder="1" applyAlignment="1">
      <alignment wrapText="1"/>
    </xf>
    <xf numFmtId="0" fontId="7" fillId="14" borderId="3" xfId="0" applyFont="1" applyFill="1" applyBorder="1" applyAlignment="1">
      <alignment wrapText="1"/>
    </xf>
    <xf numFmtId="0" fontId="7" fillId="15" borderId="3" xfId="0" applyFont="1" applyFill="1" applyBorder="1" applyAlignment="1">
      <alignment wrapText="1"/>
    </xf>
    <xf numFmtId="0" fontId="7" fillId="16" borderId="3" xfId="0" applyFont="1" applyFill="1" applyBorder="1" applyAlignment="1">
      <alignment wrapText="1"/>
    </xf>
    <xf numFmtId="0" fontId="7" fillId="17" borderId="3" xfId="0" applyFont="1" applyFill="1" applyBorder="1" applyAlignment="1">
      <alignment wrapText="1"/>
    </xf>
    <xf numFmtId="0" fontId="4" fillId="4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wrapText="1"/>
    </xf>
    <xf numFmtId="0" fontId="9" fillId="6" borderId="3" xfId="0" applyFont="1" applyFill="1" applyBorder="1" applyAlignment="1">
      <alignment wrapText="1"/>
    </xf>
    <xf numFmtId="0" fontId="9" fillId="7" borderId="3" xfId="0" applyFont="1" applyFill="1" applyBorder="1" applyAlignment="1">
      <alignment wrapText="1"/>
    </xf>
    <xf numFmtId="0" fontId="9" fillId="8" borderId="3" xfId="0" applyFont="1" applyFill="1" applyBorder="1" applyAlignment="1">
      <alignment wrapText="1"/>
    </xf>
    <xf numFmtId="0" fontId="9" fillId="9" borderId="3" xfId="0" applyFont="1" applyFill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12" borderId="3" xfId="0" applyFont="1" applyFill="1" applyBorder="1" applyAlignment="1">
      <alignment wrapText="1"/>
    </xf>
    <xf numFmtId="0" fontId="10" fillId="0" borderId="0" xfId="0" applyFont="1" applyBorder="1"/>
    <xf numFmtId="0" fontId="12" fillId="10" borderId="3" xfId="0" applyFont="1" applyFill="1" applyBorder="1" applyAlignment="1">
      <alignment wrapText="1"/>
    </xf>
    <xf numFmtId="0" fontId="9" fillId="14" borderId="3" xfId="0" applyFont="1" applyFill="1" applyBorder="1" applyAlignment="1">
      <alignment wrapText="1"/>
    </xf>
    <xf numFmtId="0" fontId="9" fillId="17" borderId="3" xfId="0" applyFont="1" applyFill="1" applyBorder="1" applyAlignment="1">
      <alignment wrapText="1"/>
    </xf>
    <xf numFmtId="49" fontId="13" fillId="0" borderId="0" xfId="0" applyNumberFormat="1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1" fontId="13" fillId="0" borderId="0" xfId="0" applyNumberFormat="1" applyFont="1" applyBorder="1" applyAlignment="1">
      <alignment vertical="center"/>
    </xf>
    <xf numFmtId="1" fontId="13" fillId="0" borderId="4" xfId="0" applyNumberFormat="1" applyFont="1" applyBorder="1" applyAlignment="1">
      <alignment vertical="center"/>
    </xf>
    <xf numFmtId="178" fontId="13" fillId="0" borderId="0" xfId="0" applyNumberFormat="1" applyFont="1" applyBorder="1" applyAlignment="1">
      <alignment vertical="center"/>
    </xf>
    <xf numFmtId="178" fontId="13" fillId="0" borderId="4" xfId="0" applyNumberFormat="1" applyFont="1" applyBorder="1" applyAlignment="1">
      <alignment vertical="center"/>
    </xf>
    <xf numFmtId="179" fontId="13" fillId="0" borderId="0" xfId="0" applyNumberFormat="1" applyFont="1" applyBorder="1" applyAlignment="1">
      <alignment vertical="center"/>
    </xf>
    <xf numFmtId="179" fontId="13" fillId="0" borderId="4" xfId="0" applyNumberFormat="1" applyFont="1" applyBorder="1" applyAlignment="1">
      <alignment vertical="center"/>
    </xf>
    <xf numFmtId="0" fontId="1" fillId="18" borderId="5" xfId="0" applyFont="1" applyFill="1" applyBorder="1" applyAlignment="1">
      <alignment horizontal="center" vertical="center" wrapText="1"/>
    </xf>
    <xf numFmtId="49" fontId="0" fillId="0" borderId="0" xfId="0" applyNumberFormat="1" applyBorder="1" applyAlignment="1">
      <alignment vertical="center"/>
    </xf>
    <xf numFmtId="178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 applyAlignment="1">
      <alignment vertical="center"/>
    </xf>
    <xf numFmtId="49" fontId="0" fillId="0" borderId="5" xfId="0" applyNumberFormat="1" applyBorder="1" applyAlignment="1">
      <alignment vertical="center"/>
    </xf>
    <xf numFmtId="178" fontId="0" fillId="0" borderId="5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5" xfId="0" applyNumberFormat="1" applyBorder="1" applyAlignment="1">
      <alignment vertical="center"/>
    </xf>
    <xf numFmtId="49" fontId="0" fillId="19" borderId="0" xfId="0" applyNumberFormat="1" applyFill="1" applyBorder="1" applyAlignment="1">
      <alignment vertical="center"/>
    </xf>
    <xf numFmtId="178" fontId="0" fillId="19" borderId="0" xfId="0" applyNumberFormat="1" applyFill="1" applyBorder="1" applyAlignment="1">
      <alignment vertical="center"/>
    </xf>
    <xf numFmtId="0" fontId="0" fillId="19" borderId="0" xfId="0" applyFill="1" applyBorder="1" applyAlignment="1">
      <alignment vertical="center"/>
    </xf>
    <xf numFmtId="176" fontId="0" fillId="19" borderId="0" xfId="0" applyNumberFormat="1" applyFill="1" applyBorder="1" applyAlignment="1">
      <alignment vertical="center"/>
    </xf>
    <xf numFmtId="179" fontId="0" fillId="19" borderId="0" xfId="0" applyNumberFormat="1" applyFill="1" applyBorder="1" applyAlignment="1">
      <alignment vertical="center"/>
    </xf>
    <xf numFmtId="179" fontId="0" fillId="0" borderId="0" xfId="0" applyNumberFormat="1" applyBorder="1" applyAlignment="1">
      <alignment vertical="center"/>
    </xf>
    <xf numFmtId="179" fontId="0" fillId="0" borderId="5" xfId="0" applyNumberFormat="1" applyBorder="1" applyAlignment="1">
      <alignment vertical="center"/>
    </xf>
  </cellXfs>
  <cellStyles count="2">
    <cellStyle name="Normal" xfId="1" xr:uid="{00000000-0005-0000-0000-000000000000}"/>
    <cellStyle name="標準" xfId="0" builtinId="0"/>
  </cellStyles>
  <dxfs count="3">
    <dxf>
      <font>
        <color rgb="FF9B1C1C"/>
      </font>
      <fill>
        <patternFill>
          <bgColor rgb="FFFDE2E2"/>
        </patternFill>
      </fill>
    </dxf>
    <dxf>
      <fill>
        <patternFill>
          <bgColor rgb="FFFFF3CD"/>
        </patternFill>
      </fill>
    </dxf>
    <dxf>
      <font>
        <b/>
        <color rgb="FF9B1C1C"/>
      </font>
      <fill>
        <patternFill>
          <bgColor rgb="FFFD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DatasetTable3" displayName="DatasetTable3" ref="A1:G179">
  <tableColumns count="7">
    <tableColumn id="1" xr3:uid="{00000000-0010-0000-0000-000001000000}" name="冷延条件_key**"/>
    <tableColumn id="2" xr3:uid="{00000000-0010-0000-0000-000002000000}" name="入側板厚[mm]"/>
    <tableColumn id="3" xr3:uid="{00000000-0010-0000-0000-000003000000}" name="出側板厚[mm]"/>
    <tableColumn id="4" xr3:uid="{00000000-0010-0000-0000-000004000000}" name="冷延率[%]"/>
    <tableColumn id="10" xr3:uid="{00000000-0010-0000-0000-00000A000000}" name="プロジェクト名"/>
    <tableColumn id="11" xr3:uid="{00000000-0010-0000-0000-00000B000000}" name="登録者"/>
    <tableColumn id="12" xr3:uid="{00000000-0010-0000-0000-00000C000000}" name="登録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atasetTable1" displayName="DatasetTable1" ref="A1:T121">
  <tableColumns count="20">
    <tableColumn id="1" xr3:uid="{00000000-0010-0000-0100-000001000000}" name="溶製成績書_key**"/>
    <tableColumn id="2" xr3:uid="{00000000-0010-0000-0100-000002000000}" name="管理番号"/>
    <tableColumn id="4" xr3:uid="{00000000-0010-0000-0100-000004000000}" name="C[%]"/>
    <tableColumn id="5" xr3:uid="{00000000-0010-0000-0100-000005000000}" name="Si[%]"/>
    <tableColumn id="6" xr3:uid="{00000000-0010-0000-0100-000006000000}" name="Mn[%]"/>
    <tableColumn id="7" xr3:uid="{00000000-0010-0000-0100-000007000000}" name="P[%]"/>
    <tableColumn id="8" xr3:uid="{00000000-0010-0000-0100-000008000000}" name="S[%]"/>
    <tableColumn id="9" xr3:uid="{00000000-0010-0000-0100-000009000000}" name="Al[%]"/>
    <tableColumn id="10" xr3:uid="{00000000-0010-0000-0100-00000A000000}" name="Cu[%]"/>
    <tableColumn id="11" xr3:uid="{00000000-0010-0000-0100-00000B000000}" name="Ni[%]"/>
    <tableColumn id="12" xr3:uid="{00000000-0010-0000-0100-00000C000000}" name="Cr[%]"/>
    <tableColumn id="13" xr3:uid="{00000000-0010-0000-0100-00000D000000}" name="Mo[%]"/>
    <tableColumn id="14" xr3:uid="{00000000-0010-0000-0100-00000E000000}" name="Ti[%]"/>
    <tableColumn id="15" xr3:uid="{00000000-0010-0000-0100-00000F000000}" name="B[%]"/>
    <tableColumn id="16" xr3:uid="{00000000-0010-0000-0100-000010000000}" name="O[%]"/>
    <tableColumn id="17" xr3:uid="{00000000-0010-0000-0100-000011000000}" name="N[%]"/>
    <tableColumn id="19" xr3:uid="{00000000-0010-0000-0100-000013000000}" name="ロット"/>
    <tableColumn id="20" xr3:uid="{00000000-0010-0000-0100-000014000000}" name="プロジェクト名"/>
    <tableColumn id="21" xr3:uid="{00000000-0010-0000-0100-000015000000}" name="登録者"/>
    <tableColumn id="22" xr3:uid="{00000000-0010-0000-0100-000016000000}" name="登録日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atasetTable2" displayName="DatasetTable2" ref="A1:P227">
  <tableColumns count="16">
    <tableColumn id="1" xr3:uid="{00000000-0010-0000-0200-000001000000}" name="熱延_key**"/>
    <tableColumn id="2" xr3:uid="{00000000-0010-0000-0200-000002000000}" name="均熱温度[℃]"/>
    <tableColumn id="14" xr3:uid="{00000000-0010-0000-0200-00000E000000}" name="均熱時間[min]"/>
    <tableColumn id="3" xr3:uid="{00000000-0010-0000-0200-000003000000}" name="仕上げ温度[℃]"/>
    <tableColumn id="4" xr3:uid="{00000000-0010-0000-0200-000004000000}" name="入側板厚[mm]"/>
    <tableColumn id="5" xr3:uid="{00000000-0010-0000-0200-000005000000}" name="出側板厚[mm]"/>
    <tableColumn id="15" xr3:uid="{00000000-0010-0000-0200-00000F000000}" name="冷却速度[℃/s]"/>
    <tableColumn id="6" xr3:uid="{00000000-0010-0000-0200-000006000000}" name="保持温度[℃]"/>
    <tableColumn id="7" xr3:uid="{00000000-0010-0000-0200-000007000000}" name="保持時間[min]"/>
    <tableColumn id="16" xr3:uid="{00000000-0010-0000-0200-000010000000}" name="最終冷却"/>
    <tableColumn id="8" xr3:uid="{00000000-0010-0000-0200-000008000000}" name="設備"/>
    <tableColumn id="9" xr3:uid="{00000000-0010-0000-0200-000009000000}" name="試験依頼番号"/>
    <tableColumn id="10" xr3:uid="{00000000-0010-0000-0200-00000A000000}" name="ロット"/>
    <tableColumn id="11" xr3:uid="{00000000-0010-0000-0200-00000B000000}" name="プロジェクト名"/>
    <tableColumn id="12" xr3:uid="{00000000-0010-0000-0200-00000C000000}" name="登録者"/>
    <tableColumn id="13" xr3:uid="{00000000-0010-0000-0200-00000D000000}" name="登録日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DatasetTable6" displayName="DatasetTable6" ref="A1:I260">
  <tableColumns count="9">
    <tableColumn id="1" xr3:uid="{00000000-0010-0000-0300-000001000000}" name="熱延組織_key**"/>
    <tableColumn id="2" xr3:uid="{00000000-0010-0000-0300-000002000000}" name="画像リンク先"/>
    <tableColumn id="11" xr3:uid="{00000000-0010-0000-0300-00000B000000}" name="撮影方法"/>
    <tableColumn id="3" xr3:uid="{00000000-0010-0000-0300-000003000000}" name="倍率"/>
    <tableColumn id="4" xr3:uid="{00000000-0010-0000-0300-000004000000}" name="腐食"/>
    <tableColumn id="5" xr3:uid="{00000000-0010-0000-0300-000005000000}" name="観察部位"/>
    <tableColumn id="8" xr3:uid="{00000000-0010-0000-0300-000008000000}" name="撮影日"/>
    <tableColumn id="9" xr3:uid="{00000000-0010-0000-0300-000009000000}" name="撮影者"/>
    <tableColumn id="10" xr3:uid="{00000000-0010-0000-0300-00000A000000}" name="備考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tasetTable5" displayName="DatasetTable5" ref="A1:L389">
  <tableColumns count="12">
    <tableColumn id="1" xr3:uid="{00000000-0010-0000-0400-000001000000}" name="熱延引張実績_key**"/>
    <tableColumn id="2" xr3:uid="{00000000-0010-0000-0400-000002000000}" name="引張強さ[MPa]"/>
    <tableColumn id="3" xr3:uid="{00000000-0010-0000-0400-000003000000}" name="降伏点[MPa]"/>
    <tableColumn id="15" xr3:uid="{00000000-0010-0000-0400-00000F000000}" name="0.2%耐力[Mpa]"/>
    <tableColumn id="4" xr3:uid="{00000000-0010-0000-0400-000004000000}" name="一様伸び[%]"/>
    <tableColumn id="5" xr3:uid="{00000000-0010-0000-0400-000005000000}" name="均一伸び[%]"/>
    <tableColumn id="6" xr3:uid="{00000000-0010-0000-0400-000006000000}" name="試験片方向"/>
    <tableColumn id="7" xr3:uid="{00000000-0010-0000-0400-000007000000}" name="標点距離[mm]"/>
    <tableColumn id="8" xr3:uid="{00000000-0010-0000-0400-000008000000}" name="破断位置"/>
    <tableColumn id="12" xr3:uid="{00000000-0010-0000-0400-00000C000000}" name="試験日"/>
    <tableColumn id="13" xr3:uid="{00000000-0010-0000-0400-00000D000000}" name="試験者"/>
    <tableColumn id="14" xr3:uid="{00000000-0010-0000-0400-00000E000000}" name="備考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DatasetTable4" displayName="DatasetTable4" ref="A1:L197">
  <tableColumns count="12">
    <tableColumn id="1" xr3:uid="{00000000-0010-0000-0500-000001000000}" name="焼鈍条件-3CGL_key**"/>
    <tableColumn id="2" xr3:uid="{00000000-0010-0000-0500-000002000000}" name="LS[mpm]"/>
    <tableColumn id="5" xr3:uid="{00000000-0010-0000-0500-000005000000}" name="工程1_温度[℃]"/>
    <tableColumn id="7" xr3:uid="{00000000-0010-0000-0500-000007000000}" name="工程2_温度[℃]"/>
    <tableColumn id="9" xr3:uid="{00000000-0010-0000-0500-000009000000}" name="工程3_温度[℃]"/>
    <tableColumn id="11" xr3:uid="{00000000-0010-0000-0500-00000B000000}" name="工程4_温度[℃]"/>
    <tableColumn id="15" xr3:uid="{00000000-0010-0000-0500-00000F000000}" name="試験依頼番号"/>
    <tableColumn id="16" xr3:uid="{00000000-0010-0000-0500-000010000000}" name="ロット"/>
    <tableColumn id="17" xr3:uid="{00000000-0010-0000-0500-000011000000}" name="プロジェクト名"/>
    <tableColumn id="18" xr3:uid="{00000000-0010-0000-0500-000012000000}" name="登録者"/>
    <tableColumn id="19" xr3:uid="{00000000-0010-0000-0500-000013000000}" name="登録日"/>
    <tableColumn id="21" xr3:uid="{00000000-0010-0000-0500-000015000000}" name="備考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DatasetTable8" displayName="DatasetTable8" ref="A1:F533">
  <tableColumns count="6">
    <tableColumn id="1" xr3:uid="{00000000-0010-0000-0600-000001000000}" name="焼鈍穴拡げ実績_key**"/>
    <tableColumn id="2" xr3:uid="{00000000-0010-0000-0600-000002000000}" name="穴拡げ率[%]"/>
    <tableColumn id="3" xr3:uid="{00000000-0010-0000-0600-000003000000}" name="打ち抜き径[mm]"/>
    <tableColumn id="4" xr3:uid="{00000000-0010-0000-0600-000004000000}" name="ダイス径[mm]"/>
    <tableColumn id="10" xr3:uid="{00000000-0010-0000-0600-00000A000000}" name="試験日"/>
    <tableColumn id="11" xr3:uid="{00000000-0010-0000-0600-00000B000000}" name="試験者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DatasetTable7" displayName="DatasetTable7" ref="A1:K293">
  <tableColumns count="11">
    <tableColumn id="1" xr3:uid="{00000000-0010-0000-0700-000001000000}" name="焼鈍引張実績_key**"/>
    <tableColumn id="2" xr3:uid="{00000000-0010-0000-0700-000002000000}" name="引張強さ[MPa]"/>
    <tableColumn id="3" xr3:uid="{00000000-0010-0000-0700-000003000000}" name="降伏点[MPa]"/>
    <tableColumn id="11" xr3:uid="{00000000-0010-0000-0700-00000B000000}" name="0.2耐力点[MPa]"/>
    <tableColumn id="4" xr3:uid="{00000000-0010-0000-0700-000004000000}" name="伸び_突き合わせ[%]"/>
    <tableColumn id="5" xr3:uid="{00000000-0010-0000-0700-000005000000}" name="一様伸び[%]"/>
    <tableColumn id="7" xr3:uid="{00000000-0010-0000-0700-000007000000}" name="n値[-]"/>
    <tableColumn id="10" xr3:uid="{00000000-0010-0000-0700-00000A000000}" name="破断位置"/>
    <tableColumn id="14" xr3:uid="{00000000-0010-0000-0700-00000E000000}" name="試験日"/>
    <tableColumn id="15" xr3:uid="{00000000-0010-0000-0700-00000F000000}" name="試験者"/>
    <tableColumn id="16" xr3:uid="{00000000-0010-0000-0700-000010000000}" name="備考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atasetTable9" displayName="DatasetTable9" ref="A1:J220">
  <tableColumns count="10">
    <tableColumn id="1" xr3:uid="{00000000-0010-0000-0800-000001000000}" name="焼鈍板組織_key**"/>
    <tableColumn id="2" xr3:uid="{00000000-0010-0000-0800-000002000000}" name="画像リンク名"/>
    <tableColumn id="3" xr3:uid="{00000000-0010-0000-0800-000003000000}" name="倍率"/>
    <tableColumn id="4" xr3:uid="{00000000-0010-0000-0800-000004000000}" name="腐食"/>
    <tableColumn id="5" xr3:uid="{00000000-0010-0000-0800-000005000000}" name="観察位置"/>
    <tableColumn id="6" xr3:uid="{00000000-0010-0000-0800-000006000000}" name="断面方向"/>
    <tableColumn id="7" xr3:uid="{00000000-0010-0000-0800-000007000000}" name="画像状態"/>
    <tableColumn id="8" xr3:uid="{00000000-0010-0000-0800-000008000000}" name="撮影日"/>
    <tableColumn id="9" xr3:uid="{00000000-0010-0000-0800-000009000000}" name="撮影者"/>
    <tableColumn id="10" xr3:uid="{00000000-0010-0000-0800-00000A000000}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9"/>
  <sheetViews>
    <sheetView workbookViewId="0"/>
  </sheetViews>
  <sheetFormatPr defaultRowHeight="14.25"/>
  <cols>
    <col min="1" max="1" width="23" customWidth="1"/>
    <col min="2" max="4" width="13" customWidth="1"/>
    <col min="5" max="5" width="18" customWidth="1"/>
    <col min="6" max="6" width="13" customWidth="1"/>
    <col min="7" max="7" width="14" customWidth="1"/>
  </cols>
  <sheetData>
    <row r="1" spans="1:7" ht="32.1" customHeight="1">
      <c r="A1" s="12" t="s">
        <v>0</v>
      </c>
      <c r="B1" s="2" t="s">
        <v>1</v>
      </c>
      <c r="C1" s="2" t="s">
        <v>2</v>
      </c>
      <c r="D1" s="18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8">
        <v>3.355</v>
      </c>
      <c r="C2" s="8">
        <v>1.2010000000000001</v>
      </c>
      <c r="D2" s="8">
        <v>35.7973174366617</v>
      </c>
      <c r="E2" t="s">
        <v>8</v>
      </c>
      <c r="F2" t="s">
        <v>9</v>
      </c>
      <c r="G2" s="5">
        <v>45542</v>
      </c>
    </row>
    <row r="3" spans="1:7">
      <c r="A3" s="3" t="s">
        <v>10</v>
      </c>
      <c r="B3" s="8">
        <v>3.4689999999999999</v>
      </c>
      <c r="C3" s="8">
        <v>1.343</v>
      </c>
      <c r="D3" s="8">
        <v>38.714326895358894</v>
      </c>
      <c r="E3" t="s">
        <v>11</v>
      </c>
      <c r="F3" t="s">
        <v>12</v>
      </c>
      <c r="G3" s="5">
        <v>45545</v>
      </c>
    </row>
    <row r="4" spans="1:7">
      <c r="A4" s="3" t="s">
        <v>13</v>
      </c>
      <c r="B4" s="8">
        <v>3.8839999999999999</v>
      </c>
      <c r="C4" s="8">
        <v>1.4650000000000001</v>
      </c>
      <c r="D4" s="8">
        <v>37.718846549948509</v>
      </c>
      <c r="E4" t="s">
        <v>14</v>
      </c>
      <c r="F4" t="s">
        <v>9</v>
      </c>
      <c r="G4" s="5">
        <v>45548</v>
      </c>
    </row>
    <row r="5" spans="1:7">
      <c r="A5" s="3" t="s">
        <v>15</v>
      </c>
      <c r="B5" s="8">
        <v>3.4260000000000002</v>
      </c>
      <c r="C5" s="8">
        <v>1.2509999999999999</v>
      </c>
      <c r="D5" s="8">
        <v>36.514886164623462</v>
      </c>
      <c r="E5" t="s">
        <v>16</v>
      </c>
      <c r="F5" t="s">
        <v>12</v>
      </c>
      <c r="G5" s="5">
        <v>45551</v>
      </c>
    </row>
    <row r="6" spans="1:7">
      <c r="A6" s="3" t="s">
        <v>17</v>
      </c>
      <c r="B6" s="8">
        <v>3.2109999999999999</v>
      </c>
      <c r="C6" s="8">
        <v>1.248</v>
      </c>
      <c r="D6" s="8">
        <v>38.866396761133601</v>
      </c>
      <c r="E6" t="s">
        <v>14</v>
      </c>
      <c r="F6" t="s">
        <v>9</v>
      </c>
      <c r="G6" s="5">
        <v>45560</v>
      </c>
    </row>
    <row r="7" spans="1:7">
      <c r="A7" s="3" t="s">
        <v>18</v>
      </c>
      <c r="B7" s="8">
        <v>3.343</v>
      </c>
      <c r="C7" s="8">
        <v>1.34</v>
      </c>
      <c r="D7" s="8">
        <v>40.08375710439725</v>
      </c>
      <c r="E7" t="s">
        <v>16</v>
      </c>
      <c r="F7" t="s">
        <v>12</v>
      </c>
      <c r="G7" s="5">
        <v>45563</v>
      </c>
    </row>
    <row r="8" spans="1:7">
      <c r="A8" s="3" t="s">
        <v>19</v>
      </c>
      <c r="B8" s="8">
        <v>3.6680000000000001</v>
      </c>
      <c r="C8" s="8">
        <v>1.4019999999999999</v>
      </c>
      <c r="D8" s="8">
        <v>38.222464558342416</v>
      </c>
      <c r="E8" t="s">
        <v>14</v>
      </c>
      <c r="F8" t="s">
        <v>9</v>
      </c>
      <c r="G8" s="5">
        <v>45572</v>
      </c>
    </row>
    <row r="9" spans="1:7">
      <c r="A9" s="3" t="s">
        <v>20</v>
      </c>
      <c r="B9" s="8">
        <v>3.6680000000000001</v>
      </c>
      <c r="C9" s="8">
        <v>1.6739999999999999</v>
      </c>
      <c r="D9" s="8">
        <v>45.637949836423111</v>
      </c>
      <c r="E9" t="s">
        <v>14</v>
      </c>
      <c r="F9" t="s">
        <v>9</v>
      </c>
      <c r="G9" s="5">
        <v>45572</v>
      </c>
    </row>
    <row r="10" spans="1:7">
      <c r="A10" s="3" t="s">
        <v>21</v>
      </c>
      <c r="B10" s="8">
        <v>3.1960000000000002</v>
      </c>
      <c r="C10" s="8">
        <v>1.1559999999999999</v>
      </c>
      <c r="D10" s="8">
        <v>36.170212765957444</v>
      </c>
      <c r="E10" t="s">
        <v>8</v>
      </c>
      <c r="F10" t="s">
        <v>9</v>
      </c>
      <c r="G10" s="5">
        <v>45578</v>
      </c>
    </row>
    <row r="11" spans="1:7">
      <c r="A11" s="3" t="s">
        <v>22</v>
      </c>
      <c r="B11" s="8">
        <v>3.887</v>
      </c>
      <c r="C11" s="8">
        <v>1.587</v>
      </c>
      <c r="D11" s="8">
        <v>40.828402366863905</v>
      </c>
      <c r="E11" t="s">
        <v>11</v>
      </c>
      <c r="F11" t="s">
        <v>12</v>
      </c>
      <c r="G11" s="5">
        <v>45581</v>
      </c>
    </row>
    <row r="12" spans="1:7">
      <c r="A12" s="3" t="s">
        <v>23</v>
      </c>
      <c r="B12" s="8">
        <v>3.552</v>
      </c>
      <c r="C12" s="8">
        <v>1.464</v>
      </c>
      <c r="D12" s="8">
        <v>41.216216216216218</v>
      </c>
      <c r="E12" t="s">
        <v>14</v>
      </c>
      <c r="F12" t="s">
        <v>9</v>
      </c>
      <c r="G12" s="5">
        <v>45584</v>
      </c>
    </row>
    <row r="13" spans="1:7">
      <c r="A13" s="3" t="s">
        <v>24</v>
      </c>
      <c r="B13" s="8">
        <v>3.83</v>
      </c>
      <c r="C13" s="8">
        <v>1.466</v>
      </c>
      <c r="D13" s="8">
        <v>38.276762402088771</v>
      </c>
      <c r="E13" t="s">
        <v>11</v>
      </c>
      <c r="F13" t="s">
        <v>12</v>
      </c>
      <c r="G13" s="5">
        <v>45593</v>
      </c>
    </row>
    <row r="14" spans="1:7">
      <c r="A14" s="3" t="s">
        <v>25</v>
      </c>
      <c r="B14" s="8">
        <v>3.7869999999999999</v>
      </c>
      <c r="C14" s="8">
        <v>1.425</v>
      </c>
      <c r="D14" s="8">
        <v>37.628729865328758</v>
      </c>
      <c r="E14" t="s">
        <v>14</v>
      </c>
      <c r="F14" t="s">
        <v>9</v>
      </c>
      <c r="G14" s="5">
        <v>45596</v>
      </c>
    </row>
    <row r="15" spans="1:7">
      <c r="A15" s="3" t="s">
        <v>26</v>
      </c>
      <c r="B15" s="8">
        <v>3.1850000000000001</v>
      </c>
      <c r="C15" s="8">
        <v>1.1930000000000001</v>
      </c>
      <c r="D15" s="8">
        <v>37.45682888540032</v>
      </c>
      <c r="E15" t="s">
        <v>16</v>
      </c>
      <c r="F15" t="s">
        <v>12</v>
      </c>
      <c r="G15" s="5">
        <v>45599</v>
      </c>
    </row>
    <row r="16" spans="1:7">
      <c r="A16" s="3" t="s">
        <v>27</v>
      </c>
      <c r="B16" s="8">
        <v>3.1850000000000001</v>
      </c>
      <c r="C16" s="8">
        <v>1.5620000000000001</v>
      </c>
      <c r="D16" s="8">
        <v>49.04238618524333</v>
      </c>
      <c r="E16" t="s">
        <v>16</v>
      </c>
      <c r="F16" t="s">
        <v>12</v>
      </c>
      <c r="G16" s="5">
        <v>45599</v>
      </c>
    </row>
    <row r="17" spans="1:7">
      <c r="A17" s="3" t="s">
        <v>28</v>
      </c>
      <c r="B17" s="8">
        <v>3.4809999999999999</v>
      </c>
      <c r="C17" s="8">
        <v>1.3620000000000001</v>
      </c>
      <c r="D17" s="8">
        <v>39.126687733409945</v>
      </c>
      <c r="E17" t="s">
        <v>8</v>
      </c>
      <c r="F17" t="s">
        <v>9</v>
      </c>
      <c r="G17" s="5">
        <v>45602</v>
      </c>
    </row>
    <row r="18" spans="1:7">
      <c r="A18" s="3" t="s">
        <v>29</v>
      </c>
      <c r="B18" s="8">
        <v>3.4220000000000002</v>
      </c>
      <c r="C18" s="8">
        <v>1.3069999999999999</v>
      </c>
      <c r="D18" s="8">
        <v>38.194038573933369</v>
      </c>
      <c r="E18" t="s">
        <v>14</v>
      </c>
      <c r="F18" t="s">
        <v>9</v>
      </c>
      <c r="G18" s="5">
        <v>45608</v>
      </c>
    </row>
    <row r="19" spans="1:7">
      <c r="A19" s="3" t="s">
        <v>30</v>
      </c>
      <c r="B19" s="8">
        <v>3.738</v>
      </c>
      <c r="C19" s="8">
        <v>1.423</v>
      </c>
      <c r="D19" s="8">
        <v>38.068485821294814</v>
      </c>
      <c r="E19" t="s">
        <v>16</v>
      </c>
      <c r="F19" t="s">
        <v>12</v>
      </c>
      <c r="G19" s="5">
        <v>45611</v>
      </c>
    </row>
    <row r="20" spans="1:7">
      <c r="A20" s="3" t="s">
        <v>31</v>
      </c>
      <c r="B20" s="8">
        <v>3.645</v>
      </c>
      <c r="C20" s="8">
        <v>1.375</v>
      </c>
      <c r="D20" s="8">
        <v>37.722908093278463</v>
      </c>
      <c r="E20" t="s">
        <v>8</v>
      </c>
      <c r="F20" t="s">
        <v>9</v>
      </c>
      <c r="G20" s="5">
        <v>45614</v>
      </c>
    </row>
    <row r="21" spans="1:7">
      <c r="A21" s="3" t="s">
        <v>32</v>
      </c>
      <c r="B21" s="8">
        <v>3.645</v>
      </c>
      <c r="C21" s="8">
        <v>1.8280000000000001</v>
      </c>
      <c r="D21" s="8">
        <v>50.150891632373117</v>
      </c>
      <c r="E21" t="s">
        <v>8</v>
      </c>
      <c r="F21" t="s">
        <v>9</v>
      </c>
      <c r="G21" s="5">
        <v>45614</v>
      </c>
    </row>
    <row r="22" spans="1:7">
      <c r="A22" s="3" t="s">
        <v>33</v>
      </c>
      <c r="B22" s="8">
        <v>3.3959999999999999</v>
      </c>
      <c r="C22" s="8">
        <v>1.3440000000000001</v>
      </c>
      <c r="D22" s="8">
        <v>39.575971731448767</v>
      </c>
      <c r="E22" t="s">
        <v>11</v>
      </c>
      <c r="F22" t="s">
        <v>12</v>
      </c>
      <c r="G22" s="5">
        <v>45617</v>
      </c>
    </row>
    <row r="23" spans="1:7">
      <c r="A23" s="3" t="s">
        <v>34</v>
      </c>
      <c r="B23" s="8">
        <v>3.7</v>
      </c>
      <c r="C23" s="8">
        <v>1.4350000000000001</v>
      </c>
      <c r="D23" s="8">
        <v>38.783783783783782</v>
      </c>
      <c r="E23" t="s">
        <v>14</v>
      </c>
      <c r="F23" t="s">
        <v>9</v>
      </c>
      <c r="G23" s="5">
        <v>45620</v>
      </c>
    </row>
    <row r="24" spans="1:7">
      <c r="A24" s="3" t="s">
        <v>35</v>
      </c>
      <c r="B24" s="8">
        <v>3.4260000000000002</v>
      </c>
      <c r="C24" s="8">
        <v>1.2949999999999999</v>
      </c>
      <c r="D24" s="8">
        <v>37.799182720373608</v>
      </c>
      <c r="E24" t="s">
        <v>16</v>
      </c>
      <c r="F24" t="s">
        <v>12</v>
      </c>
      <c r="G24" s="5">
        <v>45623</v>
      </c>
    </row>
    <row r="25" spans="1:7">
      <c r="A25" s="3" t="s">
        <v>36</v>
      </c>
      <c r="B25" s="8">
        <v>3.5859999999999999</v>
      </c>
      <c r="C25" s="8">
        <v>1.4</v>
      </c>
      <c r="D25" s="8">
        <v>39.040713887339649</v>
      </c>
      <c r="E25" t="s">
        <v>8</v>
      </c>
      <c r="F25" t="s">
        <v>9</v>
      </c>
      <c r="G25" s="5">
        <v>45626</v>
      </c>
    </row>
    <row r="26" spans="1:7">
      <c r="A26" s="3" t="s">
        <v>37</v>
      </c>
      <c r="B26" s="8">
        <v>3.3380000000000001</v>
      </c>
      <c r="C26" s="8">
        <v>1.2789999999999999</v>
      </c>
      <c r="D26" s="8">
        <v>38.316357100059911</v>
      </c>
      <c r="E26" t="s">
        <v>8</v>
      </c>
      <c r="F26" t="s">
        <v>9</v>
      </c>
      <c r="G26" s="5">
        <v>45638</v>
      </c>
    </row>
    <row r="27" spans="1:7">
      <c r="A27" s="3" t="s">
        <v>38</v>
      </c>
      <c r="B27" s="8">
        <v>3.3250000000000002</v>
      </c>
      <c r="C27" s="8">
        <v>1.278</v>
      </c>
      <c r="D27" s="8">
        <v>38.436090225563909</v>
      </c>
      <c r="E27" t="s">
        <v>11</v>
      </c>
      <c r="F27" t="s">
        <v>12</v>
      </c>
      <c r="G27" s="5">
        <v>45641</v>
      </c>
    </row>
    <row r="28" spans="1:7">
      <c r="A28" s="3" t="s">
        <v>39</v>
      </c>
      <c r="B28" s="8">
        <v>3.5939999999999999</v>
      </c>
      <c r="C28" s="8">
        <v>1.3380000000000001</v>
      </c>
      <c r="D28" s="8">
        <v>37.228714524207014</v>
      </c>
      <c r="E28" t="s">
        <v>14</v>
      </c>
      <c r="F28" t="s">
        <v>9</v>
      </c>
      <c r="G28" s="5">
        <v>45644</v>
      </c>
    </row>
    <row r="29" spans="1:7">
      <c r="A29" s="3" t="s">
        <v>40</v>
      </c>
      <c r="B29" s="8">
        <v>3.48</v>
      </c>
      <c r="C29" s="8">
        <v>1.3380000000000001</v>
      </c>
      <c r="D29" s="8">
        <v>38.448275862068968</v>
      </c>
      <c r="E29" t="s">
        <v>16</v>
      </c>
      <c r="F29" t="s">
        <v>12</v>
      </c>
      <c r="G29" s="5">
        <v>45647</v>
      </c>
    </row>
    <row r="30" spans="1:7">
      <c r="A30" s="3" t="s">
        <v>41</v>
      </c>
      <c r="B30" s="8">
        <v>3.6829999999999998</v>
      </c>
      <c r="C30" s="8">
        <v>1.3680000000000001</v>
      </c>
      <c r="D30" s="8">
        <v>37.143632907955478</v>
      </c>
      <c r="E30" t="s">
        <v>8</v>
      </c>
      <c r="F30" t="s">
        <v>9</v>
      </c>
      <c r="G30" s="5">
        <v>45650</v>
      </c>
    </row>
    <row r="31" spans="1:7">
      <c r="A31" s="3" t="s">
        <v>42</v>
      </c>
      <c r="B31" s="8">
        <v>3.456</v>
      </c>
      <c r="C31" s="8">
        <v>1.4330000000000001</v>
      </c>
      <c r="D31" s="8">
        <v>41.464120370370374</v>
      </c>
      <c r="E31" t="s">
        <v>11</v>
      </c>
      <c r="F31" t="s">
        <v>12</v>
      </c>
      <c r="G31" s="5">
        <v>45653</v>
      </c>
    </row>
    <row r="32" spans="1:7">
      <c r="A32" s="3" t="s">
        <v>43</v>
      </c>
      <c r="B32" s="8">
        <v>3.6230000000000002</v>
      </c>
      <c r="C32" s="8">
        <v>1.42</v>
      </c>
      <c r="D32" s="8">
        <v>39.19403808998068</v>
      </c>
      <c r="E32" t="s">
        <v>14</v>
      </c>
      <c r="F32" t="s">
        <v>9</v>
      </c>
      <c r="G32" s="5">
        <v>45656</v>
      </c>
    </row>
    <row r="33" spans="1:7">
      <c r="A33" s="3" t="s">
        <v>44</v>
      </c>
      <c r="B33" s="8">
        <v>3.552</v>
      </c>
      <c r="C33" s="8">
        <v>1.448</v>
      </c>
      <c r="D33" s="8">
        <v>40.765765765765764</v>
      </c>
      <c r="E33" t="s">
        <v>16</v>
      </c>
      <c r="F33" t="s">
        <v>12</v>
      </c>
      <c r="G33" s="5">
        <v>45659</v>
      </c>
    </row>
    <row r="34" spans="1:7">
      <c r="A34" s="3" t="s">
        <v>45</v>
      </c>
      <c r="B34" s="8">
        <v>3.552</v>
      </c>
      <c r="C34" s="8">
        <v>1.677</v>
      </c>
      <c r="D34" s="8">
        <v>47.212837837837839</v>
      </c>
      <c r="E34" t="s">
        <v>16</v>
      </c>
      <c r="F34" t="s">
        <v>12</v>
      </c>
      <c r="G34" s="5">
        <v>45659</v>
      </c>
    </row>
    <row r="35" spans="1:7">
      <c r="A35" s="3" t="s">
        <v>46</v>
      </c>
      <c r="B35" s="8">
        <v>3.6419999999999999</v>
      </c>
      <c r="C35" s="8">
        <v>1.3620000000000001</v>
      </c>
      <c r="D35" s="8">
        <v>37.397034596375619</v>
      </c>
      <c r="E35" t="s">
        <v>8</v>
      </c>
      <c r="F35" t="s">
        <v>9</v>
      </c>
      <c r="G35" s="5">
        <v>45662</v>
      </c>
    </row>
    <row r="36" spans="1:7">
      <c r="A36" s="3" t="s">
        <v>47</v>
      </c>
      <c r="B36" s="8">
        <v>3.7309999999999999</v>
      </c>
      <c r="C36" s="8">
        <v>1.4490000000000001</v>
      </c>
      <c r="D36" s="8">
        <v>38.83677298311445</v>
      </c>
      <c r="E36" t="s">
        <v>14</v>
      </c>
      <c r="F36" t="s">
        <v>9</v>
      </c>
      <c r="G36" s="5">
        <v>45668</v>
      </c>
    </row>
    <row r="37" spans="1:7">
      <c r="A37" s="3" t="s">
        <v>48</v>
      </c>
      <c r="B37" s="8">
        <v>3.6920000000000002</v>
      </c>
      <c r="C37" s="8">
        <v>1.391</v>
      </c>
      <c r="D37" s="8">
        <v>37.676056338028168</v>
      </c>
      <c r="E37" t="s">
        <v>8</v>
      </c>
      <c r="F37" t="s">
        <v>9</v>
      </c>
      <c r="G37" s="5">
        <v>45674</v>
      </c>
    </row>
    <row r="38" spans="1:7">
      <c r="A38" s="3" t="s">
        <v>49</v>
      </c>
      <c r="B38" s="8">
        <v>3.7469999999999999</v>
      </c>
      <c r="C38" s="8">
        <v>1.472</v>
      </c>
      <c r="D38" s="8">
        <v>39.284761142247135</v>
      </c>
      <c r="E38" t="s">
        <v>11</v>
      </c>
      <c r="F38" t="s">
        <v>12</v>
      </c>
      <c r="G38" s="5">
        <v>45677</v>
      </c>
    </row>
    <row r="39" spans="1:7">
      <c r="A39" s="3" t="s">
        <v>50</v>
      </c>
      <c r="B39" s="8">
        <v>3.3250000000000002</v>
      </c>
      <c r="C39" s="8">
        <v>1.169</v>
      </c>
      <c r="D39" s="8">
        <v>35.157894736842103</v>
      </c>
      <c r="E39" t="s">
        <v>16</v>
      </c>
      <c r="F39" t="s">
        <v>12</v>
      </c>
      <c r="G39" s="5">
        <v>45683</v>
      </c>
    </row>
    <row r="40" spans="1:7">
      <c r="A40" s="3" t="s">
        <v>51</v>
      </c>
      <c r="B40" s="8">
        <v>3.5369999999999999</v>
      </c>
      <c r="C40" s="8">
        <v>1.421</v>
      </c>
      <c r="D40" s="8">
        <v>40.175289793610411</v>
      </c>
      <c r="E40" t="s">
        <v>8</v>
      </c>
      <c r="F40" t="s">
        <v>9</v>
      </c>
      <c r="G40" s="5">
        <v>45686</v>
      </c>
    </row>
    <row r="41" spans="1:7">
      <c r="A41" s="3" t="s">
        <v>52</v>
      </c>
      <c r="B41" s="8">
        <v>3.3820000000000001</v>
      </c>
      <c r="C41" s="8">
        <v>1.2110000000000001</v>
      </c>
      <c r="D41" s="8">
        <v>35.807214665878178</v>
      </c>
      <c r="E41" t="s">
        <v>11</v>
      </c>
      <c r="F41" t="s">
        <v>12</v>
      </c>
      <c r="G41" s="5">
        <v>45689</v>
      </c>
    </row>
    <row r="42" spans="1:7">
      <c r="A42" s="3" t="s">
        <v>53</v>
      </c>
      <c r="B42" s="8">
        <v>3.47</v>
      </c>
      <c r="C42" s="8">
        <v>1.284</v>
      </c>
      <c r="D42" s="8">
        <v>37.002881844380404</v>
      </c>
      <c r="E42" t="s">
        <v>16</v>
      </c>
      <c r="F42" t="s">
        <v>12</v>
      </c>
      <c r="G42" s="5">
        <v>45695</v>
      </c>
    </row>
    <row r="43" spans="1:7">
      <c r="A43" s="3" t="s">
        <v>54</v>
      </c>
      <c r="B43" s="8">
        <v>3.6320000000000001</v>
      </c>
      <c r="C43" s="8">
        <v>1.484</v>
      </c>
      <c r="D43" s="8">
        <v>40.859030837004404</v>
      </c>
      <c r="E43" t="s">
        <v>8</v>
      </c>
      <c r="F43" t="s">
        <v>9</v>
      </c>
      <c r="G43" s="5">
        <v>45698</v>
      </c>
    </row>
    <row r="44" spans="1:7">
      <c r="A44" s="3" t="s">
        <v>55</v>
      </c>
      <c r="B44" s="8">
        <v>3.6309999999999998</v>
      </c>
      <c r="C44" s="8">
        <v>1.4990000000000001</v>
      </c>
      <c r="D44" s="8">
        <v>41.283393004681912</v>
      </c>
      <c r="E44" t="s">
        <v>14</v>
      </c>
      <c r="F44" t="s">
        <v>9</v>
      </c>
      <c r="G44" s="5">
        <v>45704</v>
      </c>
    </row>
    <row r="45" spans="1:7">
      <c r="A45" s="3" t="s">
        <v>56</v>
      </c>
      <c r="B45" s="8">
        <v>3.8530000000000002</v>
      </c>
      <c r="C45" s="8">
        <v>1.4219999999999999</v>
      </c>
      <c r="D45" s="8">
        <v>36.906306773942376</v>
      </c>
      <c r="E45" t="s">
        <v>8</v>
      </c>
      <c r="F45" t="s">
        <v>9</v>
      </c>
      <c r="G45" s="5">
        <v>45710</v>
      </c>
    </row>
    <row r="46" spans="1:7">
      <c r="A46" s="3" t="s">
        <v>57</v>
      </c>
      <c r="B46" s="8">
        <v>3.9729999999999999</v>
      </c>
      <c r="C46" s="8">
        <v>1.4550000000000001</v>
      </c>
      <c r="D46" s="8">
        <v>36.622199848980621</v>
      </c>
      <c r="E46" t="s">
        <v>11</v>
      </c>
      <c r="F46" t="s">
        <v>12</v>
      </c>
      <c r="G46" s="5">
        <v>45713</v>
      </c>
    </row>
    <row r="47" spans="1:7">
      <c r="A47" s="3" t="s">
        <v>58</v>
      </c>
      <c r="B47" s="8">
        <v>3.8130000000000002</v>
      </c>
      <c r="C47" s="8">
        <v>1.458</v>
      </c>
      <c r="D47" s="8">
        <v>38.237608182533435</v>
      </c>
      <c r="E47" t="s">
        <v>14</v>
      </c>
      <c r="F47" t="s">
        <v>9</v>
      </c>
      <c r="G47" s="5">
        <v>45716</v>
      </c>
    </row>
    <row r="48" spans="1:7">
      <c r="A48" s="3" t="s">
        <v>59</v>
      </c>
      <c r="B48" s="8">
        <v>3.8719999999999999</v>
      </c>
      <c r="C48" s="8">
        <v>1.462</v>
      </c>
      <c r="D48" s="8">
        <v>37.758264462809912</v>
      </c>
      <c r="E48" t="s">
        <v>8</v>
      </c>
      <c r="F48" t="s">
        <v>9</v>
      </c>
      <c r="G48" s="5">
        <v>45722</v>
      </c>
    </row>
    <row r="49" spans="1:7">
      <c r="A49" s="3" t="s">
        <v>60</v>
      </c>
      <c r="B49" s="8">
        <v>3.6789999999999998</v>
      </c>
      <c r="C49" s="8">
        <v>1.4470000000000001</v>
      </c>
      <c r="D49" s="8">
        <v>39.331340038053824</v>
      </c>
      <c r="E49" t="s">
        <v>11</v>
      </c>
      <c r="F49" t="s">
        <v>12</v>
      </c>
      <c r="G49" s="5">
        <v>45725</v>
      </c>
    </row>
    <row r="50" spans="1:7">
      <c r="A50" s="3" t="s">
        <v>61</v>
      </c>
      <c r="B50" s="8">
        <v>3.4550000000000001</v>
      </c>
      <c r="C50" s="8">
        <v>1.3640000000000001</v>
      </c>
      <c r="D50" s="8">
        <v>39.479015918958034</v>
      </c>
      <c r="E50" t="s">
        <v>14</v>
      </c>
      <c r="F50" t="s">
        <v>9</v>
      </c>
      <c r="G50" s="5">
        <v>45728</v>
      </c>
    </row>
    <row r="51" spans="1:7">
      <c r="A51" s="3" t="s">
        <v>62</v>
      </c>
      <c r="B51" s="8">
        <v>3.306</v>
      </c>
      <c r="C51" s="8">
        <v>1.26</v>
      </c>
      <c r="D51" s="8">
        <v>38.112522686025407</v>
      </c>
      <c r="E51" t="s">
        <v>11</v>
      </c>
      <c r="F51" t="s">
        <v>12</v>
      </c>
      <c r="G51" s="5">
        <v>45737</v>
      </c>
    </row>
    <row r="52" spans="1:7">
      <c r="A52" s="3" t="s">
        <v>63</v>
      </c>
      <c r="B52" s="8">
        <v>3.569</v>
      </c>
      <c r="C52" s="8">
        <v>1.2689999999999999</v>
      </c>
      <c r="D52" s="8">
        <v>35.556178201176799</v>
      </c>
      <c r="E52" t="s">
        <v>14</v>
      </c>
      <c r="F52" t="s">
        <v>9</v>
      </c>
      <c r="G52" s="5">
        <v>45740</v>
      </c>
    </row>
    <row r="53" spans="1:7">
      <c r="A53" s="3" t="s">
        <v>64</v>
      </c>
      <c r="B53" s="8">
        <v>4.0110000000000001</v>
      </c>
      <c r="C53" s="8">
        <v>1.5009999999999999</v>
      </c>
      <c r="D53" s="8">
        <v>37.422089254549981</v>
      </c>
      <c r="E53" t="s">
        <v>16</v>
      </c>
      <c r="F53" t="s">
        <v>12</v>
      </c>
      <c r="G53" s="5">
        <v>45743</v>
      </c>
    </row>
    <row r="54" spans="1:7">
      <c r="A54" s="3" t="s">
        <v>65</v>
      </c>
      <c r="B54" s="8">
        <v>3.399</v>
      </c>
      <c r="C54" s="8">
        <v>1.3149999999999999</v>
      </c>
      <c r="D54" s="8">
        <v>38.687849367461013</v>
      </c>
      <c r="E54" t="s">
        <v>11</v>
      </c>
      <c r="F54" t="s">
        <v>12</v>
      </c>
      <c r="G54" s="5">
        <v>45749</v>
      </c>
    </row>
    <row r="55" spans="1:7">
      <c r="A55" s="3" t="s">
        <v>66</v>
      </c>
      <c r="B55" s="8">
        <v>3.4529999999999998</v>
      </c>
      <c r="C55" s="8">
        <v>1.248</v>
      </c>
      <c r="D55" s="8">
        <v>36.142484795829716</v>
      </c>
      <c r="E55" t="s">
        <v>14</v>
      </c>
      <c r="F55" t="s">
        <v>9</v>
      </c>
      <c r="G55" s="5">
        <v>45752</v>
      </c>
    </row>
    <row r="56" spans="1:7">
      <c r="A56" s="3" t="s">
        <v>67</v>
      </c>
      <c r="B56" s="8">
        <v>3.504</v>
      </c>
      <c r="C56" s="8">
        <v>1.355</v>
      </c>
      <c r="D56" s="8">
        <v>38.670091324200911</v>
      </c>
      <c r="E56" t="s">
        <v>16</v>
      </c>
      <c r="F56" t="s">
        <v>12</v>
      </c>
      <c r="G56" s="5">
        <v>45755</v>
      </c>
    </row>
    <row r="57" spans="1:7">
      <c r="A57" s="3" t="s">
        <v>68</v>
      </c>
      <c r="B57" s="8">
        <v>3.6840000000000002</v>
      </c>
      <c r="C57" s="8">
        <v>1.3859999999999999</v>
      </c>
      <c r="D57" s="8">
        <v>37.622149837133549</v>
      </c>
      <c r="E57" t="s">
        <v>11</v>
      </c>
      <c r="F57" t="s">
        <v>12</v>
      </c>
      <c r="G57" s="5">
        <v>45761</v>
      </c>
    </row>
    <row r="58" spans="1:7">
      <c r="A58" s="3" t="s">
        <v>69</v>
      </c>
      <c r="B58" s="8">
        <v>3.6869999999999998</v>
      </c>
      <c r="C58" s="8">
        <v>1.4870000000000001</v>
      </c>
      <c r="D58" s="8">
        <v>40.330892324382972</v>
      </c>
      <c r="E58" t="s">
        <v>14</v>
      </c>
      <c r="F58" t="s">
        <v>9</v>
      </c>
      <c r="G58" s="5">
        <v>45764</v>
      </c>
    </row>
    <row r="59" spans="1:7">
      <c r="A59" s="3" t="s">
        <v>70</v>
      </c>
      <c r="B59" s="8">
        <v>3.3610000000000002</v>
      </c>
      <c r="C59" s="8">
        <v>1.2390000000000001</v>
      </c>
      <c r="D59" s="8">
        <v>36.8640285629277</v>
      </c>
      <c r="E59" t="s">
        <v>16</v>
      </c>
      <c r="F59" t="s">
        <v>12</v>
      </c>
      <c r="G59" s="5">
        <v>45767</v>
      </c>
    </row>
    <row r="60" spans="1:7">
      <c r="A60" s="3" t="s">
        <v>71</v>
      </c>
      <c r="B60" s="8">
        <v>3.6339999999999999</v>
      </c>
      <c r="C60" s="8">
        <v>1.3160000000000001</v>
      </c>
      <c r="D60" s="8">
        <v>36.213538800220149</v>
      </c>
      <c r="E60" t="s">
        <v>8</v>
      </c>
      <c r="F60" t="s">
        <v>9</v>
      </c>
      <c r="G60" s="5">
        <v>45770</v>
      </c>
    </row>
    <row r="61" spans="1:7">
      <c r="A61" s="3" t="s">
        <v>72</v>
      </c>
      <c r="B61" s="8">
        <v>3.4710000000000001</v>
      </c>
      <c r="C61" s="8">
        <v>1.347</v>
      </c>
      <c r="D61" s="8">
        <v>38.807260155574767</v>
      </c>
      <c r="E61" t="s">
        <v>11</v>
      </c>
      <c r="F61" t="s">
        <v>12</v>
      </c>
      <c r="G61" s="5">
        <v>45773</v>
      </c>
    </row>
    <row r="62" spans="1:7">
      <c r="A62" s="3" t="s">
        <v>73</v>
      </c>
      <c r="B62" s="8">
        <v>3.5630000000000002</v>
      </c>
      <c r="C62" s="8">
        <v>1.4079999999999999</v>
      </c>
      <c r="D62" s="8">
        <v>39.517260735335384</v>
      </c>
      <c r="E62" t="s">
        <v>8</v>
      </c>
      <c r="F62" t="s">
        <v>9</v>
      </c>
      <c r="G62" s="5">
        <v>45782</v>
      </c>
    </row>
    <row r="63" spans="1:7">
      <c r="A63" s="3" t="s">
        <v>74</v>
      </c>
      <c r="B63" s="8">
        <v>3.6989999999999998</v>
      </c>
      <c r="C63" s="8">
        <v>1.333</v>
      </c>
      <c r="D63" s="8">
        <v>36.036766693700997</v>
      </c>
      <c r="E63" t="s">
        <v>11</v>
      </c>
      <c r="F63" t="s">
        <v>12</v>
      </c>
      <c r="G63" s="5">
        <v>45785</v>
      </c>
    </row>
    <row r="64" spans="1:7">
      <c r="A64" s="3" t="s">
        <v>75</v>
      </c>
      <c r="B64" s="8">
        <v>3.9529999999999998</v>
      </c>
      <c r="C64" s="8">
        <v>1.4630000000000001</v>
      </c>
      <c r="D64" s="8">
        <v>37.009865924614225</v>
      </c>
      <c r="E64" t="s">
        <v>14</v>
      </c>
      <c r="F64" t="s">
        <v>9</v>
      </c>
      <c r="G64" s="5">
        <v>45788</v>
      </c>
    </row>
    <row r="65" spans="1:7">
      <c r="A65" s="3" t="s">
        <v>76</v>
      </c>
      <c r="B65" s="8">
        <v>3.4209999999999998</v>
      </c>
      <c r="C65" s="8">
        <v>1.327</v>
      </c>
      <c r="D65" s="8">
        <v>38.78982753580825</v>
      </c>
      <c r="E65" t="s">
        <v>8</v>
      </c>
      <c r="F65" t="s">
        <v>9</v>
      </c>
      <c r="G65" s="5">
        <v>45794</v>
      </c>
    </row>
    <row r="66" spans="1:7">
      <c r="A66" s="3" t="s">
        <v>77</v>
      </c>
      <c r="B66" s="8">
        <v>3.6579999999999999</v>
      </c>
      <c r="C66" s="8">
        <v>1.41</v>
      </c>
      <c r="D66" s="8">
        <v>38.545653362493162</v>
      </c>
      <c r="E66" t="s">
        <v>11</v>
      </c>
      <c r="F66" t="s">
        <v>12</v>
      </c>
      <c r="G66" s="5">
        <v>45797</v>
      </c>
    </row>
    <row r="67" spans="1:7">
      <c r="A67" s="3" t="s">
        <v>78</v>
      </c>
      <c r="B67" s="8">
        <v>4.0090000000000003</v>
      </c>
      <c r="C67" s="8">
        <v>1.4910000000000001</v>
      </c>
      <c r="D67" s="8">
        <v>37.191319531055129</v>
      </c>
      <c r="E67" t="s">
        <v>14</v>
      </c>
      <c r="F67" t="s">
        <v>9</v>
      </c>
      <c r="G67" s="5">
        <v>45800</v>
      </c>
    </row>
    <row r="68" spans="1:7">
      <c r="A68" s="3" t="s">
        <v>79</v>
      </c>
      <c r="B68" s="8">
        <v>3.7029999999999998</v>
      </c>
      <c r="C68" s="8">
        <v>1.325</v>
      </c>
      <c r="D68" s="8">
        <v>35.781798541722928</v>
      </c>
      <c r="E68" t="s">
        <v>11</v>
      </c>
      <c r="F68" t="s">
        <v>12</v>
      </c>
      <c r="G68" s="5">
        <v>45809</v>
      </c>
    </row>
    <row r="69" spans="1:7">
      <c r="A69" s="3" t="s">
        <v>80</v>
      </c>
      <c r="B69" s="8">
        <v>3.871</v>
      </c>
      <c r="C69" s="8">
        <v>1.512</v>
      </c>
      <c r="D69" s="8">
        <v>39.059674502712475</v>
      </c>
      <c r="E69" t="s">
        <v>14</v>
      </c>
      <c r="F69" t="s">
        <v>9</v>
      </c>
      <c r="G69" s="5">
        <v>45812</v>
      </c>
    </row>
    <row r="70" spans="1:7">
      <c r="A70" s="3" t="s">
        <v>81</v>
      </c>
      <c r="B70" s="8">
        <v>3.9940000000000002</v>
      </c>
      <c r="C70" s="8">
        <v>1.502</v>
      </c>
      <c r="D70" s="8">
        <v>37.606409614421629</v>
      </c>
      <c r="E70" t="s">
        <v>16</v>
      </c>
      <c r="F70" t="s">
        <v>12</v>
      </c>
      <c r="G70" s="5">
        <v>45815</v>
      </c>
    </row>
    <row r="71" spans="1:7">
      <c r="A71" s="3" t="s">
        <v>82</v>
      </c>
      <c r="B71" s="8">
        <v>3.1120000000000001</v>
      </c>
      <c r="C71" s="8">
        <v>1.224</v>
      </c>
      <c r="D71" s="8">
        <v>39.331619537275067</v>
      </c>
      <c r="E71" t="s">
        <v>8</v>
      </c>
      <c r="F71" t="s">
        <v>9</v>
      </c>
      <c r="G71" s="5">
        <v>45818</v>
      </c>
    </row>
    <row r="72" spans="1:7">
      <c r="A72" s="3" t="s">
        <v>83</v>
      </c>
      <c r="B72" s="8">
        <v>3.7250000000000001</v>
      </c>
      <c r="C72" s="8">
        <v>1.4179999999999999</v>
      </c>
      <c r="D72" s="8">
        <v>38.067114093959731</v>
      </c>
      <c r="E72" t="s">
        <v>11</v>
      </c>
      <c r="F72" t="s">
        <v>12</v>
      </c>
      <c r="G72" s="5">
        <v>45821</v>
      </c>
    </row>
    <row r="73" spans="1:7">
      <c r="A73" s="3" t="s">
        <v>84</v>
      </c>
      <c r="B73" s="8">
        <v>3.2480000000000002</v>
      </c>
      <c r="C73" s="8">
        <v>1.3080000000000001</v>
      </c>
      <c r="D73" s="8">
        <v>40.270935960591132</v>
      </c>
      <c r="E73" t="s">
        <v>14</v>
      </c>
      <c r="F73" t="s">
        <v>9</v>
      </c>
      <c r="G73" s="5">
        <v>45824</v>
      </c>
    </row>
    <row r="74" spans="1:7">
      <c r="A74" s="3" t="s">
        <v>85</v>
      </c>
      <c r="B74" s="8">
        <v>3.2480000000000002</v>
      </c>
      <c r="C74" s="8">
        <v>1.5</v>
      </c>
      <c r="D74" s="8">
        <v>46.182266009852214</v>
      </c>
      <c r="E74" t="s">
        <v>14</v>
      </c>
      <c r="F74" t="s">
        <v>9</v>
      </c>
      <c r="G74" s="5">
        <v>45824</v>
      </c>
    </row>
    <row r="75" spans="1:7">
      <c r="A75" s="3" t="s">
        <v>86</v>
      </c>
      <c r="B75" s="8">
        <v>3.87</v>
      </c>
      <c r="C75" s="8">
        <v>1.506</v>
      </c>
      <c r="D75" s="8">
        <v>38.914728682170541</v>
      </c>
      <c r="E75" t="s">
        <v>16</v>
      </c>
      <c r="F75" t="s">
        <v>12</v>
      </c>
      <c r="G75" s="5">
        <v>45827</v>
      </c>
    </row>
    <row r="76" spans="1:7">
      <c r="A76" s="3" t="s">
        <v>87</v>
      </c>
      <c r="B76" s="8">
        <v>3.899</v>
      </c>
      <c r="C76" s="8">
        <v>1.399</v>
      </c>
      <c r="D76" s="8">
        <v>35.880995126955625</v>
      </c>
      <c r="E76" t="s">
        <v>8</v>
      </c>
      <c r="F76" t="s">
        <v>9</v>
      </c>
      <c r="G76" s="5">
        <v>45830</v>
      </c>
    </row>
    <row r="77" spans="1:7">
      <c r="A77" s="3" t="s">
        <v>88</v>
      </c>
      <c r="B77" s="8">
        <v>3.7069999999999999</v>
      </c>
      <c r="C77" s="8">
        <v>1.3380000000000001</v>
      </c>
      <c r="D77" s="8">
        <v>36.093876449959538</v>
      </c>
      <c r="E77" t="s">
        <v>14</v>
      </c>
      <c r="F77" t="s">
        <v>9</v>
      </c>
      <c r="G77" s="5">
        <v>45836</v>
      </c>
    </row>
    <row r="78" spans="1:7">
      <c r="A78" s="3" t="s">
        <v>89</v>
      </c>
      <c r="B78" s="8">
        <v>3.55</v>
      </c>
      <c r="C78" s="8">
        <v>1.393</v>
      </c>
      <c r="D78" s="8">
        <v>39.239436619718312</v>
      </c>
      <c r="E78" t="s">
        <v>16</v>
      </c>
      <c r="F78" t="s">
        <v>12</v>
      </c>
      <c r="G78" s="5">
        <v>45839</v>
      </c>
    </row>
    <row r="79" spans="1:7">
      <c r="A79" s="3" t="s">
        <v>90</v>
      </c>
      <c r="B79" s="8">
        <v>3.8159999999999998</v>
      </c>
      <c r="C79" s="8">
        <v>1.498</v>
      </c>
      <c r="D79" s="8">
        <v>39.255765199161431</v>
      </c>
      <c r="E79" t="s">
        <v>8</v>
      </c>
      <c r="F79" t="s">
        <v>9</v>
      </c>
      <c r="G79" s="5">
        <v>45842</v>
      </c>
    </row>
    <row r="80" spans="1:7">
      <c r="A80" s="3" t="s">
        <v>91</v>
      </c>
      <c r="B80" s="8">
        <v>3.8159999999999998</v>
      </c>
      <c r="C80" s="8">
        <v>1.7889999999999999</v>
      </c>
      <c r="D80" s="8">
        <v>46.881551362683439</v>
      </c>
      <c r="E80" t="s">
        <v>8</v>
      </c>
      <c r="F80" t="s">
        <v>9</v>
      </c>
      <c r="G80" s="5">
        <v>45842</v>
      </c>
    </row>
    <row r="81" spans="1:7">
      <c r="A81" s="3" t="s">
        <v>92</v>
      </c>
      <c r="B81" s="8">
        <v>3.7</v>
      </c>
      <c r="C81" s="8">
        <v>1.4139999999999999</v>
      </c>
      <c r="D81" s="8">
        <v>38.216216216216218</v>
      </c>
      <c r="E81" t="s">
        <v>11</v>
      </c>
      <c r="F81" t="s">
        <v>12</v>
      </c>
      <c r="G81" s="5">
        <v>45845</v>
      </c>
    </row>
    <row r="82" spans="1:7">
      <c r="A82" s="3" t="s">
        <v>93</v>
      </c>
      <c r="B82" s="8">
        <v>3.778</v>
      </c>
      <c r="C82" s="8">
        <v>1.5169999999999999</v>
      </c>
      <c r="D82" s="8">
        <v>40.153520381154046</v>
      </c>
      <c r="E82" t="s">
        <v>14</v>
      </c>
      <c r="F82" t="s">
        <v>9</v>
      </c>
      <c r="G82" s="5">
        <v>45848</v>
      </c>
    </row>
    <row r="83" spans="1:7">
      <c r="A83" s="3" t="s">
        <v>94</v>
      </c>
      <c r="B83" s="8">
        <v>3.5870000000000002</v>
      </c>
      <c r="C83" s="8">
        <v>1.369</v>
      </c>
      <c r="D83" s="8">
        <v>38.1655979927516</v>
      </c>
      <c r="E83" t="s">
        <v>16</v>
      </c>
      <c r="F83" t="s">
        <v>12</v>
      </c>
      <c r="G83" s="5">
        <v>45851</v>
      </c>
    </row>
    <row r="84" spans="1:7">
      <c r="A84" s="3" t="s">
        <v>95</v>
      </c>
      <c r="B84" s="8">
        <v>3.9569999999999999</v>
      </c>
      <c r="C84" s="8">
        <v>1.5329999999999999</v>
      </c>
      <c r="D84" s="8">
        <v>38.741470811220616</v>
      </c>
      <c r="E84" t="s">
        <v>8</v>
      </c>
      <c r="F84" t="s">
        <v>9</v>
      </c>
      <c r="G84" s="5">
        <v>45854</v>
      </c>
    </row>
    <row r="85" spans="1:7">
      <c r="A85" s="3" t="s">
        <v>96</v>
      </c>
      <c r="B85" s="8">
        <v>3.21</v>
      </c>
      <c r="C85" s="8">
        <v>1.175</v>
      </c>
      <c r="D85" s="8">
        <v>36.604361370716518</v>
      </c>
      <c r="E85" t="s">
        <v>14</v>
      </c>
      <c r="F85" t="s">
        <v>9</v>
      </c>
      <c r="G85" s="5">
        <v>45860</v>
      </c>
    </row>
    <row r="86" spans="1:7">
      <c r="A86" s="3" t="s">
        <v>97</v>
      </c>
      <c r="B86" s="8">
        <v>3.21</v>
      </c>
      <c r="C86" s="8">
        <v>1.506</v>
      </c>
      <c r="D86" s="8">
        <v>46.915887850467293</v>
      </c>
      <c r="E86" t="s">
        <v>14</v>
      </c>
      <c r="F86" t="s">
        <v>9</v>
      </c>
      <c r="G86" s="5">
        <v>45860</v>
      </c>
    </row>
    <row r="87" spans="1:7">
      <c r="A87" s="3" t="s">
        <v>98</v>
      </c>
      <c r="B87" s="8">
        <v>3.3279999999999998</v>
      </c>
      <c r="C87" s="8">
        <v>1.3109999999999999</v>
      </c>
      <c r="D87" s="8">
        <v>39.393028846153847</v>
      </c>
      <c r="E87" t="s">
        <v>16</v>
      </c>
      <c r="F87" t="s">
        <v>12</v>
      </c>
      <c r="G87" s="5">
        <v>45863</v>
      </c>
    </row>
    <row r="88" spans="1:7">
      <c r="A88" s="3" t="s">
        <v>99</v>
      </c>
      <c r="B88" s="8">
        <v>3.72</v>
      </c>
      <c r="C88" s="8">
        <v>1.3839999999999999</v>
      </c>
      <c r="D88" s="8">
        <v>37.204301075268816</v>
      </c>
      <c r="E88" t="s">
        <v>8</v>
      </c>
      <c r="F88" t="s">
        <v>9</v>
      </c>
      <c r="G88" s="5">
        <v>45866</v>
      </c>
    </row>
    <row r="89" spans="1:7">
      <c r="A89" s="3" t="s">
        <v>100</v>
      </c>
      <c r="B89" s="8">
        <v>3.3980000000000001</v>
      </c>
      <c r="C89" s="8">
        <v>1.248</v>
      </c>
      <c r="D89" s="8">
        <v>36.72748675691583</v>
      </c>
      <c r="E89" t="s">
        <v>11</v>
      </c>
      <c r="F89" t="s">
        <v>12</v>
      </c>
      <c r="G89" s="5">
        <v>45869</v>
      </c>
    </row>
    <row r="90" spans="1:7">
      <c r="A90" s="3" t="s">
        <v>101</v>
      </c>
      <c r="B90" s="8">
        <v>3.419</v>
      </c>
      <c r="C90" s="8">
        <v>1.2889999999999999</v>
      </c>
      <c r="D90" s="8">
        <v>37.701082187774198</v>
      </c>
      <c r="E90" t="s">
        <v>14</v>
      </c>
      <c r="F90" t="s">
        <v>9</v>
      </c>
      <c r="G90" s="5">
        <v>45872</v>
      </c>
    </row>
    <row r="91" spans="1:7">
      <c r="A91" s="3" t="s">
        <v>102</v>
      </c>
      <c r="B91" s="8">
        <v>3.6480000000000001</v>
      </c>
      <c r="C91" s="8">
        <v>1.45</v>
      </c>
      <c r="D91" s="8">
        <v>39.747807017543856</v>
      </c>
      <c r="E91" t="s">
        <v>16</v>
      </c>
      <c r="F91" t="s">
        <v>12</v>
      </c>
      <c r="G91" s="5">
        <v>45875</v>
      </c>
    </row>
    <row r="92" spans="1:7">
      <c r="A92" s="3" t="s">
        <v>103</v>
      </c>
      <c r="B92" s="8">
        <v>4.0490000000000004</v>
      </c>
      <c r="C92" s="8">
        <v>1.577</v>
      </c>
      <c r="D92" s="8">
        <v>38.947888367498145</v>
      </c>
      <c r="E92" t="s">
        <v>8</v>
      </c>
      <c r="F92" t="s">
        <v>9</v>
      </c>
      <c r="G92" s="5">
        <v>45878</v>
      </c>
    </row>
    <row r="93" spans="1:7">
      <c r="A93" s="3" t="s">
        <v>104</v>
      </c>
      <c r="B93" s="8">
        <v>4.0490000000000004</v>
      </c>
      <c r="C93" s="8">
        <v>1.8779999999999999</v>
      </c>
      <c r="D93" s="8">
        <v>46.381822672264747</v>
      </c>
      <c r="E93" t="s">
        <v>8</v>
      </c>
      <c r="F93" t="s">
        <v>9</v>
      </c>
      <c r="G93" s="5">
        <v>45878</v>
      </c>
    </row>
    <row r="94" spans="1:7">
      <c r="A94" s="3" t="s">
        <v>105</v>
      </c>
      <c r="B94" s="8">
        <v>3.8479999999999999</v>
      </c>
      <c r="C94" s="8">
        <v>1.423</v>
      </c>
      <c r="D94" s="8">
        <v>36.980249480249483</v>
      </c>
      <c r="E94" t="s">
        <v>11</v>
      </c>
      <c r="F94" t="s">
        <v>12</v>
      </c>
      <c r="G94" s="5">
        <v>45881</v>
      </c>
    </row>
    <row r="95" spans="1:7">
      <c r="A95" s="3" t="s">
        <v>106</v>
      </c>
      <c r="B95" s="8">
        <v>3.9580000000000002</v>
      </c>
      <c r="C95" s="8">
        <v>1.524</v>
      </c>
      <c r="D95" s="8">
        <v>38.504295098534612</v>
      </c>
      <c r="E95" t="s">
        <v>14</v>
      </c>
      <c r="F95" t="s">
        <v>9</v>
      </c>
      <c r="G95" s="5">
        <v>45884</v>
      </c>
    </row>
    <row r="96" spans="1:7">
      <c r="A96" s="3" t="s">
        <v>107</v>
      </c>
      <c r="B96" s="8">
        <v>3.3889999999999998</v>
      </c>
      <c r="C96" s="8">
        <v>1.2889999999999999</v>
      </c>
      <c r="D96" s="8">
        <v>38.03481853053998</v>
      </c>
      <c r="E96" t="s">
        <v>8</v>
      </c>
      <c r="F96" t="s">
        <v>9</v>
      </c>
      <c r="G96" s="5">
        <v>45890</v>
      </c>
    </row>
    <row r="97" spans="1:7">
      <c r="A97" s="3" t="s">
        <v>108</v>
      </c>
      <c r="B97" s="8">
        <v>3.5990000000000002</v>
      </c>
      <c r="C97" s="8">
        <v>1.4039999999999999</v>
      </c>
      <c r="D97" s="8">
        <v>39.010836343428721</v>
      </c>
      <c r="E97" t="s">
        <v>14</v>
      </c>
      <c r="F97" t="s">
        <v>9</v>
      </c>
      <c r="G97" s="5">
        <v>45896</v>
      </c>
    </row>
    <row r="98" spans="1:7">
      <c r="A98" s="3" t="s">
        <v>109</v>
      </c>
      <c r="B98" s="8">
        <v>3.891</v>
      </c>
      <c r="C98" s="8">
        <v>1.44</v>
      </c>
      <c r="D98" s="8">
        <v>37.008481110254429</v>
      </c>
      <c r="E98" t="s">
        <v>16</v>
      </c>
      <c r="F98" t="s">
        <v>12</v>
      </c>
      <c r="G98" s="5">
        <v>45899</v>
      </c>
    </row>
    <row r="99" spans="1:7">
      <c r="A99" s="3" t="s">
        <v>110</v>
      </c>
      <c r="B99" s="8">
        <v>3.7549999999999999</v>
      </c>
      <c r="C99" s="8">
        <v>1.486</v>
      </c>
      <c r="D99" s="8">
        <v>39.573901464713721</v>
      </c>
      <c r="E99" t="s">
        <v>8</v>
      </c>
      <c r="F99" t="s">
        <v>9</v>
      </c>
      <c r="G99" s="5">
        <v>45902</v>
      </c>
    </row>
    <row r="100" spans="1:7">
      <c r="A100" s="3" t="s">
        <v>111</v>
      </c>
      <c r="B100" s="8">
        <v>3.5739999999999998</v>
      </c>
      <c r="C100" s="8">
        <v>1.379</v>
      </c>
      <c r="D100" s="8">
        <v>38.584219362059322</v>
      </c>
      <c r="E100" t="s">
        <v>11</v>
      </c>
      <c r="F100" t="s">
        <v>12</v>
      </c>
      <c r="G100" s="5">
        <v>45905</v>
      </c>
    </row>
    <row r="101" spans="1:7">
      <c r="A101" s="3" t="s">
        <v>112</v>
      </c>
      <c r="B101" s="8">
        <v>3.6850000000000001</v>
      </c>
      <c r="C101" s="8">
        <v>1.4710000000000001</v>
      </c>
      <c r="D101" s="8">
        <v>39.918588873812752</v>
      </c>
      <c r="E101" t="s">
        <v>14</v>
      </c>
      <c r="F101" t="s">
        <v>9</v>
      </c>
      <c r="G101" s="5">
        <v>45908</v>
      </c>
    </row>
    <row r="102" spans="1:7">
      <c r="A102" s="3" t="s">
        <v>113</v>
      </c>
      <c r="B102" s="8">
        <v>3.2589999999999999</v>
      </c>
      <c r="C102" s="8">
        <v>1.3149999999999999</v>
      </c>
      <c r="D102" s="8">
        <v>40.349800552316658</v>
      </c>
      <c r="E102" t="s">
        <v>16</v>
      </c>
      <c r="F102" t="s">
        <v>12</v>
      </c>
      <c r="G102" s="5">
        <v>45911</v>
      </c>
    </row>
    <row r="103" spans="1:7">
      <c r="A103" s="3" t="s">
        <v>114</v>
      </c>
      <c r="B103" s="8">
        <v>3.2450000000000001</v>
      </c>
      <c r="C103" s="8">
        <v>1.2709999999999999</v>
      </c>
      <c r="D103" s="8">
        <v>39.167950693374422</v>
      </c>
      <c r="E103" t="s">
        <v>8</v>
      </c>
      <c r="F103" t="s">
        <v>9</v>
      </c>
      <c r="G103" s="5">
        <v>45914</v>
      </c>
    </row>
    <row r="104" spans="1:7">
      <c r="A104" s="3" t="s">
        <v>115</v>
      </c>
      <c r="B104" s="8">
        <v>3.9529999999999998</v>
      </c>
      <c r="C104" s="8">
        <v>1.425</v>
      </c>
      <c r="D104" s="8">
        <v>36.048570705793068</v>
      </c>
      <c r="E104" t="s">
        <v>11</v>
      </c>
      <c r="F104" t="s">
        <v>12</v>
      </c>
      <c r="G104" s="5">
        <v>45917</v>
      </c>
    </row>
    <row r="105" spans="1:7">
      <c r="A105" s="3" t="s">
        <v>116</v>
      </c>
      <c r="B105" s="8">
        <v>3.5790000000000002</v>
      </c>
      <c r="C105" s="8">
        <v>1.3859999999999999</v>
      </c>
      <c r="D105" s="8">
        <v>38.725901089689849</v>
      </c>
      <c r="E105" t="s">
        <v>14</v>
      </c>
      <c r="F105" t="s">
        <v>9</v>
      </c>
      <c r="G105" s="5">
        <v>45920</v>
      </c>
    </row>
    <row r="106" spans="1:7">
      <c r="A106" s="3" t="s">
        <v>117</v>
      </c>
      <c r="B106" s="8">
        <v>3.823</v>
      </c>
      <c r="C106" s="8">
        <v>1.423</v>
      </c>
      <c r="D106" s="8">
        <v>37.222076902955799</v>
      </c>
      <c r="E106" t="s">
        <v>11</v>
      </c>
      <c r="F106" t="s">
        <v>12</v>
      </c>
      <c r="G106" s="5">
        <v>45929</v>
      </c>
    </row>
    <row r="107" spans="1:7">
      <c r="A107" s="3" t="s">
        <v>118</v>
      </c>
      <c r="B107" s="8">
        <v>3.4630000000000001</v>
      </c>
      <c r="C107" s="8">
        <v>1.3740000000000001</v>
      </c>
      <c r="D107" s="8">
        <v>39.676580999133705</v>
      </c>
      <c r="E107" t="s">
        <v>14</v>
      </c>
      <c r="F107" t="s">
        <v>9</v>
      </c>
      <c r="G107" s="5">
        <v>45932</v>
      </c>
    </row>
    <row r="108" spans="1:7">
      <c r="A108" s="3" t="s">
        <v>119</v>
      </c>
      <c r="B108" s="8">
        <v>3.69</v>
      </c>
      <c r="C108" s="8">
        <v>1.3440000000000001</v>
      </c>
      <c r="D108" s="8">
        <v>36.422764227642276</v>
      </c>
      <c r="E108" t="s">
        <v>16</v>
      </c>
      <c r="F108" t="s">
        <v>12</v>
      </c>
      <c r="G108" s="5">
        <v>45935</v>
      </c>
    </row>
    <row r="109" spans="1:7">
      <c r="A109" s="3" t="s">
        <v>120</v>
      </c>
      <c r="B109" s="8">
        <v>3.6320000000000001</v>
      </c>
      <c r="C109" s="8">
        <v>1.3049999999999999</v>
      </c>
      <c r="D109" s="8">
        <v>35.930616740088098</v>
      </c>
      <c r="E109" t="s">
        <v>8</v>
      </c>
      <c r="F109" t="s">
        <v>9</v>
      </c>
      <c r="G109" s="5">
        <v>45938</v>
      </c>
    </row>
    <row r="110" spans="1:7">
      <c r="A110" s="3" t="s">
        <v>121</v>
      </c>
      <c r="B110" s="8">
        <v>3.3450000000000002</v>
      </c>
      <c r="C110" s="8">
        <v>1.296</v>
      </c>
      <c r="D110" s="8">
        <v>38.744394618834079</v>
      </c>
      <c r="E110" t="s">
        <v>11</v>
      </c>
      <c r="F110" t="s">
        <v>12</v>
      </c>
      <c r="G110" s="5">
        <v>45941</v>
      </c>
    </row>
    <row r="111" spans="1:7">
      <c r="A111" s="3" t="s">
        <v>122</v>
      </c>
      <c r="B111" s="8">
        <v>3.3450000000000002</v>
      </c>
      <c r="C111" s="8">
        <v>1.6579999999999999</v>
      </c>
      <c r="D111" s="8">
        <v>49.566517189835565</v>
      </c>
      <c r="E111" t="s">
        <v>11</v>
      </c>
      <c r="F111" t="s">
        <v>12</v>
      </c>
      <c r="G111" s="5">
        <v>45941</v>
      </c>
    </row>
    <row r="112" spans="1:7">
      <c r="A112" s="3" t="s">
        <v>123</v>
      </c>
      <c r="B112" s="8">
        <v>3.5790000000000002</v>
      </c>
      <c r="C112" s="8">
        <v>1.365</v>
      </c>
      <c r="D112" s="8">
        <v>38.139145012573344</v>
      </c>
      <c r="E112" t="s">
        <v>16</v>
      </c>
      <c r="F112" t="s">
        <v>12</v>
      </c>
      <c r="G112" s="5">
        <v>45947</v>
      </c>
    </row>
    <row r="113" spans="1:7">
      <c r="A113" s="3" t="s">
        <v>124</v>
      </c>
      <c r="B113" s="8">
        <v>3.589</v>
      </c>
      <c r="C113" s="8">
        <v>1.335</v>
      </c>
      <c r="D113" s="8">
        <v>37.196990805238229</v>
      </c>
      <c r="E113" t="s">
        <v>8</v>
      </c>
      <c r="F113" t="s">
        <v>9</v>
      </c>
      <c r="G113" s="5">
        <v>45300</v>
      </c>
    </row>
    <row r="114" spans="1:7">
      <c r="A114" s="3" t="s">
        <v>125</v>
      </c>
      <c r="B114" s="8">
        <v>3.6779999999999999</v>
      </c>
      <c r="C114" s="8">
        <v>1.407</v>
      </c>
      <c r="D114" s="8">
        <v>38.254486133768353</v>
      </c>
      <c r="E114" t="s">
        <v>11</v>
      </c>
      <c r="F114" t="s">
        <v>12</v>
      </c>
      <c r="G114" s="5">
        <v>45303</v>
      </c>
    </row>
    <row r="115" spans="1:7">
      <c r="A115" s="3" t="s">
        <v>126</v>
      </c>
      <c r="B115" s="8">
        <v>3.9809999999999999</v>
      </c>
      <c r="C115" s="8">
        <v>1.492</v>
      </c>
      <c r="D115" s="8">
        <v>37.478020597839738</v>
      </c>
      <c r="E115" t="s">
        <v>14</v>
      </c>
      <c r="F115" t="s">
        <v>9</v>
      </c>
      <c r="G115" s="5">
        <v>45306</v>
      </c>
    </row>
    <row r="116" spans="1:7">
      <c r="A116" s="3" t="s">
        <v>127</v>
      </c>
      <c r="B116" s="8">
        <v>3.524</v>
      </c>
      <c r="C116" s="8">
        <v>1.306</v>
      </c>
      <c r="D116" s="8">
        <v>37.060158910329172</v>
      </c>
      <c r="E116" t="s">
        <v>16</v>
      </c>
      <c r="F116" t="s">
        <v>12</v>
      </c>
      <c r="G116" s="5">
        <v>45309</v>
      </c>
    </row>
    <row r="117" spans="1:7">
      <c r="A117" s="3" t="s">
        <v>128</v>
      </c>
      <c r="B117" s="8">
        <v>3.71</v>
      </c>
      <c r="C117" s="8">
        <v>1.397</v>
      </c>
      <c r="D117" s="8">
        <v>37.654986522911052</v>
      </c>
      <c r="E117" t="s">
        <v>8</v>
      </c>
      <c r="F117" t="s">
        <v>9</v>
      </c>
      <c r="G117" s="5">
        <v>45312</v>
      </c>
    </row>
    <row r="118" spans="1:7">
      <c r="A118" s="3" t="s">
        <v>129</v>
      </c>
      <c r="B118" s="8">
        <v>3.4740000000000002</v>
      </c>
      <c r="C118" s="8">
        <v>1.286</v>
      </c>
      <c r="D118" s="8">
        <v>37.017846862406444</v>
      </c>
      <c r="E118" t="s">
        <v>11</v>
      </c>
      <c r="F118" t="s">
        <v>12</v>
      </c>
      <c r="G118" s="5">
        <v>45315</v>
      </c>
    </row>
    <row r="119" spans="1:7">
      <c r="A119" s="3" t="s">
        <v>130</v>
      </c>
      <c r="B119" s="8">
        <v>3.8180000000000001</v>
      </c>
      <c r="C119" s="8">
        <v>1.4650000000000001</v>
      </c>
      <c r="D119" s="8">
        <v>38.370874803562074</v>
      </c>
      <c r="E119" t="s">
        <v>14</v>
      </c>
      <c r="F119" t="s">
        <v>9</v>
      </c>
      <c r="G119" s="5">
        <v>45318</v>
      </c>
    </row>
    <row r="120" spans="1:7">
      <c r="A120" s="3" t="s">
        <v>131</v>
      </c>
      <c r="B120" s="8">
        <v>3.8180000000000001</v>
      </c>
      <c r="C120" s="8">
        <v>1.764</v>
      </c>
      <c r="D120" s="8">
        <v>46.202200104766895</v>
      </c>
      <c r="E120" t="s">
        <v>14</v>
      </c>
      <c r="F120" t="s">
        <v>9</v>
      </c>
      <c r="G120" s="5">
        <v>45318</v>
      </c>
    </row>
    <row r="121" spans="1:7">
      <c r="A121" s="3" t="s">
        <v>132</v>
      </c>
      <c r="B121" s="8">
        <v>3.573</v>
      </c>
      <c r="C121" s="8">
        <v>1.3089999999999999</v>
      </c>
      <c r="D121" s="8">
        <v>36.635880212706404</v>
      </c>
      <c r="E121" t="s">
        <v>11</v>
      </c>
      <c r="F121" t="s">
        <v>12</v>
      </c>
      <c r="G121" s="5">
        <v>45327</v>
      </c>
    </row>
    <row r="122" spans="1:7">
      <c r="A122" s="3" t="s">
        <v>133</v>
      </c>
      <c r="B122" s="8">
        <v>3.9169999999999998</v>
      </c>
      <c r="C122" s="8">
        <v>1.5129999999999999</v>
      </c>
      <c r="D122" s="8">
        <v>38.626499872351289</v>
      </c>
      <c r="E122" t="s">
        <v>14</v>
      </c>
      <c r="F122" t="s">
        <v>9</v>
      </c>
      <c r="G122" s="5">
        <v>45330</v>
      </c>
    </row>
    <row r="123" spans="1:7">
      <c r="A123" s="3" t="s">
        <v>134</v>
      </c>
      <c r="B123" s="8">
        <v>3.9169999999999998</v>
      </c>
      <c r="C123" s="8">
        <v>1.909</v>
      </c>
      <c r="D123" s="8">
        <v>48.736277763594593</v>
      </c>
      <c r="E123" t="s">
        <v>14</v>
      </c>
      <c r="F123" t="s">
        <v>9</v>
      </c>
      <c r="G123" s="5">
        <v>45330</v>
      </c>
    </row>
    <row r="124" spans="1:7">
      <c r="A124" s="3" t="s">
        <v>135</v>
      </c>
      <c r="B124" s="8">
        <v>3.7629999999999999</v>
      </c>
      <c r="C124" s="8">
        <v>1.3979999999999999</v>
      </c>
      <c r="D124" s="8">
        <v>37.151209141642305</v>
      </c>
      <c r="E124" t="s">
        <v>16</v>
      </c>
      <c r="F124" t="s">
        <v>12</v>
      </c>
      <c r="G124" s="5">
        <v>45333</v>
      </c>
    </row>
    <row r="125" spans="1:7">
      <c r="A125" s="3" t="s">
        <v>136</v>
      </c>
      <c r="B125" s="8">
        <v>3.7629999999999999</v>
      </c>
      <c r="C125" s="8">
        <v>1.77</v>
      </c>
      <c r="D125" s="8">
        <v>47.036938612808932</v>
      </c>
      <c r="E125" t="s">
        <v>16</v>
      </c>
      <c r="F125" t="s">
        <v>12</v>
      </c>
      <c r="G125" s="5">
        <v>45333</v>
      </c>
    </row>
    <row r="126" spans="1:7">
      <c r="A126" s="3" t="s">
        <v>137</v>
      </c>
      <c r="B126" s="8">
        <v>3.5419999999999998</v>
      </c>
      <c r="C126" s="8">
        <v>1.276</v>
      </c>
      <c r="D126" s="8">
        <v>36.024844720496894</v>
      </c>
      <c r="E126" t="s">
        <v>8</v>
      </c>
      <c r="F126" t="s">
        <v>9</v>
      </c>
      <c r="G126" s="5">
        <v>45336</v>
      </c>
    </row>
    <row r="127" spans="1:7">
      <c r="A127" s="3" t="s">
        <v>138</v>
      </c>
      <c r="B127" s="8">
        <v>3.7360000000000002</v>
      </c>
      <c r="C127" s="8">
        <v>1.4450000000000001</v>
      </c>
      <c r="D127" s="8">
        <v>38.677730192719487</v>
      </c>
      <c r="E127" t="s">
        <v>11</v>
      </c>
      <c r="F127" t="s">
        <v>12</v>
      </c>
      <c r="G127" s="5">
        <v>45339</v>
      </c>
    </row>
    <row r="128" spans="1:7">
      <c r="A128" s="3" t="s">
        <v>139</v>
      </c>
      <c r="B128" s="8">
        <v>3.7360000000000002</v>
      </c>
      <c r="C128" s="8">
        <v>1.764</v>
      </c>
      <c r="D128" s="8">
        <v>47.216274089935759</v>
      </c>
      <c r="E128" t="s">
        <v>11</v>
      </c>
      <c r="F128" t="s">
        <v>12</v>
      </c>
      <c r="G128" s="5">
        <v>45339</v>
      </c>
    </row>
    <row r="129" spans="1:7">
      <c r="A129" s="3" t="s">
        <v>140</v>
      </c>
      <c r="B129" s="8">
        <v>3.4239999999999999</v>
      </c>
      <c r="C129" s="8">
        <v>1.26</v>
      </c>
      <c r="D129" s="8">
        <v>36.799065420560751</v>
      </c>
      <c r="E129" t="s">
        <v>14</v>
      </c>
      <c r="F129" t="s">
        <v>9</v>
      </c>
      <c r="G129" s="5">
        <v>45342</v>
      </c>
    </row>
    <row r="130" spans="1:7">
      <c r="A130" s="3" t="s">
        <v>141</v>
      </c>
      <c r="B130" s="8">
        <v>3.6880000000000002</v>
      </c>
      <c r="C130" s="8">
        <v>1.4419999999999999</v>
      </c>
      <c r="D130" s="8">
        <v>39.099783080260302</v>
      </c>
      <c r="E130" t="s">
        <v>8</v>
      </c>
      <c r="F130" t="s">
        <v>9</v>
      </c>
      <c r="G130" s="5">
        <v>45348</v>
      </c>
    </row>
    <row r="131" spans="1:7">
      <c r="A131" s="3" t="s">
        <v>142</v>
      </c>
      <c r="B131" s="8">
        <v>3.9340000000000002</v>
      </c>
      <c r="C131" s="8">
        <v>1.427</v>
      </c>
      <c r="D131" s="8">
        <v>36.273512963904423</v>
      </c>
      <c r="E131" t="s">
        <v>16</v>
      </c>
      <c r="F131" t="s">
        <v>12</v>
      </c>
      <c r="G131" s="5">
        <v>45357</v>
      </c>
    </row>
    <row r="132" spans="1:7">
      <c r="A132" s="3" t="s">
        <v>143</v>
      </c>
      <c r="B132" s="8">
        <v>3.6619999999999999</v>
      </c>
      <c r="C132" s="8">
        <v>1.377</v>
      </c>
      <c r="D132" s="8">
        <v>37.602403058438014</v>
      </c>
      <c r="E132" t="s">
        <v>8</v>
      </c>
      <c r="F132" t="s">
        <v>9</v>
      </c>
      <c r="G132" s="5">
        <v>45360</v>
      </c>
    </row>
    <row r="133" spans="1:7">
      <c r="A133" s="3" t="s">
        <v>144</v>
      </c>
      <c r="B133" s="8">
        <v>3.9470000000000001</v>
      </c>
      <c r="C133" s="8">
        <v>1.57</v>
      </c>
      <c r="D133" s="8">
        <v>39.777045857613381</v>
      </c>
      <c r="E133" t="s">
        <v>14</v>
      </c>
      <c r="F133" t="s">
        <v>9</v>
      </c>
      <c r="G133" s="5">
        <v>45366</v>
      </c>
    </row>
    <row r="134" spans="1:7">
      <c r="A134" s="3" t="s">
        <v>145</v>
      </c>
      <c r="B134" s="8">
        <v>3.597</v>
      </c>
      <c r="C134" s="8">
        <v>1.3380000000000001</v>
      </c>
      <c r="D134" s="8">
        <v>37.197664720600507</v>
      </c>
      <c r="E134" t="s">
        <v>8</v>
      </c>
      <c r="F134" t="s">
        <v>9</v>
      </c>
      <c r="G134" s="5">
        <v>45372</v>
      </c>
    </row>
    <row r="135" spans="1:7">
      <c r="A135" s="3" t="s">
        <v>146</v>
      </c>
      <c r="B135" s="8">
        <v>3.8849999999999998</v>
      </c>
      <c r="C135" s="8">
        <v>1.5720000000000001</v>
      </c>
      <c r="D135" s="8">
        <v>40.463320463320471</v>
      </c>
      <c r="E135" t="s">
        <v>11</v>
      </c>
      <c r="F135" t="s">
        <v>12</v>
      </c>
      <c r="G135" s="5">
        <v>45375</v>
      </c>
    </row>
    <row r="136" spans="1:7">
      <c r="A136" s="3" t="s">
        <v>147</v>
      </c>
      <c r="B136" s="8">
        <v>3.7280000000000002</v>
      </c>
      <c r="C136" s="8">
        <v>1.4810000000000001</v>
      </c>
      <c r="D136" s="8">
        <v>39.726394849785407</v>
      </c>
      <c r="E136" t="s">
        <v>14</v>
      </c>
      <c r="F136" t="s">
        <v>9</v>
      </c>
      <c r="G136" s="5">
        <v>45378</v>
      </c>
    </row>
    <row r="137" spans="1:7">
      <c r="A137" s="3" t="s">
        <v>148</v>
      </c>
      <c r="B137" s="8">
        <v>3.7280000000000002</v>
      </c>
      <c r="C137" s="8">
        <v>1.8129999999999999</v>
      </c>
      <c r="D137" s="8">
        <v>48.631974248927037</v>
      </c>
      <c r="E137" t="s">
        <v>14</v>
      </c>
      <c r="F137" t="s">
        <v>9</v>
      </c>
      <c r="G137" s="5">
        <v>45378</v>
      </c>
    </row>
    <row r="138" spans="1:7">
      <c r="A138" s="3" t="s">
        <v>149</v>
      </c>
      <c r="B138" s="8">
        <v>3.7650000000000001</v>
      </c>
      <c r="C138" s="8">
        <v>1.452</v>
      </c>
      <c r="D138" s="8">
        <v>38.565737051792823</v>
      </c>
      <c r="E138" t="s">
        <v>16</v>
      </c>
      <c r="F138" t="s">
        <v>12</v>
      </c>
      <c r="G138" s="5">
        <v>45381</v>
      </c>
    </row>
    <row r="139" spans="1:7">
      <c r="A139" s="3" t="s">
        <v>150</v>
      </c>
      <c r="B139" s="8">
        <v>3.504</v>
      </c>
      <c r="C139" s="8">
        <v>1.4119999999999999</v>
      </c>
      <c r="D139" s="8">
        <v>40.29680365296803</v>
      </c>
      <c r="E139" t="s">
        <v>8</v>
      </c>
      <c r="F139" t="s">
        <v>9</v>
      </c>
      <c r="G139" s="5">
        <v>45384</v>
      </c>
    </row>
    <row r="140" spans="1:7">
      <c r="A140" s="3" t="s">
        <v>151</v>
      </c>
      <c r="B140" s="8">
        <v>3.5459999999999998</v>
      </c>
      <c r="C140" s="8">
        <v>1.379</v>
      </c>
      <c r="D140" s="8">
        <v>38.888888888888893</v>
      </c>
      <c r="E140" t="s">
        <v>11</v>
      </c>
      <c r="F140" t="s">
        <v>12</v>
      </c>
      <c r="G140" s="5">
        <v>45387</v>
      </c>
    </row>
    <row r="141" spans="1:7">
      <c r="A141" s="3" t="s">
        <v>152</v>
      </c>
      <c r="B141" s="8">
        <v>3.45</v>
      </c>
      <c r="C141" s="8">
        <v>1.288</v>
      </c>
      <c r="D141" s="8">
        <v>37.333333333333336</v>
      </c>
      <c r="E141" t="s">
        <v>14</v>
      </c>
      <c r="F141" t="s">
        <v>9</v>
      </c>
      <c r="G141" s="5">
        <v>45390</v>
      </c>
    </row>
    <row r="142" spans="1:7">
      <c r="A142" s="3" t="s">
        <v>153</v>
      </c>
      <c r="B142" s="8">
        <v>3.7370000000000001</v>
      </c>
      <c r="C142" s="8">
        <v>1.351</v>
      </c>
      <c r="D142" s="8">
        <v>36.15199357773615</v>
      </c>
      <c r="E142" t="s">
        <v>16</v>
      </c>
      <c r="F142" t="s">
        <v>12</v>
      </c>
      <c r="G142" s="5">
        <v>45393</v>
      </c>
    </row>
    <row r="143" spans="1:7">
      <c r="A143" s="3" t="s">
        <v>154</v>
      </c>
      <c r="B143" s="8">
        <v>3.7749999999999999</v>
      </c>
      <c r="C143" s="8">
        <v>1.431</v>
      </c>
      <c r="D143" s="8">
        <v>37.907284768211923</v>
      </c>
      <c r="E143" t="s">
        <v>11</v>
      </c>
      <c r="F143" t="s">
        <v>12</v>
      </c>
      <c r="G143" s="5">
        <v>45399</v>
      </c>
    </row>
    <row r="144" spans="1:7">
      <c r="A144" s="3" t="s">
        <v>155</v>
      </c>
      <c r="B144" s="8">
        <v>4.0259999999999998</v>
      </c>
      <c r="C144" s="8">
        <v>1.577</v>
      </c>
      <c r="D144" s="8">
        <v>39.170392449080978</v>
      </c>
      <c r="E144" t="s">
        <v>14</v>
      </c>
      <c r="F144" t="s">
        <v>9</v>
      </c>
      <c r="G144" s="5">
        <v>45402</v>
      </c>
    </row>
    <row r="145" spans="1:7">
      <c r="A145" s="3" t="s">
        <v>156</v>
      </c>
      <c r="B145" s="8">
        <v>4.0259999999999998</v>
      </c>
      <c r="C145" s="8">
        <v>1.9930000000000001</v>
      </c>
      <c r="D145" s="8">
        <v>49.503229011425738</v>
      </c>
      <c r="E145" t="s">
        <v>14</v>
      </c>
      <c r="F145" t="s">
        <v>9</v>
      </c>
      <c r="G145" s="5">
        <v>45402</v>
      </c>
    </row>
    <row r="146" spans="1:7">
      <c r="A146" s="3" t="s">
        <v>157</v>
      </c>
      <c r="B146" s="8">
        <v>3.419</v>
      </c>
      <c r="C146" s="8">
        <v>1.27</v>
      </c>
      <c r="D146" s="8">
        <v>37.145364141561856</v>
      </c>
      <c r="E146" t="s">
        <v>16</v>
      </c>
      <c r="F146" t="s">
        <v>12</v>
      </c>
      <c r="G146" s="5">
        <v>45405</v>
      </c>
    </row>
    <row r="147" spans="1:7">
      <c r="A147" s="3" t="s">
        <v>158</v>
      </c>
      <c r="B147" s="8">
        <v>3.8380000000000001</v>
      </c>
      <c r="C147" s="8">
        <v>1.357</v>
      </c>
      <c r="D147" s="8">
        <v>35.356956748306409</v>
      </c>
      <c r="E147" t="s">
        <v>11</v>
      </c>
      <c r="F147" t="s">
        <v>12</v>
      </c>
      <c r="G147" s="5">
        <v>45411</v>
      </c>
    </row>
    <row r="148" spans="1:7">
      <c r="A148" s="3" t="s">
        <v>159</v>
      </c>
      <c r="B148" s="8">
        <v>3.6379999999999999</v>
      </c>
      <c r="C148" s="8">
        <v>1.413</v>
      </c>
      <c r="D148" s="8">
        <v>38.840021990104454</v>
      </c>
      <c r="E148" t="s">
        <v>14</v>
      </c>
      <c r="F148" t="s">
        <v>9</v>
      </c>
      <c r="G148" s="5">
        <v>45414</v>
      </c>
    </row>
    <row r="149" spans="1:7">
      <c r="A149" s="3" t="s">
        <v>160</v>
      </c>
      <c r="B149" s="8">
        <v>3.395</v>
      </c>
      <c r="C149" s="8">
        <v>1.391</v>
      </c>
      <c r="D149" s="8">
        <v>40.972017673048597</v>
      </c>
      <c r="E149" t="s">
        <v>16</v>
      </c>
      <c r="F149" t="s">
        <v>12</v>
      </c>
      <c r="G149" s="5">
        <v>45417</v>
      </c>
    </row>
    <row r="150" spans="1:7">
      <c r="A150" s="3" t="s">
        <v>161</v>
      </c>
      <c r="B150" s="8">
        <v>3.9660000000000002</v>
      </c>
      <c r="C150" s="8">
        <v>1.5529999999999999</v>
      </c>
      <c r="D150" s="8">
        <v>39.157841654059503</v>
      </c>
      <c r="E150" t="s">
        <v>8</v>
      </c>
      <c r="F150" t="s">
        <v>9</v>
      </c>
      <c r="G150" s="5">
        <v>45420</v>
      </c>
    </row>
    <row r="151" spans="1:7">
      <c r="A151" s="3" t="s">
        <v>162</v>
      </c>
      <c r="B151" s="8">
        <v>3.3340000000000001</v>
      </c>
      <c r="C151" s="8">
        <v>1.3089999999999999</v>
      </c>
      <c r="D151" s="8">
        <v>39.262147570485901</v>
      </c>
      <c r="E151" t="s">
        <v>11</v>
      </c>
      <c r="F151" t="s">
        <v>12</v>
      </c>
      <c r="G151" s="5">
        <v>45423</v>
      </c>
    </row>
    <row r="152" spans="1:7">
      <c r="A152" s="3" t="s">
        <v>163</v>
      </c>
      <c r="B152" s="8">
        <v>3.5990000000000002</v>
      </c>
      <c r="C152" s="8">
        <v>1.35</v>
      </c>
      <c r="D152" s="8">
        <v>37.510419560989163</v>
      </c>
      <c r="E152" t="s">
        <v>16</v>
      </c>
      <c r="F152" t="s">
        <v>12</v>
      </c>
      <c r="G152" s="5">
        <v>45429</v>
      </c>
    </row>
    <row r="153" spans="1:7">
      <c r="A153" s="3" t="s">
        <v>164</v>
      </c>
      <c r="B153" s="8">
        <v>3.1869999999999998</v>
      </c>
      <c r="C153" s="8">
        <v>1.1879999999999999</v>
      </c>
      <c r="D153" s="8">
        <v>37.276435519297145</v>
      </c>
      <c r="E153" t="s">
        <v>8</v>
      </c>
      <c r="F153" t="s">
        <v>9</v>
      </c>
      <c r="G153" s="5">
        <v>45432</v>
      </c>
    </row>
    <row r="154" spans="1:7">
      <c r="A154" s="3" t="s">
        <v>165</v>
      </c>
      <c r="B154" s="8">
        <v>3.7989999999999999</v>
      </c>
      <c r="C154" s="8">
        <v>1.361</v>
      </c>
      <c r="D154" s="8">
        <v>35.825217162411164</v>
      </c>
      <c r="E154" t="s">
        <v>14</v>
      </c>
      <c r="F154" t="s">
        <v>9</v>
      </c>
      <c r="G154" s="5">
        <v>45438</v>
      </c>
    </row>
    <row r="155" spans="1:7">
      <c r="A155" s="3" t="s">
        <v>166</v>
      </c>
      <c r="B155" s="8">
        <v>3.7210000000000001</v>
      </c>
      <c r="C155" s="8">
        <v>1.4830000000000001</v>
      </c>
      <c r="D155" s="8">
        <v>39.854877721042733</v>
      </c>
      <c r="E155" t="s">
        <v>16</v>
      </c>
      <c r="F155" t="s">
        <v>12</v>
      </c>
      <c r="G155" s="5">
        <v>45441</v>
      </c>
    </row>
    <row r="156" spans="1:7">
      <c r="A156" s="3" t="s">
        <v>167</v>
      </c>
      <c r="B156" s="8">
        <v>3.7010000000000001</v>
      </c>
      <c r="C156" s="8">
        <v>1.411</v>
      </c>
      <c r="D156" s="8">
        <v>38.124831126722505</v>
      </c>
      <c r="E156" t="s">
        <v>8</v>
      </c>
      <c r="F156" t="s">
        <v>9</v>
      </c>
      <c r="G156" s="5">
        <v>45444</v>
      </c>
    </row>
    <row r="157" spans="1:7">
      <c r="A157" s="3" t="s">
        <v>168</v>
      </c>
      <c r="B157" s="8">
        <v>3.5510000000000002</v>
      </c>
      <c r="C157" s="8">
        <v>1.4039999999999999</v>
      </c>
      <c r="D157" s="8">
        <v>39.538158265277382</v>
      </c>
      <c r="E157" t="s">
        <v>11</v>
      </c>
      <c r="F157" t="s">
        <v>12</v>
      </c>
      <c r="G157" s="5">
        <v>45447</v>
      </c>
    </row>
    <row r="158" spans="1:7">
      <c r="A158" s="3" t="s">
        <v>169</v>
      </c>
      <c r="B158" s="8">
        <v>3.677</v>
      </c>
      <c r="C158" s="8">
        <v>1.462</v>
      </c>
      <c r="D158" s="8">
        <v>39.760674462877347</v>
      </c>
      <c r="E158" t="s">
        <v>14</v>
      </c>
      <c r="F158" t="s">
        <v>9</v>
      </c>
      <c r="G158" s="5">
        <v>45450</v>
      </c>
    </row>
    <row r="159" spans="1:7">
      <c r="A159" s="3" t="s">
        <v>170</v>
      </c>
      <c r="B159" s="8">
        <v>3.26</v>
      </c>
      <c r="C159" s="8">
        <v>1.306</v>
      </c>
      <c r="D159" s="8">
        <v>40.061349693251536</v>
      </c>
      <c r="E159" t="s">
        <v>8</v>
      </c>
      <c r="F159" t="s">
        <v>9</v>
      </c>
      <c r="G159" s="5">
        <v>45456</v>
      </c>
    </row>
    <row r="160" spans="1:7">
      <c r="A160" s="3" t="s">
        <v>171</v>
      </c>
      <c r="B160" s="8">
        <v>3.468</v>
      </c>
      <c r="C160" s="8">
        <v>1.3240000000000001</v>
      </c>
      <c r="D160" s="8">
        <v>38.17762399077278</v>
      </c>
      <c r="E160" t="s">
        <v>8</v>
      </c>
      <c r="F160" t="s">
        <v>9</v>
      </c>
      <c r="G160" s="5">
        <v>45468</v>
      </c>
    </row>
    <row r="161" spans="1:7">
      <c r="A161" s="3" t="s">
        <v>172</v>
      </c>
      <c r="B161" s="8">
        <v>3.823</v>
      </c>
      <c r="C161" s="8">
        <v>1.423</v>
      </c>
      <c r="D161" s="8">
        <v>37.222076902955799</v>
      </c>
      <c r="E161" t="s">
        <v>14</v>
      </c>
      <c r="F161" t="s">
        <v>9</v>
      </c>
      <c r="G161" s="5">
        <v>45474</v>
      </c>
    </row>
    <row r="162" spans="1:7">
      <c r="A162" s="3" t="s">
        <v>173</v>
      </c>
      <c r="B162" s="8">
        <v>3.5920000000000001</v>
      </c>
      <c r="C162" s="8">
        <v>1.341</v>
      </c>
      <c r="D162" s="8">
        <v>37.332962138084632</v>
      </c>
      <c r="E162" t="s">
        <v>16</v>
      </c>
      <c r="F162" t="s">
        <v>12</v>
      </c>
      <c r="G162" s="5">
        <v>45477</v>
      </c>
    </row>
    <row r="163" spans="1:7">
      <c r="A163" s="3" t="s">
        <v>174</v>
      </c>
      <c r="B163" s="8">
        <v>3.4</v>
      </c>
      <c r="C163" s="8">
        <v>1.3540000000000001</v>
      </c>
      <c r="D163" s="8">
        <v>39.82352941176471</v>
      </c>
      <c r="E163" t="s">
        <v>14</v>
      </c>
      <c r="F163" t="s">
        <v>9</v>
      </c>
      <c r="G163" s="5">
        <v>45486</v>
      </c>
    </row>
    <row r="164" spans="1:7">
      <c r="A164" s="3" t="s">
        <v>175</v>
      </c>
      <c r="B164" s="8">
        <v>3.5619999999999998</v>
      </c>
      <c r="C164" s="8">
        <v>1.3049999999999999</v>
      </c>
      <c r="D164" s="8">
        <v>36.636720943290285</v>
      </c>
      <c r="E164" t="s">
        <v>16</v>
      </c>
      <c r="F164" t="s">
        <v>12</v>
      </c>
      <c r="G164" s="5">
        <v>45489</v>
      </c>
    </row>
    <row r="165" spans="1:7">
      <c r="A165" s="3" t="s">
        <v>176</v>
      </c>
      <c r="B165" s="8">
        <v>3.7349999999999999</v>
      </c>
      <c r="C165" s="8">
        <v>1.4039999999999999</v>
      </c>
      <c r="D165" s="8">
        <v>37.590361445783131</v>
      </c>
      <c r="E165" t="s">
        <v>8</v>
      </c>
      <c r="F165" t="s">
        <v>9</v>
      </c>
      <c r="G165" s="5">
        <v>45492</v>
      </c>
    </row>
    <row r="166" spans="1:7">
      <c r="A166" s="3" t="s">
        <v>177</v>
      </c>
      <c r="B166" s="8">
        <v>3.4910000000000001</v>
      </c>
      <c r="C166" s="8">
        <v>1.335</v>
      </c>
      <c r="D166" s="8">
        <v>38.241191635634486</v>
      </c>
      <c r="E166" t="s">
        <v>11</v>
      </c>
      <c r="F166" t="s">
        <v>12</v>
      </c>
      <c r="G166" s="5">
        <v>45495</v>
      </c>
    </row>
    <row r="167" spans="1:7">
      <c r="A167" s="3" t="s">
        <v>178</v>
      </c>
      <c r="B167" s="8">
        <v>4.0060000000000002</v>
      </c>
      <c r="C167" s="8">
        <v>1.504</v>
      </c>
      <c r="D167" s="8">
        <v>37.543684473290064</v>
      </c>
      <c r="E167" t="s">
        <v>8</v>
      </c>
      <c r="F167" t="s">
        <v>9</v>
      </c>
      <c r="G167" s="5">
        <v>45504</v>
      </c>
    </row>
    <row r="168" spans="1:7">
      <c r="A168" s="3" t="s">
        <v>179</v>
      </c>
      <c r="B168" s="8">
        <v>3.363</v>
      </c>
      <c r="C168" s="8">
        <v>1.2889999999999999</v>
      </c>
      <c r="D168" s="8">
        <v>38.328873030032703</v>
      </c>
      <c r="E168" t="s">
        <v>11</v>
      </c>
      <c r="F168" t="s">
        <v>12</v>
      </c>
      <c r="G168" s="5">
        <v>45507</v>
      </c>
    </row>
    <row r="169" spans="1:7">
      <c r="A169" s="3" t="s">
        <v>180</v>
      </c>
      <c r="B169" s="8">
        <v>3.7559999999999998</v>
      </c>
      <c r="C169" s="8">
        <v>1.4</v>
      </c>
      <c r="D169" s="8">
        <v>37.273695420660275</v>
      </c>
      <c r="E169" t="s">
        <v>11</v>
      </c>
      <c r="F169" t="s">
        <v>12</v>
      </c>
      <c r="G169" s="5">
        <v>45519</v>
      </c>
    </row>
    <row r="170" spans="1:7">
      <c r="A170" s="3" t="s">
        <v>181</v>
      </c>
      <c r="B170" s="8">
        <v>3.577</v>
      </c>
      <c r="C170" s="8">
        <v>1.2969999999999999</v>
      </c>
      <c r="D170" s="8">
        <v>36.259435280961696</v>
      </c>
      <c r="E170" t="s">
        <v>14</v>
      </c>
      <c r="F170" t="s">
        <v>9</v>
      </c>
      <c r="G170" s="5">
        <v>45522</v>
      </c>
    </row>
    <row r="171" spans="1:7">
      <c r="A171" s="3" t="s">
        <v>182</v>
      </c>
      <c r="B171" s="8">
        <v>3.282</v>
      </c>
      <c r="C171" s="8">
        <v>1.302</v>
      </c>
      <c r="D171" s="8">
        <v>39.670932358318097</v>
      </c>
      <c r="E171" t="s">
        <v>8</v>
      </c>
      <c r="F171" t="s">
        <v>9</v>
      </c>
      <c r="G171" s="5">
        <v>45528</v>
      </c>
    </row>
    <row r="172" spans="1:7">
      <c r="A172" s="3" t="s">
        <v>183</v>
      </c>
      <c r="B172" s="8">
        <v>3.8450000000000002</v>
      </c>
      <c r="C172" s="8">
        <v>1.5049999999999999</v>
      </c>
      <c r="D172" s="8">
        <v>39.141742522756822</v>
      </c>
      <c r="E172" t="s">
        <v>11</v>
      </c>
      <c r="F172" t="s">
        <v>12</v>
      </c>
      <c r="G172" s="5">
        <v>45531</v>
      </c>
    </row>
    <row r="173" spans="1:7">
      <c r="A173" s="3" t="s">
        <v>184</v>
      </c>
      <c r="B173" s="8">
        <v>3.923</v>
      </c>
      <c r="C173" s="8">
        <v>1.4610000000000001</v>
      </c>
      <c r="D173" s="8">
        <v>37.241906704053022</v>
      </c>
      <c r="E173" t="s">
        <v>16</v>
      </c>
      <c r="F173" t="s">
        <v>12</v>
      </c>
      <c r="G173" s="5">
        <v>45537</v>
      </c>
    </row>
    <row r="174" spans="1:7">
      <c r="A174" s="3" t="s">
        <v>185</v>
      </c>
      <c r="B174" s="8">
        <v>3.6669999999999998</v>
      </c>
      <c r="C174" s="8">
        <v>1.4550000000000001</v>
      </c>
      <c r="D174" s="8">
        <v>39.67821107172076</v>
      </c>
      <c r="E174" t="s">
        <v>8</v>
      </c>
      <c r="F174" t="s">
        <v>9</v>
      </c>
      <c r="G174" s="5">
        <v>45540</v>
      </c>
    </row>
    <row r="175" spans="1:7">
      <c r="A175" s="3" t="s">
        <v>186</v>
      </c>
      <c r="B175" s="8">
        <v>3.44</v>
      </c>
      <c r="C175" s="8">
        <v>1.266</v>
      </c>
      <c r="D175" s="8">
        <v>36.802325581395351</v>
      </c>
      <c r="E175" t="s">
        <v>14</v>
      </c>
      <c r="F175" t="s">
        <v>9</v>
      </c>
      <c r="G175" s="5">
        <v>45546</v>
      </c>
    </row>
    <row r="176" spans="1:7">
      <c r="A176" s="3" t="s">
        <v>187</v>
      </c>
      <c r="B176" s="8">
        <v>3.1019999999999999</v>
      </c>
      <c r="C176" s="8">
        <v>1.145</v>
      </c>
      <c r="D176" s="8">
        <v>36.911669890393298</v>
      </c>
      <c r="E176" t="s">
        <v>8</v>
      </c>
      <c r="F176" t="s">
        <v>9</v>
      </c>
      <c r="G176" s="5">
        <v>45552</v>
      </c>
    </row>
    <row r="177" spans="1:7">
      <c r="A177" s="3" t="s">
        <v>188</v>
      </c>
      <c r="B177" s="8">
        <v>3.9119999999999999</v>
      </c>
      <c r="C177" s="8">
        <v>1.45</v>
      </c>
      <c r="D177" s="8">
        <v>37.065439672801638</v>
      </c>
      <c r="E177" t="s">
        <v>11</v>
      </c>
      <c r="F177" t="s">
        <v>12</v>
      </c>
      <c r="G177" s="5">
        <v>45555</v>
      </c>
    </row>
    <row r="178" spans="1:7">
      <c r="A178" s="3" t="s">
        <v>189</v>
      </c>
      <c r="B178" s="8">
        <v>4.016</v>
      </c>
      <c r="C178" s="8">
        <v>1.4890000000000001</v>
      </c>
      <c r="D178" s="8">
        <v>37.076693227091631</v>
      </c>
      <c r="E178" t="s">
        <v>14</v>
      </c>
      <c r="F178" t="s">
        <v>9</v>
      </c>
      <c r="G178" s="5">
        <v>45558</v>
      </c>
    </row>
    <row r="179" spans="1:7">
      <c r="A179" s="3" t="s">
        <v>190</v>
      </c>
      <c r="B179" s="8">
        <v>2.1</v>
      </c>
      <c r="C179" s="8">
        <v>0.9</v>
      </c>
      <c r="D179" s="8">
        <v>42.857142857142854</v>
      </c>
      <c r="E179" t="s">
        <v>14</v>
      </c>
      <c r="F179" t="s">
        <v>191</v>
      </c>
      <c r="G179" s="5">
        <v>45839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06"/>
  <sheetViews>
    <sheetView workbookViewId="0"/>
  </sheetViews>
  <sheetFormatPr defaultRowHeight="14.25"/>
  <cols>
    <col min="1" max="9" width="23" customWidth="1"/>
  </cols>
  <sheetData>
    <row r="1" spans="1:10" ht="32.1" customHeight="1">
      <c r="A1" s="12" t="s">
        <v>192</v>
      </c>
      <c r="B1" s="12" t="s">
        <v>193</v>
      </c>
      <c r="C1" s="12" t="s">
        <v>0</v>
      </c>
      <c r="D1" s="12" t="s">
        <v>194</v>
      </c>
      <c r="E1" s="12" t="s">
        <v>195</v>
      </c>
      <c r="F1" s="12" t="s">
        <v>196</v>
      </c>
      <c r="G1" s="12" t="s">
        <v>197</v>
      </c>
      <c r="H1" s="12" t="s">
        <v>198</v>
      </c>
      <c r="I1" s="12" t="s">
        <v>199</v>
      </c>
      <c r="J1" s="13" t="s">
        <v>200</v>
      </c>
    </row>
    <row r="2" spans="1:10">
      <c r="A2" s="3" t="s">
        <v>201</v>
      </c>
      <c r="B2" s="3" t="s">
        <v>202</v>
      </c>
      <c r="C2" s="3"/>
      <c r="D2" s="3"/>
      <c r="E2" s="3" t="s">
        <v>203</v>
      </c>
      <c r="F2" s="3"/>
      <c r="G2" s="3"/>
      <c r="H2" s="3"/>
      <c r="I2" s="3"/>
      <c r="J2" t="s">
        <v>204</v>
      </c>
    </row>
    <row r="3" spans="1:10">
      <c r="A3" s="3" t="s">
        <v>201</v>
      </c>
      <c r="B3" s="3" t="s">
        <v>202</v>
      </c>
      <c r="C3" s="3"/>
      <c r="D3" s="3"/>
      <c r="E3" s="3" t="s">
        <v>205</v>
      </c>
      <c r="F3" s="3"/>
      <c r="G3" s="3"/>
      <c r="H3" s="3"/>
      <c r="I3" s="3"/>
      <c r="J3" t="s">
        <v>206</v>
      </c>
    </row>
    <row r="4" spans="1:10">
      <c r="A4" s="3" t="s">
        <v>201</v>
      </c>
      <c r="B4" s="3" t="s">
        <v>202</v>
      </c>
      <c r="C4" s="3"/>
      <c r="D4" s="3"/>
      <c r="E4" s="3"/>
      <c r="F4" s="3" t="s">
        <v>207</v>
      </c>
      <c r="G4" s="3"/>
      <c r="H4" s="3"/>
      <c r="I4" s="3"/>
      <c r="J4" t="s">
        <v>208</v>
      </c>
    </row>
    <row r="5" spans="1:10">
      <c r="A5" s="3" t="s">
        <v>201</v>
      </c>
      <c r="B5" s="3" t="s">
        <v>209</v>
      </c>
      <c r="C5" s="3"/>
      <c r="D5" s="3"/>
      <c r="E5" s="3" t="s">
        <v>210</v>
      </c>
      <c r="F5" s="3"/>
      <c r="G5" s="3"/>
      <c r="H5" s="3"/>
      <c r="I5" s="3"/>
      <c r="J5" t="s">
        <v>211</v>
      </c>
    </row>
    <row r="6" spans="1:10">
      <c r="A6" s="3" t="s">
        <v>201</v>
      </c>
      <c r="B6" s="3" t="s">
        <v>209</v>
      </c>
      <c r="C6" s="3"/>
      <c r="D6" s="3"/>
      <c r="E6" s="3"/>
      <c r="F6" s="3" t="s">
        <v>212</v>
      </c>
      <c r="G6" s="3"/>
      <c r="H6" s="3"/>
      <c r="I6" s="3"/>
      <c r="J6" t="s">
        <v>213</v>
      </c>
    </row>
    <row r="7" spans="1:10">
      <c r="A7" s="3" t="s">
        <v>201</v>
      </c>
      <c r="B7" s="3" t="s">
        <v>209</v>
      </c>
      <c r="C7" s="3"/>
      <c r="D7" s="3"/>
      <c r="E7" s="3"/>
      <c r="F7" s="3" t="s">
        <v>214</v>
      </c>
      <c r="G7" s="3"/>
      <c r="H7" s="3"/>
      <c r="I7" s="3"/>
      <c r="J7" t="s">
        <v>215</v>
      </c>
    </row>
    <row r="8" spans="1:10">
      <c r="A8" s="3" t="s">
        <v>201</v>
      </c>
      <c r="B8" s="3" t="s">
        <v>209</v>
      </c>
      <c r="C8" s="3"/>
      <c r="D8" s="3"/>
      <c r="E8" s="3"/>
      <c r="F8" s="3" t="s">
        <v>216</v>
      </c>
      <c r="G8" s="3"/>
      <c r="H8" s="3"/>
      <c r="I8" s="3"/>
      <c r="J8" t="s">
        <v>217</v>
      </c>
    </row>
    <row r="9" spans="1:10">
      <c r="A9" s="3" t="s">
        <v>218</v>
      </c>
      <c r="B9" s="3" t="s">
        <v>219</v>
      </c>
      <c r="C9" s="3"/>
      <c r="D9" s="3"/>
      <c r="E9" s="3" t="s">
        <v>220</v>
      </c>
      <c r="F9" s="3"/>
      <c r="G9" s="3"/>
      <c r="H9" s="3"/>
      <c r="I9" s="3"/>
      <c r="J9" t="s">
        <v>221</v>
      </c>
    </row>
    <row r="10" spans="1:10">
      <c r="A10" s="3" t="s">
        <v>218</v>
      </c>
      <c r="B10" s="3" t="s">
        <v>219</v>
      </c>
      <c r="C10" s="3"/>
      <c r="D10" s="3"/>
      <c r="E10" s="3" t="s">
        <v>222</v>
      </c>
      <c r="F10" s="3"/>
      <c r="G10" s="3"/>
      <c r="H10" s="3"/>
      <c r="I10" s="3"/>
      <c r="J10" t="s">
        <v>223</v>
      </c>
    </row>
    <row r="11" spans="1:10">
      <c r="A11" s="3" t="s">
        <v>218</v>
      </c>
      <c r="B11" s="3" t="s">
        <v>219</v>
      </c>
      <c r="C11" s="3"/>
      <c r="D11" s="3"/>
      <c r="E11" s="3"/>
      <c r="F11" s="3" t="s">
        <v>224</v>
      </c>
      <c r="G11" s="3"/>
      <c r="H11" s="3"/>
      <c r="I11" s="3"/>
      <c r="J11" t="s">
        <v>225</v>
      </c>
    </row>
    <row r="12" spans="1:10">
      <c r="A12" s="3" t="s">
        <v>218</v>
      </c>
      <c r="B12" s="3" t="s">
        <v>219</v>
      </c>
      <c r="C12" s="3"/>
      <c r="D12" s="3"/>
      <c r="E12" s="3"/>
      <c r="F12" s="3" t="s">
        <v>226</v>
      </c>
      <c r="G12" s="3"/>
      <c r="H12" s="3"/>
      <c r="I12" s="3"/>
      <c r="J12" t="s">
        <v>227</v>
      </c>
    </row>
    <row r="13" spans="1:10">
      <c r="A13" s="3" t="s">
        <v>218</v>
      </c>
      <c r="B13" s="3" t="s">
        <v>219</v>
      </c>
      <c r="C13" s="3"/>
      <c r="D13" s="3"/>
      <c r="E13" s="3"/>
      <c r="F13" s="3" t="s">
        <v>228</v>
      </c>
      <c r="G13" s="3"/>
      <c r="H13" s="3"/>
      <c r="I13" s="3"/>
      <c r="J13" t="s">
        <v>229</v>
      </c>
    </row>
    <row r="14" spans="1:10">
      <c r="A14" s="3" t="s">
        <v>218</v>
      </c>
      <c r="B14" s="3" t="s">
        <v>219</v>
      </c>
      <c r="C14" s="3"/>
      <c r="D14" s="3"/>
      <c r="E14" s="3"/>
      <c r="F14" s="3" t="s">
        <v>230</v>
      </c>
      <c r="G14" s="3"/>
      <c r="H14" s="3"/>
      <c r="I14" s="3"/>
      <c r="J14" t="s">
        <v>231</v>
      </c>
    </row>
    <row r="15" spans="1:10">
      <c r="A15" s="3" t="s">
        <v>232</v>
      </c>
      <c r="B15" s="3" t="s">
        <v>233</v>
      </c>
      <c r="C15" s="3"/>
      <c r="D15" s="3"/>
      <c r="E15" s="3" t="s">
        <v>234</v>
      </c>
      <c r="F15" s="3"/>
      <c r="G15" s="3"/>
      <c r="H15" s="3"/>
      <c r="I15" s="3"/>
      <c r="J15" t="s">
        <v>235</v>
      </c>
    </row>
    <row r="16" spans="1:10">
      <c r="A16" s="3" t="s">
        <v>232</v>
      </c>
      <c r="B16" s="3" t="s">
        <v>233</v>
      </c>
      <c r="C16" s="3"/>
      <c r="D16" s="3"/>
      <c r="E16" s="3" t="s">
        <v>236</v>
      </c>
      <c r="F16" s="3"/>
      <c r="G16" s="3"/>
      <c r="H16" s="3"/>
      <c r="I16" s="3"/>
      <c r="J16" t="s">
        <v>237</v>
      </c>
    </row>
    <row r="17" spans="1:10">
      <c r="A17" s="3" t="s">
        <v>232</v>
      </c>
      <c r="B17" s="3" t="s">
        <v>238</v>
      </c>
      <c r="C17" s="3"/>
      <c r="D17" s="3"/>
      <c r="E17" s="3" t="s">
        <v>239</v>
      </c>
      <c r="F17" s="3"/>
      <c r="G17" s="3"/>
      <c r="H17" s="3"/>
      <c r="I17" s="3"/>
      <c r="J17" t="s">
        <v>240</v>
      </c>
    </row>
    <row r="18" spans="1:10">
      <c r="A18" s="3" t="s">
        <v>232</v>
      </c>
      <c r="B18" s="3" t="s">
        <v>238</v>
      </c>
      <c r="C18" s="3"/>
      <c r="D18" s="3"/>
      <c r="E18" s="3" t="s">
        <v>241</v>
      </c>
      <c r="F18" s="3"/>
      <c r="G18" s="3"/>
      <c r="H18" s="3"/>
      <c r="I18" s="3"/>
      <c r="J18" t="s">
        <v>242</v>
      </c>
    </row>
    <row r="19" spans="1:10">
      <c r="A19" s="3" t="s">
        <v>232</v>
      </c>
      <c r="B19" s="3" t="s">
        <v>238</v>
      </c>
      <c r="C19" s="3"/>
      <c r="D19" s="3"/>
      <c r="E19" s="3" t="s">
        <v>243</v>
      </c>
      <c r="F19" s="3"/>
      <c r="G19" s="3"/>
      <c r="H19" s="3"/>
      <c r="I19" s="3"/>
      <c r="J19" t="s">
        <v>244</v>
      </c>
    </row>
    <row r="20" spans="1:10">
      <c r="A20" s="3" t="s">
        <v>245</v>
      </c>
      <c r="B20" s="3" t="s">
        <v>246</v>
      </c>
      <c r="C20" s="3"/>
      <c r="D20" s="3"/>
      <c r="E20" s="3" t="s">
        <v>247</v>
      </c>
      <c r="F20" s="3"/>
      <c r="G20" s="3"/>
      <c r="H20" s="3"/>
      <c r="I20" s="3"/>
      <c r="J20" t="s">
        <v>248</v>
      </c>
    </row>
    <row r="21" spans="1:10">
      <c r="A21" s="3" t="s">
        <v>245</v>
      </c>
      <c r="B21" s="3" t="s">
        <v>249</v>
      </c>
      <c r="C21" s="3"/>
      <c r="D21" s="3"/>
      <c r="E21" s="3" t="s">
        <v>250</v>
      </c>
      <c r="F21" s="3"/>
      <c r="G21" s="3"/>
      <c r="H21" s="3"/>
      <c r="I21" s="3"/>
      <c r="J21" t="s">
        <v>251</v>
      </c>
    </row>
    <row r="22" spans="1:10">
      <c r="A22" s="3" t="s">
        <v>245</v>
      </c>
      <c r="B22" s="3" t="s">
        <v>249</v>
      </c>
      <c r="C22" s="3"/>
      <c r="D22" s="3"/>
      <c r="E22" s="3" t="s">
        <v>252</v>
      </c>
      <c r="F22" s="3"/>
      <c r="G22" s="3"/>
      <c r="H22" s="3"/>
      <c r="I22" s="3"/>
      <c r="J22" t="s">
        <v>253</v>
      </c>
    </row>
    <row r="23" spans="1:10">
      <c r="A23" s="3" t="s">
        <v>254</v>
      </c>
      <c r="B23" s="3" t="s">
        <v>255</v>
      </c>
      <c r="C23" s="3"/>
      <c r="D23" s="3"/>
      <c r="E23" s="3" t="s">
        <v>256</v>
      </c>
      <c r="F23" s="3"/>
      <c r="G23" s="3"/>
      <c r="H23" s="3"/>
      <c r="I23" s="3"/>
      <c r="J23" t="s">
        <v>257</v>
      </c>
    </row>
    <row r="24" spans="1:10">
      <c r="A24" s="3" t="s">
        <v>254</v>
      </c>
      <c r="B24" s="3" t="s">
        <v>255</v>
      </c>
      <c r="C24" s="3"/>
      <c r="D24" s="3"/>
      <c r="E24" s="3" t="s">
        <v>258</v>
      </c>
      <c r="F24" s="3"/>
      <c r="G24" s="3"/>
      <c r="H24" s="3"/>
      <c r="I24" s="3"/>
      <c r="J24" t="s">
        <v>259</v>
      </c>
    </row>
    <row r="25" spans="1:10">
      <c r="A25" s="3" t="s">
        <v>254</v>
      </c>
      <c r="B25" s="3" t="s">
        <v>255</v>
      </c>
      <c r="C25" s="3"/>
      <c r="D25" s="3"/>
      <c r="E25" s="3"/>
      <c r="F25" s="3" t="s">
        <v>260</v>
      </c>
      <c r="G25" s="3"/>
      <c r="H25" s="3"/>
      <c r="I25" s="3"/>
      <c r="J25" t="s">
        <v>261</v>
      </c>
    </row>
    <row r="26" spans="1:10">
      <c r="A26" s="3" t="s">
        <v>254</v>
      </c>
      <c r="B26" s="3" t="s">
        <v>255</v>
      </c>
      <c r="C26" s="3"/>
      <c r="D26" s="3"/>
      <c r="E26" s="3"/>
      <c r="F26" s="3" t="s">
        <v>262</v>
      </c>
      <c r="G26" s="3"/>
      <c r="H26" s="3"/>
      <c r="I26" s="3"/>
      <c r="J26" t="s">
        <v>263</v>
      </c>
    </row>
    <row r="27" spans="1:10">
      <c r="A27" s="3" t="s">
        <v>254</v>
      </c>
      <c r="B27" s="3" t="s">
        <v>264</v>
      </c>
      <c r="C27" s="3"/>
      <c r="D27" s="3"/>
      <c r="E27" s="3" t="s">
        <v>265</v>
      </c>
      <c r="F27" s="3"/>
      <c r="G27" s="3"/>
      <c r="H27" s="3"/>
      <c r="I27" s="3"/>
      <c r="J27" t="s">
        <v>266</v>
      </c>
    </row>
    <row r="28" spans="1:10">
      <c r="A28" s="3" t="s">
        <v>254</v>
      </c>
      <c r="B28" s="3" t="s">
        <v>264</v>
      </c>
      <c r="C28" s="3"/>
      <c r="D28" s="3"/>
      <c r="E28" s="3" t="s">
        <v>267</v>
      </c>
      <c r="F28" s="3"/>
      <c r="G28" s="3"/>
      <c r="H28" s="3"/>
      <c r="I28" s="3"/>
      <c r="J28" t="s">
        <v>268</v>
      </c>
    </row>
    <row r="29" spans="1:10">
      <c r="A29" s="3" t="s">
        <v>254</v>
      </c>
      <c r="B29" s="3" t="s">
        <v>264</v>
      </c>
      <c r="C29" s="3"/>
      <c r="D29" s="3"/>
      <c r="E29" s="3" t="s">
        <v>269</v>
      </c>
      <c r="F29" s="3"/>
      <c r="G29" s="3"/>
      <c r="H29" s="3"/>
      <c r="I29" s="3"/>
      <c r="J29" t="s">
        <v>270</v>
      </c>
    </row>
    <row r="30" spans="1:10">
      <c r="A30" s="3" t="s">
        <v>271</v>
      </c>
      <c r="B30" s="3" t="s">
        <v>272</v>
      </c>
      <c r="C30" s="3"/>
      <c r="D30" s="3"/>
      <c r="E30" s="3" t="s">
        <v>273</v>
      </c>
      <c r="F30" s="3"/>
      <c r="G30" s="3"/>
      <c r="H30" s="3"/>
      <c r="I30" s="3"/>
      <c r="J30" t="s">
        <v>274</v>
      </c>
    </row>
    <row r="31" spans="1:10">
      <c r="A31" s="3" t="s">
        <v>271</v>
      </c>
      <c r="B31" s="3" t="s">
        <v>272</v>
      </c>
      <c r="C31" s="3"/>
      <c r="D31" s="3"/>
      <c r="E31" s="3" t="s">
        <v>275</v>
      </c>
      <c r="F31" s="3"/>
      <c r="G31" s="3"/>
      <c r="H31" s="3"/>
      <c r="I31" s="3"/>
      <c r="J31" t="s">
        <v>276</v>
      </c>
    </row>
    <row r="32" spans="1:10">
      <c r="A32" s="3" t="s">
        <v>271</v>
      </c>
      <c r="B32" s="3" t="s">
        <v>272</v>
      </c>
      <c r="C32" s="3"/>
      <c r="D32" s="3"/>
      <c r="E32" s="3" t="s">
        <v>277</v>
      </c>
      <c r="F32" s="3"/>
      <c r="G32" s="3"/>
      <c r="H32" s="3"/>
      <c r="I32" s="3"/>
      <c r="J32" t="s">
        <v>278</v>
      </c>
    </row>
    <row r="33" spans="1:10">
      <c r="A33" s="3" t="s">
        <v>271</v>
      </c>
      <c r="B33" s="3" t="s">
        <v>272</v>
      </c>
      <c r="C33" s="3"/>
      <c r="D33" s="3"/>
      <c r="E33" s="3"/>
      <c r="F33" s="3" t="s">
        <v>279</v>
      </c>
      <c r="G33" s="3"/>
      <c r="H33" s="3"/>
      <c r="I33" s="3"/>
      <c r="J33" t="s">
        <v>280</v>
      </c>
    </row>
    <row r="34" spans="1:10">
      <c r="A34" s="3" t="s">
        <v>271</v>
      </c>
      <c r="B34" s="3" t="s">
        <v>272</v>
      </c>
      <c r="C34" s="3"/>
      <c r="D34" s="3"/>
      <c r="E34" s="3"/>
      <c r="F34" s="3" t="s">
        <v>281</v>
      </c>
      <c r="G34" s="3"/>
      <c r="H34" s="3"/>
      <c r="I34" s="3"/>
      <c r="J34" t="s">
        <v>282</v>
      </c>
    </row>
    <row r="35" spans="1:10">
      <c r="A35" s="3" t="s">
        <v>283</v>
      </c>
      <c r="B35" s="3" t="s">
        <v>284</v>
      </c>
      <c r="C35" s="3"/>
      <c r="D35" s="3"/>
      <c r="E35" s="3" t="s">
        <v>285</v>
      </c>
      <c r="F35" s="3"/>
      <c r="G35" s="3"/>
      <c r="H35" s="3"/>
      <c r="I35" s="3"/>
      <c r="J35" t="s">
        <v>286</v>
      </c>
    </row>
    <row r="36" spans="1:10">
      <c r="A36" s="3" t="s">
        <v>283</v>
      </c>
      <c r="B36" s="3" t="s">
        <v>284</v>
      </c>
      <c r="C36" s="3"/>
      <c r="D36" s="3"/>
      <c r="E36" s="3" t="s">
        <v>287</v>
      </c>
      <c r="F36" s="3"/>
      <c r="G36" s="3"/>
      <c r="H36" s="3"/>
      <c r="I36" s="3"/>
      <c r="J36" t="s">
        <v>288</v>
      </c>
    </row>
    <row r="37" spans="1:10">
      <c r="A37" s="3" t="s">
        <v>283</v>
      </c>
      <c r="B37" s="3" t="s">
        <v>284</v>
      </c>
      <c r="C37" s="3"/>
      <c r="D37" s="3"/>
      <c r="E37" s="3"/>
      <c r="F37" s="3" t="s">
        <v>289</v>
      </c>
      <c r="G37" s="3"/>
      <c r="H37" s="3"/>
      <c r="I37" s="3"/>
      <c r="J37" t="s">
        <v>290</v>
      </c>
    </row>
    <row r="38" spans="1:10">
      <c r="A38" s="3" t="s">
        <v>283</v>
      </c>
      <c r="B38" s="3" t="s">
        <v>284</v>
      </c>
      <c r="C38" s="3"/>
      <c r="D38" s="3"/>
      <c r="E38" s="3"/>
      <c r="F38" s="3" t="s">
        <v>291</v>
      </c>
      <c r="G38" s="3"/>
      <c r="H38" s="3"/>
      <c r="I38" s="3"/>
      <c r="J38" t="s">
        <v>292</v>
      </c>
    </row>
    <row r="39" spans="1:10">
      <c r="A39" s="3" t="s">
        <v>283</v>
      </c>
      <c r="B39" s="3" t="s">
        <v>284</v>
      </c>
      <c r="C39" s="3"/>
      <c r="D39" s="3"/>
      <c r="E39" s="3"/>
      <c r="F39" s="3" t="s">
        <v>293</v>
      </c>
      <c r="G39" s="3"/>
      <c r="H39" s="3"/>
      <c r="I39" s="3"/>
      <c r="J39" t="s">
        <v>294</v>
      </c>
    </row>
    <row r="40" spans="1:10">
      <c r="A40" s="3" t="s">
        <v>295</v>
      </c>
      <c r="B40" s="3" t="s">
        <v>296</v>
      </c>
      <c r="C40" s="3"/>
      <c r="D40" s="3"/>
      <c r="E40" s="3" t="s">
        <v>297</v>
      </c>
      <c r="F40" s="3"/>
      <c r="G40" s="3"/>
      <c r="H40" s="3"/>
      <c r="I40" s="3"/>
      <c r="J40" t="s">
        <v>298</v>
      </c>
    </row>
    <row r="41" spans="1:10">
      <c r="A41" s="3" t="s">
        <v>295</v>
      </c>
      <c r="B41" s="3" t="s">
        <v>296</v>
      </c>
      <c r="C41" s="3"/>
      <c r="D41" s="3"/>
      <c r="E41" s="3" t="s">
        <v>299</v>
      </c>
      <c r="F41" s="3"/>
      <c r="G41" s="3"/>
      <c r="H41" s="3"/>
      <c r="I41" s="3"/>
      <c r="J41" t="s">
        <v>300</v>
      </c>
    </row>
    <row r="42" spans="1:10">
      <c r="A42" s="3" t="s">
        <v>301</v>
      </c>
      <c r="B42" s="3" t="s">
        <v>302</v>
      </c>
      <c r="C42" s="3"/>
      <c r="D42" s="3"/>
      <c r="E42" s="3" t="s">
        <v>303</v>
      </c>
      <c r="F42" s="3"/>
      <c r="G42" s="3"/>
      <c r="H42" s="3"/>
      <c r="I42" s="3"/>
      <c r="J42" t="s">
        <v>304</v>
      </c>
    </row>
    <row r="43" spans="1:10">
      <c r="A43" s="3" t="s">
        <v>301</v>
      </c>
      <c r="B43" s="3" t="s">
        <v>302</v>
      </c>
      <c r="C43" s="3"/>
      <c r="D43" s="3"/>
      <c r="E43" s="3" t="s">
        <v>305</v>
      </c>
      <c r="F43" s="3"/>
      <c r="G43" s="3"/>
      <c r="H43" s="3"/>
      <c r="I43" s="3"/>
      <c r="J43" t="s">
        <v>306</v>
      </c>
    </row>
    <row r="44" spans="1:10">
      <c r="A44" s="3" t="s">
        <v>301</v>
      </c>
      <c r="B44" s="3" t="s">
        <v>307</v>
      </c>
      <c r="C44" s="3"/>
      <c r="D44" s="3"/>
      <c r="E44" s="3" t="s">
        <v>308</v>
      </c>
      <c r="F44" s="3"/>
      <c r="G44" s="3"/>
      <c r="H44" s="3"/>
      <c r="I44" s="3"/>
      <c r="J44" t="s">
        <v>309</v>
      </c>
    </row>
    <row r="45" spans="1:10">
      <c r="A45" s="3" t="s">
        <v>301</v>
      </c>
      <c r="B45" s="3" t="s">
        <v>307</v>
      </c>
      <c r="C45" s="3"/>
      <c r="D45" s="3"/>
      <c r="E45" s="3" t="s">
        <v>310</v>
      </c>
      <c r="F45" s="3"/>
      <c r="G45" s="3"/>
      <c r="H45" s="3"/>
      <c r="I45" s="3"/>
      <c r="J45" t="s">
        <v>311</v>
      </c>
    </row>
    <row r="46" spans="1:10">
      <c r="A46" s="3" t="s">
        <v>301</v>
      </c>
      <c r="B46" s="3" t="s">
        <v>307</v>
      </c>
      <c r="C46" s="3"/>
      <c r="D46" s="3"/>
      <c r="E46" s="3"/>
      <c r="F46" s="3" t="s">
        <v>312</v>
      </c>
      <c r="G46" s="3"/>
      <c r="H46" s="3"/>
      <c r="I46" s="3"/>
      <c r="J46" t="s">
        <v>313</v>
      </c>
    </row>
    <row r="47" spans="1:10">
      <c r="A47" s="3" t="s">
        <v>301</v>
      </c>
      <c r="B47" s="3" t="s">
        <v>307</v>
      </c>
      <c r="C47" s="3"/>
      <c r="D47" s="3"/>
      <c r="E47" s="3"/>
      <c r="F47" s="3" t="s">
        <v>314</v>
      </c>
      <c r="G47" s="3"/>
      <c r="H47" s="3"/>
      <c r="I47" s="3"/>
      <c r="J47" t="s">
        <v>315</v>
      </c>
    </row>
    <row r="48" spans="1:10">
      <c r="A48" s="3" t="s">
        <v>316</v>
      </c>
      <c r="B48" s="3" t="s">
        <v>317</v>
      </c>
      <c r="C48" s="3"/>
      <c r="D48" s="3"/>
      <c r="E48" s="3" t="s">
        <v>318</v>
      </c>
      <c r="F48" s="3"/>
      <c r="G48" s="3"/>
      <c r="H48" s="3"/>
      <c r="I48" s="3"/>
      <c r="J48" t="s">
        <v>319</v>
      </c>
    </row>
    <row r="49" spans="1:10">
      <c r="A49" s="3" t="s">
        <v>316</v>
      </c>
      <c r="B49" s="3" t="s">
        <v>317</v>
      </c>
      <c r="C49" s="3"/>
      <c r="D49" s="3"/>
      <c r="E49" s="3" t="s">
        <v>320</v>
      </c>
      <c r="F49" s="3"/>
      <c r="G49" s="3"/>
      <c r="H49" s="3"/>
      <c r="I49" s="3"/>
      <c r="J49" t="s">
        <v>321</v>
      </c>
    </row>
    <row r="50" spans="1:10">
      <c r="A50" s="3" t="s">
        <v>316</v>
      </c>
      <c r="B50" s="3" t="s">
        <v>317</v>
      </c>
      <c r="C50" s="3"/>
      <c r="D50" s="3"/>
      <c r="E50" s="3" t="s">
        <v>322</v>
      </c>
      <c r="F50" s="3"/>
      <c r="G50" s="3"/>
      <c r="H50" s="3"/>
      <c r="I50" s="3"/>
      <c r="J50" t="s">
        <v>323</v>
      </c>
    </row>
    <row r="51" spans="1:10">
      <c r="A51" s="3" t="s">
        <v>316</v>
      </c>
      <c r="B51" s="3" t="s">
        <v>317</v>
      </c>
      <c r="C51" s="3"/>
      <c r="D51" s="3"/>
      <c r="E51" s="3"/>
      <c r="F51" s="3" t="s">
        <v>324</v>
      </c>
      <c r="G51" s="3"/>
      <c r="H51" s="3"/>
      <c r="I51" s="3"/>
      <c r="J51" t="s">
        <v>325</v>
      </c>
    </row>
    <row r="52" spans="1:10">
      <c r="A52" s="3"/>
      <c r="B52" s="3" t="s">
        <v>326</v>
      </c>
      <c r="C52" s="3"/>
      <c r="D52" s="3"/>
      <c r="E52" s="3" t="s">
        <v>327</v>
      </c>
      <c r="F52" s="3"/>
      <c r="G52" s="3"/>
      <c r="H52" s="3"/>
      <c r="I52" s="3"/>
      <c r="J52" t="s">
        <v>328</v>
      </c>
    </row>
    <row r="53" spans="1:10">
      <c r="A53" s="3"/>
      <c r="B53" s="3" t="s">
        <v>326</v>
      </c>
      <c r="C53" s="3"/>
      <c r="D53" s="3"/>
      <c r="E53" s="3" t="s">
        <v>329</v>
      </c>
      <c r="F53" s="3"/>
      <c r="G53" s="3"/>
      <c r="H53" s="3"/>
      <c r="I53" s="3"/>
      <c r="J53" t="s">
        <v>330</v>
      </c>
    </row>
    <row r="54" spans="1:10">
      <c r="A54" s="3"/>
      <c r="B54" s="3" t="s">
        <v>326</v>
      </c>
      <c r="C54" s="3"/>
      <c r="D54" s="3"/>
      <c r="E54" s="3" t="s">
        <v>331</v>
      </c>
      <c r="F54" s="3"/>
      <c r="G54" s="3"/>
      <c r="H54" s="3"/>
      <c r="I54" s="3"/>
      <c r="J54" t="s">
        <v>332</v>
      </c>
    </row>
    <row r="55" spans="1:10">
      <c r="A55" s="3"/>
      <c r="B55" s="3" t="s">
        <v>326</v>
      </c>
      <c r="C55" s="3"/>
      <c r="D55" s="3"/>
      <c r="E55" s="3"/>
      <c r="F55" s="3" t="s">
        <v>333</v>
      </c>
      <c r="G55" s="3"/>
      <c r="H55" s="3"/>
      <c r="I55" s="3"/>
      <c r="J55" t="s">
        <v>334</v>
      </c>
    </row>
    <row r="56" spans="1:10">
      <c r="A56" s="3"/>
      <c r="B56" s="3" t="s">
        <v>335</v>
      </c>
      <c r="C56" s="3"/>
      <c r="D56" s="3"/>
      <c r="E56" s="3" t="s">
        <v>336</v>
      </c>
      <c r="F56" s="3"/>
      <c r="G56" s="3"/>
      <c r="H56" s="3"/>
      <c r="I56" s="3"/>
      <c r="J56" t="s">
        <v>337</v>
      </c>
    </row>
    <row r="57" spans="1:10">
      <c r="A57" s="3"/>
      <c r="B57" s="3" t="s">
        <v>335</v>
      </c>
      <c r="C57" s="3"/>
      <c r="D57" s="3"/>
      <c r="E57" s="3" t="s">
        <v>338</v>
      </c>
      <c r="F57" s="3"/>
      <c r="G57" s="3"/>
      <c r="H57" s="3"/>
      <c r="I57" s="3"/>
      <c r="J57" t="s">
        <v>339</v>
      </c>
    </row>
    <row r="58" spans="1:10">
      <c r="A58" s="3"/>
      <c r="B58" s="3" t="s">
        <v>335</v>
      </c>
      <c r="C58" s="3"/>
      <c r="D58" s="3"/>
      <c r="E58" s="3" t="s">
        <v>340</v>
      </c>
      <c r="F58" s="3"/>
      <c r="G58" s="3"/>
      <c r="H58" s="3"/>
      <c r="I58" s="3"/>
      <c r="J58" t="s">
        <v>341</v>
      </c>
    </row>
    <row r="59" spans="1:10">
      <c r="A59" s="3"/>
      <c r="B59" s="3" t="s">
        <v>335</v>
      </c>
      <c r="C59" s="3"/>
      <c r="D59" s="3"/>
      <c r="E59" s="3"/>
      <c r="F59" s="3" t="s">
        <v>342</v>
      </c>
      <c r="G59" s="3"/>
      <c r="H59" s="3"/>
      <c r="I59" s="3"/>
      <c r="J59" t="s">
        <v>343</v>
      </c>
    </row>
    <row r="60" spans="1:10">
      <c r="A60" s="3"/>
      <c r="B60" s="3" t="s">
        <v>335</v>
      </c>
      <c r="C60" s="3"/>
      <c r="D60" s="3"/>
      <c r="E60" s="3"/>
      <c r="F60" s="3" t="s">
        <v>344</v>
      </c>
      <c r="G60" s="3"/>
      <c r="H60" s="3"/>
      <c r="I60" s="3"/>
      <c r="J60" t="s">
        <v>345</v>
      </c>
    </row>
    <row r="61" spans="1:10">
      <c r="A61" s="3"/>
      <c r="B61" s="3" t="s">
        <v>346</v>
      </c>
      <c r="C61" s="3"/>
      <c r="D61" s="3"/>
      <c r="E61" s="3"/>
      <c r="F61" s="3" t="s">
        <v>347</v>
      </c>
      <c r="G61" s="3"/>
      <c r="H61" s="3"/>
      <c r="I61" s="3"/>
      <c r="J61" t="s">
        <v>348</v>
      </c>
    </row>
    <row r="62" spans="1:10">
      <c r="A62" s="3"/>
      <c r="B62" s="3" t="s">
        <v>346</v>
      </c>
      <c r="C62" s="3"/>
      <c r="D62" s="3"/>
      <c r="E62" s="3"/>
      <c r="F62" s="3" t="s">
        <v>349</v>
      </c>
      <c r="G62" s="3"/>
      <c r="H62" s="3"/>
      <c r="I62" s="3"/>
      <c r="J62" t="s">
        <v>350</v>
      </c>
    </row>
    <row r="63" spans="1:10">
      <c r="A63" s="3"/>
      <c r="B63" s="3" t="s">
        <v>346</v>
      </c>
      <c r="C63" s="3"/>
      <c r="D63" s="3"/>
      <c r="E63" s="3"/>
      <c r="F63" s="3" t="s">
        <v>351</v>
      </c>
      <c r="G63" s="3"/>
      <c r="H63" s="3"/>
      <c r="I63" s="3"/>
      <c r="J63" t="s">
        <v>352</v>
      </c>
    </row>
    <row r="64" spans="1:10">
      <c r="A64" s="3" t="s">
        <v>353</v>
      </c>
      <c r="B64" s="3" t="s">
        <v>354</v>
      </c>
      <c r="C64" s="3"/>
      <c r="D64" s="3"/>
      <c r="E64" s="3"/>
      <c r="F64" s="3"/>
      <c r="G64" s="3"/>
      <c r="H64" s="3"/>
      <c r="I64" s="3"/>
      <c r="J64" t="s">
        <v>355</v>
      </c>
    </row>
    <row r="65" spans="1:10">
      <c r="A65" s="3" t="s">
        <v>356</v>
      </c>
      <c r="B65" s="3" t="s">
        <v>357</v>
      </c>
      <c r="C65" s="3"/>
      <c r="D65" s="3"/>
      <c r="E65" s="3" t="s">
        <v>358</v>
      </c>
      <c r="F65" s="3"/>
      <c r="G65" s="3"/>
      <c r="H65" s="3"/>
      <c r="I65" s="3"/>
      <c r="J65" t="s">
        <v>359</v>
      </c>
    </row>
    <row r="66" spans="1:10">
      <c r="A66" s="3" t="s">
        <v>356</v>
      </c>
      <c r="B66" s="3" t="s">
        <v>357</v>
      </c>
      <c r="C66" s="3"/>
      <c r="D66" s="3"/>
      <c r="E66" s="3" t="s">
        <v>360</v>
      </c>
      <c r="F66" s="3"/>
      <c r="G66" s="3"/>
      <c r="H66" s="3"/>
      <c r="I66" s="3"/>
      <c r="J66" t="s">
        <v>361</v>
      </c>
    </row>
    <row r="67" spans="1:10">
      <c r="A67" s="3" t="s">
        <v>356</v>
      </c>
      <c r="B67" s="3" t="s">
        <v>362</v>
      </c>
      <c r="C67" s="3"/>
      <c r="D67" s="3"/>
      <c r="E67" s="3" t="s">
        <v>363</v>
      </c>
      <c r="F67" s="3"/>
      <c r="G67" s="3"/>
      <c r="H67" s="3"/>
      <c r="I67" s="3"/>
      <c r="J67" t="s">
        <v>364</v>
      </c>
    </row>
    <row r="68" spans="1:10">
      <c r="A68" s="3" t="s">
        <v>356</v>
      </c>
      <c r="B68" s="3" t="s">
        <v>362</v>
      </c>
      <c r="C68" s="3"/>
      <c r="D68" s="3"/>
      <c r="E68" s="3" t="s">
        <v>365</v>
      </c>
      <c r="F68" s="3"/>
      <c r="G68" s="3"/>
      <c r="H68" s="3"/>
      <c r="I68" s="3"/>
      <c r="J68" t="s">
        <v>366</v>
      </c>
    </row>
    <row r="69" spans="1:10">
      <c r="A69" s="3" t="s">
        <v>356</v>
      </c>
      <c r="B69" s="3" t="s">
        <v>367</v>
      </c>
      <c r="C69" s="3"/>
      <c r="D69" s="3"/>
      <c r="E69" s="3" t="s">
        <v>368</v>
      </c>
      <c r="F69" s="3"/>
      <c r="G69" s="3"/>
      <c r="H69" s="3"/>
      <c r="I69" s="3"/>
      <c r="J69" t="s">
        <v>369</v>
      </c>
    </row>
    <row r="70" spans="1:10">
      <c r="A70" s="3" t="s">
        <v>356</v>
      </c>
      <c r="B70" s="3" t="s">
        <v>367</v>
      </c>
      <c r="C70" s="3"/>
      <c r="D70" s="3"/>
      <c r="E70" s="3" t="s">
        <v>370</v>
      </c>
      <c r="F70" s="3"/>
      <c r="G70" s="3"/>
      <c r="H70" s="3"/>
      <c r="I70" s="3"/>
      <c r="J70" t="s">
        <v>371</v>
      </c>
    </row>
    <row r="71" spans="1:10">
      <c r="A71" s="3" t="s">
        <v>372</v>
      </c>
      <c r="B71" s="3" t="s">
        <v>373</v>
      </c>
      <c r="C71" s="3"/>
      <c r="D71" s="3"/>
      <c r="E71" s="3" t="s">
        <v>374</v>
      </c>
      <c r="F71" s="3"/>
      <c r="G71" s="3"/>
      <c r="H71" s="3"/>
      <c r="I71" s="3"/>
      <c r="J71" t="s">
        <v>375</v>
      </c>
    </row>
    <row r="72" spans="1:10">
      <c r="A72" s="3" t="s">
        <v>372</v>
      </c>
      <c r="B72" s="3" t="s">
        <v>373</v>
      </c>
      <c r="C72" s="3"/>
      <c r="D72" s="3"/>
      <c r="E72" s="3" t="s">
        <v>376</v>
      </c>
      <c r="F72" s="3"/>
      <c r="G72" s="3"/>
      <c r="H72" s="3"/>
      <c r="I72" s="3"/>
      <c r="J72" t="s">
        <v>377</v>
      </c>
    </row>
    <row r="73" spans="1:10">
      <c r="A73" s="3" t="s">
        <v>372</v>
      </c>
      <c r="B73" s="3" t="s">
        <v>378</v>
      </c>
      <c r="C73" s="3"/>
      <c r="D73" s="3"/>
      <c r="E73" s="3" t="s">
        <v>379</v>
      </c>
      <c r="F73" s="3"/>
      <c r="G73" s="3"/>
      <c r="H73" s="3"/>
      <c r="I73" s="3"/>
      <c r="J73" t="s">
        <v>380</v>
      </c>
    </row>
    <row r="74" spans="1:10">
      <c r="A74" s="3" t="s">
        <v>372</v>
      </c>
      <c r="B74" s="3" t="s">
        <v>378</v>
      </c>
      <c r="C74" s="3"/>
      <c r="D74" s="3"/>
      <c r="E74" s="3" t="s">
        <v>381</v>
      </c>
      <c r="F74" s="3"/>
      <c r="G74" s="3"/>
      <c r="H74" s="3"/>
      <c r="I74" s="3"/>
      <c r="J74" t="s">
        <v>382</v>
      </c>
    </row>
    <row r="75" spans="1:10">
      <c r="A75" s="3" t="s">
        <v>372</v>
      </c>
      <c r="B75" s="3" t="s">
        <v>378</v>
      </c>
      <c r="C75" s="3"/>
      <c r="D75" s="3"/>
      <c r="E75" s="3"/>
      <c r="F75" s="3" t="s">
        <v>383</v>
      </c>
      <c r="G75" s="3"/>
      <c r="H75" s="3"/>
      <c r="I75" s="3"/>
      <c r="J75" t="s">
        <v>384</v>
      </c>
    </row>
    <row r="76" spans="1:10">
      <c r="A76" s="3" t="s">
        <v>372</v>
      </c>
      <c r="B76" s="3" t="s">
        <v>378</v>
      </c>
      <c r="C76" s="3"/>
      <c r="D76" s="3"/>
      <c r="E76" s="3"/>
      <c r="F76" s="3" t="s">
        <v>385</v>
      </c>
      <c r="G76" s="3"/>
      <c r="H76" s="3"/>
      <c r="I76" s="3"/>
      <c r="J76" t="s">
        <v>386</v>
      </c>
    </row>
    <row r="77" spans="1:10">
      <c r="A77" s="3" t="s">
        <v>372</v>
      </c>
      <c r="B77" s="3" t="s">
        <v>378</v>
      </c>
      <c r="C77" s="3"/>
      <c r="D77" s="3"/>
      <c r="E77" s="3"/>
      <c r="F77" s="3" t="s">
        <v>387</v>
      </c>
      <c r="G77" s="3"/>
      <c r="H77" s="3"/>
      <c r="I77" s="3"/>
      <c r="J77" t="s">
        <v>388</v>
      </c>
    </row>
    <row r="78" spans="1:10">
      <c r="A78" s="3" t="s">
        <v>389</v>
      </c>
      <c r="B78" s="3" t="s">
        <v>390</v>
      </c>
      <c r="C78" s="3"/>
      <c r="D78" s="3"/>
      <c r="E78" s="3" t="s">
        <v>391</v>
      </c>
      <c r="F78" s="3"/>
      <c r="G78" s="3"/>
      <c r="H78" s="3"/>
      <c r="I78" s="3"/>
      <c r="J78" t="s">
        <v>392</v>
      </c>
    </row>
    <row r="79" spans="1:10">
      <c r="A79" s="3" t="s">
        <v>389</v>
      </c>
      <c r="B79" s="3" t="s">
        <v>390</v>
      </c>
      <c r="C79" s="3"/>
      <c r="D79" s="3"/>
      <c r="E79" s="3" t="s">
        <v>393</v>
      </c>
      <c r="F79" s="3"/>
      <c r="G79" s="3"/>
      <c r="H79" s="3"/>
      <c r="I79" s="3"/>
      <c r="J79" t="s">
        <v>394</v>
      </c>
    </row>
    <row r="80" spans="1:10">
      <c r="A80" s="3" t="s">
        <v>389</v>
      </c>
      <c r="B80" s="3" t="s">
        <v>390</v>
      </c>
      <c r="C80" s="3"/>
      <c r="D80" s="3"/>
      <c r="E80" s="3"/>
      <c r="F80" s="3" t="s">
        <v>395</v>
      </c>
      <c r="G80" s="3"/>
      <c r="H80" s="3"/>
      <c r="I80" s="3"/>
      <c r="J80" t="s">
        <v>396</v>
      </c>
    </row>
    <row r="81" spans="1:10">
      <c r="A81" s="3" t="s">
        <v>389</v>
      </c>
      <c r="B81" s="3" t="s">
        <v>390</v>
      </c>
      <c r="C81" s="3"/>
      <c r="D81" s="3"/>
      <c r="E81" s="3"/>
      <c r="F81" s="3" t="s">
        <v>397</v>
      </c>
      <c r="G81" s="3"/>
      <c r="H81" s="3"/>
      <c r="I81" s="3"/>
      <c r="J81" t="s">
        <v>398</v>
      </c>
    </row>
    <row r="82" spans="1:10">
      <c r="A82" s="3" t="s">
        <v>389</v>
      </c>
      <c r="B82" s="3" t="s">
        <v>390</v>
      </c>
      <c r="C82" s="3"/>
      <c r="D82" s="3"/>
      <c r="E82" s="3"/>
      <c r="F82" s="3" t="s">
        <v>399</v>
      </c>
      <c r="G82" s="3"/>
      <c r="H82" s="3"/>
      <c r="I82" s="3"/>
      <c r="J82" t="s">
        <v>400</v>
      </c>
    </row>
    <row r="83" spans="1:10">
      <c r="A83" s="3" t="s">
        <v>401</v>
      </c>
      <c r="B83" s="3" t="s">
        <v>402</v>
      </c>
      <c r="C83" s="3"/>
      <c r="D83" s="3"/>
      <c r="E83" s="3" t="s">
        <v>403</v>
      </c>
      <c r="F83" s="3"/>
      <c r="G83" s="3"/>
      <c r="H83" s="3"/>
      <c r="I83" s="3"/>
      <c r="J83" t="s">
        <v>404</v>
      </c>
    </row>
    <row r="84" spans="1:10">
      <c r="A84" s="3" t="s">
        <v>401</v>
      </c>
      <c r="B84" s="3" t="s">
        <v>402</v>
      </c>
      <c r="C84" s="3"/>
      <c r="D84" s="3"/>
      <c r="E84" s="3" t="s">
        <v>405</v>
      </c>
      <c r="F84" s="3"/>
      <c r="G84" s="3"/>
      <c r="H84" s="3"/>
      <c r="I84" s="3"/>
      <c r="J84" t="s">
        <v>406</v>
      </c>
    </row>
    <row r="85" spans="1:10">
      <c r="A85" s="3" t="s">
        <v>407</v>
      </c>
      <c r="B85" s="3" t="s">
        <v>408</v>
      </c>
      <c r="C85" s="3"/>
      <c r="D85" s="3"/>
      <c r="E85" s="3" t="s">
        <v>409</v>
      </c>
      <c r="F85" s="3"/>
      <c r="G85" s="3"/>
      <c r="H85" s="3"/>
      <c r="I85" s="3"/>
      <c r="J85" t="s">
        <v>410</v>
      </c>
    </row>
    <row r="86" spans="1:10">
      <c r="A86" s="3" t="s">
        <v>411</v>
      </c>
      <c r="B86" s="3" t="s">
        <v>412</v>
      </c>
      <c r="C86" s="3"/>
      <c r="D86" s="3"/>
      <c r="E86" s="3" t="s">
        <v>413</v>
      </c>
      <c r="F86" s="3"/>
      <c r="G86" s="3"/>
      <c r="H86" s="3"/>
      <c r="I86" s="3"/>
      <c r="J86" t="s">
        <v>414</v>
      </c>
    </row>
    <row r="87" spans="1:10">
      <c r="A87" s="3" t="s">
        <v>411</v>
      </c>
      <c r="B87" s="3" t="s">
        <v>412</v>
      </c>
      <c r="C87" s="3"/>
      <c r="D87" s="3"/>
      <c r="E87" s="3" t="s">
        <v>415</v>
      </c>
      <c r="F87" s="3"/>
      <c r="G87" s="3"/>
      <c r="H87" s="3"/>
      <c r="I87" s="3"/>
      <c r="J87" t="s">
        <v>416</v>
      </c>
    </row>
    <row r="88" spans="1:10">
      <c r="A88" s="3" t="s">
        <v>411</v>
      </c>
      <c r="B88" s="3" t="s">
        <v>412</v>
      </c>
      <c r="C88" s="3"/>
      <c r="D88" s="3"/>
      <c r="E88" s="3" t="s">
        <v>417</v>
      </c>
      <c r="F88" s="3"/>
      <c r="G88" s="3"/>
      <c r="H88" s="3"/>
      <c r="I88" s="3"/>
      <c r="J88" t="s">
        <v>418</v>
      </c>
    </row>
    <row r="89" spans="1:10">
      <c r="A89" s="3" t="s">
        <v>411</v>
      </c>
      <c r="B89" s="3" t="s">
        <v>419</v>
      </c>
      <c r="C89" s="3"/>
      <c r="D89" s="3"/>
      <c r="E89" s="3" t="s">
        <v>420</v>
      </c>
      <c r="F89" s="3"/>
      <c r="G89" s="3"/>
      <c r="H89" s="3"/>
      <c r="I89" s="3"/>
      <c r="J89" t="s">
        <v>421</v>
      </c>
    </row>
    <row r="90" spans="1:10">
      <c r="A90" s="3" t="s">
        <v>411</v>
      </c>
      <c r="B90" s="3" t="s">
        <v>419</v>
      </c>
      <c r="C90" s="3"/>
      <c r="D90" s="3"/>
      <c r="E90" s="3" t="s">
        <v>422</v>
      </c>
      <c r="F90" s="3"/>
      <c r="G90" s="3"/>
      <c r="H90" s="3"/>
      <c r="I90" s="3"/>
      <c r="J90" t="s">
        <v>423</v>
      </c>
    </row>
    <row r="91" spans="1:10">
      <c r="A91" s="3" t="s">
        <v>411</v>
      </c>
      <c r="B91" s="3" t="s">
        <v>424</v>
      </c>
      <c r="C91" s="3"/>
      <c r="D91" s="3"/>
      <c r="E91" s="3" t="s">
        <v>425</v>
      </c>
      <c r="F91" s="3"/>
      <c r="G91" s="3"/>
      <c r="H91" s="3"/>
      <c r="I91" s="3"/>
      <c r="J91" t="s">
        <v>426</v>
      </c>
    </row>
    <row r="92" spans="1:10">
      <c r="A92" s="3" t="s">
        <v>411</v>
      </c>
      <c r="B92" s="3" t="s">
        <v>424</v>
      </c>
      <c r="C92" s="3"/>
      <c r="D92" s="3"/>
      <c r="E92" s="3" t="s">
        <v>427</v>
      </c>
      <c r="F92" s="3"/>
      <c r="G92" s="3"/>
      <c r="H92" s="3"/>
      <c r="I92" s="3"/>
      <c r="J92" t="s">
        <v>428</v>
      </c>
    </row>
    <row r="93" spans="1:10">
      <c r="A93" s="3" t="s">
        <v>429</v>
      </c>
      <c r="B93" s="3" t="s">
        <v>430</v>
      </c>
      <c r="C93" s="3"/>
      <c r="D93" s="3"/>
      <c r="E93" s="3" t="s">
        <v>431</v>
      </c>
      <c r="F93" s="3"/>
      <c r="G93" s="3"/>
      <c r="H93" s="3"/>
      <c r="I93" s="3"/>
      <c r="J93" t="s">
        <v>432</v>
      </c>
    </row>
    <row r="94" spans="1:10">
      <c r="A94" s="3" t="s">
        <v>429</v>
      </c>
      <c r="B94" s="3" t="s">
        <v>430</v>
      </c>
      <c r="C94" s="3"/>
      <c r="D94" s="3"/>
      <c r="E94" s="3" t="s">
        <v>433</v>
      </c>
      <c r="F94" s="3"/>
      <c r="G94" s="3"/>
      <c r="H94" s="3"/>
      <c r="I94" s="3"/>
      <c r="J94" t="s">
        <v>434</v>
      </c>
    </row>
    <row r="95" spans="1:10">
      <c r="A95" s="3" t="s">
        <v>435</v>
      </c>
      <c r="B95" s="3" t="s">
        <v>436</v>
      </c>
      <c r="C95" s="3"/>
      <c r="D95" s="3"/>
      <c r="E95" s="3" t="s">
        <v>437</v>
      </c>
      <c r="F95" s="3"/>
      <c r="G95" s="3"/>
      <c r="H95" s="3"/>
      <c r="I95" s="3"/>
      <c r="J95" t="s">
        <v>438</v>
      </c>
    </row>
    <row r="96" spans="1:10">
      <c r="A96" s="3" t="s">
        <v>435</v>
      </c>
      <c r="B96" s="3" t="s">
        <v>436</v>
      </c>
      <c r="C96" s="3"/>
      <c r="D96" s="3"/>
      <c r="E96" s="3" t="s">
        <v>439</v>
      </c>
      <c r="F96" s="3"/>
      <c r="G96" s="3"/>
      <c r="H96" s="3"/>
      <c r="I96" s="3"/>
      <c r="J96" t="s">
        <v>440</v>
      </c>
    </row>
    <row r="97" spans="1:10">
      <c r="A97" s="3" t="s">
        <v>435</v>
      </c>
      <c r="B97" s="3" t="s">
        <v>436</v>
      </c>
      <c r="C97" s="3"/>
      <c r="D97" s="3"/>
      <c r="E97" s="3"/>
      <c r="F97" s="3" t="s">
        <v>441</v>
      </c>
      <c r="G97" s="3"/>
      <c r="H97" s="3"/>
      <c r="I97" s="3"/>
      <c r="J97" t="s">
        <v>442</v>
      </c>
    </row>
    <row r="98" spans="1:10">
      <c r="A98" s="3" t="s">
        <v>435</v>
      </c>
      <c r="B98" s="3" t="s">
        <v>436</v>
      </c>
      <c r="C98" s="3"/>
      <c r="D98" s="3"/>
      <c r="E98" s="3"/>
      <c r="F98" s="3" t="s">
        <v>443</v>
      </c>
      <c r="G98" s="3"/>
      <c r="H98" s="3"/>
      <c r="I98" s="3"/>
      <c r="J98" t="s">
        <v>444</v>
      </c>
    </row>
    <row r="99" spans="1:10">
      <c r="A99" s="3" t="s">
        <v>435</v>
      </c>
      <c r="B99" s="3" t="s">
        <v>436</v>
      </c>
      <c r="C99" s="3"/>
      <c r="D99" s="3"/>
      <c r="E99" s="3"/>
      <c r="F99" s="3" t="s">
        <v>445</v>
      </c>
      <c r="G99" s="3"/>
      <c r="H99" s="3"/>
      <c r="I99" s="3"/>
      <c r="J99" t="s">
        <v>446</v>
      </c>
    </row>
    <row r="100" spans="1:10">
      <c r="A100" s="3" t="s">
        <v>435</v>
      </c>
      <c r="B100" s="3" t="s">
        <v>436</v>
      </c>
      <c r="C100" s="3"/>
      <c r="D100" s="3"/>
      <c r="E100" s="3"/>
      <c r="F100" s="3" t="s">
        <v>447</v>
      </c>
      <c r="G100" s="3"/>
      <c r="H100" s="3"/>
      <c r="I100" s="3"/>
      <c r="J100" t="s">
        <v>448</v>
      </c>
    </row>
    <row r="101" spans="1:10">
      <c r="A101" s="3" t="s">
        <v>435</v>
      </c>
      <c r="B101" s="3" t="s">
        <v>449</v>
      </c>
      <c r="C101" s="3"/>
      <c r="D101" s="3"/>
      <c r="E101" s="3" t="s">
        <v>450</v>
      </c>
      <c r="F101" s="3"/>
      <c r="G101" s="3"/>
      <c r="H101" s="3"/>
      <c r="I101" s="3"/>
      <c r="J101" t="s">
        <v>451</v>
      </c>
    </row>
    <row r="102" spans="1:10">
      <c r="A102" s="3" t="s">
        <v>435</v>
      </c>
      <c r="B102" s="3" t="s">
        <v>449</v>
      </c>
      <c r="C102" s="3"/>
      <c r="D102" s="3"/>
      <c r="E102" s="3" t="s">
        <v>452</v>
      </c>
      <c r="F102" s="3"/>
      <c r="G102" s="3"/>
      <c r="H102" s="3"/>
      <c r="I102" s="3"/>
      <c r="J102" t="s">
        <v>453</v>
      </c>
    </row>
    <row r="103" spans="1:10">
      <c r="A103" s="3" t="s">
        <v>435</v>
      </c>
      <c r="B103" s="3" t="s">
        <v>449</v>
      </c>
      <c r="C103" s="3"/>
      <c r="D103" s="3"/>
      <c r="E103" s="3" t="s">
        <v>454</v>
      </c>
      <c r="F103" s="3"/>
      <c r="G103" s="3"/>
      <c r="H103" s="3"/>
      <c r="I103" s="3"/>
      <c r="J103" t="s">
        <v>455</v>
      </c>
    </row>
    <row r="104" spans="1:10">
      <c r="A104" s="3" t="s">
        <v>435</v>
      </c>
      <c r="B104" s="3" t="s">
        <v>449</v>
      </c>
      <c r="C104" s="3"/>
      <c r="D104" s="3"/>
      <c r="E104" s="3"/>
      <c r="F104" s="3" t="s">
        <v>456</v>
      </c>
      <c r="G104" s="3"/>
      <c r="H104" s="3"/>
      <c r="I104" s="3"/>
      <c r="J104" t="s">
        <v>457</v>
      </c>
    </row>
    <row r="105" spans="1:10">
      <c r="A105" s="3" t="s">
        <v>435</v>
      </c>
      <c r="B105" s="3" t="s">
        <v>449</v>
      </c>
      <c r="C105" s="3"/>
      <c r="D105" s="3"/>
      <c r="E105" s="3"/>
      <c r="F105" s="3" t="s">
        <v>458</v>
      </c>
      <c r="G105" s="3"/>
      <c r="H105" s="3"/>
      <c r="I105" s="3"/>
      <c r="J105" t="s">
        <v>459</v>
      </c>
    </row>
    <row r="106" spans="1:10">
      <c r="A106" s="3" t="s">
        <v>435</v>
      </c>
      <c r="B106" s="3" t="s">
        <v>449</v>
      </c>
      <c r="C106" s="3"/>
      <c r="D106" s="3"/>
      <c r="E106" s="3"/>
      <c r="F106" s="3" t="s">
        <v>460</v>
      </c>
      <c r="G106" s="3"/>
      <c r="H106" s="3"/>
      <c r="I106" s="3"/>
      <c r="J106" t="s">
        <v>461</v>
      </c>
    </row>
    <row r="107" spans="1:10">
      <c r="A107" s="3" t="s">
        <v>462</v>
      </c>
      <c r="B107" s="3" t="s">
        <v>463</v>
      </c>
      <c r="C107" s="3"/>
      <c r="D107" s="3"/>
      <c r="E107" s="3" t="s">
        <v>464</v>
      </c>
      <c r="F107" s="3"/>
      <c r="G107" s="3"/>
      <c r="H107" s="3"/>
      <c r="I107" s="3"/>
      <c r="J107" t="s">
        <v>465</v>
      </c>
    </row>
    <row r="108" spans="1:10">
      <c r="A108" s="3" t="s">
        <v>462</v>
      </c>
      <c r="B108" s="3" t="s">
        <v>463</v>
      </c>
      <c r="C108" s="3"/>
      <c r="D108" s="3"/>
      <c r="E108" s="3" t="s">
        <v>466</v>
      </c>
      <c r="F108" s="3"/>
      <c r="G108" s="3"/>
      <c r="H108" s="3"/>
      <c r="I108" s="3"/>
      <c r="J108" t="s">
        <v>467</v>
      </c>
    </row>
    <row r="109" spans="1:10">
      <c r="A109" s="3" t="s">
        <v>468</v>
      </c>
      <c r="B109" s="3" t="s">
        <v>469</v>
      </c>
      <c r="C109" s="3"/>
      <c r="D109" s="3"/>
      <c r="E109" s="3" t="s">
        <v>470</v>
      </c>
      <c r="F109" s="3"/>
      <c r="G109" s="3"/>
      <c r="H109" s="3"/>
      <c r="I109" s="3"/>
      <c r="J109" t="s">
        <v>471</v>
      </c>
    </row>
    <row r="110" spans="1:10">
      <c r="A110" s="3" t="s">
        <v>468</v>
      </c>
      <c r="B110" s="3" t="s">
        <v>469</v>
      </c>
      <c r="C110" s="3"/>
      <c r="D110" s="3"/>
      <c r="E110" s="3" t="s">
        <v>472</v>
      </c>
      <c r="F110" s="3"/>
      <c r="G110" s="3"/>
      <c r="H110" s="3"/>
      <c r="I110" s="3"/>
      <c r="J110" t="s">
        <v>473</v>
      </c>
    </row>
    <row r="111" spans="1:10">
      <c r="A111" s="3" t="s">
        <v>468</v>
      </c>
      <c r="B111" s="3" t="s">
        <v>469</v>
      </c>
      <c r="C111" s="3"/>
      <c r="D111" s="3"/>
      <c r="E111" s="3" t="s">
        <v>474</v>
      </c>
      <c r="F111" s="3"/>
      <c r="G111" s="3"/>
      <c r="H111" s="3"/>
      <c r="I111" s="3"/>
      <c r="J111" t="s">
        <v>475</v>
      </c>
    </row>
    <row r="112" spans="1:10">
      <c r="A112" s="3" t="s">
        <v>468</v>
      </c>
      <c r="B112" s="3" t="s">
        <v>476</v>
      </c>
      <c r="C112" s="3"/>
      <c r="D112" s="3"/>
      <c r="E112" s="3" t="s">
        <v>477</v>
      </c>
      <c r="F112" s="3"/>
      <c r="G112" s="3"/>
      <c r="H112" s="3"/>
      <c r="I112" s="3"/>
      <c r="J112" t="s">
        <v>478</v>
      </c>
    </row>
    <row r="113" spans="1:10">
      <c r="A113" s="3" t="s">
        <v>468</v>
      </c>
      <c r="B113" s="3" t="s">
        <v>476</v>
      </c>
      <c r="C113" s="3"/>
      <c r="D113" s="3"/>
      <c r="E113" s="3" t="s">
        <v>479</v>
      </c>
      <c r="F113" s="3"/>
      <c r="G113" s="3"/>
      <c r="H113" s="3"/>
      <c r="I113" s="3"/>
      <c r="J113" t="s">
        <v>480</v>
      </c>
    </row>
    <row r="114" spans="1:10">
      <c r="A114" s="3" t="s">
        <v>468</v>
      </c>
      <c r="B114" s="3" t="s">
        <v>476</v>
      </c>
      <c r="C114" s="3"/>
      <c r="D114" s="3"/>
      <c r="E114" s="3" t="s">
        <v>481</v>
      </c>
      <c r="F114" s="3"/>
      <c r="G114" s="3"/>
      <c r="H114" s="3"/>
      <c r="I114" s="3"/>
      <c r="J114" t="s">
        <v>482</v>
      </c>
    </row>
    <row r="115" spans="1:10">
      <c r="A115" s="3" t="s">
        <v>468</v>
      </c>
      <c r="B115" s="3" t="s">
        <v>476</v>
      </c>
      <c r="C115" s="3"/>
      <c r="D115" s="3"/>
      <c r="E115" s="3"/>
      <c r="F115" s="3" t="s">
        <v>483</v>
      </c>
      <c r="G115" s="3"/>
      <c r="H115" s="3"/>
      <c r="I115" s="3"/>
      <c r="J115" t="s">
        <v>484</v>
      </c>
    </row>
    <row r="116" spans="1:10">
      <c r="A116" s="3" t="s">
        <v>468</v>
      </c>
      <c r="B116" s="3" t="s">
        <v>476</v>
      </c>
      <c r="C116" s="3"/>
      <c r="D116" s="3"/>
      <c r="E116" s="3"/>
      <c r="F116" s="3" t="s">
        <v>485</v>
      </c>
      <c r="G116" s="3"/>
      <c r="H116" s="3"/>
      <c r="I116" s="3"/>
      <c r="J116" t="s">
        <v>486</v>
      </c>
    </row>
    <row r="117" spans="1:10">
      <c r="A117" s="3" t="s">
        <v>487</v>
      </c>
      <c r="B117" s="3" t="s">
        <v>488</v>
      </c>
      <c r="C117" s="3"/>
      <c r="D117" s="3"/>
      <c r="E117" s="3" t="s">
        <v>489</v>
      </c>
      <c r="F117" s="3"/>
      <c r="G117" s="3"/>
      <c r="H117" s="3"/>
      <c r="I117" s="3"/>
      <c r="J117" t="s">
        <v>490</v>
      </c>
    </row>
    <row r="118" spans="1:10">
      <c r="A118" s="3" t="s">
        <v>487</v>
      </c>
      <c r="B118" s="3" t="s">
        <v>488</v>
      </c>
      <c r="C118" s="3"/>
      <c r="D118" s="3"/>
      <c r="E118" s="3" t="s">
        <v>491</v>
      </c>
      <c r="F118" s="3"/>
      <c r="G118" s="3"/>
      <c r="H118" s="3"/>
      <c r="I118" s="3"/>
      <c r="J118" t="s">
        <v>492</v>
      </c>
    </row>
    <row r="119" spans="1:10">
      <c r="A119" s="3" t="s">
        <v>487</v>
      </c>
      <c r="B119" s="3" t="s">
        <v>488</v>
      </c>
      <c r="C119" s="3"/>
      <c r="D119" s="3"/>
      <c r="E119" s="3"/>
      <c r="F119" s="3" t="s">
        <v>493</v>
      </c>
      <c r="G119" s="3"/>
      <c r="H119" s="3"/>
      <c r="I119" s="3"/>
      <c r="J119" t="s">
        <v>494</v>
      </c>
    </row>
    <row r="120" spans="1:10">
      <c r="A120" s="3" t="s">
        <v>487</v>
      </c>
      <c r="B120" s="3" t="s">
        <v>495</v>
      </c>
      <c r="C120" s="3"/>
      <c r="D120" s="3"/>
      <c r="E120" s="3" t="s">
        <v>496</v>
      </c>
      <c r="F120" s="3"/>
      <c r="G120" s="3"/>
      <c r="H120" s="3"/>
      <c r="I120" s="3"/>
      <c r="J120" t="s">
        <v>497</v>
      </c>
    </row>
    <row r="121" spans="1:10">
      <c r="A121" s="3" t="s">
        <v>487</v>
      </c>
      <c r="B121" s="3" t="s">
        <v>495</v>
      </c>
      <c r="C121" s="3"/>
      <c r="D121" s="3"/>
      <c r="E121" s="3" t="s">
        <v>498</v>
      </c>
      <c r="F121" s="3"/>
      <c r="G121" s="3"/>
      <c r="H121" s="3"/>
      <c r="I121" s="3"/>
      <c r="J121" t="s">
        <v>499</v>
      </c>
    </row>
    <row r="122" spans="1:10">
      <c r="A122" s="3" t="s">
        <v>487</v>
      </c>
      <c r="B122" s="3" t="s">
        <v>495</v>
      </c>
      <c r="C122" s="3"/>
      <c r="D122" s="3"/>
      <c r="E122" s="3"/>
      <c r="F122" s="3" t="s">
        <v>500</v>
      </c>
      <c r="G122" s="3"/>
      <c r="H122" s="3"/>
      <c r="I122" s="3"/>
      <c r="J122" t="s">
        <v>501</v>
      </c>
    </row>
    <row r="123" spans="1:10">
      <c r="A123" s="3" t="s">
        <v>487</v>
      </c>
      <c r="B123" s="3" t="s">
        <v>495</v>
      </c>
      <c r="C123" s="3"/>
      <c r="D123" s="3"/>
      <c r="E123" s="3"/>
      <c r="F123" s="3" t="s">
        <v>502</v>
      </c>
      <c r="G123" s="3"/>
      <c r="H123" s="3"/>
      <c r="I123" s="3"/>
      <c r="J123" t="s">
        <v>503</v>
      </c>
    </row>
    <row r="124" spans="1:10">
      <c r="A124" s="3" t="s">
        <v>487</v>
      </c>
      <c r="B124" s="3" t="s">
        <v>495</v>
      </c>
      <c r="C124" s="3"/>
      <c r="D124" s="3"/>
      <c r="E124" s="3"/>
      <c r="F124" s="3" t="s">
        <v>504</v>
      </c>
      <c r="G124" s="3"/>
      <c r="H124" s="3"/>
      <c r="I124" s="3"/>
      <c r="J124" t="s">
        <v>505</v>
      </c>
    </row>
    <row r="125" spans="1:10">
      <c r="A125" s="3" t="s">
        <v>487</v>
      </c>
      <c r="B125" s="3" t="s">
        <v>495</v>
      </c>
      <c r="C125" s="3"/>
      <c r="D125" s="3"/>
      <c r="E125" s="3"/>
      <c r="F125" s="3" t="s">
        <v>506</v>
      </c>
      <c r="G125" s="3"/>
      <c r="H125" s="3"/>
      <c r="I125" s="3"/>
      <c r="J125" t="s">
        <v>507</v>
      </c>
    </row>
    <row r="126" spans="1:10">
      <c r="A126" s="3" t="s">
        <v>508</v>
      </c>
      <c r="B126" s="3" t="s">
        <v>509</v>
      </c>
      <c r="C126" s="3"/>
      <c r="D126" s="3"/>
      <c r="E126" s="3"/>
      <c r="F126" s="3"/>
      <c r="G126" s="3"/>
      <c r="H126" s="3"/>
      <c r="I126" s="3"/>
      <c r="J126" t="s">
        <v>510</v>
      </c>
    </row>
    <row r="127" spans="1:10">
      <c r="A127" s="3" t="s">
        <v>508</v>
      </c>
      <c r="B127" s="3" t="s">
        <v>511</v>
      </c>
      <c r="C127" s="3"/>
      <c r="D127" s="3"/>
      <c r="E127" s="3" t="s">
        <v>512</v>
      </c>
      <c r="F127" s="3"/>
      <c r="G127" s="3"/>
      <c r="H127" s="3"/>
      <c r="I127" s="3"/>
      <c r="J127" t="s">
        <v>513</v>
      </c>
    </row>
    <row r="128" spans="1:10">
      <c r="A128" s="3" t="s">
        <v>508</v>
      </c>
      <c r="B128" s="3" t="s">
        <v>511</v>
      </c>
      <c r="C128" s="3"/>
      <c r="D128" s="3"/>
      <c r="E128" s="3" t="s">
        <v>514</v>
      </c>
      <c r="F128" s="3"/>
      <c r="G128" s="3"/>
      <c r="H128" s="3"/>
      <c r="I128" s="3"/>
      <c r="J128" t="s">
        <v>515</v>
      </c>
    </row>
    <row r="129" spans="1:10">
      <c r="A129" s="3" t="s">
        <v>508</v>
      </c>
      <c r="B129" s="3" t="s">
        <v>511</v>
      </c>
      <c r="C129" s="3"/>
      <c r="D129" s="3"/>
      <c r="E129" s="3"/>
      <c r="F129" s="3" t="s">
        <v>516</v>
      </c>
      <c r="G129" s="3"/>
      <c r="H129" s="3"/>
      <c r="I129" s="3"/>
      <c r="J129" t="s">
        <v>517</v>
      </c>
    </row>
    <row r="130" spans="1:10">
      <c r="A130" s="3" t="s">
        <v>508</v>
      </c>
      <c r="B130" s="3" t="s">
        <v>511</v>
      </c>
      <c r="C130" s="3"/>
      <c r="D130" s="3"/>
      <c r="E130" s="3"/>
      <c r="F130" s="3" t="s">
        <v>518</v>
      </c>
      <c r="G130" s="3"/>
      <c r="H130" s="3"/>
      <c r="I130" s="3"/>
      <c r="J130" t="s">
        <v>519</v>
      </c>
    </row>
    <row r="131" spans="1:10">
      <c r="A131" s="3" t="s">
        <v>508</v>
      </c>
      <c r="B131" s="3" t="s">
        <v>520</v>
      </c>
      <c r="C131" s="3"/>
      <c r="D131" s="3"/>
      <c r="E131" s="3"/>
      <c r="F131" s="3"/>
      <c r="G131" s="3"/>
      <c r="H131" s="3"/>
      <c r="I131" s="3"/>
      <c r="J131" t="s">
        <v>521</v>
      </c>
    </row>
    <row r="132" spans="1:10">
      <c r="A132" s="3" t="s">
        <v>522</v>
      </c>
      <c r="B132" s="3" t="s">
        <v>523</v>
      </c>
      <c r="C132" s="3"/>
      <c r="D132" s="3"/>
      <c r="E132" s="3" t="s">
        <v>524</v>
      </c>
      <c r="F132" s="3"/>
      <c r="G132" s="3"/>
      <c r="H132" s="3"/>
      <c r="I132" s="3"/>
      <c r="J132" t="s">
        <v>525</v>
      </c>
    </row>
    <row r="133" spans="1:10">
      <c r="A133" s="3" t="s">
        <v>522</v>
      </c>
      <c r="B133" s="3" t="s">
        <v>523</v>
      </c>
      <c r="C133" s="3"/>
      <c r="D133" s="3"/>
      <c r="E133" s="3" t="s">
        <v>526</v>
      </c>
      <c r="F133" s="3"/>
      <c r="G133" s="3"/>
      <c r="H133" s="3"/>
      <c r="I133" s="3"/>
      <c r="J133" t="s">
        <v>527</v>
      </c>
    </row>
    <row r="134" spans="1:10">
      <c r="A134" s="3" t="s">
        <v>522</v>
      </c>
      <c r="B134" s="3" t="s">
        <v>523</v>
      </c>
      <c r="C134" s="3"/>
      <c r="D134" s="3"/>
      <c r="E134" s="3"/>
      <c r="F134" s="3" t="s">
        <v>528</v>
      </c>
      <c r="G134" s="3"/>
      <c r="H134" s="3"/>
      <c r="I134" s="3"/>
      <c r="J134" t="s">
        <v>529</v>
      </c>
    </row>
    <row r="135" spans="1:10">
      <c r="A135" s="3" t="s">
        <v>522</v>
      </c>
      <c r="B135" s="3" t="s">
        <v>530</v>
      </c>
      <c r="C135" s="3"/>
      <c r="D135" s="3"/>
      <c r="E135" s="3" t="s">
        <v>531</v>
      </c>
      <c r="F135" s="3"/>
      <c r="G135" s="3"/>
      <c r="H135" s="3"/>
      <c r="I135" s="3"/>
      <c r="J135" t="s">
        <v>532</v>
      </c>
    </row>
    <row r="136" spans="1:10">
      <c r="A136" s="3" t="s">
        <v>522</v>
      </c>
      <c r="B136" s="3" t="s">
        <v>530</v>
      </c>
      <c r="C136" s="3"/>
      <c r="D136" s="3"/>
      <c r="E136" s="3" t="s">
        <v>533</v>
      </c>
      <c r="F136" s="3"/>
      <c r="G136" s="3"/>
      <c r="H136" s="3"/>
      <c r="I136" s="3"/>
      <c r="J136" t="s">
        <v>534</v>
      </c>
    </row>
    <row r="137" spans="1:10">
      <c r="A137" s="3" t="s">
        <v>522</v>
      </c>
      <c r="B137" s="3" t="s">
        <v>530</v>
      </c>
      <c r="C137" s="3"/>
      <c r="D137" s="3"/>
      <c r="E137" s="3"/>
      <c r="F137" s="3" t="s">
        <v>535</v>
      </c>
      <c r="G137" s="3"/>
      <c r="H137" s="3"/>
      <c r="I137" s="3"/>
      <c r="J137" t="s">
        <v>536</v>
      </c>
    </row>
    <row r="138" spans="1:10">
      <c r="A138" s="3" t="s">
        <v>522</v>
      </c>
      <c r="B138" s="3" t="s">
        <v>530</v>
      </c>
      <c r="C138" s="3"/>
      <c r="D138" s="3"/>
      <c r="E138" s="3"/>
      <c r="F138" s="3" t="s">
        <v>537</v>
      </c>
      <c r="G138" s="3"/>
      <c r="H138" s="3"/>
      <c r="I138" s="3"/>
      <c r="J138" t="s">
        <v>538</v>
      </c>
    </row>
    <row r="139" spans="1:10">
      <c r="A139" s="3" t="s">
        <v>522</v>
      </c>
      <c r="B139" s="3" t="s">
        <v>530</v>
      </c>
      <c r="C139" s="3"/>
      <c r="D139" s="3"/>
      <c r="E139" s="3"/>
      <c r="F139" s="3" t="s">
        <v>539</v>
      </c>
      <c r="G139" s="3"/>
      <c r="H139" s="3"/>
      <c r="I139" s="3"/>
      <c r="J139" t="s">
        <v>540</v>
      </c>
    </row>
    <row r="140" spans="1:10">
      <c r="A140" s="3" t="s">
        <v>522</v>
      </c>
      <c r="B140" s="3" t="s">
        <v>530</v>
      </c>
      <c r="C140" s="3"/>
      <c r="D140" s="3"/>
      <c r="E140" s="3"/>
      <c r="F140" s="3" t="s">
        <v>541</v>
      </c>
      <c r="G140" s="3"/>
      <c r="H140" s="3"/>
      <c r="I140" s="3"/>
      <c r="J140" t="s">
        <v>542</v>
      </c>
    </row>
    <row r="141" spans="1:10">
      <c r="A141" s="3" t="s">
        <v>522</v>
      </c>
      <c r="B141" s="3" t="s">
        <v>543</v>
      </c>
      <c r="C141" s="3"/>
      <c r="D141" s="3"/>
      <c r="E141" s="3" t="s">
        <v>544</v>
      </c>
      <c r="F141" s="3"/>
      <c r="G141" s="3"/>
      <c r="H141" s="3"/>
      <c r="I141" s="3"/>
      <c r="J141" t="s">
        <v>545</v>
      </c>
    </row>
    <row r="142" spans="1:10">
      <c r="A142" s="3" t="s">
        <v>522</v>
      </c>
      <c r="B142" s="3" t="s">
        <v>543</v>
      </c>
      <c r="C142" s="3"/>
      <c r="D142" s="3"/>
      <c r="E142" s="3" t="s">
        <v>546</v>
      </c>
      <c r="F142" s="3"/>
      <c r="G142" s="3"/>
      <c r="H142" s="3"/>
      <c r="I142" s="3"/>
      <c r="J142" t="s">
        <v>547</v>
      </c>
    </row>
    <row r="143" spans="1:10">
      <c r="A143" s="3" t="s">
        <v>548</v>
      </c>
      <c r="B143" s="3" t="s">
        <v>549</v>
      </c>
      <c r="C143" s="3"/>
      <c r="D143" s="3"/>
      <c r="E143" s="3"/>
      <c r="F143" s="3" t="s">
        <v>550</v>
      </c>
      <c r="G143" s="3"/>
      <c r="H143" s="3"/>
      <c r="I143" s="3"/>
      <c r="J143" t="s">
        <v>551</v>
      </c>
    </row>
    <row r="144" spans="1:10">
      <c r="A144" s="3" t="s">
        <v>548</v>
      </c>
      <c r="B144" s="3" t="s">
        <v>549</v>
      </c>
      <c r="C144" s="3"/>
      <c r="D144" s="3"/>
      <c r="E144" s="3"/>
      <c r="F144" s="3" t="s">
        <v>552</v>
      </c>
      <c r="G144" s="3"/>
      <c r="H144" s="3"/>
      <c r="I144" s="3"/>
      <c r="J144" t="s">
        <v>553</v>
      </c>
    </row>
    <row r="145" spans="1:10">
      <c r="A145" s="3" t="s">
        <v>548</v>
      </c>
      <c r="B145" s="3" t="s">
        <v>549</v>
      </c>
      <c r="C145" s="3"/>
      <c r="D145" s="3"/>
      <c r="E145" s="3"/>
      <c r="F145" s="3" t="s">
        <v>554</v>
      </c>
      <c r="G145" s="3"/>
      <c r="H145" s="3"/>
      <c r="I145" s="3"/>
      <c r="J145" t="s">
        <v>555</v>
      </c>
    </row>
    <row r="146" spans="1:10">
      <c r="A146" s="3" t="s">
        <v>556</v>
      </c>
      <c r="B146" s="3" t="s">
        <v>557</v>
      </c>
      <c r="C146" s="3"/>
      <c r="D146" s="3"/>
      <c r="E146" s="3" t="s">
        <v>558</v>
      </c>
      <c r="F146" s="3"/>
      <c r="G146" s="3"/>
      <c r="H146" s="3"/>
      <c r="I146" s="3"/>
      <c r="J146" t="s">
        <v>559</v>
      </c>
    </row>
    <row r="147" spans="1:10">
      <c r="A147" s="3" t="s">
        <v>560</v>
      </c>
      <c r="B147" s="3" t="s">
        <v>561</v>
      </c>
      <c r="C147" s="3"/>
      <c r="D147" s="3"/>
      <c r="E147" s="3" t="s">
        <v>562</v>
      </c>
      <c r="F147" s="3"/>
      <c r="G147" s="3"/>
      <c r="H147" s="3"/>
      <c r="I147" s="3"/>
      <c r="J147" t="s">
        <v>563</v>
      </c>
    </row>
    <row r="148" spans="1:10">
      <c r="A148" s="3" t="s">
        <v>560</v>
      </c>
      <c r="B148" s="3" t="s">
        <v>561</v>
      </c>
      <c r="C148" s="3"/>
      <c r="D148" s="3"/>
      <c r="E148" s="3" t="s">
        <v>564</v>
      </c>
      <c r="F148" s="3"/>
      <c r="G148" s="3"/>
      <c r="H148" s="3"/>
      <c r="I148" s="3"/>
      <c r="J148" t="s">
        <v>565</v>
      </c>
    </row>
    <row r="149" spans="1:10">
      <c r="A149" s="3" t="s">
        <v>560</v>
      </c>
      <c r="B149" s="3" t="s">
        <v>566</v>
      </c>
      <c r="C149" s="3"/>
      <c r="D149" s="3"/>
      <c r="E149" s="3" t="s">
        <v>567</v>
      </c>
      <c r="F149" s="3"/>
      <c r="G149" s="3"/>
      <c r="H149" s="3"/>
      <c r="I149" s="3"/>
      <c r="J149" t="s">
        <v>568</v>
      </c>
    </row>
    <row r="150" spans="1:10">
      <c r="A150" s="3" t="s">
        <v>560</v>
      </c>
      <c r="B150" s="3" t="s">
        <v>566</v>
      </c>
      <c r="C150" s="3"/>
      <c r="D150" s="3"/>
      <c r="E150" s="3" t="s">
        <v>569</v>
      </c>
      <c r="F150" s="3"/>
      <c r="G150" s="3"/>
      <c r="H150" s="3"/>
      <c r="I150" s="3"/>
      <c r="J150" t="s">
        <v>570</v>
      </c>
    </row>
    <row r="151" spans="1:10">
      <c r="A151" s="3" t="s">
        <v>571</v>
      </c>
      <c r="B151" s="3" t="s">
        <v>572</v>
      </c>
      <c r="C151" s="3"/>
      <c r="D151" s="3"/>
      <c r="E151" s="3" t="s">
        <v>573</v>
      </c>
      <c r="F151" s="3"/>
      <c r="G151" s="3"/>
      <c r="H151" s="3"/>
      <c r="I151" s="3"/>
      <c r="J151" t="s">
        <v>574</v>
      </c>
    </row>
    <row r="152" spans="1:10">
      <c r="A152" s="3" t="s">
        <v>571</v>
      </c>
      <c r="B152" s="3" t="s">
        <v>572</v>
      </c>
      <c r="C152" s="3"/>
      <c r="D152" s="3"/>
      <c r="E152" s="3" t="s">
        <v>575</v>
      </c>
      <c r="F152" s="3"/>
      <c r="G152" s="3"/>
      <c r="H152" s="3"/>
      <c r="I152" s="3"/>
      <c r="J152" t="s">
        <v>576</v>
      </c>
    </row>
    <row r="153" spans="1:10">
      <c r="A153" s="3" t="s">
        <v>571</v>
      </c>
      <c r="B153" s="3" t="s">
        <v>577</v>
      </c>
      <c r="C153" s="3"/>
      <c r="D153" s="3"/>
      <c r="E153" s="3" t="s">
        <v>578</v>
      </c>
      <c r="F153" s="3"/>
      <c r="G153" s="3"/>
      <c r="H153" s="3"/>
      <c r="I153" s="3"/>
      <c r="J153" t="s">
        <v>579</v>
      </c>
    </row>
    <row r="154" spans="1:10">
      <c r="A154" s="3" t="s">
        <v>571</v>
      </c>
      <c r="B154" s="3" t="s">
        <v>577</v>
      </c>
      <c r="C154" s="3"/>
      <c r="D154" s="3"/>
      <c r="E154" s="3" t="s">
        <v>580</v>
      </c>
      <c r="F154" s="3"/>
      <c r="G154" s="3"/>
      <c r="H154" s="3"/>
      <c r="I154" s="3"/>
      <c r="J154" t="s">
        <v>581</v>
      </c>
    </row>
    <row r="155" spans="1:10">
      <c r="A155" s="3" t="s">
        <v>571</v>
      </c>
      <c r="B155" s="3" t="s">
        <v>577</v>
      </c>
      <c r="C155" s="3"/>
      <c r="D155" s="3"/>
      <c r="E155" s="3" t="s">
        <v>582</v>
      </c>
      <c r="F155" s="3"/>
      <c r="G155" s="3"/>
      <c r="H155" s="3"/>
      <c r="I155" s="3"/>
      <c r="J155" t="s">
        <v>583</v>
      </c>
    </row>
    <row r="156" spans="1:10">
      <c r="A156" s="3" t="s">
        <v>571</v>
      </c>
      <c r="B156" s="3" t="s">
        <v>584</v>
      </c>
      <c r="C156" s="3"/>
      <c r="D156" s="3"/>
      <c r="E156" s="3" t="s">
        <v>585</v>
      </c>
      <c r="F156" s="3"/>
      <c r="G156" s="3"/>
      <c r="H156" s="3"/>
      <c r="I156" s="3"/>
      <c r="J156" t="s">
        <v>586</v>
      </c>
    </row>
    <row r="157" spans="1:10">
      <c r="A157" s="3" t="s">
        <v>571</v>
      </c>
      <c r="B157" s="3" t="s">
        <v>584</v>
      </c>
      <c r="C157" s="3"/>
      <c r="D157" s="3"/>
      <c r="E157" s="3" t="s">
        <v>587</v>
      </c>
      <c r="F157" s="3"/>
      <c r="G157" s="3"/>
      <c r="H157" s="3"/>
      <c r="I157" s="3"/>
      <c r="J157" t="s">
        <v>588</v>
      </c>
    </row>
    <row r="158" spans="1:10">
      <c r="A158" s="3" t="s">
        <v>589</v>
      </c>
      <c r="B158" s="3" t="s">
        <v>590</v>
      </c>
      <c r="C158" s="3"/>
      <c r="D158" s="3"/>
      <c r="E158" s="3" t="s">
        <v>591</v>
      </c>
      <c r="F158" s="3"/>
      <c r="G158" s="3"/>
      <c r="H158" s="3"/>
      <c r="I158" s="3"/>
      <c r="J158" t="s">
        <v>592</v>
      </c>
    </row>
    <row r="159" spans="1:10">
      <c r="A159" s="3" t="s">
        <v>593</v>
      </c>
      <c r="B159" s="3" t="s">
        <v>594</v>
      </c>
      <c r="C159" s="3"/>
      <c r="D159" s="3"/>
      <c r="E159" s="3" t="s">
        <v>595</v>
      </c>
      <c r="F159" s="3"/>
      <c r="G159" s="3"/>
      <c r="H159" s="3"/>
      <c r="I159" s="3"/>
      <c r="J159" t="s">
        <v>596</v>
      </c>
    </row>
    <row r="160" spans="1:10">
      <c r="A160" s="3" t="s">
        <v>593</v>
      </c>
      <c r="B160" s="3" t="s">
        <v>594</v>
      </c>
      <c r="C160" s="3"/>
      <c r="D160" s="3"/>
      <c r="E160" s="3" t="s">
        <v>597</v>
      </c>
      <c r="F160" s="3"/>
      <c r="G160" s="3"/>
      <c r="H160" s="3"/>
      <c r="I160" s="3"/>
      <c r="J160" t="s">
        <v>598</v>
      </c>
    </row>
    <row r="161" spans="1:10">
      <c r="A161" s="3" t="s">
        <v>593</v>
      </c>
      <c r="B161" s="3" t="s">
        <v>599</v>
      </c>
      <c r="C161" s="3"/>
      <c r="D161" s="3"/>
      <c r="E161" s="3" t="s">
        <v>600</v>
      </c>
      <c r="F161" s="3"/>
      <c r="G161" s="3"/>
      <c r="H161" s="3"/>
      <c r="I161" s="3"/>
      <c r="J161" t="s">
        <v>601</v>
      </c>
    </row>
    <row r="162" spans="1:10">
      <c r="A162" s="3" t="s">
        <v>593</v>
      </c>
      <c r="B162" s="3" t="s">
        <v>599</v>
      </c>
      <c r="C162" s="3"/>
      <c r="D162" s="3"/>
      <c r="E162" s="3" t="s">
        <v>602</v>
      </c>
      <c r="F162" s="3"/>
      <c r="G162" s="3"/>
      <c r="H162" s="3"/>
      <c r="I162" s="3"/>
      <c r="J162" t="s">
        <v>603</v>
      </c>
    </row>
    <row r="163" spans="1:10">
      <c r="A163" s="3" t="s">
        <v>593</v>
      </c>
      <c r="B163" s="3" t="s">
        <v>604</v>
      </c>
      <c r="C163" s="3"/>
      <c r="D163" s="3"/>
      <c r="E163" s="3" t="s">
        <v>605</v>
      </c>
      <c r="F163" s="3"/>
      <c r="G163" s="3"/>
      <c r="H163" s="3"/>
      <c r="I163" s="3"/>
      <c r="J163" t="s">
        <v>606</v>
      </c>
    </row>
    <row r="164" spans="1:10">
      <c r="A164" s="3" t="s">
        <v>593</v>
      </c>
      <c r="B164" s="3" t="s">
        <v>604</v>
      </c>
      <c r="C164" s="3"/>
      <c r="D164" s="3"/>
      <c r="E164" s="3" t="s">
        <v>607</v>
      </c>
      <c r="F164" s="3"/>
      <c r="G164" s="3"/>
      <c r="H164" s="3"/>
      <c r="I164" s="3"/>
      <c r="J164" t="s">
        <v>608</v>
      </c>
    </row>
    <row r="165" spans="1:10">
      <c r="A165" s="3" t="s">
        <v>609</v>
      </c>
      <c r="B165" s="3" t="s">
        <v>610</v>
      </c>
      <c r="C165" s="3"/>
      <c r="D165" s="3"/>
      <c r="E165" s="3"/>
      <c r="F165" s="3" t="s">
        <v>611</v>
      </c>
      <c r="G165" s="3"/>
      <c r="H165" s="3"/>
      <c r="I165" s="3"/>
      <c r="J165" t="s">
        <v>612</v>
      </c>
    </row>
    <row r="166" spans="1:10">
      <c r="A166" s="3" t="s">
        <v>609</v>
      </c>
      <c r="B166" s="3" t="s">
        <v>610</v>
      </c>
      <c r="C166" s="3"/>
      <c r="D166" s="3"/>
      <c r="E166" s="3"/>
      <c r="F166" s="3" t="s">
        <v>613</v>
      </c>
      <c r="G166" s="3"/>
      <c r="H166" s="3"/>
      <c r="I166" s="3"/>
      <c r="J166" t="s">
        <v>614</v>
      </c>
    </row>
    <row r="167" spans="1:10">
      <c r="A167" s="3" t="s">
        <v>615</v>
      </c>
      <c r="B167" s="3" t="s">
        <v>616</v>
      </c>
      <c r="C167" s="3"/>
      <c r="D167" s="3"/>
      <c r="E167" s="3" t="s">
        <v>617</v>
      </c>
      <c r="F167" s="3"/>
      <c r="G167" s="3"/>
      <c r="H167" s="3"/>
      <c r="I167" s="3"/>
      <c r="J167" t="s">
        <v>618</v>
      </c>
    </row>
    <row r="168" spans="1:10">
      <c r="A168" s="3" t="s">
        <v>615</v>
      </c>
      <c r="B168" s="3" t="s">
        <v>616</v>
      </c>
      <c r="C168" s="3"/>
      <c r="D168" s="3"/>
      <c r="E168" s="3" t="s">
        <v>619</v>
      </c>
      <c r="F168" s="3"/>
      <c r="G168" s="3"/>
      <c r="H168" s="3"/>
      <c r="I168" s="3"/>
      <c r="J168" t="s">
        <v>620</v>
      </c>
    </row>
    <row r="169" spans="1:10">
      <c r="A169" s="3" t="s">
        <v>615</v>
      </c>
      <c r="B169" s="3" t="s">
        <v>616</v>
      </c>
      <c r="C169" s="3"/>
      <c r="D169" s="3"/>
      <c r="E169" s="3" t="s">
        <v>621</v>
      </c>
      <c r="F169" s="3"/>
      <c r="G169" s="3"/>
      <c r="H169" s="3"/>
      <c r="I169" s="3"/>
      <c r="J169" t="s">
        <v>622</v>
      </c>
    </row>
    <row r="170" spans="1:10">
      <c r="A170" s="3" t="s">
        <v>615</v>
      </c>
      <c r="B170" s="3" t="s">
        <v>616</v>
      </c>
      <c r="C170" s="3"/>
      <c r="D170" s="3"/>
      <c r="E170" s="3"/>
      <c r="F170" s="3" t="s">
        <v>623</v>
      </c>
      <c r="G170" s="3"/>
      <c r="H170" s="3"/>
      <c r="I170" s="3"/>
      <c r="J170" t="s">
        <v>624</v>
      </c>
    </row>
    <row r="171" spans="1:10">
      <c r="A171" s="3" t="s">
        <v>615</v>
      </c>
      <c r="B171" s="3" t="s">
        <v>616</v>
      </c>
      <c r="C171" s="3"/>
      <c r="D171" s="3"/>
      <c r="E171" s="3"/>
      <c r="F171" s="3" t="s">
        <v>625</v>
      </c>
      <c r="G171" s="3"/>
      <c r="H171" s="3"/>
      <c r="I171" s="3"/>
      <c r="J171" t="s">
        <v>626</v>
      </c>
    </row>
    <row r="172" spans="1:10">
      <c r="A172" s="3" t="s">
        <v>615</v>
      </c>
      <c r="B172" s="3" t="s">
        <v>616</v>
      </c>
      <c r="C172" s="3"/>
      <c r="D172" s="3"/>
      <c r="E172" s="3"/>
      <c r="F172" s="3" t="s">
        <v>627</v>
      </c>
      <c r="G172" s="3"/>
      <c r="H172" s="3"/>
      <c r="I172" s="3"/>
      <c r="J172" t="s">
        <v>628</v>
      </c>
    </row>
    <row r="173" spans="1:10">
      <c r="A173" s="3" t="s">
        <v>629</v>
      </c>
      <c r="B173" s="3" t="s">
        <v>630</v>
      </c>
      <c r="C173" s="3"/>
      <c r="D173" s="3"/>
      <c r="E173" s="3" t="s">
        <v>631</v>
      </c>
      <c r="F173" s="3"/>
      <c r="G173" s="3"/>
      <c r="H173" s="3"/>
      <c r="I173" s="3"/>
      <c r="J173" t="s">
        <v>632</v>
      </c>
    </row>
    <row r="174" spans="1:10">
      <c r="A174" s="3" t="s">
        <v>629</v>
      </c>
      <c r="B174" s="3" t="s">
        <v>630</v>
      </c>
      <c r="C174" s="3"/>
      <c r="D174" s="3"/>
      <c r="E174" s="3" t="s">
        <v>633</v>
      </c>
      <c r="F174" s="3"/>
      <c r="G174" s="3"/>
      <c r="H174" s="3"/>
      <c r="I174" s="3"/>
      <c r="J174" t="s">
        <v>634</v>
      </c>
    </row>
    <row r="175" spans="1:10">
      <c r="A175" s="3" t="s">
        <v>635</v>
      </c>
      <c r="B175" s="3" t="s">
        <v>636</v>
      </c>
      <c r="C175" s="3"/>
      <c r="D175" s="3"/>
      <c r="E175" s="3"/>
      <c r="F175" s="3" t="s">
        <v>637</v>
      </c>
      <c r="G175" s="3"/>
      <c r="H175" s="3"/>
      <c r="I175" s="3"/>
      <c r="J175" t="s">
        <v>638</v>
      </c>
    </row>
    <row r="176" spans="1:10">
      <c r="A176" s="3" t="s">
        <v>635</v>
      </c>
      <c r="B176" s="3" t="s">
        <v>636</v>
      </c>
      <c r="C176" s="3"/>
      <c r="D176" s="3"/>
      <c r="E176" s="3"/>
      <c r="F176" s="3" t="s">
        <v>639</v>
      </c>
      <c r="G176" s="3"/>
      <c r="H176" s="3"/>
      <c r="I176" s="3"/>
      <c r="J176" t="s">
        <v>640</v>
      </c>
    </row>
    <row r="177" spans="1:10">
      <c r="A177" s="3" t="s">
        <v>635</v>
      </c>
      <c r="B177" s="3" t="s">
        <v>636</v>
      </c>
      <c r="C177" s="3"/>
      <c r="D177" s="3"/>
      <c r="E177" s="3"/>
      <c r="F177" s="3" t="s">
        <v>641</v>
      </c>
      <c r="G177" s="3"/>
      <c r="H177" s="3"/>
      <c r="I177" s="3"/>
      <c r="J177" t="s">
        <v>642</v>
      </c>
    </row>
    <row r="178" spans="1:10">
      <c r="A178" s="3" t="s">
        <v>643</v>
      </c>
      <c r="B178" s="3" t="s">
        <v>644</v>
      </c>
      <c r="C178" s="3"/>
      <c r="D178" s="3"/>
      <c r="E178" s="3"/>
      <c r="F178" s="3"/>
      <c r="G178" s="3"/>
      <c r="H178" s="3"/>
      <c r="I178" s="3"/>
      <c r="J178" t="s">
        <v>645</v>
      </c>
    </row>
    <row r="179" spans="1:10">
      <c r="A179" s="3" t="s">
        <v>643</v>
      </c>
      <c r="B179" s="3" t="s">
        <v>646</v>
      </c>
      <c r="C179" s="3"/>
      <c r="D179" s="3"/>
      <c r="E179" s="3" t="s">
        <v>647</v>
      </c>
      <c r="F179" s="3"/>
      <c r="G179" s="3"/>
      <c r="H179" s="3"/>
      <c r="I179" s="3"/>
      <c r="J179" t="s">
        <v>648</v>
      </c>
    </row>
    <row r="180" spans="1:10">
      <c r="A180" s="3" t="s">
        <v>643</v>
      </c>
      <c r="B180" s="3" t="s">
        <v>649</v>
      </c>
      <c r="C180" s="3"/>
      <c r="D180" s="3"/>
      <c r="E180" s="3"/>
      <c r="F180" s="3" t="s">
        <v>650</v>
      </c>
      <c r="G180" s="3"/>
      <c r="H180" s="3"/>
      <c r="I180" s="3"/>
      <c r="J180" t="s">
        <v>651</v>
      </c>
    </row>
    <row r="181" spans="1:10">
      <c r="A181" s="3" t="s">
        <v>643</v>
      </c>
      <c r="B181" s="3" t="s">
        <v>649</v>
      </c>
      <c r="C181" s="3"/>
      <c r="D181" s="3"/>
      <c r="E181" s="3"/>
      <c r="F181" s="3" t="s">
        <v>652</v>
      </c>
      <c r="G181" s="3"/>
      <c r="H181" s="3"/>
      <c r="I181" s="3"/>
      <c r="J181" t="s">
        <v>653</v>
      </c>
    </row>
    <row r="182" spans="1:10">
      <c r="A182" s="3" t="s">
        <v>643</v>
      </c>
      <c r="B182" s="3" t="s">
        <v>649</v>
      </c>
      <c r="C182" s="3"/>
      <c r="D182" s="3"/>
      <c r="E182" s="3"/>
      <c r="F182" s="3" t="s">
        <v>654</v>
      </c>
      <c r="G182" s="3"/>
      <c r="H182" s="3"/>
      <c r="I182" s="3"/>
      <c r="J182" t="s">
        <v>655</v>
      </c>
    </row>
    <row r="183" spans="1:10">
      <c r="A183" s="3" t="s">
        <v>643</v>
      </c>
      <c r="B183" s="3" t="s">
        <v>649</v>
      </c>
      <c r="C183" s="3"/>
      <c r="D183" s="3"/>
      <c r="E183" s="3"/>
      <c r="F183" s="3" t="s">
        <v>656</v>
      </c>
      <c r="G183" s="3"/>
      <c r="H183" s="3"/>
      <c r="I183" s="3"/>
      <c r="J183" t="s">
        <v>657</v>
      </c>
    </row>
    <row r="184" spans="1:10">
      <c r="A184" s="3" t="s">
        <v>658</v>
      </c>
      <c r="B184" s="3" t="s">
        <v>659</v>
      </c>
      <c r="C184" s="3"/>
      <c r="D184" s="3"/>
      <c r="E184" s="3" t="s">
        <v>660</v>
      </c>
      <c r="F184" s="3"/>
      <c r="G184" s="3"/>
      <c r="H184" s="3"/>
      <c r="I184" s="3"/>
      <c r="J184" t="s">
        <v>661</v>
      </c>
    </row>
    <row r="185" spans="1:10">
      <c r="A185" s="3" t="s">
        <v>658</v>
      </c>
      <c r="B185" s="3" t="s">
        <v>659</v>
      </c>
      <c r="C185" s="3"/>
      <c r="D185" s="3"/>
      <c r="E185" s="3" t="s">
        <v>662</v>
      </c>
      <c r="F185" s="3"/>
      <c r="G185" s="3"/>
      <c r="H185" s="3"/>
      <c r="I185" s="3"/>
      <c r="J185" t="s">
        <v>663</v>
      </c>
    </row>
    <row r="186" spans="1:10">
      <c r="A186" s="3" t="s">
        <v>658</v>
      </c>
      <c r="B186" s="3" t="s">
        <v>664</v>
      </c>
      <c r="C186" s="3"/>
      <c r="D186" s="3"/>
      <c r="E186" s="3"/>
      <c r="F186" s="3"/>
      <c r="G186" s="3"/>
      <c r="H186" s="3"/>
      <c r="I186" s="3"/>
      <c r="J186" t="s">
        <v>665</v>
      </c>
    </row>
    <row r="187" spans="1:10">
      <c r="A187" s="3" t="s">
        <v>666</v>
      </c>
      <c r="B187" s="3" t="s">
        <v>667</v>
      </c>
      <c r="C187" s="3"/>
      <c r="D187" s="3"/>
      <c r="E187" s="3" t="s">
        <v>668</v>
      </c>
      <c r="F187" s="3"/>
      <c r="G187" s="3"/>
      <c r="H187" s="3"/>
      <c r="I187" s="3"/>
      <c r="J187" t="s">
        <v>669</v>
      </c>
    </row>
    <row r="188" spans="1:10">
      <c r="A188" s="3" t="s">
        <v>666</v>
      </c>
      <c r="B188" s="3" t="s">
        <v>667</v>
      </c>
      <c r="C188" s="3"/>
      <c r="D188" s="3"/>
      <c r="E188" s="3" t="s">
        <v>670</v>
      </c>
      <c r="F188" s="3"/>
      <c r="G188" s="3"/>
      <c r="H188" s="3"/>
      <c r="I188" s="3"/>
      <c r="J188" t="s">
        <v>671</v>
      </c>
    </row>
    <row r="189" spans="1:10">
      <c r="A189" s="3" t="s">
        <v>672</v>
      </c>
      <c r="B189" s="3" t="s">
        <v>673</v>
      </c>
      <c r="C189" s="3"/>
      <c r="D189" s="3"/>
      <c r="E189" s="3"/>
      <c r="F189" s="3"/>
      <c r="G189" s="3"/>
      <c r="H189" s="3"/>
      <c r="I189" s="3"/>
      <c r="J189" t="s">
        <v>674</v>
      </c>
    </row>
    <row r="190" spans="1:10">
      <c r="A190" s="3" t="s">
        <v>672</v>
      </c>
      <c r="B190" s="3" t="s">
        <v>675</v>
      </c>
      <c r="C190" s="3"/>
      <c r="D190" s="3"/>
      <c r="E190" s="3" t="s">
        <v>676</v>
      </c>
      <c r="F190" s="3"/>
      <c r="G190" s="3"/>
      <c r="H190" s="3"/>
      <c r="I190" s="3"/>
      <c r="J190" t="s">
        <v>677</v>
      </c>
    </row>
    <row r="191" spans="1:10">
      <c r="A191" s="3" t="s">
        <v>672</v>
      </c>
      <c r="B191" s="3" t="s">
        <v>675</v>
      </c>
      <c r="C191" s="3"/>
      <c r="D191" s="3"/>
      <c r="E191" s="3" t="s">
        <v>678</v>
      </c>
      <c r="F191" s="3"/>
      <c r="G191" s="3"/>
      <c r="H191" s="3"/>
      <c r="I191" s="3"/>
      <c r="J191" t="s">
        <v>679</v>
      </c>
    </row>
    <row r="192" spans="1:10">
      <c r="A192" s="3" t="s">
        <v>672</v>
      </c>
      <c r="B192" s="3" t="s">
        <v>675</v>
      </c>
      <c r="C192" s="3"/>
      <c r="D192" s="3"/>
      <c r="E192" s="3" t="s">
        <v>680</v>
      </c>
      <c r="F192" s="3"/>
      <c r="G192" s="3"/>
      <c r="H192" s="3"/>
      <c r="I192" s="3"/>
      <c r="J192" t="s">
        <v>681</v>
      </c>
    </row>
    <row r="193" spans="1:10">
      <c r="A193" s="3" t="s">
        <v>672</v>
      </c>
      <c r="B193" s="3" t="s">
        <v>675</v>
      </c>
      <c r="C193" s="3"/>
      <c r="D193" s="3"/>
      <c r="E193" s="3"/>
      <c r="F193" s="3" t="s">
        <v>682</v>
      </c>
      <c r="G193" s="3"/>
      <c r="H193" s="3"/>
      <c r="I193" s="3"/>
      <c r="J193" t="s">
        <v>683</v>
      </c>
    </row>
    <row r="194" spans="1:10">
      <c r="A194" s="3" t="s">
        <v>672</v>
      </c>
      <c r="B194" s="3" t="s">
        <v>675</v>
      </c>
      <c r="C194" s="3"/>
      <c r="D194" s="3"/>
      <c r="E194" s="3"/>
      <c r="F194" s="3" t="s">
        <v>684</v>
      </c>
      <c r="G194" s="3"/>
      <c r="H194" s="3"/>
      <c r="I194" s="3"/>
      <c r="J194" t="s">
        <v>685</v>
      </c>
    </row>
    <row r="195" spans="1:10">
      <c r="A195" s="3" t="s">
        <v>686</v>
      </c>
      <c r="B195" s="3" t="s">
        <v>687</v>
      </c>
      <c r="C195" s="3"/>
      <c r="D195" s="3"/>
      <c r="E195" s="3"/>
      <c r="F195" s="3" t="s">
        <v>688</v>
      </c>
      <c r="G195" s="3"/>
      <c r="H195" s="3"/>
      <c r="I195" s="3"/>
      <c r="J195" t="s">
        <v>689</v>
      </c>
    </row>
    <row r="196" spans="1:10">
      <c r="A196" s="3" t="s">
        <v>686</v>
      </c>
      <c r="B196" s="3" t="s">
        <v>687</v>
      </c>
      <c r="C196" s="3"/>
      <c r="D196" s="3"/>
      <c r="E196" s="3"/>
      <c r="F196" s="3" t="s">
        <v>690</v>
      </c>
      <c r="G196" s="3"/>
      <c r="H196" s="3"/>
      <c r="I196" s="3"/>
      <c r="J196" t="s">
        <v>691</v>
      </c>
    </row>
    <row r="197" spans="1:10">
      <c r="A197" s="3" t="s">
        <v>686</v>
      </c>
      <c r="B197" s="3" t="s">
        <v>692</v>
      </c>
      <c r="C197" s="3"/>
      <c r="D197" s="3"/>
      <c r="E197" s="3" t="s">
        <v>693</v>
      </c>
      <c r="F197" s="3"/>
      <c r="G197" s="3"/>
      <c r="H197" s="3"/>
      <c r="I197" s="3"/>
      <c r="J197" t="s">
        <v>694</v>
      </c>
    </row>
    <row r="198" spans="1:10">
      <c r="A198" s="3" t="s">
        <v>686</v>
      </c>
      <c r="B198" s="3" t="s">
        <v>692</v>
      </c>
      <c r="C198" s="3"/>
      <c r="D198" s="3"/>
      <c r="E198" s="3" t="s">
        <v>695</v>
      </c>
      <c r="F198" s="3"/>
      <c r="G198" s="3"/>
      <c r="H198" s="3"/>
      <c r="I198" s="3"/>
      <c r="J198" t="s">
        <v>696</v>
      </c>
    </row>
    <row r="199" spans="1:10">
      <c r="A199" s="3" t="s">
        <v>686</v>
      </c>
      <c r="B199" s="3" t="s">
        <v>692</v>
      </c>
      <c r="C199" s="3"/>
      <c r="D199" s="3"/>
      <c r="E199" s="3" t="s">
        <v>697</v>
      </c>
      <c r="F199" s="3"/>
      <c r="G199" s="3"/>
      <c r="H199" s="3"/>
      <c r="I199" s="3"/>
      <c r="J199" t="s">
        <v>698</v>
      </c>
    </row>
    <row r="200" spans="1:10">
      <c r="A200" s="3" t="s">
        <v>699</v>
      </c>
      <c r="B200" s="3" t="s">
        <v>700</v>
      </c>
      <c r="C200" s="3"/>
      <c r="D200" s="3"/>
      <c r="E200" s="3" t="s">
        <v>701</v>
      </c>
      <c r="F200" s="3"/>
      <c r="G200" s="3"/>
      <c r="H200" s="3"/>
      <c r="I200" s="3"/>
      <c r="J200" t="s">
        <v>702</v>
      </c>
    </row>
    <row r="201" spans="1:10">
      <c r="A201" s="3" t="s">
        <v>699</v>
      </c>
      <c r="B201" s="3" t="s">
        <v>700</v>
      </c>
      <c r="C201" s="3"/>
      <c r="D201" s="3"/>
      <c r="E201" s="3" t="s">
        <v>703</v>
      </c>
      <c r="F201" s="3"/>
      <c r="G201" s="3"/>
      <c r="H201" s="3"/>
      <c r="I201" s="3"/>
      <c r="J201" t="s">
        <v>704</v>
      </c>
    </row>
    <row r="202" spans="1:10">
      <c r="A202" s="3" t="s">
        <v>699</v>
      </c>
      <c r="B202" s="3" t="s">
        <v>705</v>
      </c>
      <c r="C202" s="3"/>
      <c r="D202" s="3"/>
      <c r="E202" s="3"/>
      <c r="F202" s="3" t="s">
        <v>706</v>
      </c>
      <c r="G202" s="3"/>
      <c r="H202" s="3"/>
      <c r="I202" s="3"/>
      <c r="J202" t="s">
        <v>707</v>
      </c>
    </row>
    <row r="203" spans="1:10">
      <c r="A203" s="3" t="s">
        <v>699</v>
      </c>
      <c r="B203" s="3" t="s">
        <v>705</v>
      </c>
      <c r="C203" s="3"/>
      <c r="D203" s="3"/>
      <c r="E203" s="3"/>
      <c r="F203" s="3" t="s">
        <v>708</v>
      </c>
      <c r="G203" s="3"/>
      <c r="H203" s="3"/>
      <c r="I203" s="3"/>
      <c r="J203" t="s">
        <v>709</v>
      </c>
    </row>
    <row r="204" spans="1:10">
      <c r="A204" s="3" t="s">
        <v>699</v>
      </c>
      <c r="B204" s="3" t="s">
        <v>705</v>
      </c>
      <c r="C204" s="3"/>
      <c r="D204" s="3"/>
      <c r="E204" s="3"/>
      <c r="F204" s="3" t="s">
        <v>710</v>
      </c>
      <c r="G204" s="3"/>
      <c r="H204" s="3"/>
      <c r="I204" s="3"/>
      <c r="J204" t="s">
        <v>711</v>
      </c>
    </row>
    <row r="205" spans="1:10">
      <c r="A205" s="3" t="s">
        <v>699</v>
      </c>
      <c r="B205" s="3" t="s">
        <v>705</v>
      </c>
      <c r="C205" s="3"/>
      <c r="D205" s="3"/>
      <c r="E205" s="3"/>
      <c r="F205" s="3" t="s">
        <v>712</v>
      </c>
      <c r="G205" s="3"/>
      <c r="H205" s="3"/>
      <c r="I205" s="3"/>
      <c r="J205" t="s">
        <v>713</v>
      </c>
    </row>
    <row r="206" spans="1:10">
      <c r="A206" s="3" t="s">
        <v>714</v>
      </c>
      <c r="B206" s="3" t="s">
        <v>715</v>
      </c>
      <c r="C206" s="3"/>
      <c r="D206" s="3"/>
      <c r="E206" s="3" t="s">
        <v>716</v>
      </c>
      <c r="F206" s="3"/>
      <c r="G206" s="3"/>
      <c r="H206" s="3"/>
      <c r="I206" s="3"/>
      <c r="J206" t="s">
        <v>717</v>
      </c>
    </row>
    <row r="207" spans="1:10">
      <c r="A207" s="3" t="s">
        <v>714</v>
      </c>
      <c r="B207" s="3" t="s">
        <v>715</v>
      </c>
      <c r="C207" s="3"/>
      <c r="D207" s="3"/>
      <c r="E207" s="3" t="s">
        <v>718</v>
      </c>
      <c r="F207" s="3"/>
      <c r="G207" s="3"/>
      <c r="H207" s="3"/>
      <c r="I207" s="3"/>
      <c r="J207" t="s">
        <v>719</v>
      </c>
    </row>
    <row r="208" spans="1:10">
      <c r="A208" s="3" t="s">
        <v>714</v>
      </c>
      <c r="B208" s="3" t="s">
        <v>715</v>
      </c>
      <c r="C208" s="3"/>
      <c r="D208" s="3"/>
      <c r="E208" s="3" t="s">
        <v>720</v>
      </c>
      <c r="F208" s="3"/>
      <c r="G208" s="3"/>
      <c r="H208" s="3"/>
      <c r="I208" s="3"/>
      <c r="J208" t="s">
        <v>721</v>
      </c>
    </row>
    <row r="209" spans="1:10">
      <c r="A209" s="3" t="s">
        <v>714</v>
      </c>
      <c r="B209" s="3" t="s">
        <v>715</v>
      </c>
      <c r="C209" s="3"/>
      <c r="D209" s="3"/>
      <c r="E209" s="3"/>
      <c r="F209" s="3" t="s">
        <v>722</v>
      </c>
      <c r="G209" s="3"/>
      <c r="H209" s="3"/>
      <c r="I209" s="3"/>
      <c r="J209" t="s">
        <v>723</v>
      </c>
    </row>
    <row r="210" spans="1:10">
      <c r="A210" s="3" t="s">
        <v>714</v>
      </c>
      <c r="B210" s="3" t="s">
        <v>715</v>
      </c>
      <c r="C210" s="3"/>
      <c r="D210" s="3"/>
      <c r="E210" s="3"/>
      <c r="F210" s="3" t="s">
        <v>724</v>
      </c>
      <c r="G210" s="3"/>
      <c r="H210" s="3"/>
      <c r="I210" s="3"/>
      <c r="J210" t="s">
        <v>725</v>
      </c>
    </row>
    <row r="211" spans="1:10">
      <c r="A211" s="3" t="s">
        <v>714</v>
      </c>
      <c r="B211" s="3" t="s">
        <v>726</v>
      </c>
      <c r="C211" s="3"/>
      <c r="D211" s="3"/>
      <c r="E211" s="3"/>
      <c r="F211" s="3" t="s">
        <v>727</v>
      </c>
      <c r="G211" s="3"/>
      <c r="H211" s="3"/>
      <c r="I211" s="3"/>
      <c r="J211" t="s">
        <v>728</v>
      </c>
    </row>
    <row r="212" spans="1:10">
      <c r="A212" s="3" t="s">
        <v>714</v>
      </c>
      <c r="B212" s="3" t="s">
        <v>726</v>
      </c>
      <c r="C212" s="3"/>
      <c r="D212" s="3"/>
      <c r="E212" s="3"/>
      <c r="F212" s="3" t="s">
        <v>729</v>
      </c>
      <c r="G212" s="3"/>
      <c r="H212" s="3"/>
      <c r="I212" s="3"/>
      <c r="J212" t="s">
        <v>730</v>
      </c>
    </row>
    <row r="213" spans="1:10">
      <c r="A213" s="3" t="s">
        <v>731</v>
      </c>
      <c r="B213" s="3" t="s">
        <v>732</v>
      </c>
      <c r="C213" s="3"/>
      <c r="D213" s="3"/>
      <c r="E213" s="3" t="s">
        <v>733</v>
      </c>
      <c r="F213" s="3"/>
      <c r="G213" s="3"/>
      <c r="H213" s="3"/>
      <c r="I213" s="3"/>
      <c r="J213" t="s">
        <v>734</v>
      </c>
    </row>
    <row r="214" spans="1:10">
      <c r="A214" s="3" t="s">
        <v>731</v>
      </c>
      <c r="B214" s="3" t="s">
        <v>732</v>
      </c>
      <c r="C214" s="3"/>
      <c r="D214" s="3"/>
      <c r="E214" s="3" t="s">
        <v>735</v>
      </c>
      <c r="F214" s="3"/>
      <c r="G214" s="3"/>
      <c r="H214" s="3"/>
      <c r="I214" s="3"/>
      <c r="J214" t="s">
        <v>736</v>
      </c>
    </row>
    <row r="215" spans="1:10">
      <c r="A215" s="3" t="s">
        <v>737</v>
      </c>
      <c r="B215" s="3" t="s">
        <v>738</v>
      </c>
      <c r="C215" s="3"/>
      <c r="D215" s="3"/>
      <c r="E215" s="3" t="s">
        <v>739</v>
      </c>
      <c r="F215" s="3"/>
      <c r="G215" s="3"/>
      <c r="H215" s="3"/>
      <c r="I215" s="3"/>
      <c r="J215" t="s">
        <v>740</v>
      </c>
    </row>
    <row r="216" spans="1:10">
      <c r="A216" s="3" t="s">
        <v>737</v>
      </c>
      <c r="B216" s="3" t="s">
        <v>738</v>
      </c>
      <c r="C216" s="3"/>
      <c r="D216" s="3"/>
      <c r="E216" s="3" t="s">
        <v>741</v>
      </c>
      <c r="F216" s="3"/>
      <c r="G216" s="3"/>
      <c r="H216" s="3"/>
      <c r="I216" s="3"/>
      <c r="J216" t="s">
        <v>742</v>
      </c>
    </row>
    <row r="217" spans="1:10">
      <c r="A217" s="3" t="s">
        <v>737</v>
      </c>
      <c r="B217" s="3" t="s">
        <v>743</v>
      </c>
      <c r="C217" s="3"/>
      <c r="D217" s="3"/>
      <c r="E217" s="3" t="s">
        <v>744</v>
      </c>
      <c r="F217" s="3"/>
      <c r="G217" s="3"/>
      <c r="H217" s="3"/>
      <c r="I217" s="3"/>
      <c r="J217" t="s">
        <v>745</v>
      </c>
    </row>
    <row r="218" spans="1:10">
      <c r="A218" s="3" t="s">
        <v>737</v>
      </c>
      <c r="B218" s="3" t="s">
        <v>743</v>
      </c>
      <c r="C218" s="3"/>
      <c r="D218" s="3"/>
      <c r="E218" s="3" t="s">
        <v>746</v>
      </c>
      <c r="F218" s="3"/>
      <c r="G218" s="3"/>
      <c r="H218" s="3"/>
      <c r="I218" s="3"/>
      <c r="J218" t="s">
        <v>747</v>
      </c>
    </row>
    <row r="219" spans="1:10">
      <c r="A219" s="3" t="s">
        <v>737</v>
      </c>
      <c r="B219" s="3" t="s">
        <v>743</v>
      </c>
      <c r="C219" s="3"/>
      <c r="D219" s="3"/>
      <c r="E219" s="3"/>
      <c r="F219" s="3" t="s">
        <v>748</v>
      </c>
      <c r="G219" s="3"/>
      <c r="H219" s="3"/>
      <c r="I219" s="3"/>
      <c r="J219" t="s">
        <v>749</v>
      </c>
    </row>
    <row r="220" spans="1:10">
      <c r="A220" s="3" t="s">
        <v>737</v>
      </c>
      <c r="B220" s="3" t="s">
        <v>743</v>
      </c>
      <c r="C220" s="3"/>
      <c r="D220" s="3"/>
      <c r="E220" s="3"/>
      <c r="F220" s="3" t="s">
        <v>750</v>
      </c>
      <c r="G220" s="3"/>
      <c r="H220" s="3"/>
      <c r="I220" s="3"/>
      <c r="J220" t="s">
        <v>751</v>
      </c>
    </row>
    <row r="221" spans="1:10">
      <c r="A221" s="3" t="s">
        <v>737</v>
      </c>
      <c r="B221" s="3" t="s">
        <v>743</v>
      </c>
      <c r="C221" s="3"/>
      <c r="D221" s="3"/>
      <c r="E221" s="3"/>
      <c r="F221" s="3" t="s">
        <v>752</v>
      </c>
      <c r="G221" s="3"/>
      <c r="H221" s="3"/>
      <c r="I221" s="3"/>
      <c r="J221" t="s">
        <v>753</v>
      </c>
    </row>
    <row r="222" spans="1:10">
      <c r="A222" s="3" t="s">
        <v>737</v>
      </c>
      <c r="B222" s="3" t="s">
        <v>743</v>
      </c>
      <c r="C222" s="3"/>
      <c r="D222" s="3"/>
      <c r="E222" s="3"/>
      <c r="F222" s="3" t="s">
        <v>754</v>
      </c>
      <c r="G222" s="3"/>
      <c r="H222" s="3"/>
      <c r="I222" s="3"/>
      <c r="J222" t="s">
        <v>755</v>
      </c>
    </row>
    <row r="223" spans="1:10">
      <c r="A223" s="3" t="s">
        <v>756</v>
      </c>
      <c r="B223" s="3" t="s">
        <v>757</v>
      </c>
      <c r="C223" s="3"/>
      <c r="D223" s="3"/>
      <c r="E223" s="3"/>
      <c r="F223" s="3"/>
      <c r="G223" s="3"/>
      <c r="H223" s="3"/>
      <c r="I223" s="3"/>
      <c r="J223" t="s">
        <v>758</v>
      </c>
    </row>
    <row r="224" spans="1:10">
      <c r="A224" s="3" t="s">
        <v>759</v>
      </c>
      <c r="B224" s="3" t="s">
        <v>760</v>
      </c>
      <c r="C224" s="3"/>
      <c r="D224" s="3"/>
      <c r="E224" s="3" t="s">
        <v>761</v>
      </c>
      <c r="F224" s="3"/>
      <c r="G224" s="3"/>
      <c r="H224" s="3"/>
      <c r="I224" s="3"/>
      <c r="J224" t="s">
        <v>762</v>
      </c>
    </row>
    <row r="225" spans="1:10">
      <c r="A225" s="3" t="s">
        <v>759</v>
      </c>
      <c r="B225" s="3" t="s">
        <v>760</v>
      </c>
      <c r="C225" s="3"/>
      <c r="D225" s="3"/>
      <c r="E225" s="3"/>
      <c r="F225" s="3" t="s">
        <v>763</v>
      </c>
      <c r="G225" s="3"/>
      <c r="H225" s="3"/>
      <c r="I225" s="3"/>
      <c r="J225" t="s">
        <v>764</v>
      </c>
    </row>
    <row r="226" spans="1:10">
      <c r="A226" s="3" t="s">
        <v>759</v>
      </c>
      <c r="B226" s="3" t="s">
        <v>765</v>
      </c>
      <c r="C226" s="3"/>
      <c r="D226" s="3"/>
      <c r="E226" s="3"/>
      <c r="F226" s="3"/>
      <c r="G226" s="3"/>
      <c r="H226" s="3"/>
      <c r="I226" s="3"/>
      <c r="J226" t="s">
        <v>766</v>
      </c>
    </row>
    <row r="227" spans="1:10">
      <c r="A227" s="3" t="s">
        <v>767</v>
      </c>
      <c r="B227" s="3" t="s">
        <v>768</v>
      </c>
      <c r="C227" s="3"/>
      <c r="D227" s="3"/>
      <c r="E227" s="3" t="s">
        <v>769</v>
      </c>
      <c r="F227" s="3"/>
      <c r="G227" s="3"/>
      <c r="H227" s="3"/>
      <c r="I227" s="3"/>
      <c r="J227" t="s">
        <v>770</v>
      </c>
    </row>
    <row r="228" spans="1:10">
      <c r="A228" s="3" t="s">
        <v>767</v>
      </c>
      <c r="B228" s="3" t="s">
        <v>768</v>
      </c>
      <c r="C228" s="3"/>
      <c r="D228" s="3"/>
      <c r="E228" s="3" t="s">
        <v>771</v>
      </c>
      <c r="F228" s="3"/>
      <c r="G228" s="3"/>
      <c r="H228" s="3"/>
      <c r="I228" s="3"/>
      <c r="J228" t="s">
        <v>772</v>
      </c>
    </row>
    <row r="229" spans="1:10">
      <c r="A229" s="3" t="s">
        <v>767</v>
      </c>
      <c r="B229" s="3" t="s">
        <v>773</v>
      </c>
      <c r="C229" s="3"/>
      <c r="D229" s="3"/>
      <c r="E229" s="3" t="s">
        <v>774</v>
      </c>
      <c r="F229" s="3"/>
      <c r="G229" s="3"/>
      <c r="H229" s="3"/>
      <c r="I229" s="3"/>
      <c r="J229" t="s">
        <v>775</v>
      </c>
    </row>
    <row r="230" spans="1:10">
      <c r="A230" s="3" t="s">
        <v>767</v>
      </c>
      <c r="B230" s="3" t="s">
        <v>773</v>
      </c>
      <c r="C230" s="3"/>
      <c r="D230" s="3"/>
      <c r="E230" s="3" t="s">
        <v>776</v>
      </c>
      <c r="F230" s="3"/>
      <c r="G230" s="3"/>
      <c r="H230" s="3"/>
      <c r="I230" s="3"/>
      <c r="J230" t="s">
        <v>777</v>
      </c>
    </row>
    <row r="231" spans="1:10">
      <c r="A231" s="3" t="s">
        <v>767</v>
      </c>
      <c r="B231" s="3" t="s">
        <v>773</v>
      </c>
      <c r="C231" s="3"/>
      <c r="D231" s="3"/>
      <c r="E231" s="3" t="s">
        <v>778</v>
      </c>
      <c r="F231" s="3"/>
      <c r="G231" s="3"/>
      <c r="H231" s="3"/>
      <c r="I231" s="3"/>
      <c r="J231" t="s">
        <v>779</v>
      </c>
    </row>
    <row r="232" spans="1:10">
      <c r="A232" s="3" t="s">
        <v>767</v>
      </c>
      <c r="B232" s="3" t="s">
        <v>773</v>
      </c>
      <c r="C232" s="3"/>
      <c r="D232" s="3"/>
      <c r="E232" s="3"/>
      <c r="F232" s="3" t="s">
        <v>780</v>
      </c>
      <c r="G232" s="3"/>
      <c r="H232" s="3"/>
      <c r="I232" s="3"/>
      <c r="J232" t="s">
        <v>781</v>
      </c>
    </row>
    <row r="233" spans="1:10">
      <c r="A233" s="3" t="s">
        <v>767</v>
      </c>
      <c r="B233" s="3" t="s">
        <v>773</v>
      </c>
      <c r="C233" s="3"/>
      <c r="D233" s="3"/>
      <c r="E233" s="3"/>
      <c r="F233" s="3" t="s">
        <v>782</v>
      </c>
      <c r="G233" s="3"/>
      <c r="H233" s="3"/>
      <c r="I233" s="3"/>
      <c r="J233" t="s">
        <v>783</v>
      </c>
    </row>
    <row r="234" spans="1:10">
      <c r="A234" s="3" t="s">
        <v>767</v>
      </c>
      <c r="B234" s="3" t="s">
        <v>784</v>
      </c>
      <c r="C234" s="3"/>
      <c r="D234" s="3"/>
      <c r="E234" s="3" t="s">
        <v>785</v>
      </c>
      <c r="F234" s="3"/>
      <c r="G234" s="3"/>
      <c r="H234" s="3"/>
      <c r="I234" s="3"/>
      <c r="J234" t="s">
        <v>786</v>
      </c>
    </row>
    <row r="235" spans="1:10">
      <c r="A235" s="3" t="s">
        <v>767</v>
      </c>
      <c r="B235" s="3" t="s">
        <v>784</v>
      </c>
      <c r="C235" s="3"/>
      <c r="D235" s="3"/>
      <c r="E235" s="3" t="s">
        <v>787</v>
      </c>
      <c r="F235" s="3"/>
      <c r="G235" s="3"/>
      <c r="H235" s="3"/>
      <c r="I235" s="3"/>
      <c r="J235" t="s">
        <v>788</v>
      </c>
    </row>
    <row r="236" spans="1:10">
      <c r="A236" s="3" t="s">
        <v>789</v>
      </c>
      <c r="B236" s="3" t="s">
        <v>790</v>
      </c>
      <c r="C236" s="3"/>
      <c r="D236" s="3"/>
      <c r="E236" s="3" t="s">
        <v>791</v>
      </c>
      <c r="F236" s="3"/>
      <c r="G236" s="3"/>
      <c r="H236" s="3"/>
      <c r="I236" s="3"/>
      <c r="J236" t="s">
        <v>792</v>
      </c>
    </row>
    <row r="237" spans="1:10">
      <c r="A237" s="3" t="s">
        <v>789</v>
      </c>
      <c r="B237" s="3" t="s">
        <v>790</v>
      </c>
      <c r="C237" s="3"/>
      <c r="D237" s="3"/>
      <c r="E237" s="3" t="s">
        <v>793</v>
      </c>
      <c r="F237" s="3"/>
      <c r="G237" s="3"/>
      <c r="H237" s="3"/>
      <c r="I237" s="3"/>
      <c r="J237" t="s">
        <v>794</v>
      </c>
    </row>
    <row r="238" spans="1:10">
      <c r="A238" s="3" t="s">
        <v>789</v>
      </c>
      <c r="B238" s="3" t="s">
        <v>790</v>
      </c>
      <c r="C238" s="3"/>
      <c r="D238" s="3"/>
      <c r="E238" s="3"/>
      <c r="F238" s="3" t="s">
        <v>795</v>
      </c>
      <c r="G238" s="3"/>
      <c r="H238" s="3"/>
      <c r="I238" s="3"/>
      <c r="J238" t="s">
        <v>796</v>
      </c>
    </row>
    <row r="239" spans="1:10">
      <c r="A239" s="3" t="s">
        <v>789</v>
      </c>
      <c r="B239" s="3" t="s">
        <v>790</v>
      </c>
      <c r="C239" s="3"/>
      <c r="D239" s="3"/>
      <c r="E239" s="3"/>
      <c r="F239" s="3" t="s">
        <v>797</v>
      </c>
      <c r="G239" s="3"/>
      <c r="H239" s="3"/>
      <c r="I239" s="3"/>
      <c r="J239" t="s">
        <v>798</v>
      </c>
    </row>
    <row r="240" spans="1:10">
      <c r="A240" s="3" t="s">
        <v>789</v>
      </c>
      <c r="B240" s="3" t="s">
        <v>799</v>
      </c>
      <c r="C240" s="3"/>
      <c r="D240" s="3"/>
      <c r="E240" s="3" t="s">
        <v>800</v>
      </c>
      <c r="F240" s="3"/>
      <c r="G240" s="3"/>
      <c r="H240" s="3"/>
      <c r="I240" s="3"/>
      <c r="J240" t="s">
        <v>801</v>
      </c>
    </row>
    <row r="241" spans="1:10">
      <c r="A241" s="3" t="s">
        <v>789</v>
      </c>
      <c r="B241" s="3" t="s">
        <v>802</v>
      </c>
      <c r="C241" s="3"/>
      <c r="D241" s="3"/>
      <c r="E241" s="3"/>
      <c r="F241" s="3" t="s">
        <v>803</v>
      </c>
      <c r="G241" s="3"/>
      <c r="H241" s="3"/>
      <c r="I241" s="3"/>
      <c r="J241" t="s">
        <v>804</v>
      </c>
    </row>
    <row r="242" spans="1:10">
      <c r="A242" s="3" t="s">
        <v>805</v>
      </c>
      <c r="B242" s="3" t="s">
        <v>806</v>
      </c>
      <c r="C242" s="3"/>
      <c r="D242" s="3"/>
      <c r="E242" s="3" t="s">
        <v>807</v>
      </c>
      <c r="F242" s="3"/>
      <c r="G242" s="3"/>
      <c r="H242" s="3"/>
      <c r="I242" s="3"/>
      <c r="J242" t="s">
        <v>808</v>
      </c>
    </row>
    <row r="243" spans="1:10">
      <c r="A243" s="3" t="s">
        <v>805</v>
      </c>
      <c r="B243" s="3" t="s">
        <v>806</v>
      </c>
      <c r="C243" s="3"/>
      <c r="D243" s="3"/>
      <c r="E243" s="3" t="s">
        <v>809</v>
      </c>
      <c r="F243" s="3"/>
      <c r="G243" s="3"/>
      <c r="H243" s="3"/>
      <c r="I243" s="3"/>
      <c r="J243" t="s">
        <v>810</v>
      </c>
    </row>
    <row r="244" spans="1:10">
      <c r="A244" s="3" t="s">
        <v>805</v>
      </c>
      <c r="B244" s="3" t="s">
        <v>806</v>
      </c>
      <c r="C244" s="3"/>
      <c r="D244" s="3"/>
      <c r="E244" s="3"/>
      <c r="F244" s="3" t="s">
        <v>811</v>
      </c>
      <c r="G244" s="3"/>
      <c r="H244" s="3"/>
      <c r="I244" s="3"/>
      <c r="J244" t="s">
        <v>812</v>
      </c>
    </row>
    <row r="245" spans="1:10">
      <c r="A245" s="3" t="s">
        <v>805</v>
      </c>
      <c r="B245" s="3" t="s">
        <v>813</v>
      </c>
      <c r="C245" s="3"/>
      <c r="D245" s="3"/>
      <c r="E245" s="3"/>
      <c r="F245" s="3"/>
      <c r="G245" s="3"/>
      <c r="H245" s="3"/>
      <c r="I245" s="3"/>
      <c r="J245" t="s">
        <v>814</v>
      </c>
    </row>
    <row r="246" spans="1:10">
      <c r="A246" s="3" t="s">
        <v>815</v>
      </c>
      <c r="B246" s="3" t="s">
        <v>816</v>
      </c>
      <c r="C246" s="3"/>
      <c r="D246" s="3"/>
      <c r="E246" s="3" t="s">
        <v>817</v>
      </c>
      <c r="F246" s="3"/>
      <c r="G246" s="3"/>
      <c r="H246" s="3"/>
      <c r="I246" s="3"/>
      <c r="J246" t="s">
        <v>818</v>
      </c>
    </row>
    <row r="247" spans="1:10">
      <c r="A247" s="3" t="s">
        <v>815</v>
      </c>
      <c r="B247" s="3" t="s">
        <v>816</v>
      </c>
      <c r="C247" s="3"/>
      <c r="D247" s="3"/>
      <c r="E247" s="3" t="s">
        <v>819</v>
      </c>
      <c r="F247" s="3"/>
      <c r="G247" s="3"/>
      <c r="H247" s="3"/>
      <c r="I247" s="3"/>
      <c r="J247" t="s">
        <v>820</v>
      </c>
    </row>
    <row r="248" spans="1:10">
      <c r="A248" s="3" t="s">
        <v>815</v>
      </c>
      <c r="B248" s="3" t="s">
        <v>816</v>
      </c>
      <c r="C248" s="3"/>
      <c r="D248" s="3"/>
      <c r="E248" s="3" t="s">
        <v>821</v>
      </c>
      <c r="F248" s="3"/>
      <c r="G248" s="3"/>
      <c r="H248" s="3"/>
      <c r="I248" s="3"/>
      <c r="J248" t="s">
        <v>822</v>
      </c>
    </row>
    <row r="249" spans="1:10">
      <c r="A249" s="3" t="s">
        <v>815</v>
      </c>
      <c r="B249" s="3" t="s">
        <v>823</v>
      </c>
      <c r="C249" s="3"/>
      <c r="D249" s="3"/>
      <c r="E249" s="3" t="s">
        <v>824</v>
      </c>
      <c r="F249" s="3"/>
      <c r="G249" s="3"/>
      <c r="H249" s="3"/>
      <c r="I249" s="3"/>
      <c r="J249" t="s">
        <v>825</v>
      </c>
    </row>
    <row r="250" spans="1:10">
      <c r="A250" s="3" t="s">
        <v>815</v>
      </c>
      <c r="B250" s="3" t="s">
        <v>823</v>
      </c>
      <c r="C250" s="3"/>
      <c r="D250" s="3"/>
      <c r="E250" s="3" t="s">
        <v>826</v>
      </c>
      <c r="F250" s="3"/>
      <c r="G250" s="3"/>
      <c r="H250" s="3"/>
      <c r="I250" s="3"/>
      <c r="J250" t="s">
        <v>827</v>
      </c>
    </row>
    <row r="251" spans="1:10">
      <c r="A251" s="3" t="s">
        <v>815</v>
      </c>
      <c r="B251" s="3" t="s">
        <v>823</v>
      </c>
      <c r="C251" s="3"/>
      <c r="D251" s="3"/>
      <c r="E251" s="3"/>
      <c r="F251" s="3" t="s">
        <v>828</v>
      </c>
      <c r="G251" s="3"/>
      <c r="H251" s="3"/>
      <c r="I251" s="3"/>
      <c r="J251" t="s">
        <v>829</v>
      </c>
    </row>
    <row r="252" spans="1:10">
      <c r="A252" s="3" t="s">
        <v>815</v>
      </c>
      <c r="B252" s="3" t="s">
        <v>823</v>
      </c>
      <c r="C252" s="3"/>
      <c r="D252" s="3"/>
      <c r="E252" s="3"/>
      <c r="F252" s="3" t="s">
        <v>830</v>
      </c>
      <c r="G252" s="3"/>
      <c r="H252" s="3"/>
      <c r="I252" s="3"/>
      <c r="J252" t="s">
        <v>831</v>
      </c>
    </row>
    <row r="253" spans="1:10">
      <c r="A253" s="3" t="s">
        <v>832</v>
      </c>
      <c r="B253" s="3" t="s">
        <v>833</v>
      </c>
      <c r="C253" s="3"/>
      <c r="D253" s="3"/>
      <c r="E253" s="3" t="s">
        <v>834</v>
      </c>
      <c r="F253" s="3"/>
      <c r="G253" s="3"/>
      <c r="H253" s="3"/>
      <c r="I253" s="3"/>
      <c r="J253" t="s">
        <v>835</v>
      </c>
    </row>
    <row r="254" spans="1:10">
      <c r="A254" s="3" t="s">
        <v>832</v>
      </c>
      <c r="B254" s="3" t="s">
        <v>833</v>
      </c>
      <c r="C254" s="3"/>
      <c r="D254" s="3"/>
      <c r="E254" s="3" t="s">
        <v>836</v>
      </c>
      <c r="F254" s="3"/>
      <c r="G254" s="3"/>
      <c r="H254" s="3"/>
      <c r="I254" s="3"/>
      <c r="J254" t="s">
        <v>837</v>
      </c>
    </row>
    <row r="255" spans="1:10">
      <c r="A255" s="3" t="s">
        <v>832</v>
      </c>
      <c r="B255" s="3" t="s">
        <v>833</v>
      </c>
      <c r="C255" s="3"/>
      <c r="D255" s="3"/>
      <c r="E255" s="3"/>
      <c r="F255" s="3" t="s">
        <v>838</v>
      </c>
      <c r="G255" s="3"/>
      <c r="H255" s="3"/>
      <c r="I255" s="3"/>
      <c r="J255" t="s">
        <v>839</v>
      </c>
    </row>
    <row r="256" spans="1:10">
      <c r="A256" s="3" t="s">
        <v>832</v>
      </c>
      <c r="B256" s="3" t="s">
        <v>833</v>
      </c>
      <c r="C256" s="3"/>
      <c r="D256" s="3"/>
      <c r="E256" s="3"/>
      <c r="F256" s="3" t="s">
        <v>840</v>
      </c>
      <c r="G256" s="3"/>
      <c r="H256" s="3"/>
      <c r="I256" s="3"/>
      <c r="J256" t="s">
        <v>841</v>
      </c>
    </row>
    <row r="257" spans="1:10">
      <c r="A257" s="3" t="s">
        <v>832</v>
      </c>
      <c r="B257" s="3" t="s">
        <v>833</v>
      </c>
      <c r="C257" s="3"/>
      <c r="D257" s="3"/>
      <c r="E257" s="3"/>
      <c r="F257" s="3" t="s">
        <v>842</v>
      </c>
      <c r="G257" s="3"/>
      <c r="H257" s="3"/>
      <c r="I257" s="3"/>
      <c r="J257" t="s">
        <v>843</v>
      </c>
    </row>
    <row r="258" spans="1:10">
      <c r="A258" s="3" t="s">
        <v>832</v>
      </c>
      <c r="B258" s="3" t="s">
        <v>844</v>
      </c>
      <c r="C258" s="3"/>
      <c r="D258" s="3"/>
      <c r="E258" s="3" t="s">
        <v>845</v>
      </c>
      <c r="F258" s="3"/>
      <c r="G258" s="3"/>
      <c r="H258" s="3"/>
      <c r="I258" s="3"/>
      <c r="J258" t="s">
        <v>846</v>
      </c>
    </row>
    <row r="259" spans="1:10">
      <c r="A259" s="3" t="s">
        <v>832</v>
      </c>
      <c r="B259" s="3" t="s">
        <v>844</v>
      </c>
      <c r="C259" s="3"/>
      <c r="D259" s="3"/>
      <c r="E259" s="3" t="s">
        <v>847</v>
      </c>
      <c r="F259" s="3"/>
      <c r="G259" s="3"/>
      <c r="H259" s="3"/>
      <c r="I259" s="3"/>
      <c r="J259" t="s">
        <v>848</v>
      </c>
    </row>
    <row r="260" spans="1:10">
      <c r="A260" s="3" t="s">
        <v>832</v>
      </c>
      <c r="B260" s="3" t="s">
        <v>844</v>
      </c>
      <c r="C260" s="3"/>
      <c r="D260" s="3"/>
      <c r="E260" s="3"/>
      <c r="F260" s="3" t="s">
        <v>849</v>
      </c>
      <c r="G260" s="3"/>
      <c r="H260" s="3"/>
      <c r="I260" s="3"/>
      <c r="J260" t="s">
        <v>850</v>
      </c>
    </row>
    <row r="261" spans="1:10">
      <c r="A261" s="3" t="s">
        <v>832</v>
      </c>
      <c r="B261" s="3" t="s">
        <v>844</v>
      </c>
      <c r="C261" s="3"/>
      <c r="D261" s="3"/>
      <c r="E261" s="3"/>
      <c r="F261" s="3" t="s">
        <v>851</v>
      </c>
      <c r="G261" s="3"/>
      <c r="H261" s="3"/>
      <c r="I261" s="3"/>
      <c r="J261" t="s">
        <v>852</v>
      </c>
    </row>
    <row r="262" spans="1:10">
      <c r="A262" s="3" t="s">
        <v>853</v>
      </c>
      <c r="B262" s="3" t="s">
        <v>854</v>
      </c>
      <c r="C262" s="3"/>
      <c r="D262" s="3"/>
      <c r="E262" s="3" t="s">
        <v>855</v>
      </c>
      <c r="F262" s="3"/>
      <c r="G262" s="3"/>
      <c r="H262" s="3"/>
      <c r="I262" s="3"/>
      <c r="J262" t="s">
        <v>856</v>
      </c>
    </row>
    <row r="263" spans="1:10">
      <c r="A263" s="3" t="s">
        <v>853</v>
      </c>
      <c r="B263" s="3" t="s">
        <v>854</v>
      </c>
      <c r="C263" s="3"/>
      <c r="D263" s="3"/>
      <c r="E263" s="3" t="s">
        <v>857</v>
      </c>
      <c r="F263" s="3"/>
      <c r="G263" s="3"/>
      <c r="H263" s="3"/>
      <c r="I263" s="3"/>
      <c r="J263" t="s">
        <v>858</v>
      </c>
    </row>
    <row r="264" spans="1:10">
      <c r="A264" s="3" t="s">
        <v>853</v>
      </c>
      <c r="B264" s="3" t="s">
        <v>859</v>
      </c>
      <c r="C264" s="3"/>
      <c r="D264" s="3"/>
      <c r="E264" s="3" t="s">
        <v>860</v>
      </c>
      <c r="F264" s="3"/>
      <c r="G264" s="3"/>
      <c r="H264" s="3"/>
      <c r="I264" s="3"/>
      <c r="J264" t="s">
        <v>861</v>
      </c>
    </row>
    <row r="265" spans="1:10">
      <c r="A265" s="3" t="s">
        <v>853</v>
      </c>
      <c r="B265" s="3" t="s">
        <v>859</v>
      </c>
      <c r="C265" s="3"/>
      <c r="D265" s="3"/>
      <c r="E265" s="3" t="s">
        <v>862</v>
      </c>
      <c r="F265" s="3"/>
      <c r="G265" s="3"/>
      <c r="H265" s="3"/>
      <c r="I265" s="3"/>
      <c r="J265" t="s">
        <v>863</v>
      </c>
    </row>
    <row r="266" spans="1:10">
      <c r="A266" s="3" t="s">
        <v>853</v>
      </c>
      <c r="B266" s="3" t="s">
        <v>859</v>
      </c>
      <c r="C266" s="3"/>
      <c r="D266" s="3"/>
      <c r="E266" s="3"/>
      <c r="F266" s="3" t="s">
        <v>864</v>
      </c>
      <c r="G266" s="3"/>
      <c r="H266" s="3"/>
      <c r="I266" s="3"/>
      <c r="J266" t="s">
        <v>865</v>
      </c>
    </row>
    <row r="267" spans="1:10">
      <c r="A267" s="3" t="s">
        <v>853</v>
      </c>
      <c r="B267" s="3" t="s">
        <v>859</v>
      </c>
      <c r="C267" s="3"/>
      <c r="D267" s="3"/>
      <c r="E267" s="3"/>
      <c r="F267" s="3" t="s">
        <v>866</v>
      </c>
      <c r="G267" s="3"/>
      <c r="H267" s="3"/>
      <c r="I267" s="3"/>
      <c r="J267" t="s">
        <v>867</v>
      </c>
    </row>
    <row r="268" spans="1:10">
      <c r="A268" s="3" t="s">
        <v>868</v>
      </c>
      <c r="B268" s="3" t="s">
        <v>869</v>
      </c>
      <c r="C268" s="3"/>
      <c r="D268" s="3"/>
      <c r="E268" s="3" t="s">
        <v>870</v>
      </c>
      <c r="F268" s="3"/>
      <c r="G268" s="3"/>
      <c r="H268" s="3"/>
      <c r="I268" s="3"/>
      <c r="J268" t="s">
        <v>871</v>
      </c>
    </row>
    <row r="269" spans="1:10">
      <c r="A269" s="3" t="s">
        <v>868</v>
      </c>
      <c r="B269" s="3" t="s">
        <v>869</v>
      </c>
      <c r="C269" s="3"/>
      <c r="D269" s="3"/>
      <c r="E269" s="3" t="s">
        <v>872</v>
      </c>
      <c r="F269" s="3"/>
      <c r="G269" s="3"/>
      <c r="H269" s="3"/>
      <c r="I269" s="3"/>
      <c r="J269" t="s">
        <v>873</v>
      </c>
    </row>
    <row r="270" spans="1:10">
      <c r="A270" s="3" t="s">
        <v>868</v>
      </c>
      <c r="B270" s="3" t="s">
        <v>869</v>
      </c>
      <c r="C270" s="3"/>
      <c r="D270" s="3"/>
      <c r="E270" s="3"/>
      <c r="F270" s="3" t="s">
        <v>874</v>
      </c>
      <c r="G270" s="3"/>
      <c r="H270" s="3"/>
      <c r="I270" s="3"/>
      <c r="J270" t="s">
        <v>875</v>
      </c>
    </row>
    <row r="271" spans="1:10">
      <c r="A271" s="3" t="s">
        <v>876</v>
      </c>
      <c r="B271" s="3" t="s">
        <v>877</v>
      </c>
      <c r="C271" s="3"/>
      <c r="D271" s="3"/>
      <c r="E271" s="3" t="s">
        <v>878</v>
      </c>
      <c r="F271" s="3"/>
      <c r="G271" s="3"/>
      <c r="H271" s="3"/>
      <c r="I271" s="3"/>
      <c r="J271" t="s">
        <v>879</v>
      </c>
    </row>
    <row r="272" spans="1:10">
      <c r="A272" s="3" t="s">
        <v>876</v>
      </c>
      <c r="B272" s="3" t="s">
        <v>877</v>
      </c>
      <c r="C272" s="3"/>
      <c r="D272" s="3"/>
      <c r="E272" s="3" t="s">
        <v>880</v>
      </c>
      <c r="F272" s="3"/>
      <c r="G272" s="3"/>
      <c r="H272" s="3"/>
      <c r="I272" s="3"/>
      <c r="J272" t="s">
        <v>881</v>
      </c>
    </row>
    <row r="273" spans="1:10">
      <c r="A273" s="3" t="s">
        <v>882</v>
      </c>
      <c r="B273" s="3" t="s">
        <v>883</v>
      </c>
      <c r="C273" s="3"/>
      <c r="D273" s="3"/>
      <c r="E273" s="3" t="s">
        <v>884</v>
      </c>
      <c r="F273" s="3"/>
      <c r="G273" s="3"/>
      <c r="H273" s="3"/>
      <c r="I273" s="3"/>
      <c r="J273" t="s">
        <v>885</v>
      </c>
    </row>
    <row r="274" spans="1:10">
      <c r="A274" s="3" t="s">
        <v>882</v>
      </c>
      <c r="B274" s="3" t="s">
        <v>883</v>
      </c>
      <c r="C274" s="3"/>
      <c r="D274" s="3"/>
      <c r="E274" s="3" t="s">
        <v>886</v>
      </c>
      <c r="F274" s="3"/>
      <c r="G274" s="3"/>
      <c r="H274" s="3"/>
      <c r="I274" s="3"/>
      <c r="J274" t="s">
        <v>887</v>
      </c>
    </row>
    <row r="275" spans="1:10">
      <c r="A275" s="3" t="s">
        <v>882</v>
      </c>
      <c r="B275" s="3" t="s">
        <v>883</v>
      </c>
      <c r="C275" s="3"/>
      <c r="D275" s="3"/>
      <c r="E275" s="3"/>
      <c r="F275" s="3" t="s">
        <v>888</v>
      </c>
      <c r="G275" s="3"/>
      <c r="H275" s="3"/>
      <c r="I275" s="3"/>
      <c r="J275" t="s">
        <v>889</v>
      </c>
    </row>
    <row r="276" spans="1:10">
      <c r="A276" s="3" t="s">
        <v>882</v>
      </c>
      <c r="B276" s="3" t="s">
        <v>883</v>
      </c>
      <c r="C276" s="3"/>
      <c r="D276" s="3"/>
      <c r="E276" s="3"/>
      <c r="F276" s="3" t="s">
        <v>890</v>
      </c>
      <c r="G276" s="3"/>
      <c r="H276" s="3"/>
      <c r="I276" s="3"/>
      <c r="J276" t="s">
        <v>891</v>
      </c>
    </row>
    <row r="277" spans="1:10">
      <c r="A277" s="3" t="s">
        <v>882</v>
      </c>
      <c r="B277" s="3" t="s">
        <v>892</v>
      </c>
      <c r="C277" s="3"/>
      <c r="D277" s="3"/>
      <c r="E277" s="3" t="s">
        <v>893</v>
      </c>
      <c r="F277" s="3"/>
      <c r="G277" s="3"/>
      <c r="H277" s="3"/>
      <c r="I277" s="3"/>
      <c r="J277" t="s">
        <v>894</v>
      </c>
    </row>
    <row r="278" spans="1:10">
      <c r="A278" s="3" t="s">
        <v>882</v>
      </c>
      <c r="B278" s="3" t="s">
        <v>892</v>
      </c>
      <c r="C278" s="3"/>
      <c r="D278" s="3"/>
      <c r="E278" s="3" t="s">
        <v>895</v>
      </c>
      <c r="F278" s="3"/>
      <c r="G278" s="3"/>
      <c r="H278" s="3"/>
      <c r="I278" s="3"/>
      <c r="J278" t="s">
        <v>896</v>
      </c>
    </row>
    <row r="279" spans="1:10">
      <c r="A279" s="3" t="s">
        <v>882</v>
      </c>
      <c r="B279" s="3" t="s">
        <v>897</v>
      </c>
      <c r="C279" s="3"/>
      <c r="D279" s="3"/>
      <c r="E279" s="3"/>
      <c r="F279" s="3"/>
      <c r="G279" s="3"/>
      <c r="H279" s="3"/>
      <c r="I279" s="3"/>
      <c r="J279" t="s">
        <v>898</v>
      </c>
    </row>
    <row r="280" spans="1:10">
      <c r="A280" s="3" t="s">
        <v>899</v>
      </c>
      <c r="B280" s="3" t="s">
        <v>900</v>
      </c>
      <c r="C280" s="3"/>
      <c r="D280" s="3"/>
      <c r="E280" s="3" t="s">
        <v>901</v>
      </c>
      <c r="F280" s="3"/>
      <c r="G280" s="3"/>
      <c r="H280" s="3"/>
      <c r="I280" s="3"/>
      <c r="J280" t="s">
        <v>902</v>
      </c>
    </row>
    <row r="281" spans="1:10">
      <c r="A281" s="3" t="s">
        <v>899</v>
      </c>
      <c r="B281" s="3" t="s">
        <v>900</v>
      </c>
      <c r="C281" s="3"/>
      <c r="D281" s="3"/>
      <c r="E281" s="3"/>
      <c r="F281" s="3" t="s">
        <v>903</v>
      </c>
      <c r="G281" s="3"/>
      <c r="H281" s="3"/>
      <c r="I281" s="3"/>
      <c r="J281" t="s">
        <v>904</v>
      </c>
    </row>
    <row r="282" spans="1:10">
      <c r="A282" s="3" t="s">
        <v>899</v>
      </c>
      <c r="B282" s="3" t="s">
        <v>900</v>
      </c>
      <c r="C282" s="3"/>
      <c r="D282" s="3"/>
      <c r="E282" s="3"/>
      <c r="F282" s="3" t="s">
        <v>905</v>
      </c>
      <c r="G282" s="3"/>
      <c r="H282" s="3"/>
      <c r="I282" s="3"/>
      <c r="J282" t="s">
        <v>906</v>
      </c>
    </row>
    <row r="283" spans="1:10">
      <c r="A283" s="3" t="s">
        <v>907</v>
      </c>
      <c r="B283" s="3" t="s">
        <v>908</v>
      </c>
      <c r="C283" s="3"/>
      <c r="D283" s="3"/>
      <c r="E283" s="3" t="s">
        <v>909</v>
      </c>
      <c r="F283" s="3"/>
      <c r="G283" s="3"/>
      <c r="H283" s="3"/>
      <c r="I283" s="3"/>
      <c r="J283" t="s">
        <v>910</v>
      </c>
    </row>
    <row r="284" spans="1:10">
      <c r="A284" s="3" t="s">
        <v>907</v>
      </c>
      <c r="B284" s="3" t="s">
        <v>908</v>
      </c>
      <c r="C284" s="3"/>
      <c r="D284" s="3"/>
      <c r="E284" s="3" t="s">
        <v>911</v>
      </c>
      <c r="F284" s="3"/>
      <c r="G284" s="3"/>
      <c r="H284" s="3"/>
      <c r="I284" s="3"/>
      <c r="J284" t="s">
        <v>912</v>
      </c>
    </row>
    <row r="285" spans="1:10">
      <c r="A285" s="3" t="s">
        <v>907</v>
      </c>
      <c r="B285" s="3" t="s">
        <v>913</v>
      </c>
      <c r="C285" s="3"/>
      <c r="D285" s="3"/>
      <c r="E285" s="3" t="s">
        <v>914</v>
      </c>
      <c r="F285" s="3"/>
      <c r="G285" s="3"/>
      <c r="H285" s="3"/>
      <c r="I285" s="3"/>
      <c r="J285" t="s">
        <v>915</v>
      </c>
    </row>
    <row r="286" spans="1:10">
      <c r="A286" s="3" t="s">
        <v>907</v>
      </c>
      <c r="B286" s="3" t="s">
        <v>913</v>
      </c>
      <c r="C286" s="3"/>
      <c r="D286" s="3"/>
      <c r="E286" s="3" t="s">
        <v>916</v>
      </c>
      <c r="F286" s="3"/>
      <c r="G286" s="3"/>
      <c r="H286" s="3"/>
      <c r="I286" s="3"/>
      <c r="J286" t="s">
        <v>917</v>
      </c>
    </row>
    <row r="287" spans="1:10">
      <c r="A287" s="3" t="s">
        <v>907</v>
      </c>
      <c r="B287" s="3" t="s">
        <v>913</v>
      </c>
      <c r="C287" s="3"/>
      <c r="D287" s="3"/>
      <c r="E287" s="3"/>
      <c r="F287" s="3" t="s">
        <v>918</v>
      </c>
      <c r="G287" s="3"/>
      <c r="H287" s="3"/>
      <c r="I287" s="3"/>
      <c r="J287" t="s">
        <v>919</v>
      </c>
    </row>
    <row r="288" spans="1:10">
      <c r="A288" s="3" t="s">
        <v>907</v>
      </c>
      <c r="B288" s="3" t="s">
        <v>913</v>
      </c>
      <c r="C288" s="3"/>
      <c r="D288" s="3"/>
      <c r="E288" s="3"/>
      <c r="F288" s="3" t="s">
        <v>920</v>
      </c>
      <c r="G288" s="3"/>
      <c r="H288" s="3"/>
      <c r="I288" s="3"/>
      <c r="J288" t="s">
        <v>921</v>
      </c>
    </row>
    <row r="289" spans="1:10">
      <c r="A289" s="3" t="s">
        <v>922</v>
      </c>
      <c r="B289" s="3" t="s">
        <v>923</v>
      </c>
      <c r="C289" s="3"/>
      <c r="D289" s="3"/>
      <c r="E289" s="3" t="s">
        <v>924</v>
      </c>
      <c r="F289" s="3"/>
      <c r="G289" s="3"/>
      <c r="H289" s="3"/>
      <c r="I289" s="3"/>
      <c r="J289" t="s">
        <v>925</v>
      </c>
    </row>
    <row r="290" spans="1:10">
      <c r="A290" s="3" t="s">
        <v>922</v>
      </c>
      <c r="B290" s="3" t="s">
        <v>923</v>
      </c>
      <c r="C290" s="3"/>
      <c r="D290" s="3"/>
      <c r="E290" s="3" t="s">
        <v>926</v>
      </c>
      <c r="F290" s="3"/>
      <c r="G290" s="3"/>
      <c r="H290" s="3"/>
      <c r="I290" s="3"/>
      <c r="J290" t="s">
        <v>927</v>
      </c>
    </row>
    <row r="291" spans="1:10">
      <c r="A291" s="3" t="s">
        <v>922</v>
      </c>
      <c r="B291" s="3" t="s">
        <v>923</v>
      </c>
      <c r="C291" s="3"/>
      <c r="D291" s="3"/>
      <c r="E291" s="3" t="s">
        <v>928</v>
      </c>
      <c r="F291" s="3"/>
      <c r="G291" s="3"/>
      <c r="H291" s="3"/>
      <c r="I291" s="3"/>
      <c r="J291" t="s">
        <v>929</v>
      </c>
    </row>
    <row r="292" spans="1:10">
      <c r="A292" s="3" t="s">
        <v>922</v>
      </c>
      <c r="B292" s="3" t="s">
        <v>930</v>
      </c>
      <c r="C292" s="3"/>
      <c r="D292" s="3"/>
      <c r="E292" s="3"/>
      <c r="F292" s="3" t="s">
        <v>931</v>
      </c>
      <c r="G292" s="3"/>
      <c r="H292" s="3"/>
      <c r="I292" s="3"/>
      <c r="J292" t="s">
        <v>932</v>
      </c>
    </row>
    <row r="293" spans="1:10">
      <c r="A293" s="3" t="s">
        <v>922</v>
      </c>
      <c r="B293" s="3" t="s">
        <v>930</v>
      </c>
      <c r="C293" s="3"/>
      <c r="D293" s="3"/>
      <c r="E293" s="3"/>
      <c r="F293" s="3" t="s">
        <v>933</v>
      </c>
      <c r="G293" s="3"/>
      <c r="H293" s="3"/>
      <c r="I293" s="3"/>
      <c r="J293" t="s">
        <v>934</v>
      </c>
    </row>
    <row r="294" spans="1:10">
      <c r="A294" s="3" t="s">
        <v>922</v>
      </c>
      <c r="B294" s="3" t="s">
        <v>930</v>
      </c>
      <c r="C294" s="3"/>
      <c r="D294" s="3"/>
      <c r="E294" s="3"/>
      <c r="F294" s="3" t="s">
        <v>935</v>
      </c>
      <c r="G294" s="3"/>
      <c r="H294" s="3"/>
      <c r="I294" s="3"/>
      <c r="J294" t="s">
        <v>936</v>
      </c>
    </row>
    <row r="295" spans="1:10">
      <c r="A295" s="3" t="s">
        <v>922</v>
      </c>
      <c r="B295" s="3" t="s">
        <v>930</v>
      </c>
      <c r="C295" s="3"/>
      <c r="D295" s="3"/>
      <c r="E295" s="3"/>
      <c r="F295" s="3" t="s">
        <v>937</v>
      </c>
      <c r="G295" s="3"/>
      <c r="H295" s="3"/>
      <c r="I295" s="3"/>
      <c r="J295" t="s">
        <v>938</v>
      </c>
    </row>
    <row r="296" spans="1:10">
      <c r="A296" s="3" t="s">
        <v>939</v>
      </c>
      <c r="B296" s="3" t="s">
        <v>940</v>
      </c>
      <c r="C296" s="3"/>
      <c r="D296" s="3"/>
      <c r="E296" s="3" t="s">
        <v>941</v>
      </c>
      <c r="F296" s="3"/>
      <c r="G296" s="3"/>
      <c r="H296" s="3"/>
      <c r="I296" s="3"/>
      <c r="J296" t="s">
        <v>942</v>
      </c>
    </row>
    <row r="297" spans="1:10">
      <c r="A297" s="3" t="s">
        <v>939</v>
      </c>
      <c r="B297" s="3" t="s">
        <v>940</v>
      </c>
      <c r="C297" s="3"/>
      <c r="D297" s="3"/>
      <c r="E297" s="3" t="s">
        <v>943</v>
      </c>
      <c r="F297" s="3"/>
      <c r="G297" s="3"/>
      <c r="H297" s="3"/>
      <c r="I297" s="3"/>
      <c r="J297" t="s">
        <v>944</v>
      </c>
    </row>
    <row r="298" spans="1:10">
      <c r="A298" s="3" t="s">
        <v>939</v>
      </c>
      <c r="B298" s="3" t="s">
        <v>940</v>
      </c>
      <c r="C298" s="3"/>
      <c r="D298" s="3"/>
      <c r="E298" s="3"/>
      <c r="F298" s="3" t="s">
        <v>945</v>
      </c>
      <c r="G298" s="3"/>
      <c r="H298" s="3"/>
      <c r="I298" s="3"/>
      <c r="J298" t="s">
        <v>946</v>
      </c>
    </row>
    <row r="299" spans="1:10">
      <c r="A299" s="3" t="s">
        <v>939</v>
      </c>
      <c r="B299" s="3" t="s">
        <v>940</v>
      </c>
      <c r="C299" s="3"/>
      <c r="D299" s="3"/>
      <c r="E299" s="3"/>
      <c r="F299" s="3" t="s">
        <v>947</v>
      </c>
      <c r="G299" s="3"/>
      <c r="H299" s="3"/>
      <c r="I299" s="3"/>
      <c r="J299" t="s">
        <v>948</v>
      </c>
    </row>
    <row r="300" spans="1:10">
      <c r="A300" s="3" t="s">
        <v>939</v>
      </c>
      <c r="B300" s="3" t="s">
        <v>940</v>
      </c>
      <c r="C300" s="3"/>
      <c r="D300" s="3"/>
      <c r="E300" s="3"/>
      <c r="F300" s="3" t="s">
        <v>949</v>
      </c>
      <c r="G300" s="3"/>
      <c r="H300" s="3"/>
      <c r="I300" s="3"/>
      <c r="J300" t="s">
        <v>950</v>
      </c>
    </row>
    <row r="301" spans="1:10">
      <c r="A301" s="3" t="s">
        <v>951</v>
      </c>
      <c r="B301" s="3" t="s">
        <v>952</v>
      </c>
      <c r="C301" s="3"/>
      <c r="D301" s="3"/>
      <c r="E301" s="3" t="s">
        <v>953</v>
      </c>
      <c r="F301" s="3"/>
      <c r="G301" s="3"/>
      <c r="H301" s="3"/>
      <c r="I301" s="3"/>
      <c r="J301" t="s">
        <v>954</v>
      </c>
    </row>
    <row r="302" spans="1:10">
      <c r="A302" s="3" t="s">
        <v>951</v>
      </c>
      <c r="B302" s="3" t="s">
        <v>955</v>
      </c>
      <c r="C302" s="3"/>
      <c r="D302" s="3"/>
      <c r="E302" s="3" t="s">
        <v>956</v>
      </c>
      <c r="F302" s="3"/>
      <c r="G302" s="3"/>
      <c r="H302" s="3"/>
      <c r="I302" s="3"/>
      <c r="J302" t="s">
        <v>957</v>
      </c>
    </row>
    <row r="303" spans="1:10">
      <c r="A303" s="3" t="s">
        <v>951</v>
      </c>
      <c r="B303" s="3" t="s">
        <v>955</v>
      </c>
      <c r="C303" s="3"/>
      <c r="D303" s="3"/>
      <c r="E303" s="3" t="s">
        <v>958</v>
      </c>
      <c r="F303" s="3"/>
      <c r="G303" s="3"/>
      <c r="H303" s="3"/>
      <c r="I303" s="3"/>
      <c r="J303" t="s">
        <v>959</v>
      </c>
    </row>
    <row r="304" spans="1:10">
      <c r="A304" s="3" t="s">
        <v>951</v>
      </c>
      <c r="B304" s="3" t="s">
        <v>955</v>
      </c>
      <c r="C304" s="3"/>
      <c r="D304" s="3"/>
      <c r="E304" s="3"/>
      <c r="F304" s="3" t="s">
        <v>960</v>
      </c>
      <c r="G304" s="3"/>
      <c r="H304" s="3"/>
      <c r="I304" s="3"/>
      <c r="J304" t="s">
        <v>961</v>
      </c>
    </row>
    <row r="305" spans="1:10">
      <c r="A305" s="3" t="s">
        <v>951</v>
      </c>
      <c r="B305" s="3" t="s">
        <v>955</v>
      </c>
      <c r="C305" s="3"/>
      <c r="D305" s="3"/>
      <c r="E305" s="3"/>
      <c r="F305" s="3" t="s">
        <v>962</v>
      </c>
      <c r="G305" s="3"/>
      <c r="H305" s="3"/>
      <c r="I305" s="3"/>
      <c r="J305" t="s">
        <v>963</v>
      </c>
    </row>
    <row r="306" spans="1:10">
      <c r="A306" s="3" t="s">
        <v>964</v>
      </c>
      <c r="B306" s="3" t="s">
        <v>965</v>
      </c>
      <c r="C306" s="3"/>
      <c r="D306" s="3"/>
      <c r="E306" s="3" t="s">
        <v>966</v>
      </c>
      <c r="F306" s="3"/>
      <c r="G306" s="3"/>
      <c r="H306" s="3"/>
      <c r="I306" s="3"/>
      <c r="J306" t="s">
        <v>967</v>
      </c>
    </row>
    <row r="307" spans="1:10">
      <c r="A307" s="3" t="s">
        <v>964</v>
      </c>
      <c r="B307" s="3" t="s">
        <v>965</v>
      </c>
      <c r="C307" s="3"/>
      <c r="D307" s="3"/>
      <c r="E307" s="3" t="s">
        <v>968</v>
      </c>
      <c r="F307" s="3"/>
      <c r="G307" s="3"/>
      <c r="H307" s="3"/>
      <c r="I307" s="3"/>
      <c r="J307" t="s">
        <v>969</v>
      </c>
    </row>
    <row r="308" spans="1:10">
      <c r="A308" s="3" t="s">
        <v>964</v>
      </c>
      <c r="B308" s="3" t="s">
        <v>965</v>
      </c>
      <c r="C308" s="3"/>
      <c r="D308" s="3"/>
      <c r="E308" s="3"/>
      <c r="F308" s="3" t="s">
        <v>970</v>
      </c>
      <c r="G308" s="3"/>
      <c r="H308" s="3"/>
      <c r="I308" s="3"/>
      <c r="J308" t="s">
        <v>971</v>
      </c>
    </row>
    <row r="309" spans="1:10">
      <c r="A309" s="3" t="s">
        <v>964</v>
      </c>
      <c r="B309" s="3" t="s">
        <v>972</v>
      </c>
      <c r="C309" s="3"/>
      <c r="D309" s="3"/>
      <c r="E309" s="3"/>
      <c r="F309" s="3" t="s">
        <v>973</v>
      </c>
      <c r="G309" s="3"/>
      <c r="H309" s="3"/>
      <c r="I309" s="3"/>
      <c r="J309" t="s">
        <v>974</v>
      </c>
    </row>
    <row r="310" spans="1:10">
      <c r="A310" s="3" t="s">
        <v>964</v>
      </c>
      <c r="B310" s="3" t="s">
        <v>972</v>
      </c>
      <c r="C310" s="3"/>
      <c r="D310" s="3"/>
      <c r="E310" s="3"/>
      <c r="F310" s="3" t="s">
        <v>975</v>
      </c>
      <c r="G310" s="3"/>
      <c r="H310" s="3"/>
      <c r="I310" s="3"/>
      <c r="J310" t="s">
        <v>976</v>
      </c>
    </row>
    <row r="311" spans="1:10">
      <c r="A311" s="3" t="s">
        <v>964</v>
      </c>
      <c r="B311" s="3" t="s">
        <v>972</v>
      </c>
      <c r="C311" s="3"/>
      <c r="D311" s="3"/>
      <c r="E311" s="3"/>
      <c r="F311" s="3" t="s">
        <v>977</v>
      </c>
      <c r="G311" s="3"/>
      <c r="H311" s="3"/>
      <c r="I311" s="3"/>
      <c r="J311" t="s">
        <v>978</v>
      </c>
    </row>
    <row r="312" spans="1:10">
      <c r="A312" s="3" t="s">
        <v>964</v>
      </c>
      <c r="B312" s="3" t="s">
        <v>979</v>
      </c>
      <c r="C312" s="3"/>
      <c r="D312" s="3"/>
      <c r="E312" s="3" t="s">
        <v>980</v>
      </c>
      <c r="F312" s="3"/>
      <c r="G312" s="3"/>
      <c r="H312" s="3"/>
      <c r="I312" s="3"/>
      <c r="J312" t="s">
        <v>981</v>
      </c>
    </row>
    <row r="313" spans="1:10">
      <c r="A313" s="3" t="s">
        <v>964</v>
      </c>
      <c r="B313" s="3" t="s">
        <v>979</v>
      </c>
      <c r="C313" s="3"/>
      <c r="D313" s="3"/>
      <c r="E313" s="3" t="s">
        <v>982</v>
      </c>
      <c r="F313" s="3"/>
      <c r="G313" s="3"/>
      <c r="H313" s="3"/>
      <c r="I313" s="3"/>
      <c r="J313" t="s">
        <v>983</v>
      </c>
    </row>
    <row r="314" spans="1:10">
      <c r="A314" s="3" t="s">
        <v>984</v>
      </c>
      <c r="B314" s="3" t="s">
        <v>985</v>
      </c>
      <c r="C314" s="3"/>
      <c r="D314" s="3"/>
      <c r="E314" s="3" t="s">
        <v>986</v>
      </c>
      <c r="F314" s="3"/>
      <c r="G314" s="3"/>
      <c r="H314" s="3"/>
      <c r="I314" s="3"/>
      <c r="J314" t="s">
        <v>987</v>
      </c>
    </row>
    <row r="315" spans="1:10">
      <c r="A315" s="3" t="s">
        <v>984</v>
      </c>
      <c r="B315" s="3" t="s">
        <v>985</v>
      </c>
      <c r="C315" s="3"/>
      <c r="D315" s="3"/>
      <c r="E315" s="3" t="s">
        <v>988</v>
      </c>
      <c r="F315" s="3"/>
      <c r="G315" s="3"/>
      <c r="H315" s="3"/>
      <c r="I315" s="3"/>
      <c r="J315" t="s">
        <v>989</v>
      </c>
    </row>
    <row r="316" spans="1:10">
      <c r="A316" s="3" t="s">
        <v>984</v>
      </c>
      <c r="B316" s="3" t="s">
        <v>985</v>
      </c>
      <c r="C316" s="3"/>
      <c r="D316" s="3"/>
      <c r="E316" s="3"/>
      <c r="F316" s="3" t="s">
        <v>990</v>
      </c>
      <c r="G316" s="3"/>
      <c r="H316" s="3"/>
      <c r="I316" s="3"/>
      <c r="J316" t="s">
        <v>991</v>
      </c>
    </row>
    <row r="317" spans="1:10">
      <c r="A317" s="3" t="s">
        <v>984</v>
      </c>
      <c r="B317" s="3" t="s">
        <v>985</v>
      </c>
      <c r="C317" s="3"/>
      <c r="D317" s="3"/>
      <c r="E317" s="3"/>
      <c r="F317" s="3" t="s">
        <v>992</v>
      </c>
      <c r="G317" s="3"/>
      <c r="H317" s="3"/>
      <c r="I317" s="3"/>
      <c r="J317" t="s">
        <v>993</v>
      </c>
    </row>
    <row r="318" spans="1:10">
      <c r="A318" s="3" t="s">
        <v>984</v>
      </c>
      <c r="B318" s="3" t="s">
        <v>994</v>
      </c>
      <c r="C318" s="3"/>
      <c r="D318" s="3"/>
      <c r="E318" s="3" t="s">
        <v>995</v>
      </c>
      <c r="F318" s="3"/>
      <c r="G318" s="3"/>
      <c r="H318" s="3"/>
      <c r="I318" s="3"/>
      <c r="J318" t="s">
        <v>996</v>
      </c>
    </row>
    <row r="319" spans="1:10">
      <c r="A319" s="3" t="s">
        <v>984</v>
      </c>
      <c r="B319" s="3" t="s">
        <v>994</v>
      </c>
      <c r="C319" s="3"/>
      <c r="D319" s="3"/>
      <c r="E319" s="3" t="s">
        <v>997</v>
      </c>
      <c r="F319" s="3"/>
      <c r="G319" s="3"/>
      <c r="H319" s="3"/>
      <c r="I319" s="3"/>
      <c r="J319" t="s">
        <v>998</v>
      </c>
    </row>
    <row r="320" spans="1:10">
      <c r="A320" s="3" t="s">
        <v>984</v>
      </c>
      <c r="B320" s="3" t="s">
        <v>994</v>
      </c>
      <c r="C320" s="3"/>
      <c r="D320" s="3"/>
      <c r="E320" s="3" t="s">
        <v>999</v>
      </c>
      <c r="F320" s="3"/>
      <c r="G320" s="3"/>
      <c r="H320" s="3"/>
      <c r="I320" s="3"/>
      <c r="J320" t="s">
        <v>1000</v>
      </c>
    </row>
    <row r="321" spans="1:10">
      <c r="A321" s="3" t="s">
        <v>984</v>
      </c>
      <c r="B321" s="3" t="s">
        <v>994</v>
      </c>
      <c r="C321" s="3"/>
      <c r="D321" s="3"/>
      <c r="E321" s="3"/>
      <c r="F321" s="3" t="s">
        <v>1001</v>
      </c>
      <c r="G321" s="3"/>
      <c r="H321" s="3"/>
      <c r="I321" s="3"/>
      <c r="J321" t="s">
        <v>1002</v>
      </c>
    </row>
    <row r="322" spans="1:10">
      <c r="A322" s="3" t="s">
        <v>984</v>
      </c>
      <c r="B322" s="3" t="s">
        <v>994</v>
      </c>
      <c r="C322" s="3"/>
      <c r="D322" s="3"/>
      <c r="E322" s="3"/>
      <c r="F322" s="3" t="s">
        <v>1003</v>
      </c>
      <c r="G322" s="3"/>
      <c r="H322" s="3"/>
      <c r="I322" s="3"/>
      <c r="J322" t="s">
        <v>1004</v>
      </c>
    </row>
    <row r="323" spans="1:10">
      <c r="A323" s="3" t="s">
        <v>984</v>
      </c>
      <c r="B323" s="3" t="s">
        <v>1005</v>
      </c>
      <c r="C323" s="3"/>
      <c r="D323" s="3"/>
      <c r="E323" s="3" t="s">
        <v>1006</v>
      </c>
      <c r="F323" s="3"/>
      <c r="G323" s="3"/>
      <c r="H323" s="3"/>
      <c r="I323" s="3"/>
      <c r="J323" t="s">
        <v>1007</v>
      </c>
    </row>
    <row r="324" spans="1:10">
      <c r="A324" s="3" t="s">
        <v>984</v>
      </c>
      <c r="B324" s="3" t="s">
        <v>1005</v>
      </c>
      <c r="C324" s="3"/>
      <c r="D324" s="3"/>
      <c r="E324" s="3" t="s">
        <v>1008</v>
      </c>
      <c r="F324" s="3"/>
      <c r="G324" s="3"/>
      <c r="H324" s="3"/>
      <c r="I324" s="3"/>
      <c r="J324" t="s">
        <v>1009</v>
      </c>
    </row>
    <row r="325" spans="1:10">
      <c r="A325" s="3" t="s">
        <v>1010</v>
      </c>
      <c r="B325" s="3" t="s">
        <v>1011</v>
      </c>
      <c r="C325" s="3"/>
      <c r="D325" s="3"/>
      <c r="E325" s="3" t="s">
        <v>1012</v>
      </c>
      <c r="F325" s="3"/>
      <c r="G325" s="3"/>
      <c r="H325" s="3"/>
      <c r="I325" s="3"/>
      <c r="J325" t="s">
        <v>1013</v>
      </c>
    </row>
    <row r="326" spans="1:10">
      <c r="A326" s="3" t="s">
        <v>1010</v>
      </c>
      <c r="B326" s="3" t="s">
        <v>1011</v>
      </c>
      <c r="C326" s="3"/>
      <c r="D326" s="3"/>
      <c r="E326" s="3" t="s">
        <v>1014</v>
      </c>
      <c r="F326" s="3"/>
      <c r="G326" s="3"/>
      <c r="H326" s="3"/>
      <c r="I326" s="3"/>
      <c r="J326" t="s">
        <v>1015</v>
      </c>
    </row>
    <row r="327" spans="1:10">
      <c r="A327" s="3" t="s">
        <v>1010</v>
      </c>
      <c r="B327" s="3" t="s">
        <v>1011</v>
      </c>
      <c r="C327" s="3"/>
      <c r="D327" s="3"/>
      <c r="E327" s="3" t="s">
        <v>1016</v>
      </c>
      <c r="F327" s="3"/>
      <c r="G327" s="3"/>
      <c r="H327" s="3"/>
      <c r="I327" s="3"/>
      <c r="J327" t="s">
        <v>1017</v>
      </c>
    </row>
    <row r="328" spans="1:10">
      <c r="A328" s="3" t="s">
        <v>1010</v>
      </c>
      <c r="B328" s="3" t="s">
        <v>1011</v>
      </c>
      <c r="C328" s="3"/>
      <c r="D328" s="3"/>
      <c r="E328" s="3"/>
      <c r="F328" s="3" t="s">
        <v>1018</v>
      </c>
      <c r="G328" s="3"/>
      <c r="H328" s="3"/>
      <c r="I328" s="3"/>
      <c r="J328" t="s">
        <v>1019</v>
      </c>
    </row>
    <row r="329" spans="1:10">
      <c r="A329" s="3" t="s">
        <v>1010</v>
      </c>
      <c r="B329" s="3" t="s">
        <v>1011</v>
      </c>
      <c r="C329" s="3"/>
      <c r="D329" s="3"/>
      <c r="E329" s="3"/>
      <c r="F329" s="3" t="s">
        <v>1020</v>
      </c>
      <c r="G329" s="3"/>
      <c r="H329" s="3"/>
      <c r="I329" s="3"/>
      <c r="J329" t="s">
        <v>1021</v>
      </c>
    </row>
    <row r="330" spans="1:10">
      <c r="A330" s="3" t="s">
        <v>1010</v>
      </c>
      <c r="B330" s="3" t="s">
        <v>1011</v>
      </c>
      <c r="C330" s="3"/>
      <c r="D330" s="3"/>
      <c r="E330" s="3"/>
      <c r="F330" s="3" t="s">
        <v>1022</v>
      </c>
      <c r="G330" s="3"/>
      <c r="H330" s="3"/>
      <c r="I330" s="3"/>
      <c r="J330" t="s">
        <v>1023</v>
      </c>
    </row>
    <row r="331" spans="1:10">
      <c r="A331" s="3" t="s">
        <v>1010</v>
      </c>
      <c r="B331" s="3" t="s">
        <v>1024</v>
      </c>
      <c r="C331" s="3"/>
      <c r="D331" s="3"/>
      <c r="E331" s="3" t="s">
        <v>1025</v>
      </c>
      <c r="F331" s="3"/>
      <c r="G331" s="3"/>
      <c r="H331" s="3"/>
      <c r="I331" s="3"/>
      <c r="J331" t="s">
        <v>1026</v>
      </c>
    </row>
    <row r="332" spans="1:10">
      <c r="A332" s="3" t="s">
        <v>1010</v>
      </c>
      <c r="B332" s="3" t="s">
        <v>1024</v>
      </c>
      <c r="C332" s="3"/>
      <c r="D332" s="3"/>
      <c r="E332" s="3"/>
      <c r="F332" s="3" t="s">
        <v>1027</v>
      </c>
      <c r="G332" s="3"/>
      <c r="H332" s="3"/>
      <c r="I332" s="3"/>
      <c r="J332" t="s">
        <v>1028</v>
      </c>
    </row>
    <row r="333" spans="1:10">
      <c r="A333" s="3" t="s">
        <v>1010</v>
      </c>
      <c r="B333" s="3" t="s">
        <v>1024</v>
      </c>
      <c r="C333" s="3"/>
      <c r="D333" s="3"/>
      <c r="E333" s="3"/>
      <c r="F333" s="3" t="s">
        <v>1029</v>
      </c>
      <c r="G333" s="3"/>
      <c r="H333" s="3"/>
      <c r="I333" s="3"/>
      <c r="J333" t="s">
        <v>1030</v>
      </c>
    </row>
    <row r="334" spans="1:10">
      <c r="A334" s="3" t="s">
        <v>1010</v>
      </c>
      <c r="B334" s="3" t="s">
        <v>1024</v>
      </c>
      <c r="C334" s="3"/>
      <c r="D334" s="3"/>
      <c r="E334" s="3"/>
      <c r="F334" s="3" t="s">
        <v>1031</v>
      </c>
      <c r="G334" s="3"/>
      <c r="H334" s="3"/>
      <c r="I334" s="3"/>
      <c r="J334" t="s">
        <v>1032</v>
      </c>
    </row>
    <row r="335" spans="1:10">
      <c r="A335" s="3" t="s">
        <v>1010</v>
      </c>
      <c r="B335" s="3" t="s">
        <v>1024</v>
      </c>
      <c r="C335" s="3"/>
      <c r="D335" s="3"/>
      <c r="E335" s="3"/>
      <c r="F335" s="3" t="s">
        <v>1033</v>
      </c>
      <c r="G335" s="3"/>
      <c r="H335" s="3"/>
      <c r="I335" s="3"/>
      <c r="J335" t="s">
        <v>1034</v>
      </c>
    </row>
    <row r="336" spans="1:10">
      <c r="A336" s="3" t="s">
        <v>1010</v>
      </c>
      <c r="B336" s="3" t="s">
        <v>1035</v>
      </c>
      <c r="C336" s="3"/>
      <c r="D336" s="3"/>
      <c r="E336" s="3" t="s">
        <v>1036</v>
      </c>
      <c r="F336" s="3"/>
      <c r="G336" s="3"/>
      <c r="H336" s="3"/>
      <c r="I336" s="3"/>
      <c r="J336" t="s">
        <v>1037</v>
      </c>
    </row>
    <row r="337" spans="1:10">
      <c r="A337" s="3" t="s">
        <v>1010</v>
      </c>
      <c r="B337" s="3" t="s">
        <v>1035</v>
      </c>
      <c r="C337" s="3"/>
      <c r="D337" s="3"/>
      <c r="E337" s="3" t="s">
        <v>1038</v>
      </c>
      <c r="F337" s="3"/>
      <c r="G337" s="3"/>
      <c r="H337" s="3"/>
      <c r="I337" s="3"/>
      <c r="J337" t="s">
        <v>1039</v>
      </c>
    </row>
    <row r="338" spans="1:10">
      <c r="A338" s="3" t="s">
        <v>1010</v>
      </c>
      <c r="B338" s="3" t="s">
        <v>1035</v>
      </c>
      <c r="C338" s="3"/>
      <c r="D338" s="3"/>
      <c r="E338" s="3"/>
      <c r="F338" s="3" t="s">
        <v>1040</v>
      </c>
      <c r="G338" s="3"/>
      <c r="H338" s="3"/>
      <c r="I338" s="3"/>
      <c r="J338" t="s">
        <v>1041</v>
      </c>
    </row>
    <row r="339" spans="1:10">
      <c r="A339" s="3" t="s">
        <v>1010</v>
      </c>
      <c r="B339" s="3" t="s">
        <v>1035</v>
      </c>
      <c r="C339" s="3"/>
      <c r="D339" s="3"/>
      <c r="E339" s="3"/>
      <c r="F339" s="3" t="s">
        <v>1042</v>
      </c>
      <c r="G339" s="3"/>
      <c r="H339" s="3"/>
      <c r="I339" s="3"/>
      <c r="J339" t="s">
        <v>1043</v>
      </c>
    </row>
    <row r="340" spans="1:10">
      <c r="A340" s="3" t="s">
        <v>1010</v>
      </c>
      <c r="B340" s="3" t="s">
        <v>1035</v>
      </c>
      <c r="C340" s="3"/>
      <c r="D340" s="3"/>
      <c r="E340" s="3"/>
      <c r="F340" s="3" t="s">
        <v>1044</v>
      </c>
      <c r="G340" s="3"/>
      <c r="H340" s="3"/>
      <c r="I340" s="3"/>
      <c r="J340" t="s">
        <v>1045</v>
      </c>
    </row>
    <row r="341" spans="1:10">
      <c r="A341" s="3" t="s">
        <v>1046</v>
      </c>
      <c r="B341" s="3" t="s">
        <v>1047</v>
      </c>
      <c r="C341" s="3"/>
      <c r="D341" s="3"/>
      <c r="E341" s="3" t="s">
        <v>1048</v>
      </c>
      <c r="F341" s="3"/>
      <c r="G341" s="3"/>
      <c r="H341" s="3"/>
      <c r="I341" s="3"/>
      <c r="J341" t="s">
        <v>1049</v>
      </c>
    </row>
    <row r="342" spans="1:10">
      <c r="A342" s="3" t="s">
        <v>1046</v>
      </c>
      <c r="B342" s="3" t="s">
        <v>1047</v>
      </c>
      <c r="C342" s="3"/>
      <c r="D342" s="3"/>
      <c r="E342" s="3" t="s">
        <v>1050</v>
      </c>
      <c r="F342" s="3"/>
      <c r="G342" s="3"/>
      <c r="H342" s="3"/>
      <c r="I342" s="3"/>
      <c r="J342" t="s">
        <v>1051</v>
      </c>
    </row>
    <row r="343" spans="1:10">
      <c r="A343" s="3" t="s">
        <v>1046</v>
      </c>
      <c r="B343" s="3" t="s">
        <v>1047</v>
      </c>
      <c r="C343" s="3"/>
      <c r="D343" s="3"/>
      <c r="E343" s="3"/>
      <c r="F343" s="3" t="s">
        <v>1052</v>
      </c>
      <c r="G343" s="3"/>
      <c r="H343" s="3"/>
      <c r="I343" s="3"/>
      <c r="J343" t="s">
        <v>1053</v>
      </c>
    </row>
    <row r="344" spans="1:10">
      <c r="A344" s="3" t="s">
        <v>1046</v>
      </c>
      <c r="B344" s="3" t="s">
        <v>1047</v>
      </c>
      <c r="C344" s="3"/>
      <c r="D344" s="3"/>
      <c r="E344" s="3"/>
      <c r="F344" s="3" t="s">
        <v>1054</v>
      </c>
      <c r="G344" s="3"/>
      <c r="H344" s="3"/>
      <c r="I344" s="3"/>
      <c r="J344" t="s">
        <v>1055</v>
      </c>
    </row>
    <row r="345" spans="1:10">
      <c r="A345" s="3" t="s">
        <v>1056</v>
      </c>
      <c r="B345" s="3" t="s">
        <v>1057</v>
      </c>
      <c r="C345" s="3"/>
      <c r="D345" s="3"/>
      <c r="E345" s="3" t="s">
        <v>1058</v>
      </c>
      <c r="F345" s="3"/>
      <c r="G345" s="3"/>
      <c r="H345" s="3"/>
      <c r="I345" s="3"/>
      <c r="J345" t="s">
        <v>1059</v>
      </c>
    </row>
    <row r="346" spans="1:10">
      <c r="A346" s="3" t="s">
        <v>1056</v>
      </c>
      <c r="B346" s="3" t="s">
        <v>1057</v>
      </c>
      <c r="C346" s="3"/>
      <c r="D346" s="3"/>
      <c r="E346" s="3" t="s">
        <v>1060</v>
      </c>
      <c r="F346" s="3"/>
      <c r="G346" s="3"/>
      <c r="H346" s="3"/>
      <c r="I346" s="3"/>
      <c r="J346" t="s">
        <v>1061</v>
      </c>
    </row>
    <row r="347" spans="1:10">
      <c r="A347" s="3" t="s">
        <v>1056</v>
      </c>
      <c r="B347" s="3" t="s">
        <v>1057</v>
      </c>
      <c r="C347" s="3"/>
      <c r="D347" s="3"/>
      <c r="E347" s="3"/>
      <c r="F347" s="3" t="s">
        <v>1062</v>
      </c>
      <c r="G347" s="3"/>
      <c r="H347" s="3"/>
      <c r="I347" s="3"/>
      <c r="J347" t="s">
        <v>1063</v>
      </c>
    </row>
    <row r="348" spans="1:10">
      <c r="A348" s="3" t="s">
        <v>1056</v>
      </c>
      <c r="B348" s="3" t="s">
        <v>1064</v>
      </c>
      <c r="C348" s="3"/>
      <c r="D348" s="3"/>
      <c r="E348" s="3"/>
      <c r="F348" s="3"/>
      <c r="G348" s="3"/>
      <c r="H348" s="3"/>
      <c r="I348" s="3"/>
      <c r="J348" t="s">
        <v>1065</v>
      </c>
    </row>
    <row r="349" spans="1:10">
      <c r="A349" s="3" t="s">
        <v>1066</v>
      </c>
      <c r="B349" s="3" t="s">
        <v>1067</v>
      </c>
      <c r="C349" s="3"/>
      <c r="D349" s="3"/>
      <c r="E349" s="3" t="s">
        <v>1068</v>
      </c>
      <c r="F349" s="3"/>
      <c r="G349" s="3"/>
      <c r="H349" s="3"/>
      <c r="I349" s="3"/>
      <c r="J349" t="s">
        <v>1069</v>
      </c>
    </row>
    <row r="350" spans="1:10">
      <c r="A350" s="3" t="s">
        <v>1066</v>
      </c>
      <c r="B350" s="3" t="s">
        <v>1067</v>
      </c>
      <c r="C350" s="3"/>
      <c r="D350" s="3"/>
      <c r="E350" s="3" t="s">
        <v>1070</v>
      </c>
      <c r="F350" s="3"/>
      <c r="G350" s="3"/>
      <c r="H350" s="3"/>
      <c r="I350" s="3"/>
      <c r="J350" t="s">
        <v>1071</v>
      </c>
    </row>
    <row r="351" spans="1:10">
      <c r="A351" s="3" t="s">
        <v>1066</v>
      </c>
      <c r="B351" s="3" t="s">
        <v>1067</v>
      </c>
      <c r="C351" s="3"/>
      <c r="D351" s="3"/>
      <c r="E351" s="3"/>
      <c r="F351" s="3" t="s">
        <v>1072</v>
      </c>
      <c r="G351" s="3"/>
      <c r="H351" s="3"/>
      <c r="I351" s="3"/>
      <c r="J351" t="s">
        <v>1073</v>
      </c>
    </row>
    <row r="352" spans="1:10">
      <c r="A352" s="3" t="s">
        <v>1066</v>
      </c>
      <c r="B352" s="3" t="s">
        <v>1067</v>
      </c>
      <c r="C352" s="3"/>
      <c r="D352" s="3"/>
      <c r="E352" s="3"/>
      <c r="F352" s="3" t="s">
        <v>1074</v>
      </c>
      <c r="G352" s="3"/>
      <c r="H352" s="3"/>
      <c r="I352" s="3"/>
      <c r="J352" t="s">
        <v>1075</v>
      </c>
    </row>
    <row r="353" spans="1:10">
      <c r="A353" s="3" t="s">
        <v>1076</v>
      </c>
      <c r="B353" s="3" t="s">
        <v>1077</v>
      </c>
      <c r="C353" s="3"/>
      <c r="D353" s="3"/>
      <c r="E353" s="3" t="s">
        <v>1078</v>
      </c>
      <c r="F353" s="3"/>
      <c r="G353" s="3"/>
      <c r="H353" s="3"/>
      <c r="I353" s="3"/>
      <c r="J353" t="s">
        <v>1079</v>
      </c>
    </row>
    <row r="354" spans="1:10">
      <c r="A354" s="3" t="s">
        <v>1076</v>
      </c>
      <c r="B354" s="3" t="s">
        <v>1077</v>
      </c>
      <c r="C354" s="3"/>
      <c r="D354" s="3"/>
      <c r="E354" s="3" t="s">
        <v>1080</v>
      </c>
      <c r="F354" s="3"/>
      <c r="G354" s="3"/>
      <c r="H354" s="3"/>
      <c r="I354" s="3"/>
      <c r="J354" t="s">
        <v>1081</v>
      </c>
    </row>
    <row r="355" spans="1:10">
      <c r="A355" s="3" t="s">
        <v>1076</v>
      </c>
      <c r="B355" s="3" t="s">
        <v>1077</v>
      </c>
      <c r="C355" s="3"/>
      <c r="D355" s="3"/>
      <c r="E355" s="3"/>
      <c r="F355" s="3" t="s">
        <v>1082</v>
      </c>
      <c r="G355" s="3"/>
      <c r="H355" s="3"/>
      <c r="I355" s="3"/>
      <c r="J355" t="s">
        <v>1083</v>
      </c>
    </row>
    <row r="356" spans="1:10">
      <c r="A356" s="3" t="s">
        <v>1076</v>
      </c>
      <c r="B356" s="3" t="s">
        <v>1077</v>
      </c>
      <c r="C356" s="3"/>
      <c r="D356" s="3"/>
      <c r="E356" s="3"/>
      <c r="F356" s="3" t="s">
        <v>1084</v>
      </c>
      <c r="G356" s="3"/>
      <c r="H356" s="3"/>
      <c r="I356" s="3"/>
      <c r="J356" t="s">
        <v>1085</v>
      </c>
    </row>
    <row r="357" spans="1:10">
      <c r="A357" s="3" t="s">
        <v>1076</v>
      </c>
      <c r="B357" s="3" t="s">
        <v>1086</v>
      </c>
      <c r="C357" s="3"/>
      <c r="D357" s="3"/>
      <c r="E357" s="3" t="s">
        <v>1087</v>
      </c>
      <c r="F357" s="3"/>
      <c r="G357" s="3"/>
      <c r="H357" s="3"/>
      <c r="I357" s="3"/>
      <c r="J357" t="s">
        <v>1088</v>
      </c>
    </row>
    <row r="358" spans="1:10">
      <c r="A358" s="3" t="s">
        <v>1076</v>
      </c>
      <c r="B358" s="3" t="s">
        <v>1086</v>
      </c>
      <c r="C358" s="3"/>
      <c r="D358" s="3"/>
      <c r="E358" s="3" t="s">
        <v>1089</v>
      </c>
      <c r="F358" s="3"/>
      <c r="G358" s="3"/>
      <c r="H358" s="3"/>
      <c r="I358" s="3"/>
      <c r="J358" t="s">
        <v>1090</v>
      </c>
    </row>
    <row r="359" spans="1:10">
      <c r="A359" s="3" t="s">
        <v>1076</v>
      </c>
      <c r="B359" s="3" t="s">
        <v>1086</v>
      </c>
      <c r="C359" s="3"/>
      <c r="D359" s="3"/>
      <c r="E359" s="3"/>
      <c r="F359" s="3" t="s">
        <v>1091</v>
      </c>
      <c r="G359" s="3"/>
      <c r="H359" s="3"/>
      <c r="I359" s="3"/>
      <c r="J359" t="s">
        <v>1092</v>
      </c>
    </row>
    <row r="360" spans="1:10">
      <c r="A360" s="3" t="s">
        <v>1076</v>
      </c>
      <c r="B360" s="3" t="s">
        <v>1086</v>
      </c>
      <c r="C360" s="3"/>
      <c r="D360" s="3"/>
      <c r="E360" s="3"/>
      <c r="F360" s="3" t="s">
        <v>1093</v>
      </c>
      <c r="G360" s="3"/>
      <c r="H360" s="3"/>
      <c r="I360" s="3"/>
      <c r="J360" t="s">
        <v>1094</v>
      </c>
    </row>
    <row r="361" spans="1:10">
      <c r="A361" s="3" t="s">
        <v>1076</v>
      </c>
      <c r="B361" s="3" t="s">
        <v>1086</v>
      </c>
      <c r="C361" s="3"/>
      <c r="D361" s="3"/>
      <c r="E361" s="3"/>
      <c r="F361" s="3" t="s">
        <v>1095</v>
      </c>
      <c r="G361" s="3"/>
      <c r="H361" s="3"/>
      <c r="I361" s="3"/>
      <c r="J361" t="s">
        <v>1096</v>
      </c>
    </row>
    <row r="362" spans="1:10">
      <c r="A362" s="3" t="s">
        <v>1076</v>
      </c>
      <c r="B362" s="3" t="s">
        <v>1086</v>
      </c>
      <c r="C362" s="3"/>
      <c r="D362" s="3"/>
      <c r="E362" s="3"/>
      <c r="F362" s="3" t="s">
        <v>1097</v>
      </c>
      <c r="G362" s="3"/>
      <c r="H362" s="3"/>
      <c r="I362" s="3"/>
      <c r="J362" t="s">
        <v>1098</v>
      </c>
    </row>
    <row r="363" spans="1:10">
      <c r="A363" s="3" t="s">
        <v>1076</v>
      </c>
      <c r="B363" s="3" t="s">
        <v>1099</v>
      </c>
      <c r="C363" s="3"/>
      <c r="D363" s="3"/>
      <c r="E363" s="3" t="s">
        <v>1100</v>
      </c>
      <c r="F363" s="3"/>
      <c r="G363" s="3"/>
      <c r="H363" s="3"/>
      <c r="I363" s="3"/>
      <c r="J363" t="s">
        <v>1101</v>
      </c>
    </row>
    <row r="364" spans="1:10">
      <c r="A364" s="3" t="s">
        <v>1076</v>
      </c>
      <c r="B364" s="3" t="s">
        <v>1099</v>
      </c>
      <c r="C364" s="3"/>
      <c r="D364" s="3"/>
      <c r="E364" s="3" t="s">
        <v>1102</v>
      </c>
      <c r="F364" s="3"/>
      <c r="G364" s="3"/>
      <c r="H364" s="3"/>
      <c r="I364" s="3"/>
      <c r="J364" t="s">
        <v>1103</v>
      </c>
    </row>
    <row r="365" spans="1:10">
      <c r="A365" s="3" t="s">
        <v>1104</v>
      </c>
      <c r="B365" s="3" t="s">
        <v>1105</v>
      </c>
      <c r="C365" s="3"/>
      <c r="D365" s="3"/>
      <c r="E365" s="3" t="s">
        <v>1106</v>
      </c>
      <c r="F365" s="3"/>
      <c r="G365" s="3"/>
      <c r="H365" s="3"/>
      <c r="I365" s="3"/>
      <c r="J365" t="s">
        <v>1107</v>
      </c>
    </row>
    <row r="366" spans="1:10">
      <c r="A366" s="3" t="s">
        <v>1104</v>
      </c>
      <c r="B366" s="3" t="s">
        <v>1105</v>
      </c>
      <c r="C366" s="3"/>
      <c r="D366" s="3"/>
      <c r="E366" s="3" t="s">
        <v>1108</v>
      </c>
      <c r="F366" s="3"/>
      <c r="G366" s="3"/>
      <c r="H366" s="3"/>
      <c r="I366" s="3"/>
      <c r="J366" t="s">
        <v>1109</v>
      </c>
    </row>
    <row r="367" spans="1:10">
      <c r="A367" s="3" t="s">
        <v>1104</v>
      </c>
      <c r="B367" s="3" t="s">
        <v>1105</v>
      </c>
      <c r="C367" s="3"/>
      <c r="D367" s="3"/>
      <c r="E367" s="3" t="s">
        <v>1110</v>
      </c>
      <c r="F367" s="3"/>
      <c r="G367" s="3"/>
      <c r="H367" s="3"/>
      <c r="I367" s="3"/>
      <c r="J367" t="s">
        <v>1111</v>
      </c>
    </row>
    <row r="368" spans="1:10">
      <c r="A368" s="3" t="s">
        <v>1104</v>
      </c>
      <c r="B368" s="3" t="s">
        <v>1105</v>
      </c>
      <c r="C368" s="3"/>
      <c r="D368" s="3"/>
      <c r="E368" s="3"/>
      <c r="F368" s="3" t="s">
        <v>1112</v>
      </c>
      <c r="G368" s="3"/>
      <c r="H368" s="3"/>
      <c r="I368" s="3"/>
      <c r="J368" t="s">
        <v>1113</v>
      </c>
    </row>
    <row r="369" spans="1:10">
      <c r="A369" s="3" t="s">
        <v>1104</v>
      </c>
      <c r="B369" s="3" t="s">
        <v>1105</v>
      </c>
      <c r="C369" s="3"/>
      <c r="D369" s="3"/>
      <c r="E369" s="3"/>
      <c r="F369" s="3" t="s">
        <v>1114</v>
      </c>
      <c r="G369" s="3"/>
      <c r="H369" s="3"/>
      <c r="I369" s="3"/>
      <c r="J369" t="s">
        <v>1115</v>
      </c>
    </row>
    <row r="370" spans="1:10">
      <c r="A370" s="3" t="s">
        <v>1104</v>
      </c>
      <c r="B370" s="3" t="s">
        <v>1116</v>
      </c>
      <c r="C370" s="3"/>
      <c r="D370" s="3"/>
      <c r="E370" s="3" t="s">
        <v>1117</v>
      </c>
      <c r="F370" s="3"/>
      <c r="G370" s="3"/>
      <c r="H370" s="3"/>
      <c r="I370" s="3"/>
      <c r="J370" t="s">
        <v>1118</v>
      </c>
    </row>
    <row r="371" spans="1:10">
      <c r="A371" s="3" t="s">
        <v>1104</v>
      </c>
      <c r="B371" s="3" t="s">
        <v>1116</v>
      </c>
      <c r="C371" s="3"/>
      <c r="D371" s="3"/>
      <c r="E371" s="3" t="s">
        <v>1119</v>
      </c>
      <c r="F371" s="3"/>
      <c r="G371" s="3"/>
      <c r="H371" s="3"/>
      <c r="I371" s="3"/>
      <c r="J371" t="s">
        <v>1120</v>
      </c>
    </row>
    <row r="372" spans="1:10">
      <c r="A372" s="3" t="s">
        <v>1121</v>
      </c>
      <c r="B372" s="3" t="s">
        <v>1122</v>
      </c>
      <c r="C372" s="3"/>
      <c r="D372" s="3"/>
      <c r="E372" s="3" t="s">
        <v>1123</v>
      </c>
      <c r="F372" s="3"/>
      <c r="G372" s="3"/>
      <c r="H372" s="3"/>
      <c r="I372" s="3"/>
      <c r="J372" t="s">
        <v>1124</v>
      </c>
    </row>
    <row r="373" spans="1:10">
      <c r="A373" s="3" t="s">
        <v>1121</v>
      </c>
      <c r="B373" s="3" t="s">
        <v>1122</v>
      </c>
      <c r="C373" s="3"/>
      <c r="D373" s="3"/>
      <c r="E373" s="3" t="s">
        <v>1125</v>
      </c>
      <c r="F373" s="3"/>
      <c r="G373" s="3"/>
      <c r="H373" s="3"/>
      <c r="I373" s="3"/>
      <c r="J373" t="s">
        <v>1126</v>
      </c>
    </row>
    <row r="374" spans="1:10">
      <c r="A374" s="3" t="s">
        <v>1121</v>
      </c>
      <c r="B374" s="3" t="s">
        <v>1122</v>
      </c>
      <c r="C374" s="3"/>
      <c r="D374" s="3"/>
      <c r="E374" s="3"/>
      <c r="F374" s="3" t="s">
        <v>1127</v>
      </c>
      <c r="G374" s="3"/>
      <c r="H374" s="3"/>
      <c r="I374" s="3"/>
      <c r="J374" t="s">
        <v>1128</v>
      </c>
    </row>
    <row r="375" spans="1:10">
      <c r="A375" s="3" t="s">
        <v>1121</v>
      </c>
      <c r="B375" s="3" t="s">
        <v>1122</v>
      </c>
      <c r="C375" s="3"/>
      <c r="D375" s="3"/>
      <c r="E375" s="3"/>
      <c r="F375" s="3" t="s">
        <v>1129</v>
      </c>
      <c r="G375" s="3"/>
      <c r="H375" s="3"/>
      <c r="I375" s="3"/>
      <c r="J375" t="s">
        <v>1130</v>
      </c>
    </row>
    <row r="376" spans="1:10">
      <c r="A376" s="3" t="s">
        <v>1121</v>
      </c>
      <c r="B376" s="3" t="s">
        <v>1131</v>
      </c>
      <c r="C376" s="3"/>
      <c r="D376" s="3"/>
      <c r="E376" s="3" t="s">
        <v>1132</v>
      </c>
      <c r="F376" s="3"/>
      <c r="G376" s="3"/>
      <c r="H376" s="3"/>
      <c r="I376" s="3"/>
      <c r="J376" t="s">
        <v>1133</v>
      </c>
    </row>
    <row r="377" spans="1:10">
      <c r="A377" s="3" t="s">
        <v>1134</v>
      </c>
      <c r="B377" s="3" t="s">
        <v>1135</v>
      </c>
      <c r="C377" s="3"/>
      <c r="D377" s="3"/>
      <c r="E377" s="3" t="s">
        <v>1136</v>
      </c>
      <c r="F377" s="3"/>
      <c r="G377" s="3"/>
      <c r="H377" s="3"/>
      <c r="I377" s="3"/>
      <c r="J377" t="s">
        <v>1137</v>
      </c>
    </row>
    <row r="378" spans="1:10">
      <c r="A378" s="3" t="s">
        <v>1134</v>
      </c>
      <c r="B378" s="3" t="s">
        <v>1135</v>
      </c>
      <c r="C378" s="3"/>
      <c r="D378" s="3"/>
      <c r="E378" s="3" t="s">
        <v>1138</v>
      </c>
      <c r="F378" s="3"/>
      <c r="G378" s="3"/>
      <c r="H378" s="3"/>
      <c r="I378" s="3"/>
      <c r="J378" t="s">
        <v>1139</v>
      </c>
    </row>
    <row r="379" spans="1:10">
      <c r="A379" s="3" t="s">
        <v>1134</v>
      </c>
      <c r="B379" s="3" t="s">
        <v>1135</v>
      </c>
      <c r="C379" s="3"/>
      <c r="D379" s="3"/>
      <c r="E379" s="3"/>
      <c r="F379" s="3" t="s">
        <v>1140</v>
      </c>
      <c r="G379" s="3"/>
      <c r="H379" s="3"/>
      <c r="I379" s="3"/>
      <c r="J379" t="s">
        <v>1141</v>
      </c>
    </row>
    <row r="380" spans="1:10">
      <c r="A380" s="3" t="s">
        <v>1134</v>
      </c>
      <c r="B380" s="3" t="s">
        <v>1135</v>
      </c>
      <c r="C380" s="3"/>
      <c r="D380" s="3"/>
      <c r="E380" s="3"/>
      <c r="F380" s="3" t="s">
        <v>1142</v>
      </c>
      <c r="G380" s="3"/>
      <c r="H380" s="3"/>
      <c r="I380" s="3"/>
      <c r="J380" t="s">
        <v>1143</v>
      </c>
    </row>
    <row r="381" spans="1:10">
      <c r="A381" s="3" t="s">
        <v>1134</v>
      </c>
      <c r="B381" s="3" t="s">
        <v>1144</v>
      </c>
      <c r="C381" s="3"/>
      <c r="D381" s="3"/>
      <c r="E381" s="3" t="s">
        <v>1145</v>
      </c>
      <c r="F381" s="3"/>
      <c r="G381" s="3"/>
      <c r="H381" s="3"/>
      <c r="I381" s="3"/>
      <c r="J381" t="s">
        <v>1146</v>
      </c>
    </row>
    <row r="382" spans="1:10">
      <c r="A382" s="3" t="s">
        <v>1134</v>
      </c>
      <c r="B382" s="3" t="s">
        <v>1144</v>
      </c>
      <c r="C382" s="3"/>
      <c r="D382" s="3"/>
      <c r="E382" s="3" t="s">
        <v>1147</v>
      </c>
      <c r="F382" s="3"/>
      <c r="G382" s="3"/>
      <c r="H382" s="3"/>
      <c r="I382" s="3"/>
      <c r="J382" t="s">
        <v>1148</v>
      </c>
    </row>
    <row r="383" spans="1:10">
      <c r="A383" s="3" t="s">
        <v>1149</v>
      </c>
      <c r="B383" s="3" t="s">
        <v>1150</v>
      </c>
      <c r="C383" s="3"/>
      <c r="D383" s="3"/>
      <c r="E383" s="3" t="s">
        <v>1151</v>
      </c>
      <c r="F383" s="3"/>
      <c r="G383" s="3"/>
      <c r="H383" s="3"/>
      <c r="I383" s="3"/>
      <c r="J383" t="s">
        <v>1152</v>
      </c>
    </row>
    <row r="384" spans="1:10">
      <c r="A384" s="3" t="s">
        <v>1149</v>
      </c>
      <c r="B384" s="3" t="s">
        <v>1150</v>
      </c>
      <c r="C384" s="3"/>
      <c r="D384" s="3"/>
      <c r="E384" s="3" t="s">
        <v>1153</v>
      </c>
      <c r="F384" s="3"/>
      <c r="G384" s="3"/>
      <c r="H384" s="3"/>
      <c r="I384" s="3"/>
      <c r="J384" t="s">
        <v>1154</v>
      </c>
    </row>
    <row r="385" spans="1:10">
      <c r="A385" s="3" t="s">
        <v>1149</v>
      </c>
      <c r="B385" s="3" t="s">
        <v>1155</v>
      </c>
      <c r="C385" s="3"/>
      <c r="D385" s="3"/>
      <c r="E385" s="3" t="s">
        <v>1156</v>
      </c>
      <c r="F385" s="3"/>
      <c r="G385" s="3"/>
      <c r="H385" s="3"/>
      <c r="I385" s="3"/>
      <c r="J385" t="s">
        <v>1157</v>
      </c>
    </row>
    <row r="386" spans="1:10">
      <c r="A386" s="3" t="s">
        <v>1149</v>
      </c>
      <c r="B386" s="3" t="s">
        <v>1155</v>
      </c>
      <c r="C386" s="3"/>
      <c r="D386" s="3"/>
      <c r="E386" s="3" t="s">
        <v>1158</v>
      </c>
      <c r="F386" s="3"/>
      <c r="G386" s="3"/>
      <c r="H386" s="3"/>
      <c r="I386" s="3"/>
      <c r="J386" t="s">
        <v>1159</v>
      </c>
    </row>
    <row r="387" spans="1:10">
      <c r="A387" s="3" t="s">
        <v>1149</v>
      </c>
      <c r="B387" s="3" t="s">
        <v>1155</v>
      </c>
      <c r="C387" s="3"/>
      <c r="D387" s="3"/>
      <c r="E387" s="3"/>
      <c r="F387" s="3" t="s">
        <v>1160</v>
      </c>
      <c r="G387" s="3"/>
      <c r="H387" s="3"/>
      <c r="I387" s="3"/>
      <c r="J387" t="s">
        <v>1161</v>
      </c>
    </row>
    <row r="388" spans="1:10">
      <c r="A388" s="3" t="s">
        <v>1149</v>
      </c>
      <c r="B388" s="3" t="s">
        <v>1155</v>
      </c>
      <c r="C388" s="3"/>
      <c r="D388" s="3"/>
      <c r="E388" s="3"/>
      <c r="F388" s="3" t="s">
        <v>1162</v>
      </c>
      <c r="G388" s="3"/>
      <c r="H388" s="3"/>
      <c r="I388" s="3"/>
      <c r="J388" t="s">
        <v>1163</v>
      </c>
    </row>
    <row r="389" spans="1:10">
      <c r="A389" s="3" t="s">
        <v>1149</v>
      </c>
      <c r="B389" s="3" t="s">
        <v>1155</v>
      </c>
      <c r="C389" s="3"/>
      <c r="D389" s="3"/>
      <c r="E389" s="3"/>
      <c r="F389" s="3" t="s">
        <v>1164</v>
      </c>
      <c r="G389" s="3"/>
      <c r="H389" s="3"/>
      <c r="I389" s="3"/>
      <c r="J389" t="s">
        <v>1165</v>
      </c>
    </row>
    <row r="390" spans="1:10">
      <c r="A390" s="3" t="s">
        <v>1149</v>
      </c>
      <c r="B390" s="3" t="s">
        <v>1166</v>
      </c>
      <c r="C390" s="3"/>
      <c r="D390" s="3"/>
      <c r="E390" s="3"/>
      <c r="F390" s="3"/>
      <c r="G390" s="3"/>
      <c r="H390" s="3"/>
      <c r="I390" s="3"/>
      <c r="J390" t="s">
        <v>1167</v>
      </c>
    </row>
    <row r="391" spans="1:10">
      <c r="A391" s="3" t="s">
        <v>1168</v>
      </c>
      <c r="B391" s="3" t="s">
        <v>1169</v>
      </c>
      <c r="C391" s="3"/>
      <c r="D391" s="3"/>
      <c r="E391" s="3" t="s">
        <v>1170</v>
      </c>
      <c r="F391" s="3"/>
      <c r="G391" s="3"/>
      <c r="H391" s="3"/>
      <c r="I391" s="3"/>
      <c r="J391" t="s">
        <v>1171</v>
      </c>
    </row>
    <row r="392" spans="1:10">
      <c r="A392" s="3" t="s">
        <v>1168</v>
      </c>
      <c r="B392" s="3" t="s">
        <v>1169</v>
      </c>
      <c r="C392" s="3"/>
      <c r="D392" s="3"/>
      <c r="E392" s="3" t="s">
        <v>1172</v>
      </c>
      <c r="F392" s="3"/>
      <c r="G392" s="3"/>
      <c r="H392" s="3"/>
      <c r="I392" s="3"/>
      <c r="J392" t="s">
        <v>1173</v>
      </c>
    </row>
    <row r="393" spans="1:10">
      <c r="A393" s="3" t="s">
        <v>1168</v>
      </c>
      <c r="B393" s="3" t="s">
        <v>1174</v>
      </c>
      <c r="C393" s="3"/>
      <c r="D393" s="3"/>
      <c r="E393" s="3"/>
      <c r="F393" s="3" t="s">
        <v>1175</v>
      </c>
      <c r="G393" s="3"/>
      <c r="H393" s="3"/>
      <c r="I393" s="3"/>
      <c r="J393" t="s">
        <v>1176</v>
      </c>
    </row>
    <row r="394" spans="1:10">
      <c r="A394" s="3" t="s">
        <v>1168</v>
      </c>
      <c r="B394" s="3" t="s">
        <v>1174</v>
      </c>
      <c r="C394" s="3"/>
      <c r="D394" s="3"/>
      <c r="E394" s="3"/>
      <c r="F394" s="3" t="s">
        <v>1177</v>
      </c>
      <c r="G394" s="3"/>
      <c r="H394" s="3"/>
      <c r="I394" s="3"/>
      <c r="J394" t="s">
        <v>1178</v>
      </c>
    </row>
    <row r="395" spans="1:10">
      <c r="A395" s="3" t="s">
        <v>1168</v>
      </c>
      <c r="B395" s="3" t="s">
        <v>1174</v>
      </c>
      <c r="C395" s="3"/>
      <c r="D395" s="3"/>
      <c r="E395" s="3"/>
      <c r="F395" s="3" t="s">
        <v>1179</v>
      </c>
      <c r="G395" s="3"/>
      <c r="H395" s="3"/>
      <c r="I395" s="3"/>
      <c r="J395" t="s">
        <v>1180</v>
      </c>
    </row>
    <row r="396" spans="1:10">
      <c r="A396" s="3" t="s">
        <v>1168</v>
      </c>
      <c r="B396" s="3" t="s">
        <v>1181</v>
      </c>
      <c r="C396" s="3"/>
      <c r="D396" s="3"/>
      <c r="E396" s="3" t="s">
        <v>1182</v>
      </c>
      <c r="F396" s="3"/>
      <c r="G396" s="3"/>
      <c r="H396" s="3"/>
      <c r="I396" s="3"/>
      <c r="J396" t="s">
        <v>1183</v>
      </c>
    </row>
    <row r="397" spans="1:10">
      <c r="A397" s="3" t="s">
        <v>1168</v>
      </c>
      <c r="B397" s="3" t="s">
        <v>1181</v>
      </c>
      <c r="C397" s="3"/>
      <c r="D397" s="3"/>
      <c r="E397" s="3" t="s">
        <v>1184</v>
      </c>
      <c r="F397" s="3"/>
      <c r="G397" s="3"/>
      <c r="H397" s="3"/>
      <c r="I397" s="3"/>
      <c r="J397" t="s">
        <v>1185</v>
      </c>
    </row>
    <row r="398" spans="1:10">
      <c r="A398" s="3" t="s">
        <v>1186</v>
      </c>
      <c r="B398" s="3" t="s">
        <v>1187</v>
      </c>
      <c r="C398" s="3"/>
      <c r="D398" s="3"/>
      <c r="E398" s="3" t="s">
        <v>1188</v>
      </c>
      <c r="F398" s="3"/>
      <c r="G398" s="3"/>
      <c r="H398" s="3"/>
      <c r="I398" s="3"/>
      <c r="J398" t="s">
        <v>1189</v>
      </c>
    </row>
    <row r="399" spans="1:10">
      <c r="A399" s="3" t="s">
        <v>1186</v>
      </c>
      <c r="B399" s="3" t="s">
        <v>1187</v>
      </c>
      <c r="C399" s="3"/>
      <c r="D399" s="3"/>
      <c r="E399" s="3" t="s">
        <v>1190</v>
      </c>
      <c r="F399" s="3"/>
      <c r="G399" s="3"/>
      <c r="H399" s="3"/>
      <c r="I399" s="3"/>
      <c r="J399" t="s">
        <v>1191</v>
      </c>
    </row>
    <row r="400" spans="1:10">
      <c r="A400" s="3" t="s">
        <v>1186</v>
      </c>
      <c r="B400" s="3" t="s">
        <v>1187</v>
      </c>
      <c r="C400" s="3"/>
      <c r="D400" s="3"/>
      <c r="E400" s="3"/>
      <c r="F400" s="3" t="s">
        <v>1192</v>
      </c>
      <c r="G400" s="3"/>
      <c r="H400" s="3"/>
      <c r="I400" s="3"/>
      <c r="J400" t="s">
        <v>1193</v>
      </c>
    </row>
    <row r="401" spans="1:10">
      <c r="A401" s="3" t="s">
        <v>1186</v>
      </c>
      <c r="B401" s="3" t="s">
        <v>1187</v>
      </c>
      <c r="C401" s="3"/>
      <c r="D401" s="3"/>
      <c r="E401" s="3"/>
      <c r="F401" s="3" t="s">
        <v>1194</v>
      </c>
      <c r="G401" s="3"/>
      <c r="H401" s="3"/>
      <c r="I401" s="3"/>
      <c r="J401" t="s">
        <v>1195</v>
      </c>
    </row>
    <row r="402" spans="1:10">
      <c r="A402" s="3" t="s">
        <v>1186</v>
      </c>
      <c r="B402" s="3" t="s">
        <v>1187</v>
      </c>
      <c r="C402" s="3"/>
      <c r="D402" s="3"/>
      <c r="E402" s="3"/>
      <c r="F402" s="3" t="s">
        <v>1196</v>
      </c>
      <c r="G402" s="3"/>
      <c r="H402" s="3"/>
      <c r="I402" s="3"/>
      <c r="J402" t="s">
        <v>1197</v>
      </c>
    </row>
    <row r="403" spans="1:10">
      <c r="A403" s="3" t="s">
        <v>1186</v>
      </c>
      <c r="B403" s="3" t="s">
        <v>1198</v>
      </c>
      <c r="C403" s="3"/>
      <c r="D403" s="3"/>
      <c r="E403" s="3"/>
      <c r="F403" s="3"/>
      <c r="G403" s="3"/>
      <c r="H403" s="3"/>
      <c r="I403" s="3"/>
      <c r="J403" t="s">
        <v>1199</v>
      </c>
    </row>
    <row r="404" spans="1:10">
      <c r="A404" s="3" t="s">
        <v>1186</v>
      </c>
      <c r="B404" s="3" t="s">
        <v>1200</v>
      </c>
      <c r="C404" s="3"/>
      <c r="D404" s="3"/>
      <c r="E404" s="3" t="s">
        <v>1201</v>
      </c>
      <c r="F404" s="3"/>
      <c r="G404" s="3"/>
      <c r="H404" s="3"/>
      <c r="I404" s="3"/>
      <c r="J404" t="s">
        <v>1202</v>
      </c>
    </row>
    <row r="405" spans="1:10">
      <c r="A405" s="3" t="s">
        <v>1203</v>
      </c>
      <c r="B405" s="3" t="s">
        <v>1204</v>
      </c>
      <c r="C405" s="3"/>
      <c r="D405" s="3"/>
      <c r="E405" s="3" t="s">
        <v>1205</v>
      </c>
      <c r="F405" s="3"/>
      <c r="G405" s="3"/>
      <c r="H405" s="3"/>
      <c r="I405" s="3"/>
      <c r="J405" t="s">
        <v>1206</v>
      </c>
    </row>
    <row r="406" spans="1:10">
      <c r="A406" s="3" t="s">
        <v>1203</v>
      </c>
      <c r="B406" s="3" t="s">
        <v>1204</v>
      </c>
      <c r="C406" s="3"/>
      <c r="D406" s="3"/>
      <c r="E406" s="3" t="s">
        <v>1207</v>
      </c>
      <c r="F406" s="3"/>
      <c r="G406" s="3"/>
      <c r="H406" s="3"/>
      <c r="I406" s="3"/>
      <c r="J406" t="s">
        <v>1208</v>
      </c>
    </row>
    <row r="407" spans="1:10">
      <c r="A407" s="3" t="s">
        <v>1203</v>
      </c>
      <c r="B407" s="3" t="s">
        <v>1204</v>
      </c>
      <c r="C407" s="3"/>
      <c r="D407" s="3"/>
      <c r="E407" s="3"/>
      <c r="F407" s="3" t="s">
        <v>1209</v>
      </c>
      <c r="G407" s="3"/>
      <c r="H407" s="3"/>
      <c r="I407" s="3"/>
      <c r="J407" t="s">
        <v>1210</v>
      </c>
    </row>
    <row r="408" spans="1:10">
      <c r="A408" s="3" t="s">
        <v>1203</v>
      </c>
      <c r="B408" s="3" t="s">
        <v>1204</v>
      </c>
      <c r="C408" s="3"/>
      <c r="D408" s="3"/>
      <c r="E408" s="3"/>
      <c r="F408" s="3" t="s">
        <v>1211</v>
      </c>
      <c r="G408" s="3"/>
      <c r="H408" s="3"/>
      <c r="I408" s="3"/>
      <c r="J408" t="s">
        <v>1212</v>
      </c>
    </row>
    <row r="409" spans="1:10">
      <c r="A409" s="3" t="s">
        <v>1203</v>
      </c>
      <c r="B409" s="3" t="s">
        <v>1213</v>
      </c>
      <c r="C409" s="3"/>
      <c r="D409" s="3"/>
      <c r="E409" s="3" t="s">
        <v>1214</v>
      </c>
      <c r="F409" s="3"/>
      <c r="G409" s="3"/>
      <c r="H409" s="3"/>
      <c r="I409" s="3"/>
      <c r="J409" t="s">
        <v>1215</v>
      </c>
    </row>
    <row r="410" spans="1:10">
      <c r="A410" s="3" t="s">
        <v>1203</v>
      </c>
      <c r="B410" s="3" t="s">
        <v>1213</v>
      </c>
      <c r="C410" s="3"/>
      <c r="D410" s="3"/>
      <c r="E410" s="3" t="s">
        <v>1216</v>
      </c>
      <c r="F410" s="3"/>
      <c r="G410" s="3"/>
      <c r="H410" s="3"/>
      <c r="I410" s="3"/>
      <c r="J410" t="s">
        <v>1217</v>
      </c>
    </row>
    <row r="411" spans="1:10">
      <c r="A411" s="3" t="s">
        <v>1203</v>
      </c>
      <c r="B411" s="3" t="s">
        <v>1213</v>
      </c>
      <c r="C411" s="3"/>
      <c r="D411" s="3"/>
      <c r="E411" s="3"/>
      <c r="F411" s="3" t="s">
        <v>1218</v>
      </c>
      <c r="G411" s="3"/>
      <c r="H411" s="3"/>
      <c r="I411" s="3"/>
      <c r="J411" t="s">
        <v>1219</v>
      </c>
    </row>
    <row r="412" spans="1:10">
      <c r="A412" s="3" t="s">
        <v>1203</v>
      </c>
      <c r="B412" s="3" t="s">
        <v>1213</v>
      </c>
      <c r="C412" s="3"/>
      <c r="D412" s="3"/>
      <c r="E412" s="3"/>
      <c r="F412" s="3" t="s">
        <v>1220</v>
      </c>
      <c r="G412" s="3"/>
      <c r="H412" s="3"/>
      <c r="I412" s="3"/>
      <c r="J412" t="s">
        <v>1221</v>
      </c>
    </row>
    <row r="413" spans="1:10">
      <c r="A413" s="3" t="s">
        <v>1203</v>
      </c>
      <c r="B413" s="3" t="s">
        <v>1213</v>
      </c>
      <c r="C413" s="3"/>
      <c r="D413" s="3"/>
      <c r="E413" s="3"/>
      <c r="F413" s="3" t="s">
        <v>1222</v>
      </c>
      <c r="G413" s="3"/>
      <c r="H413" s="3"/>
      <c r="I413" s="3"/>
      <c r="J413" t="s">
        <v>1223</v>
      </c>
    </row>
    <row r="414" spans="1:10">
      <c r="A414" s="3" t="s">
        <v>1224</v>
      </c>
      <c r="B414" s="3" t="s">
        <v>1225</v>
      </c>
      <c r="C414" s="3"/>
      <c r="D414" s="3"/>
      <c r="E414" s="3" t="s">
        <v>1226</v>
      </c>
      <c r="F414" s="3"/>
      <c r="G414" s="3"/>
      <c r="H414" s="3"/>
      <c r="I414" s="3"/>
      <c r="J414" t="s">
        <v>1227</v>
      </c>
    </row>
    <row r="415" spans="1:10">
      <c r="A415" s="3" t="s">
        <v>1224</v>
      </c>
      <c r="B415" s="3" t="s">
        <v>1225</v>
      </c>
      <c r="C415" s="3"/>
      <c r="D415" s="3"/>
      <c r="E415" s="3" t="s">
        <v>1228</v>
      </c>
      <c r="F415" s="3"/>
      <c r="G415" s="3"/>
      <c r="H415" s="3"/>
      <c r="I415" s="3"/>
      <c r="J415" t="s">
        <v>1229</v>
      </c>
    </row>
    <row r="416" spans="1:10">
      <c r="A416" s="3" t="s">
        <v>1224</v>
      </c>
      <c r="B416" s="3" t="s">
        <v>1225</v>
      </c>
      <c r="C416" s="3"/>
      <c r="D416" s="3"/>
      <c r="E416" s="3"/>
      <c r="F416" s="3" t="s">
        <v>1230</v>
      </c>
      <c r="G416" s="3"/>
      <c r="H416" s="3"/>
      <c r="I416" s="3"/>
      <c r="J416" t="s">
        <v>1231</v>
      </c>
    </row>
    <row r="417" spans="1:10">
      <c r="A417" s="3" t="s">
        <v>1224</v>
      </c>
      <c r="B417" s="3" t="s">
        <v>1225</v>
      </c>
      <c r="C417" s="3"/>
      <c r="D417" s="3"/>
      <c r="E417" s="3"/>
      <c r="F417" s="3" t="s">
        <v>1232</v>
      </c>
      <c r="G417" s="3"/>
      <c r="H417" s="3"/>
      <c r="I417" s="3"/>
      <c r="J417" t="s">
        <v>1233</v>
      </c>
    </row>
    <row r="418" spans="1:10">
      <c r="A418" s="3" t="s">
        <v>1234</v>
      </c>
      <c r="B418" s="3" t="s">
        <v>1235</v>
      </c>
      <c r="C418" s="3"/>
      <c r="D418" s="3"/>
      <c r="E418" s="3" t="s">
        <v>1236</v>
      </c>
      <c r="F418" s="3"/>
      <c r="G418" s="3"/>
      <c r="H418" s="3"/>
      <c r="I418" s="3"/>
      <c r="J418" t="s">
        <v>1237</v>
      </c>
    </row>
    <row r="419" spans="1:10">
      <c r="A419" s="3" t="s">
        <v>1234</v>
      </c>
      <c r="B419" s="3" t="s">
        <v>1235</v>
      </c>
      <c r="C419" s="3"/>
      <c r="D419" s="3"/>
      <c r="E419" s="3" t="s">
        <v>1238</v>
      </c>
      <c r="F419" s="3"/>
      <c r="G419" s="3"/>
      <c r="H419" s="3"/>
      <c r="I419" s="3"/>
      <c r="J419" t="s">
        <v>1239</v>
      </c>
    </row>
    <row r="420" spans="1:10">
      <c r="A420" s="3" t="s">
        <v>1234</v>
      </c>
      <c r="B420" s="3" t="s">
        <v>1235</v>
      </c>
      <c r="C420" s="3"/>
      <c r="D420" s="3"/>
      <c r="E420" s="3"/>
      <c r="F420" s="3" t="s">
        <v>1240</v>
      </c>
      <c r="G420" s="3"/>
      <c r="H420" s="3"/>
      <c r="I420" s="3"/>
      <c r="J420" t="s">
        <v>1241</v>
      </c>
    </row>
    <row r="421" spans="1:10">
      <c r="A421" s="3" t="s">
        <v>1234</v>
      </c>
      <c r="B421" s="3" t="s">
        <v>1235</v>
      </c>
      <c r="C421" s="3"/>
      <c r="D421" s="3"/>
      <c r="E421" s="3"/>
      <c r="F421" s="3" t="s">
        <v>1242</v>
      </c>
      <c r="G421" s="3"/>
      <c r="H421" s="3"/>
      <c r="I421" s="3"/>
      <c r="J421" t="s">
        <v>1243</v>
      </c>
    </row>
    <row r="422" spans="1:10">
      <c r="A422" s="3" t="s">
        <v>1234</v>
      </c>
      <c r="B422" s="3" t="s">
        <v>1235</v>
      </c>
      <c r="C422" s="3"/>
      <c r="D422" s="3"/>
      <c r="E422" s="3"/>
      <c r="F422" s="3" t="s">
        <v>1244</v>
      </c>
      <c r="G422" s="3"/>
      <c r="H422" s="3"/>
      <c r="I422" s="3"/>
      <c r="J422" t="s">
        <v>1245</v>
      </c>
    </row>
    <row r="423" spans="1:10">
      <c r="A423" s="3" t="s">
        <v>1246</v>
      </c>
      <c r="B423" s="3" t="s">
        <v>1247</v>
      </c>
      <c r="C423" s="3"/>
      <c r="D423" s="3"/>
      <c r="E423" s="3"/>
      <c r="F423" s="3"/>
      <c r="G423" s="3"/>
      <c r="H423" s="3"/>
      <c r="I423" s="3"/>
      <c r="J423" t="s">
        <v>1248</v>
      </c>
    </row>
    <row r="424" spans="1:10">
      <c r="A424" s="3" t="s">
        <v>1246</v>
      </c>
      <c r="B424" s="3" t="s">
        <v>1249</v>
      </c>
      <c r="C424" s="3"/>
      <c r="D424" s="3"/>
      <c r="E424" s="3" t="s">
        <v>1250</v>
      </c>
      <c r="F424" s="3"/>
      <c r="G424" s="3"/>
      <c r="H424" s="3"/>
      <c r="I424" s="3"/>
      <c r="J424" t="s">
        <v>1251</v>
      </c>
    </row>
    <row r="425" spans="1:10">
      <c r="A425" s="3" t="s">
        <v>1246</v>
      </c>
      <c r="B425" s="3" t="s">
        <v>1249</v>
      </c>
      <c r="C425" s="3"/>
      <c r="D425" s="3"/>
      <c r="E425" s="3" t="s">
        <v>1252</v>
      </c>
      <c r="F425" s="3"/>
      <c r="G425" s="3"/>
      <c r="H425" s="3"/>
      <c r="I425" s="3"/>
      <c r="J425" t="s">
        <v>1253</v>
      </c>
    </row>
    <row r="426" spans="1:10">
      <c r="A426" s="3" t="s">
        <v>1246</v>
      </c>
      <c r="B426" s="3" t="s">
        <v>1249</v>
      </c>
      <c r="C426" s="3"/>
      <c r="D426" s="3"/>
      <c r="E426" s="3"/>
      <c r="F426" s="3" t="s">
        <v>1254</v>
      </c>
      <c r="G426" s="3"/>
      <c r="H426" s="3"/>
      <c r="I426" s="3"/>
      <c r="J426" t="s">
        <v>1255</v>
      </c>
    </row>
    <row r="427" spans="1:10">
      <c r="A427" s="3" t="s">
        <v>1246</v>
      </c>
      <c r="B427" s="3" t="s">
        <v>1249</v>
      </c>
      <c r="C427" s="3"/>
      <c r="D427" s="3"/>
      <c r="E427" s="3"/>
      <c r="F427" s="3" t="s">
        <v>1256</v>
      </c>
      <c r="G427" s="3"/>
      <c r="H427" s="3"/>
      <c r="I427" s="3"/>
      <c r="J427" t="s">
        <v>1257</v>
      </c>
    </row>
    <row r="428" spans="1:10">
      <c r="A428" s="3" t="s">
        <v>1258</v>
      </c>
      <c r="B428" s="3" t="s">
        <v>1259</v>
      </c>
      <c r="C428" s="3"/>
      <c r="D428" s="3"/>
      <c r="E428" s="3" t="s">
        <v>1260</v>
      </c>
      <c r="F428" s="3"/>
      <c r="G428" s="3"/>
      <c r="H428" s="3"/>
      <c r="I428" s="3"/>
      <c r="J428" t="s">
        <v>1261</v>
      </c>
    </row>
    <row r="429" spans="1:10">
      <c r="A429" s="3" t="s">
        <v>1258</v>
      </c>
      <c r="B429" s="3" t="s">
        <v>1259</v>
      </c>
      <c r="C429" s="3"/>
      <c r="D429" s="3"/>
      <c r="E429" s="3" t="s">
        <v>1262</v>
      </c>
      <c r="F429" s="3"/>
      <c r="G429" s="3"/>
      <c r="H429" s="3"/>
      <c r="I429" s="3"/>
      <c r="J429" t="s">
        <v>1263</v>
      </c>
    </row>
    <row r="430" spans="1:10">
      <c r="A430" s="3" t="s">
        <v>1258</v>
      </c>
      <c r="B430" s="3" t="s">
        <v>1259</v>
      </c>
      <c r="C430" s="3"/>
      <c r="D430" s="3"/>
      <c r="E430" s="3"/>
      <c r="F430" s="3" t="s">
        <v>1264</v>
      </c>
      <c r="G430" s="3"/>
      <c r="H430" s="3"/>
      <c r="I430" s="3"/>
      <c r="J430" t="s">
        <v>1265</v>
      </c>
    </row>
    <row r="431" spans="1:10">
      <c r="A431" s="3" t="s">
        <v>1258</v>
      </c>
      <c r="B431" s="3" t="s">
        <v>1266</v>
      </c>
      <c r="C431" s="3"/>
      <c r="D431" s="3"/>
      <c r="E431" s="3" t="s">
        <v>1267</v>
      </c>
      <c r="F431" s="3"/>
      <c r="G431" s="3"/>
      <c r="H431" s="3"/>
      <c r="I431" s="3"/>
      <c r="J431" t="s">
        <v>1268</v>
      </c>
    </row>
    <row r="432" spans="1:10">
      <c r="A432" s="3" t="s">
        <v>1258</v>
      </c>
      <c r="B432" s="3" t="s">
        <v>1266</v>
      </c>
      <c r="C432" s="3"/>
      <c r="D432" s="3"/>
      <c r="E432" s="3" t="s">
        <v>1269</v>
      </c>
      <c r="F432" s="3"/>
      <c r="G432" s="3"/>
      <c r="H432" s="3"/>
      <c r="I432" s="3"/>
      <c r="J432" t="s">
        <v>1270</v>
      </c>
    </row>
    <row r="433" spans="1:10">
      <c r="A433" s="3" t="s">
        <v>1258</v>
      </c>
      <c r="B433" s="3" t="s">
        <v>1271</v>
      </c>
      <c r="C433" s="3"/>
      <c r="D433" s="3"/>
      <c r="E433" s="3" t="s">
        <v>1272</v>
      </c>
      <c r="F433" s="3"/>
      <c r="G433" s="3"/>
      <c r="H433" s="3"/>
      <c r="I433" s="3"/>
      <c r="J433" t="s">
        <v>1273</v>
      </c>
    </row>
    <row r="434" spans="1:10">
      <c r="A434" s="3" t="s">
        <v>1258</v>
      </c>
      <c r="B434" s="3" t="s">
        <v>1271</v>
      </c>
      <c r="C434" s="3"/>
      <c r="D434" s="3"/>
      <c r="E434" s="3" t="s">
        <v>1274</v>
      </c>
      <c r="F434" s="3"/>
      <c r="G434" s="3"/>
      <c r="H434" s="3"/>
      <c r="I434" s="3"/>
      <c r="J434" t="s">
        <v>1275</v>
      </c>
    </row>
    <row r="435" spans="1:10">
      <c r="A435" s="3" t="s">
        <v>1258</v>
      </c>
      <c r="B435" s="3" t="s">
        <v>1271</v>
      </c>
      <c r="C435" s="3"/>
      <c r="D435" s="3"/>
      <c r="E435" s="3"/>
      <c r="F435" s="3" t="s">
        <v>1276</v>
      </c>
      <c r="G435" s="3"/>
      <c r="H435" s="3"/>
      <c r="I435" s="3"/>
      <c r="J435" t="s">
        <v>1277</v>
      </c>
    </row>
    <row r="436" spans="1:10">
      <c r="A436" s="3" t="s">
        <v>1258</v>
      </c>
      <c r="B436" s="3" t="s">
        <v>1271</v>
      </c>
      <c r="C436" s="3"/>
      <c r="D436" s="3"/>
      <c r="E436" s="3"/>
      <c r="F436" s="3" t="s">
        <v>1278</v>
      </c>
      <c r="G436" s="3"/>
      <c r="H436" s="3"/>
      <c r="I436" s="3"/>
      <c r="J436" t="s">
        <v>1279</v>
      </c>
    </row>
    <row r="437" spans="1:10">
      <c r="A437" s="3" t="s">
        <v>1280</v>
      </c>
      <c r="B437" s="3" t="s">
        <v>1281</v>
      </c>
      <c r="C437" s="3"/>
      <c r="D437" s="3"/>
      <c r="E437" s="3" t="s">
        <v>1282</v>
      </c>
      <c r="F437" s="3"/>
      <c r="G437" s="3"/>
      <c r="H437" s="3"/>
      <c r="I437" s="3"/>
      <c r="J437" t="s">
        <v>1283</v>
      </c>
    </row>
    <row r="438" spans="1:10">
      <c r="A438" s="3" t="s">
        <v>1280</v>
      </c>
      <c r="B438" s="3" t="s">
        <v>1281</v>
      </c>
      <c r="C438" s="3"/>
      <c r="D438" s="3"/>
      <c r="E438" s="3" t="s">
        <v>1284</v>
      </c>
      <c r="F438" s="3"/>
      <c r="G438" s="3"/>
      <c r="H438" s="3"/>
      <c r="I438" s="3"/>
      <c r="J438" t="s">
        <v>1285</v>
      </c>
    </row>
    <row r="439" spans="1:10">
      <c r="A439" s="3" t="s">
        <v>1280</v>
      </c>
      <c r="B439" s="3" t="s">
        <v>1286</v>
      </c>
      <c r="C439" s="3"/>
      <c r="D439" s="3"/>
      <c r="E439" s="3" t="s">
        <v>1287</v>
      </c>
      <c r="F439" s="3"/>
      <c r="G439" s="3"/>
      <c r="H439" s="3"/>
      <c r="I439" s="3"/>
      <c r="J439" t="s">
        <v>1288</v>
      </c>
    </row>
    <row r="440" spans="1:10">
      <c r="A440" s="3" t="s">
        <v>1280</v>
      </c>
      <c r="B440" s="3" t="s">
        <v>1286</v>
      </c>
      <c r="C440" s="3"/>
      <c r="D440" s="3"/>
      <c r="E440" s="3" t="s">
        <v>1289</v>
      </c>
      <c r="F440" s="3"/>
      <c r="G440" s="3"/>
      <c r="H440" s="3"/>
      <c r="I440" s="3"/>
      <c r="J440" t="s">
        <v>1290</v>
      </c>
    </row>
    <row r="441" spans="1:10">
      <c r="A441" s="3" t="s">
        <v>1280</v>
      </c>
      <c r="B441" s="3" t="s">
        <v>1286</v>
      </c>
      <c r="C441" s="3"/>
      <c r="D441" s="3"/>
      <c r="E441" s="3"/>
      <c r="F441" s="3" t="s">
        <v>1291</v>
      </c>
      <c r="G441" s="3"/>
      <c r="H441" s="3"/>
      <c r="I441" s="3"/>
      <c r="J441" t="s">
        <v>1292</v>
      </c>
    </row>
    <row r="442" spans="1:10">
      <c r="A442" s="3" t="s">
        <v>1280</v>
      </c>
      <c r="B442" s="3" t="s">
        <v>1286</v>
      </c>
      <c r="C442" s="3"/>
      <c r="D442" s="3"/>
      <c r="E442" s="3"/>
      <c r="F442" s="3" t="s">
        <v>1293</v>
      </c>
      <c r="G442" s="3"/>
      <c r="H442" s="3"/>
      <c r="I442" s="3"/>
      <c r="J442" t="s">
        <v>1294</v>
      </c>
    </row>
    <row r="443" spans="1:10">
      <c r="A443" s="3" t="s">
        <v>1280</v>
      </c>
      <c r="B443" s="3" t="s">
        <v>1295</v>
      </c>
      <c r="C443" s="3"/>
      <c r="D443" s="3"/>
      <c r="E443" s="3" t="s">
        <v>1296</v>
      </c>
      <c r="F443" s="3"/>
      <c r="G443" s="3"/>
      <c r="H443" s="3"/>
      <c r="I443" s="3"/>
      <c r="J443" t="s">
        <v>1297</v>
      </c>
    </row>
    <row r="444" spans="1:10">
      <c r="A444" s="3" t="s">
        <v>1280</v>
      </c>
      <c r="B444" s="3" t="s">
        <v>1295</v>
      </c>
      <c r="C444" s="3"/>
      <c r="D444" s="3"/>
      <c r="E444" s="3" t="s">
        <v>1298</v>
      </c>
      <c r="F444" s="3"/>
      <c r="G444" s="3"/>
      <c r="H444" s="3"/>
      <c r="I444" s="3"/>
      <c r="J444" t="s">
        <v>1299</v>
      </c>
    </row>
    <row r="445" spans="1:10">
      <c r="A445" s="3" t="s">
        <v>1300</v>
      </c>
      <c r="B445" s="3" t="s">
        <v>1301</v>
      </c>
      <c r="C445" s="3"/>
      <c r="D445" s="3"/>
      <c r="E445" s="3" t="s">
        <v>1302</v>
      </c>
      <c r="F445" s="3"/>
      <c r="G445" s="3"/>
      <c r="H445" s="3"/>
      <c r="I445" s="3"/>
      <c r="J445" t="s">
        <v>1303</v>
      </c>
    </row>
    <row r="446" spans="1:10">
      <c r="A446" s="3" t="s">
        <v>1300</v>
      </c>
      <c r="B446" s="3" t="s">
        <v>1301</v>
      </c>
      <c r="C446" s="3"/>
      <c r="D446" s="3"/>
      <c r="E446" s="3" t="s">
        <v>1304</v>
      </c>
      <c r="F446" s="3"/>
      <c r="G446" s="3"/>
      <c r="H446" s="3"/>
      <c r="I446" s="3"/>
      <c r="J446" t="s">
        <v>1305</v>
      </c>
    </row>
    <row r="447" spans="1:10">
      <c r="A447" s="3" t="s">
        <v>1300</v>
      </c>
      <c r="B447" s="3" t="s">
        <v>1306</v>
      </c>
      <c r="C447" s="3"/>
      <c r="D447" s="3"/>
      <c r="E447" s="3" t="s">
        <v>1307</v>
      </c>
      <c r="F447" s="3"/>
      <c r="G447" s="3"/>
      <c r="H447" s="3"/>
      <c r="I447" s="3"/>
      <c r="J447" t="s">
        <v>1308</v>
      </c>
    </row>
    <row r="448" spans="1:10">
      <c r="A448" s="3" t="s">
        <v>1300</v>
      </c>
      <c r="B448" s="3" t="s">
        <v>1306</v>
      </c>
      <c r="C448" s="3"/>
      <c r="D448" s="3"/>
      <c r="E448" s="3" t="s">
        <v>1309</v>
      </c>
      <c r="F448" s="3"/>
      <c r="G448" s="3"/>
      <c r="H448" s="3"/>
      <c r="I448" s="3"/>
      <c r="J448" t="s">
        <v>1310</v>
      </c>
    </row>
    <row r="449" spans="1:10">
      <c r="A449" s="3" t="s">
        <v>1300</v>
      </c>
      <c r="B449" s="3" t="s">
        <v>1306</v>
      </c>
      <c r="C449" s="3"/>
      <c r="D449" s="3"/>
      <c r="E449" s="3"/>
      <c r="F449" s="3" t="s">
        <v>1311</v>
      </c>
      <c r="G449" s="3"/>
      <c r="H449" s="3"/>
      <c r="I449" s="3"/>
      <c r="J449" t="s">
        <v>1312</v>
      </c>
    </row>
    <row r="450" spans="1:10">
      <c r="A450" s="3" t="s">
        <v>1300</v>
      </c>
      <c r="B450" s="3" t="s">
        <v>1306</v>
      </c>
      <c r="C450" s="3"/>
      <c r="D450" s="3"/>
      <c r="E450" s="3"/>
      <c r="F450" s="3" t="s">
        <v>1313</v>
      </c>
      <c r="G450" s="3"/>
      <c r="H450" s="3"/>
      <c r="I450" s="3"/>
      <c r="J450" t="s">
        <v>1314</v>
      </c>
    </row>
    <row r="451" spans="1:10">
      <c r="A451" s="3" t="s">
        <v>1315</v>
      </c>
      <c r="B451" s="3" t="s">
        <v>1316</v>
      </c>
      <c r="C451" s="3"/>
      <c r="D451" s="3"/>
      <c r="E451" s="3" t="s">
        <v>1317</v>
      </c>
      <c r="F451" s="3"/>
      <c r="G451" s="3"/>
      <c r="H451" s="3"/>
      <c r="I451" s="3"/>
      <c r="J451" t="s">
        <v>1318</v>
      </c>
    </row>
    <row r="452" spans="1:10">
      <c r="A452" s="3" t="s">
        <v>1315</v>
      </c>
      <c r="B452" s="3" t="s">
        <v>1316</v>
      </c>
      <c r="C452" s="3"/>
      <c r="D452" s="3"/>
      <c r="E452" s="3" t="s">
        <v>1319</v>
      </c>
      <c r="F452" s="3"/>
      <c r="G452" s="3"/>
      <c r="H452" s="3"/>
      <c r="I452" s="3"/>
      <c r="J452" t="s">
        <v>1320</v>
      </c>
    </row>
    <row r="453" spans="1:10">
      <c r="A453" s="3" t="s">
        <v>1315</v>
      </c>
      <c r="B453" s="3" t="s">
        <v>1316</v>
      </c>
      <c r="C453" s="3"/>
      <c r="D453" s="3"/>
      <c r="E453" s="3" t="s">
        <v>1321</v>
      </c>
      <c r="F453" s="3"/>
      <c r="G453" s="3"/>
      <c r="H453" s="3"/>
      <c r="I453" s="3"/>
      <c r="J453" t="s">
        <v>1322</v>
      </c>
    </row>
    <row r="454" spans="1:10">
      <c r="A454" s="3" t="s">
        <v>1315</v>
      </c>
      <c r="B454" s="3" t="s">
        <v>1323</v>
      </c>
      <c r="C454" s="3"/>
      <c r="D454" s="3"/>
      <c r="E454" s="3" t="s">
        <v>1324</v>
      </c>
      <c r="F454" s="3"/>
      <c r="G454" s="3"/>
      <c r="H454" s="3"/>
      <c r="I454" s="3"/>
      <c r="J454" t="s">
        <v>1325</v>
      </c>
    </row>
    <row r="455" spans="1:10">
      <c r="A455" s="3" t="s">
        <v>1315</v>
      </c>
      <c r="B455" s="3" t="s">
        <v>1323</v>
      </c>
      <c r="C455" s="3"/>
      <c r="D455" s="3"/>
      <c r="E455" s="3"/>
      <c r="F455" s="3" t="s">
        <v>1326</v>
      </c>
      <c r="G455" s="3"/>
      <c r="H455" s="3"/>
      <c r="I455" s="3"/>
      <c r="J455" t="s">
        <v>1327</v>
      </c>
    </row>
    <row r="456" spans="1:10">
      <c r="A456" s="3" t="s">
        <v>1315</v>
      </c>
      <c r="B456" s="3" t="s">
        <v>1328</v>
      </c>
      <c r="C456" s="3"/>
      <c r="D456" s="3"/>
      <c r="E456" s="3" t="s">
        <v>1329</v>
      </c>
      <c r="F456" s="3"/>
      <c r="G456" s="3"/>
      <c r="H456" s="3"/>
      <c r="I456" s="3"/>
      <c r="J456" t="s">
        <v>1330</v>
      </c>
    </row>
    <row r="457" spans="1:10">
      <c r="A457" s="3" t="s">
        <v>1315</v>
      </c>
      <c r="B457" s="3" t="s">
        <v>1328</v>
      </c>
      <c r="C457" s="3"/>
      <c r="D457" s="3"/>
      <c r="E457" s="3"/>
      <c r="F457" s="3" t="s">
        <v>1331</v>
      </c>
      <c r="G457" s="3"/>
      <c r="H457" s="3"/>
      <c r="I457" s="3"/>
      <c r="J457" t="s">
        <v>1332</v>
      </c>
    </row>
    <row r="458" spans="1:10">
      <c r="A458" s="3" t="s">
        <v>1333</v>
      </c>
      <c r="B458" s="3" t="s">
        <v>1334</v>
      </c>
      <c r="C458" s="3"/>
      <c r="D458" s="3"/>
      <c r="E458" s="3" t="s">
        <v>1335</v>
      </c>
      <c r="F458" s="3"/>
      <c r="G458" s="3"/>
      <c r="H458" s="3"/>
      <c r="I458" s="3"/>
      <c r="J458" t="s">
        <v>1336</v>
      </c>
    </row>
    <row r="459" spans="1:10">
      <c r="A459" s="3" t="s">
        <v>1333</v>
      </c>
      <c r="B459" s="3" t="s">
        <v>1334</v>
      </c>
      <c r="C459" s="3"/>
      <c r="D459" s="3"/>
      <c r="E459" s="3"/>
      <c r="F459" s="3" t="s">
        <v>1337</v>
      </c>
      <c r="G459" s="3"/>
      <c r="H459" s="3"/>
      <c r="I459" s="3"/>
      <c r="J459" t="s">
        <v>1338</v>
      </c>
    </row>
    <row r="460" spans="1:10">
      <c r="A460" s="3" t="s">
        <v>1333</v>
      </c>
      <c r="B460" s="3" t="s">
        <v>1334</v>
      </c>
      <c r="C460" s="3"/>
      <c r="D460" s="3"/>
      <c r="E460" s="3"/>
      <c r="F460" s="3" t="s">
        <v>1339</v>
      </c>
      <c r="G460" s="3"/>
      <c r="H460" s="3"/>
      <c r="I460" s="3"/>
      <c r="J460" t="s">
        <v>1340</v>
      </c>
    </row>
    <row r="461" spans="1:10">
      <c r="A461" s="3" t="s">
        <v>1333</v>
      </c>
      <c r="B461" s="3" t="s">
        <v>1334</v>
      </c>
      <c r="C461" s="3"/>
      <c r="D461" s="3"/>
      <c r="E461" s="3"/>
      <c r="F461" s="3" t="s">
        <v>1341</v>
      </c>
      <c r="G461" s="3"/>
      <c r="H461" s="3"/>
      <c r="I461" s="3"/>
      <c r="J461" t="s">
        <v>1342</v>
      </c>
    </row>
    <row r="462" spans="1:10">
      <c r="A462" s="3" t="s">
        <v>1333</v>
      </c>
      <c r="B462" s="3" t="s">
        <v>1343</v>
      </c>
      <c r="C462" s="3"/>
      <c r="D462" s="3"/>
      <c r="E462" s="3"/>
      <c r="F462" s="3" t="s">
        <v>1344</v>
      </c>
      <c r="G462" s="3"/>
      <c r="H462" s="3"/>
      <c r="I462" s="3"/>
      <c r="J462" t="s">
        <v>1345</v>
      </c>
    </row>
    <row r="463" spans="1:10">
      <c r="A463" s="3" t="s">
        <v>1346</v>
      </c>
      <c r="B463" s="3" t="s">
        <v>1347</v>
      </c>
      <c r="C463" s="3"/>
      <c r="D463" s="3"/>
      <c r="E463" s="3" t="s">
        <v>1348</v>
      </c>
      <c r="F463" s="3"/>
      <c r="G463" s="3"/>
      <c r="H463" s="3"/>
      <c r="I463" s="3"/>
      <c r="J463" t="s">
        <v>1349</v>
      </c>
    </row>
    <row r="464" spans="1:10">
      <c r="A464" s="3" t="s">
        <v>1346</v>
      </c>
      <c r="B464" s="3" t="s">
        <v>1347</v>
      </c>
      <c r="C464" s="3"/>
      <c r="D464" s="3"/>
      <c r="E464" s="3" t="s">
        <v>1350</v>
      </c>
      <c r="F464" s="3"/>
      <c r="G464" s="3"/>
      <c r="H464" s="3"/>
      <c r="I464" s="3"/>
      <c r="J464" t="s">
        <v>1351</v>
      </c>
    </row>
    <row r="465" spans="1:10">
      <c r="A465" s="3" t="s">
        <v>1346</v>
      </c>
      <c r="B465" s="3" t="s">
        <v>1347</v>
      </c>
      <c r="C465" s="3"/>
      <c r="D465" s="3"/>
      <c r="E465" s="3"/>
      <c r="F465" s="3" t="s">
        <v>1352</v>
      </c>
      <c r="G465" s="3"/>
      <c r="H465" s="3"/>
      <c r="I465" s="3"/>
      <c r="J465" t="s">
        <v>1353</v>
      </c>
    </row>
    <row r="466" spans="1:10">
      <c r="A466" s="3" t="s">
        <v>1346</v>
      </c>
      <c r="B466" s="3" t="s">
        <v>1347</v>
      </c>
      <c r="C466" s="3"/>
      <c r="D466" s="3"/>
      <c r="E466" s="3"/>
      <c r="F466" s="3" t="s">
        <v>1354</v>
      </c>
      <c r="G466" s="3"/>
      <c r="H466" s="3"/>
      <c r="I466" s="3"/>
      <c r="J466" t="s">
        <v>1355</v>
      </c>
    </row>
    <row r="467" spans="1:10">
      <c r="A467" s="3" t="s">
        <v>1346</v>
      </c>
      <c r="B467" s="3" t="s">
        <v>1356</v>
      </c>
      <c r="C467" s="3"/>
      <c r="D467" s="3"/>
      <c r="E467" s="3" t="s">
        <v>1357</v>
      </c>
      <c r="F467" s="3"/>
      <c r="G467" s="3"/>
      <c r="H467" s="3"/>
      <c r="I467" s="3"/>
      <c r="J467" t="s">
        <v>1358</v>
      </c>
    </row>
    <row r="468" spans="1:10">
      <c r="A468" s="3" t="s">
        <v>1346</v>
      </c>
      <c r="B468" s="3" t="s">
        <v>1356</v>
      </c>
      <c r="C468" s="3"/>
      <c r="D468" s="3"/>
      <c r="E468" s="3" t="s">
        <v>1359</v>
      </c>
      <c r="F468" s="3"/>
      <c r="G468" s="3"/>
      <c r="H468" s="3"/>
      <c r="I468" s="3"/>
      <c r="J468" t="s">
        <v>1360</v>
      </c>
    </row>
    <row r="469" spans="1:10">
      <c r="A469" s="3" t="s">
        <v>1346</v>
      </c>
      <c r="B469" s="3" t="s">
        <v>1356</v>
      </c>
      <c r="C469" s="3"/>
      <c r="D469" s="3"/>
      <c r="E469" s="3"/>
      <c r="F469" s="3" t="s">
        <v>1361</v>
      </c>
      <c r="G469" s="3"/>
      <c r="H469" s="3"/>
      <c r="I469" s="3"/>
      <c r="J469" t="s">
        <v>1362</v>
      </c>
    </row>
    <row r="470" spans="1:10">
      <c r="A470" s="3" t="s">
        <v>1346</v>
      </c>
      <c r="B470" s="3" t="s">
        <v>1356</v>
      </c>
      <c r="C470" s="3"/>
      <c r="D470" s="3"/>
      <c r="E470" s="3"/>
      <c r="F470" s="3" t="s">
        <v>1363</v>
      </c>
      <c r="G470" s="3"/>
      <c r="H470" s="3"/>
      <c r="I470" s="3"/>
      <c r="J470" t="s">
        <v>1364</v>
      </c>
    </row>
    <row r="471" spans="1:10">
      <c r="A471" s="3" t="s">
        <v>1346</v>
      </c>
      <c r="B471" s="3" t="s">
        <v>1356</v>
      </c>
      <c r="C471" s="3"/>
      <c r="D471" s="3"/>
      <c r="E471" s="3"/>
      <c r="F471" s="3" t="s">
        <v>1365</v>
      </c>
      <c r="G471" s="3"/>
      <c r="H471" s="3"/>
      <c r="I471" s="3"/>
      <c r="J471" t="s">
        <v>1366</v>
      </c>
    </row>
    <row r="472" spans="1:10">
      <c r="A472" s="3" t="s">
        <v>1367</v>
      </c>
      <c r="B472" s="3" t="s">
        <v>1368</v>
      </c>
      <c r="C472" s="3"/>
      <c r="D472" s="3"/>
      <c r="E472" s="3" t="s">
        <v>1369</v>
      </c>
      <c r="F472" s="3"/>
      <c r="G472" s="3"/>
      <c r="H472" s="3"/>
      <c r="I472" s="3"/>
      <c r="J472" t="s">
        <v>1370</v>
      </c>
    </row>
    <row r="473" spans="1:10">
      <c r="A473" s="3" t="s">
        <v>1367</v>
      </c>
      <c r="B473" s="3" t="s">
        <v>1368</v>
      </c>
      <c r="C473" s="3"/>
      <c r="D473" s="3"/>
      <c r="E473" s="3" t="s">
        <v>1371</v>
      </c>
      <c r="F473" s="3"/>
      <c r="G473" s="3"/>
      <c r="H473" s="3"/>
      <c r="I473" s="3"/>
      <c r="J473" t="s">
        <v>1372</v>
      </c>
    </row>
    <row r="474" spans="1:10">
      <c r="A474" s="3" t="s">
        <v>1373</v>
      </c>
      <c r="B474" s="3" t="s">
        <v>1374</v>
      </c>
      <c r="C474" s="3"/>
      <c r="D474" s="3"/>
      <c r="E474" s="3" t="s">
        <v>1375</v>
      </c>
      <c r="F474" s="3"/>
      <c r="G474" s="3"/>
      <c r="H474" s="3"/>
      <c r="I474" s="3"/>
      <c r="J474" t="s">
        <v>1376</v>
      </c>
    </row>
    <row r="475" spans="1:10">
      <c r="A475" s="3" t="s">
        <v>1373</v>
      </c>
      <c r="B475" s="3" t="s">
        <v>1374</v>
      </c>
      <c r="C475" s="3"/>
      <c r="D475" s="3"/>
      <c r="E475" s="3" t="s">
        <v>1377</v>
      </c>
      <c r="F475" s="3"/>
      <c r="G475" s="3"/>
      <c r="H475" s="3"/>
      <c r="I475" s="3"/>
      <c r="J475" t="s">
        <v>1378</v>
      </c>
    </row>
    <row r="476" spans="1:10">
      <c r="A476" s="3" t="s">
        <v>1373</v>
      </c>
      <c r="B476" s="3" t="s">
        <v>1379</v>
      </c>
      <c r="C476" s="3"/>
      <c r="D476" s="3"/>
      <c r="E476" s="3" t="s">
        <v>1380</v>
      </c>
      <c r="F476" s="3"/>
      <c r="G476" s="3"/>
      <c r="H476" s="3"/>
      <c r="I476" s="3"/>
      <c r="J476" t="s">
        <v>1381</v>
      </c>
    </row>
    <row r="477" spans="1:10">
      <c r="A477" s="3" t="s">
        <v>1373</v>
      </c>
      <c r="B477" s="3" t="s">
        <v>1379</v>
      </c>
      <c r="C477" s="3"/>
      <c r="D477" s="3"/>
      <c r="E477" s="3" t="s">
        <v>1382</v>
      </c>
      <c r="F477" s="3"/>
      <c r="G477" s="3"/>
      <c r="H477" s="3"/>
      <c r="I477" s="3"/>
      <c r="J477" t="s">
        <v>1383</v>
      </c>
    </row>
    <row r="478" spans="1:10">
      <c r="A478" s="3" t="s">
        <v>1384</v>
      </c>
      <c r="B478" s="3" t="s">
        <v>1385</v>
      </c>
      <c r="C478" s="3"/>
      <c r="D478" s="3"/>
      <c r="E478" s="3"/>
      <c r="F478" s="3" t="s">
        <v>1386</v>
      </c>
      <c r="G478" s="3"/>
      <c r="H478" s="3"/>
      <c r="I478" s="3"/>
      <c r="J478" t="s">
        <v>1387</v>
      </c>
    </row>
    <row r="479" spans="1:10">
      <c r="A479" s="3" t="s">
        <v>1384</v>
      </c>
      <c r="B479" s="3" t="s">
        <v>1385</v>
      </c>
      <c r="C479" s="3"/>
      <c r="D479" s="3"/>
      <c r="E479" s="3"/>
      <c r="F479" s="3" t="s">
        <v>1388</v>
      </c>
      <c r="G479" s="3"/>
      <c r="H479" s="3"/>
      <c r="I479" s="3"/>
      <c r="J479" t="s">
        <v>1389</v>
      </c>
    </row>
    <row r="480" spans="1:10">
      <c r="A480" s="3" t="s">
        <v>1384</v>
      </c>
      <c r="B480" s="3" t="s">
        <v>1385</v>
      </c>
      <c r="C480" s="3"/>
      <c r="D480" s="3"/>
      <c r="E480" s="3"/>
      <c r="F480" s="3" t="s">
        <v>1390</v>
      </c>
      <c r="G480" s="3"/>
      <c r="H480" s="3"/>
      <c r="I480" s="3"/>
      <c r="J480" t="s">
        <v>1391</v>
      </c>
    </row>
    <row r="481" spans="1:10">
      <c r="A481" s="3" t="s">
        <v>1384</v>
      </c>
      <c r="B481" s="3" t="s">
        <v>1385</v>
      </c>
      <c r="C481" s="3"/>
      <c r="D481" s="3"/>
      <c r="E481" s="3"/>
      <c r="F481" s="3" t="s">
        <v>1392</v>
      </c>
      <c r="G481" s="3"/>
      <c r="H481" s="3"/>
      <c r="I481" s="3"/>
      <c r="J481" t="s">
        <v>1393</v>
      </c>
    </row>
    <row r="482" spans="1:10">
      <c r="A482" s="3" t="s">
        <v>1384</v>
      </c>
      <c r="B482" s="3" t="s">
        <v>1394</v>
      </c>
      <c r="C482" s="3"/>
      <c r="D482" s="3"/>
      <c r="E482" s="3"/>
      <c r="F482" s="3"/>
      <c r="G482" s="3"/>
      <c r="H482" s="3"/>
      <c r="I482" s="3"/>
      <c r="J482" t="s">
        <v>1395</v>
      </c>
    </row>
    <row r="483" spans="1:10">
      <c r="A483" s="3" t="s">
        <v>1396</v>
      </c>
      <c r="B483" s="3" t="s">
        <v>1397</v>
      </c>
      <c r="C483" s="3"/>
      <c r="D483" s="3"/>
      <c r="E483" s="3" t="s">
        <v>1398</v>
      </c>
      <c r="F483" s="3"/>
      <c r="G483" s="3"/>
      <c r="H483" s="3"/>
      <c r="I483" s="3"/>
      <c r="J483" t="s">
        <v>1399</v>
      </c>
    </row>
    <row r="484" spans="1:10">
      <c r="A484" s="3" t="s">
        <v>1396</v>
      </c>
      <c r="B484" s="3" t="s">
        <v>1397</v>
      </c>
      <c r="C484" s="3"/>
      <c r="D484" s="3"/>
      <c r="E484" s="3" t="s">
        <v>1400</v>
      </c>
      <c r="F484" s="3"/>
      <c r="G484" s="3"/>
      <c r="H484" s="3"/>
      <c r="I484" s="3"/>
      <c r="J484" t="s">
        <v>1401</v>
      </c>
    </row>
    <row r="485" spans="1:10">
      <c r="A485" s="3" t="s">
        <v>1396</v>
      </c>
      <c r="B485" s="3" t="s">
        <v>1397</v>
      </c>
      <c r="C485" s="3"/>
      <c r="D485" s="3"/>
      <c r="E485" s="3" t="s">
        <v>1402</v>
      </c>
      <c r="F485" s="3"/>
      <c r="G485" s="3"/>
      <c r="H485" s="3"/>
      <c r="I485" s="3"/>
      <c r="J485" t="s">
        <v>1403</v>
      </c>
    </row>
    <row r="486" spans="1:10">
      <c r="A486" s="3" t="s">
        <v>1396</v>
      </c>
      <c r="B486" s="3" t="s">
        <v>1404</v>
      </c>
      <c r="C486" s="3"/>
      <c r="D486" s="3"/>
      <c r="E486" s="3" t="s">
        <v>1405</v>
      </c>
      <c r="F486" s="3"/>
      <c r="G486" s="3"/>
      <c r="H486" s="3"/>
      <c r="I486" s="3"/>
      <c r="J486" t="s">
        <v>1406</v>
      </c>
    </row>
    <row r="487" spans="1:10">
      <c r="A487" s="3" t="s">
        <v>1396</v>
      </c>
      <c r="B487" s="3" t="s">
        <v>1404</v>
      </c>
      <c r="C487" s="3"/>
      <c r="D487" s="3"/>
      <c r="E487" s="3"/>
      <c r="F487" s="3" t="s">
        <v>1407</v>
      </c>
      <c r="G487" s="3"/>
      <c r="H487" s="3"/>
      <c r="I487" s="3"/>
      <c r="J487" t="s">
        <v>1408</v>
      </c>
    </row>
    <row r="488" spans="1:10">
      <c r="A488" s="3" t="s">
        <v>1396</v>
      </c>
      <c r="B488" s="3" t="s">
        <v>1404</v>
      </c>
      <c r="C488" s="3"/>
      <c r="D488" s="3"/>
      <c r="E488" s="3"/>
      <c r="F488" s="3" t="s">
        <v>1409</v>
      </c>
      <c r="G488" s="3"/>
      <c r="H488" s="3"/>
      <c r="I488" s="3"/>
      <c r="J488" t="s">
        <v>1410</v>
      </c>
    </row>
    <row r="489" spans="1:10">
      <c r="A489" s="3" t="s">
        <v>1396</v>
      </c>
      <c r="B489" s="3" t="s">
        <v>1404</v>
      </c>
      <c r="C489" s="3"/>
      <c r="D489" s="3"/>
      <c r="E489" s="3"/>
      <c r="F489" s="3" t="s">
        <v>1411</v>
      </c>
      <c r="G489" s="3"/>
      <c r="H489" s="3"/>
      <c r="I489" s="3"/>
      <c r="J489" t="s">
        <v>1412</v>
      </c>
    </row>
    <row r="490" spans="1:10">
      <c r="A490" s="3" t="s">
        <v>1396</v>
      </c>
      <c r="B490" s="3" t="s">
        <v>1404</v>
      </c>
      <c r="C490" s="3"/>
      <c r="D490" s="3"/>
      <c r="E490" s="3"/>
      <c r="F490" s="3" t="s">
        <v>1413</v>
      </c>
      <c r="G490" s="3"/>
      <c r="H490" s="3"/>
      <c r="I490" s="3"/>
      <c r="J490" t="s">
        <v>1414</v>
      </c>
    </row>
    <row r="491" spans="1:10">
      <c r="A491" s="3" t="s">
        <v>1415</v>
      </c>
      <c r="B491" s="3" t="s">
        <v>1416</v>
      </c>
      <c r="C491" s="3"/>
      <c r="D491" s="3"/>
      <c r="E491" s="3" t="s">
        <v>1417</v>
      </c>
      <c r="F491" s="3"/>
      <c r="G491" s="3"/>
      <c r="H491" s="3"/>
      <c r="I491" s="3"/>
      <c r="J491" t="s">
        <v>1418</v>
      </c>
    </row>
    <row r="492" spans="1:10">
      <c r="A492" s="3" t="s">
        <v>1415</v>
      </c>
      <c r="B492" s="3" t="s">
        <v>1416</v>
      </c>
      <c r="C492" s="3"/>
      <c r="D492" s="3"/>
      <c r="E492" s="3" t="s">
        <v>1419</v>
      </c>
      <c r="F492" s="3"/>
      <c r="G492" s="3"/>
      <c r="H492" s="3"/>
      <c r="I492" s="3"/>
      <c r="J492" t="s">
        <v>1420</v>
      </c>
    </row>
    <row r="493" spans="1:10">
      <c r="A493" s="3" t="s">
        <v>1415</v>
      </c>
      <c r="B493" s="3" t="s">
        <v>1421</v>
      </c>
      <c r="C493" s="3"/>
      <c r="D493" s="3"/>
      <c r="E493" s="3" t="s">
        <v>1422</v>
      </c>
      <c r="F493" s="3"/>
      <c r="G493" s="3"/>
      <c r="H493" s="3"/>
      <c r="I493" s="3"/>
      <c r="J493" t="s">
        <v>1423</v>
      </c>
    </row>
    <row r="494" spans="1:10">
      <c r="A494" s="3" t="s">
        <v>1415</v>
      </c>
      <c r="B494" s="3" t="s">
        <v>1421</v>
      </c>
      <c r="C494" s="3"/>
      <c r="D494" s="3"/>
      <c r="E494" s="3"/>
      <c r="F494" s="3" t="s">
        <v>1424</v>
      </c>
      <c r="G494" s="3"/>
      <c r="H494" s="3"/>
      <c r="I494" s="3"/>
      <c r="J494" t="s">
        <v>1425</v>
      </c>
    </row>
    <row r="495" spans="1:10">
      <c r="A495" s="3" t="s">
        <v>1415</v>
      </c>
      <c r="B495" s="3" t="s">
        <v>1421</v>
      </c>
      <c r="C495" s="3"/>
      <c r="D495" s="3"/>
      <c r="E495" s="3"/>
      <c r="F495" s="3" t="s">
        <v>1426</v>
      </c>
      <c r="G495" s="3"/>
      <c r="H495" s="3"/>
      <c r="I495" s="3"/>
      <c r="J495" t="s">
        <v>1427</v>
      </c>
    </row>
    <row r="496" spans="1:10">
      <c r="A496" s="3" t="s">
        <v>1415</v>
      </c>
      <c r="B496" s="3" t="s">
        <v>1421</v>
      </c>
      <c r="C496" s="3"/>
      <c r="D496" s="3"/>
      <c r="E496" s="3"/>
      <c r="F496" s="3" t="s">
        <v>1428</v>
      </c>
      <c r="G496" s="3"/>
      <c r="H496" s="3"/>
      <c r="I496" s="3"/>
      <c r="J496" t="s">
        <v>1429</v>
      </c>
    </row>
    <row r="497" spans="1:10">
      <c r="A497" s="3" t="s">
        <v>1415</v>
      </c>
      <c r="B497" s="3" t="s">
        <v>1430</v>
      </c>
      <c r="C497" s="3"/>
      <c r="D497" s="3"/>
      <c r="E497" s="3" t="s">
        <v>1431</v>
      </c>
      <c r="F497" s="3"/>
      <c r="G497" s="3"/>
      <c r="H497" s="3"/>
      <c r="I497" s="3"/>
      <c r="J497" t="s">
        <v>1432</v>
      </c>
    </row>
    <row r="498" spans="1:10">
      <c r="A498" s="3" t="s">
        <v>1415</v>
      </c>
      <c r="B498" s="3" t="s">
        <v>1430</v>
      </c>
      <c r="C498" s="3"/>
      <c r="D498" s="3"/>
      <c r="E498" s="3" t="s">
        <v>1433</v>
      </c>
      <c r="F498" s="3"/>
      <c r="G498" s="3"/>
      <c r="H498" s="3"/>
      <c r="I498" s="3"/>
      <c r="J498" t="s">
        <v>1434</v>
      </c>
    </row>
    <row r="499" spans="1:10">
      <c r="A499" s="3" t="s">
        <v>1435</v>
      </c>
      <c r="B499" s="3" t="s">
        <v>1436</v>
      </c>
      <c r="C499" s="3"/>
      <c r="D499" s="3"/>
      <c r="E499" s="3" t="s">
        <v>1437</v>
      </c>
      <c r="F499" s="3"/>
      <c r="G499" s="3"/>
      <c r="H499" s="3"/>
      <c r="I499" s="3"/>
      <c r="J499" t="s">
        <v>1438</v>
      </c>
    </row>
    <row r="500" spans="1:10">
      <c r="A500" s="3" t="s">
        <v>1435</v>
      </c>
      <c r="B500" s="3" t="s">
        <v>1436</v>
      </c>
      <c r="C500" s="3"/>
      <c r="D500" s="3"/>
      <c r="E500" s="3" t="s">
        <v>1439</v>
      </c>
      <c r="F500" s="3"/>
      <c r="G500" s="3"/>
      <c r="H500" s="3"/>
      <c r="I500" s="3"/>
      <c r="J500" t="s">
        <v>1440</v>
      </c>
    </row>
    <row r="501" spans="1:10">
      <c r="A501" s="3" t="s">
        <v>1435</v>
      </c>
      <c r="B501" s="3" t="s">
        <v>1436</v>
      </c>
      <c r="C501" s="3"/>
      <c r="D501" s="3"/>
      <c r="E501" s="3"/>
      <c r="F501" s="3" t="s">
        <v>1441</v>
      </c>
      <c r="G501" s="3"/>
      <c r="H501" s="3"/>
      <c r="I501" s="3"/>
      <c r="J501" t="s">
        <v>1442</v>
      </c>
    </row>
    <row r="502" spans="1:10">
      <c r="A502" s="3" t="s">
        <v>1435</v>
      </c>
      <c r="B502" s="3" t="s">
        <v>1436</v>
      </c>
      <c r="C502" s="3"/>
      <c r="D502" s="3"/>
      <c r="E502" s="3"/>
      <c r="F502" s="3" t="s">
        <v>1443</v>
      </c>
      <c r="G502" s="3"/>
      <c r="H502" s="3"/>
      <c r="I502" s="3"/>
      <c r="J502" t="s">
        <v>1444</v>
      </c>
    </row>
    <row r="503" spans="1:10">
      <c r="A503" s="3" t="s">
        <v>1435</v>
      </c>
      <c r="B503" s="3" t="s">
        <v>1445</v>
      </c>
      <c r="C503" s="3"/>
      <c r="D503" s="3"/>
      <c r="E503" s="3" t="s">
        <v>1446</v>
      </c>
      <c r="F503" s="3"/>
      <c r="G503" s="3"/>
      <c r="H503" s="3"/>
      <c r="I503" s="3"/>
      <c r="J503" t="s">
        <v>1447</v>
      </c>
    </row>
    <row r="504" spans="1:10">
      <c r="A504" s="3" t="s">
        <v>1435</v>
      </c>
      <c r="B504" s="3" t="s">
        <v>1445</v>
      </c>
      <c r="C504" s="3"/>
      <c r="D504" s="3"/>
      <c r="E504" s="3" t="s">
        <v>1448</v>
      </c>
      <c r="F504" s="3"/>
      <c r="G504" s="3"/>
      <c r="H504" s="3"/>
      <c r="I504" s="3"/>
      <c r="J504" t="s">
        <v>1449</v>
      </c>
    </row>
    <row r="505" spans="1:10">
      <c r="A505" s="3" t="s">
        <v>1450</v>
      </c>
      <c r="B505" s="3" t="s">
        <v>1451</v>
      </c>
      <c r="C505" s="3"/>
      <c r="D505" s="3"/>
      <c r="E505" s="3" t="s">
        <v>1452</v>
      </c>
      <c r="F505" s="3"/>
      <c r="G505" s="3"/>
      <c r="H505" s="3"/>
      <c r="I505" s="3"/>
      <c r="J505" t="s">
        <v>1453</v>
      </c>
    </row>
    <row r="506" spans="1:10">
      <c r="A506" s="3" t="s">
        <v>1450</v>
      </c>
      <c r="B506" s="3" t="s">
        <v>1451</v>
      </c>
      <c r="C506" s="3"/>
      <c r="D506" s="3"/>
      <c r="E506" s="3" t="s">
        <v>1454</v>
      </c>
      <c r="F506" s="3"/>
      <c r="G506" s="3"/>
      <c r="H506" s="3"/>
      <c r="I506" s="3"/>
      <c r="J506" t="s">
        <v>1455</v>
      </c>
    </row>
    <row r="507" spans="1:10">
      <c r="A507" s="3" t="s">
        <v>1456</v>
      </c>
      <c r="B507" s="3" t="s">
        <v>1457</v>
      </c>
      <c r="C507" s="3"/>
      <c r="D507" s="3"/>
      <c r="E507" s="3" t="s">
        <v>1458</v>
      </c>
      <c r="F507" s="3"/>
      <c r="G507" s="3"/>
      <c r="H507" s="3"/>
      <c r="I507" s="3"/>
      <c r="J507" t="s">
        <v>1459</v>
      </c>
    </row>
    <row r="508" spans="1:10">
      <c r="A508" s="3" t="s">
        <v>1456</v>
      </c>
      <c r="B508" s="3" t="s">
        <v>1457</v>
      </c>
      <c r="C508" s="3"/>
      <c r="D508" s="3"/>
      <c r="E508" s="3" t="s">
        <v>1460</v>
      </c>
      <c r="F508" s="3"/>
      <c r="G508" s="3"/>
      <c r="H508" s="3"/>
      <c r="I508" s="3"/>
      <c r="J508" t="s">
        <v>1461</v>
      </c>
    </row>
    <row r="509" spans="1:10">
      <c r="A509" s="3" t="s">
        <v>1456</v>
      </c>
      <c r="B509" s="3" t="s">
        <v>1457</v>
      </c>
      <c r="C509" s="3"/>
      <c r="D509" s="3"/>
      <c r="E509" s="3" t="s">
        <v>1462</v>
      </c>
      <c r="F509" s="3"/>
      <c r="G509" s="3"/>
      <c r="H509" s="3"/>
      <c r="I509" s="3"/>
      <c r="J509" t="s">
        <v>1463</v>
      </c>
    </row>
    <row r="510" spans="1:10">
      <c r="A510" s="3" t="s">
        <v>1456</v>
      </c>
      <c r="B510" s="3" t="s">
        <v>1457</v>
      </c>
      <c r="C510" s="3"/>
      <c r="D510" s="3"/>
      <c r="E510" s="3"/>
      <c r="F510" s="3" t="s">
        <v>1464</v>
      </c>
      <c r="G510" s="3"/>
      <c r="H510" s="3"/>
      <c r="I510" s="3"/>
      <c r="J510" t="s">
        <v>1465</v>
      </c>
    </row>
    <row r="511" spans="1:10">
      <c r="A511" s="3" t="s">
        <v>1456</v>
      </c>
      <c r="B511" s="3" t="s">
        <v>1457</v>
      </c>
      <c r="C511" s="3"/>
      <c r="D511" s="3"/>
      <c r="E511" s="3"/>
      <c r="F511" s="3" t="s">
        <v>1466</v>
      </c>
      <c r="G511" s="3"/>
      <c r="H511" s="3"/>
      <c r="I511" s="3"/>
      <c r="J511" t="s">
        <v>1467</v>
      </c>
    </row>
    <row r="512" spans="1:10">
      <c r="A512" s="3" t="s">
        <v>1468</v>
      </c>
      <c r="B512" s="3" t="s">
        <v>1469</v>
      </c>
      <c r="C512" s="3"/>
      <c r="D512" s="3"/>
      <c r="E512" s="3"/>
      <c r="F512" s="3"/>
      <c r="G512" s="3"/>
      <c r="H512" s="3"/>
      <c r="I512" s="3"/>
      <c r="J512" t="s">
        <v>1470</v>
      </c>
    </row>
    <row r="513" spans="1:10">
      <c r="A513" s="3" t="s">
        <v>1468</v>
      </c>
      <c r="B513" s="3" t="s">
        <v>1471</v>
      </c>
      <c r="C513" s="3"/>
      <c r="D513" s="3"/>
      <c r="E513" s="3" t="s">
        <v>1472</v>
      </c>
      <c r="F513" s="3"/>
      <c r="G513" s="3"/>
      <c r="H513" s="3"/>
      <c r="I513" s="3"/>
      <c r="J513" t="s">
        <v>1473</v>
      </c>
    </row>
    <row r="514" spans="1:10">
      <c r="A514" s="3" t="s">
        <v>1468</v>
      </c>
      <c r="B514" s="3" t="s">
        <v>1471</v>
      </c>
      <c r="C514" s="3"/>
      <c r="D514" s="3"/>
      <c r="E514" s="3" t="s">
        <v>1474</v>
      </c>
      <c r="F514" s="3"/>
      <c r="G514" s="3"/>
      <c r="H514" s="3"/>
      <c r="I514" s="3"/>
      <c r="J514" t="s">
        <v>1475</v>
      </c>
    </row>
    <row r="515" spans="1:10">
      <c r="A515" s="3" t="s">
        <v>1468</v>
      </c>
      <c r="B515" s="3" t="s">
        <v>1476</v>
      </c>
      <c r="C515" s="3"/>
      <c r="D515" s="3"/>
      <c r="E515" s="3" t="s">
        <v>1477</v>
      </c>
      <c r="F515" s="3"/>
      <c r="G515" s="3"/>
      <c r="H515" s="3"/>
      <c r="I515" s="3"/>
      <c r="J515" t="s">
        <v>1478</v>
      </c>
    </row>
    <row r="516" spans="1:10">
      <c r="A516" s="3" t="s">
        <v>1468</v>
      </c>
      <c r="B516" s="3" t="s">
        <v>1476</v>
      </c>
      <c r="C516" s="3"/>
      <c r="D516" s="3"/>
      <c r="E516" s="3" t="s">
        <v>1479</v>
      </c>
      <c r="F516" s="3"/>
      <c r="G516" s="3"/>
      <c r="H516" s="3"/>
      <c r="I516" s="3"/>
      <c r="J516" t="s">
        <v>1480</v>
      </c>
    </row>
    <row r="517" spans="1:10">
      <c r="A517" s="3" t="s">
        <v>1468</v>
      </c>
      <c r="B517" s="3" t="s">
        <v>1476</v>
      </c>
      <c r="C517" s="3"/>
      <c r="D517" s="3"/>
      <c r="E517" s="3" t="s">
        <v>1481</v>
      </c>
      <c r="F517" s="3"/>
      <c r="G517" s="3"/>
      <c r="H517" s="3"/>
      <c r="I517" s="3"/>
      <c r="J517" t="s">
        <v>1482</v>
      </c>
    </row>
    <row r="518" spans="1:10">
      <c r="A518" s="3" t="s">
        <v>1483</v>
      </c>
      <c r="B518" s="3" t="s">
        <v>1484</v>
      </c>
      <c r="C518" s="3"/>
      <c r="D518" s="3"/>
      <c r="E518" s="3" t="s">
        <v>1485</v>
      </c>
      <c r="F518" s="3"/>
      <c r="G518" s="3"/>
      <c r="H518" s="3"/>
      <c r="I518" s="3"/>
      <c r="J518" t="s">
        <v>1486</v>
      </c>
    </row>
    <row r="519" spans="1:10">
      <c r="A519" s="3" t="s">
        <v>1483</v>
      </c>
      <c r="B519" s="3" t="s">
        <v>1484</v>
      </c>
      <c r="C519" s="3"/>
      <c r="D519" s="3"/>
      <c r="E519" s="3" t="s">
        <v>1487</v>
      </c>
      <c r="F519" s="3"/>
      <c r="G519" s="3"/>
      <c r="H519" s="3"/>
      <c r="I519" s="3"/>
      <c r="J519" t="s">
        <v>1488</v>
      </c>
    </row>
    <row r="520" spans="1:10">
      <c r="A520" s="3" t="s">
        <v>1483</v>
      </c>
      <c r="B520" s="3" t="s">
        <v>1489</v>
      </c>
      <c r="C520" s="3"/>
      <c r="D520" s="3"/>
      <c r="E520" s="3" t="s">
        <v>1490</v>
      </c>
      <c r="F520" s="3"/>
      <c r="G520" s="3"/>
      <c r="H520" s="3"/>
      <c r="I520" s="3"/>
      <c r="J520" t="s">
        <v>1491</v>
      </c>
    </row>
    <row r="521" spans="1:10">
      <c r="A521" s="3" t="s">
        <v>1483</v>
      </c>
      <c r="B521" s="3" t="s">
        <v>1489</v>
      </c>
      <c r="C521" s="3"/>
      <c r="D521" s="3"/>
      <c r="E521" s="3" t="s">
        <v>1492</v>
      </c>
      <c r="F521" s="3"/>
      <c r="G521" s="3"/>
      <c r="H521" s="3"/>
      <c r="I521" s="3"/>
      <c r="J521" t="s">
        <v>1493</v>
      </c>
    </row>
    <row r="522" spans="1:10">
      <c r="A522" s="3" t="s">
        <v>1483</v>
      </c>
      <c r="B522" s="3" t="s">
        <v>1489</v>
      </c>
      <c r="C522" s="3"/>
      <c r="D522" s="3"/>
      <c r="E522" s="3"/>
      <c r="F522" s="3" t="s">
        <v>1494</v>
      </c>
      <c r="G522" s="3"/>
      <c r="H522" s="3"/>
      <c r="I522" s="3"/>
      <c r="J522" t="s">
        <v>1495</v>
      </c>
    </row>
    <row r="523" spans="1:10">
      <c r="A523" s="3" t="s">
        <v>1496</v>
      </c>
      <c r="B523" s="3" t="s">
        <v>1497</v>
      </c>
      <c r="C523" s="3"/>
      <c r="D523" s="3"/>
      <c r="E523" s="3" t="s">
        <v>1498</v>
      </c>
      <c r="F523" s="3"/>
      <c r="G523" s="3"/>
      <c r="H523" s="3"/>
      <c r="I523" s="3"/>
      <c r="J523" t="s">
        <v>1499</v>
      </c>
    </row>
    <row r="524" spans="1:10">
      <c r="A524" s="3" t="s">
        <v>1496</v>
      </c>
      <c r="B524" s="3" t="s">
        <v>1497</v>
      </c>
      <c r="C524" s="3"/>
      <c r="D524" s="3"/>
      <c r="E524" s="3" t="s">
        <v>1500</v>
      </c>
      <c r="F524" s="3"/>
      <c r="G524" s="3"/>
      <c r="H524" s="3"/>
      <c r="I524" s="3"/>
      <c r="J524" t="s">
        <v>1501</v>
      </c>
    </row>
    <row r="525" spans="1:10">
      <c r="A525" s="3" t="s">
        <v>1496</v>
      </c>
      <c r="B525" s="3" t="s">
        <v>1497</v>
      </c>
      <c r="C525" s="3"/>
      <c r="D525" s="3"/>
      <c r="E525" s="3"/>
      <c r="F525" s="3" t="s">
        <v>1502</v>
      </c>
      <c r="G525" s="3"/>
      <c r="H525" s="3"/>
      <c r="I525" s="3"/>
      <c r="J525" t="s">
        <v>1503</v>
      </c>
    </row>
    <row r="526" spans="1:10">
      <c r="A526" s="3" t="s">
        <v>1496</v>
      </c>
      <c r="B526" s="3" t="s">
        <v>1497</v>
      </c>
      <c r="C526" s="3"/>
      <c r="D526" s="3"/>
      <c r="E526" s="3"/>
      <c r="F526" s="3" t="s">
        <v>1504</v>
      </c>
      <c r="G526" s="3"/>
      <c r="H526" s="3"/>
      <c r="I526" s="3"/>
      <c r="J526" t="s">
        <v>1505</v>
      </c>
    </row>
    <row r="527" spans="1:10">
      <c r="A527" s="3" t="s">
        <v>1496</v>
      </c>
      <c r="B527" s="3" t="s">
        <v>1506</v>
      </c>
      <c r="C527" s="3"/>
      <c r="D527" s="3"/>
      <c r="E527" s="3" t="s">
        <v>1507</v>
      </c>
      <c r="F527" s="3"/>
      <c r="G527" s="3"/>
      <c r="H527" s="3"/>
      <c r="I527" s="3"/>
      <c r="J527" t="s">
        <v>1508</v>
      </c>
    </row>
    <row r="528" spans="1:10">
      <c r="A528" s="3" t="s">
        <v>1496</v>
      </c>
      <c r="B528" s="3" t="s">
        <v>1506</v>
      </c>
      <c r="C528" s="3"/>
      <c r="D528" s="3"/>
      <c r="E528" s="3" t="s">
        <v>1509</v>
      </c>
      <c r="F528" s="3"/>
      <c r="G528" s="3"/>
      <c r="H528" s="3"/>
      <c r="I528" s="3"/>
      <c r="J528" t="s">
        <v>1510</v>
      </c>
    </row>
    <row r="529" spans="1:10">
      <c r="A529" s="3" t="s">
        <v>1511</v>
      </c>
      <c r="B529" s="3" t="s">
        <v>1512</v>
      </c>
      <c r="C529" s="3"/>
      <c r="D529" s="3"/>
      <c r="E529" s="3" t="s">
        <v>1513</v>
      </c>
      <c r="F529" s="3"/>
      <c r="G529" s="3"/>
      <c r="H529" s="3"/>
      <c r="I529" s="3"/>
      <c r="J529" t="s">
        <v>1514</v>
      </c>
    </row>
    <row r="530" spans="1:10">
      <c r="A530" s="3" t="s">
        <v>1511</v>
      </c>
      <c r="B530" s="3" t="s">
        <v>1512</v>
      </c>
      <c r="C530" s="3"/>
      <c r="D530" s="3"/>
      <c r="E530" s="3" t="s">
        <v>1515</v>
      </c>
      <c r="F530" s="3"/>
      <c r="G530" s="3"/>
      <c r="H530" s="3"/>
      <c r="I530" s="3"/>
      <c r="J530" t="s">
        <v>1516</v>
      </c>
    </row>
    <row r="531" spans="1:10">
      <c r="A531" s="3" t="s">
        <v>1511</v>
      </c>
      <c r="B531" s="3" t="s">
        <v>1517</v>
      </c>
      <c r="C531" s="3"/>
      <c r="D531" s="3"/>
      <c r="E531" s="3" t="s">
        <v>1518</v>
      </c>
      <c r="F531" s="3"/>
      <c r="G531" s="3"/>
      <c r="H531" s="3"/>
      <c r="I531" s="3"/>
      <c r="J531" t="s">
        <v>1519</v>
      </c>
    </row>
    <row r="532" spans="1:10">
      <c r="A532" s="3" t="s">
        <v>1511</v>
      </c>
      <c r="B532" s="3" t="s">
        <v>1517</v>
      </c>
      <c r="C532" s="3"/>
      <c r="D532" s="3"/>
      <c r="E532" s="3" t="s">
        <v>1520</v>
      </c>
      <c r="F532" s="3"/>
      <c r="G532" s="3"/>
      <c r="H532" s="3"/>
      <c r="I532" s="3"/>
      <c r="J532" t="s">
        <v>1521</v>
      </c>
    </row>
    <row r="533" spans="1:10">
      <c r="A533" s="3" t="s">
        <v>1522</v>
      </c>
      <c r="B533" s="3" t="s">
        <v>1523</v>
      </c>
      <c r="C533" s="3"/>
      <c r="D533" s="3"/>
      <c r="E533" s="3" t="s">
        <v>1524</v>
      </c>
      <c r="F533" s="3"/>
      <c r="G533" s="3"/>
      <c r="H533" s="3"/>
      <c r="I533" s="3"/>
      <c r="J533" t="s">
        <v>1525</v>
      </c>
    </row>
    <row r="534" spans="1:10">
      <c r="A534" s="3" t="s">
        <v>1522</v>
      </c>
      <c r="B534" s="3" t="s">
        <v>1523</v>
      </c>
      <c r="C534" s="3"/>
      <c r="D534" s="3"/>
      <c r="E534" s="3" t="s">
        <v>1526</v>
      </c>
      <c r="F534" s="3"/>
      <c r="G534" s="3"/>
      <c r="H534" s="3"/>
      <c r="I534" s="3"/>
      <c r="J534" t="s">
        <v>1527</v>
      </c>
    </row>
    <row r="535" spans="1:10">
      <c r="A535" s="3" t="s">
        <v>1522</v>
      </c>
      <c r="B535" s="3" t="s">
        <v>1523</v>
      </c>
      <c r="C535" s="3"/>
      <c r="D535" s="3"/>
      <c r="E535" s="3" t="s">
        <v>1528</v>
      </c>
      <c r="F535" s="3"/>
      <c r="G535" s="3"/>
      <c r="H535" s="3"/>
      <c r="I535" s="3"/>
      <c r="J535" t="s">
        <v>1529</v>
      </c>
    </row>
    <row r="536" spans="1:10">
      <c r="A536" s="3" t="s">
        <v>1530</v>
      </c>
      <c r="B536" s="3" t="s">
        <v>1531</v>
      </c>
      <c r="C536" s="3"/>
      <c r="D536" s="3"/>
      <c r="E536" s="3" t="s">
        <v>1532</v>
      </c>
      <c r="F536" s="3"/>
      <c r="G536" s="3"/>
      <c r="H536" s="3"/>
      <c r="I536" s="3"/>
      <c r="J536" t="s">
        <v>1533</v>
      </c>
    </row>
    <row r="537" spans="1:10">
      <c r="A537" s="3" t="s">
        <v>1530</v>
      </c>
      <c r="B537" s="3" t="s">
        <v>1531</v>
      </c>
      <c r="C537" s="3"/>
      <c r="D537" s="3"/>
      <c r="E537" s="3" t="s">
        <v>1534</v>
      </c>
      <c r="F537" s="3"/>
      <c r="G537" s="3"/>
      <c r="H537" s="3"/>
      <c r="I537" s="3"/>
      <c r="J537" t="s">
        <v>1535</v>
      </c>
    </row>
    <row r="538" spans="1:10">
      <c r="A538" s="3" t="s">
        <v>1530</v>
      </c>
      <c r="B538" s="3" t="s">
        <v>1531</v>
      </c>
      <c r="C538" s="3"/>
      <c r="D538" s="3"/>
      <c r="E538" s="3"/>
      <c r="F538" s="3" t="s">
        <v>1536</v>
      </c>
      <c r="G538" s="3"/>
      <c r="H538" s="3"/>
      <c r="I538" s="3"/>
      <c r="J538" t="s">
        <v>1537</v>
      </c>
    </row>
    <row r="539" spans="1:10">
      <c r="A539" s="3" t="s">
        <v>1530</v>
      </c>
      <c r="B539" s="3" t="s">
        <v>1538</v>
      </c>
      <c r="C539" s="3"/>
      <c r="D539" s="3"/>
      <c r="E539" s="3" t="s">
        <v>1539</v>
      </c>
      <c r="F539" s="3"/>
      <c r="G539" s="3"/>
      <c r="H539" s="3"/>
      <c r="I539" s="3"/>
      <c r="J539" t="s">
        <v>1540</v>
      </c>
    </row>
    <row r="540" spans="1:10">
      <c r="A540" s="3" t="s">
        <v>1530</v>
      </c>
      <c r="B540" s="3" t="s">
        <v>1538</v>
      </c>
      <c r="C540" s="3"/>
      <c r="D540" s="3"/>
      <c r="E540" s="3" t="s">
        <v>1541</v>
      </c>
      <c r="F540" s="3"/>
      <c r="G540" s="3"/>
      <c r="H540" s="3"/>
      <c r="I540" s="3"/>
      <c r="J540" t="s">
        <v>1542</v>
      </c>
    </row>
    <row r="541" spans="1:10">
      <c r="A541" s="3" t="s">
        <v>1530</v>
      </c>
      <c r="B541" s="3" t="s">
        <v>1538</v>
      </c>
      <c r="C541" s="3"/>
      <c r="D541" s="3"/>
      <c r="E541" s="3"/>
      <c r="F541" s="3" t="s">
        <v>1543</v>
      </c>
      <c r="G541" s="3"/>
      <c r="H541" s="3"/>
      <c r="I541" s="3"/>
      <c r="J541" t="s">
        <v>1544</v>
      </c>
    </row>
    <row r="542" spans="1:10">
      <c r="A542" s="3" t="s">
        <v>1530</v>
      </c>
      <c r="B542" s="3" t="s">
        <v>1538</v>
      </c>
      <c r="C542" s="3"/>
      <c r="D542" s="3"/>
      <c r="E542" s="3"/>
      <c r="F542" s="3" t="s">
        <v>1545</v>
      </c>
      <c r="G542" s="3"/>
      <c r="H542" s="3"/>
      <c r="I542" s="3"/>
      <c r="J542" t="s">
        <v>1546</v>
      </c>
    </row>
    <row r="543" spans="1:10">
      <c r="A543" s="3" t="s">
        <v>1547</v>
      </c>
      <c r="B543" s="3" t="s">
        <v>1548</v>
      </c>
      <c r="C543" s="3"/>
      <c r="D543" s="3"/>
      <c r="E543" s="3" t="s">
        <v>1549</v>
      </c>
      <c r="F543" s="3"/>
      <c r="G543" s="3"/>
      <c r="H543" s="3"/>
      <c r="I543" s="3"/>
      <c r="J543" t="s">
        <v>1550</v>
      </c>
    </row>
    <row r="544" spans="1:10">
      <c r="A544" s="3" t="s">
        <v>1547</v>
      </c>
      <c r="B544" s="3" t="s">
        <v>1548</v>
      </c>
      <c r="C544" s="3"/>
      <c r="D544" s="3"/>
      <c r="E544" s="3" t="s">
        <v>1551</v>
      </c>
      <c r="F544" s="3"/>
      <c r="G544" s="3"/>
      <c r="H544" s="3"/>
      <c r="I544" s="3"/>
      <c r="J544" t="s">
        <v>1552</v>
      </c>
    </row>
    <row r="545" spans="1:10">
      <c r="A545" s="3" t="s">
        <v>1547</v>
      </c>
      <c r="B545" s="3" t="s">
        <v>1553</v>
      </c>
      <c r="C545" s="3"/>
      <c r="D545" s="3"/>
      <c r="E545" s="3" t="s">
        <v>1554</v>
      </c>
      <c r="F545" s="3"/>
      <c r="G545" s="3"/>
      <c r="H545" s="3"/>
      <c r="I545" s="3"/>
      <c r="J545" t="s">
        <v>1555</v>
      </c>
    </row>
    <row r="546" spans="1:10">
      <c r="A546" s="3" t="s">
        <v>1547</v>
      </c>
      <c r="B546" s="3" t="s">
        <v>1553</v>
      </c>
      <c r="C546" s="3"/>
      <c r="D546" s="3"/>
      <c r="E546" s="3" t="s">
        <v>1556</v>
      </c>
      <c r="F546" s="3"/>
      <c r="G546" s="3"/>
      <c r="H546" s="3"/>
      <c r="I546" s="3"/>
      <c r="J546" t="s">
        <v>1557</v>
      </c>
    </row>
    <row r="547" spans="1:10">
      <c r="A547" s="3" t="s">
        <v>1547</v>
      </c>
      <c r="B547" s="3" t="s">
        <v>1553</v>
      </c>
      <c r="C547" s="3"/>
      <c r="D547" s="3"/>
      <c r="E547" s="3" t="s">
        <v>1558</v>
      </c>
      <c r="F547" s="3"/>
      <c r="G547" s="3"/>
      <c r="H547" s="3"/>
      <c r="I547" s="3"/>
      <c r="J547" t="s">
        <v>1559</v>
      </c>
    </row>
    <row r="548" spans="1:10">
      <c r="A548" s="3" t="s">
        <v>1547</v>
      </c>
      <c r="B548" s="3" t="s">
        <v>1553</v>
      </c>
      <c r="C548" s="3"/>
      <c r="D548" s="3"/>
      <c r="E548" s="3"/>
      <c r="F548" s="3" t="s">
        <v>1560</v>
      </c>
      <c r="G548" s="3"/>
      <c r="H548" s="3"/>
      <c r="I548" s="3"/>
      <c r="J548" t="s">
        <v>1561</v>
      </c>
    </row>
    <row r="549" spans="1:10">
      <c r="A549" s="3" t="s">
        <v>1562</v>
      </c>
      <c r="B549" s="3" t="s">
        <v>1563</v>
      </c>
      <c r="C549" s="3"/>
      <c r="D549" s="3"/>
      <c r="E549" s="3" t="s">
        <v>1564</v>
      </c>
      <c r="F549" s="3"/>
      <c r="G549" s="3"/>
      <c r="H549" s="3"/>
      <c r="I549" s="3"/>
      <c r="J549" t="s">
        <v>1565</v>
      </c>
    </row>
    <row r="550" spans="1:10">
      <c r="A550" s="3" t="s">
        <v>1562</v>
      </c>
      <c r="B550" s="3" t="s">
        <v>1563</v>
      </c>
      <c r="C550" s="3"/>
      <c r="D550" s="3"/>
      <c r="E550" s="3" t="s">
        <v>1566</v>
      </c>
      <c r="F550" s="3"/>
      <c r="G550" s="3"/>
      <c r="H550" s="3"/>
      <c r="I550" s="3"/>
      <c r="J550" t="s">
        <v>1567</v>
      </c>
    </row>
    <row r="551" spans="1:10">
      <c r="A551" s="3" t="s">
        <v>1562</v>
      </c>
      <c r="B551" s="3" t="s">
        <v>1568</v>
      </c>
      <c r="C551" s="3"/>
      <c r="D551" s="3"/>
      <c r="E551" s="3" t="s">
        <v>1569</v>
      </c>
      <c r="F551" s="3"/>
      <c r="G551" s="3"/>
      <c r="H551" s="3"/>
      <c r="I551" s="3"/>
      <c r="J551" t="s">
        <v>1570</v>
      </c>
    </row>
    <row r="552" spans="1:10">
      <c r="A552" s="3" t="s">
        <v>1562</v>
      </c>
      <c r="B552" s="3" t="s">
        <v>1568</v>
      </c>
      <c r="C552" s="3"/>
      <c r="D552" s="3"/>
      <c r="E552" s="3" t="s">
        <v>1571</v>
      </c>
      <c r="F552" s="3"/>
      <c r="G552" s="3"/>
      <c r="H552" s="3"/>
      <c r="I552" s="3"/>
      <c r="J552" t="s">
        <v>1572</v>
      </c>
    </row>
    <row r="553" spans="1:10">
      <c r="A553" s="3" t="s">
        <v>1573</v>
      </c>
      <c r="B553" s="3" t="s">
        <v>1574</v>
      </c>
      <c r="C553" s="3"/>
      <c r="D553" s="3"/>
      <c r="E553" s="3" t="s">
        <v>1575</v>
      </c>
      <c r="F553" s="3"/>
      <c r="G553" s="3"/>
      <c r="H553" s="3"/>
      <c r="I553" s="3"/>
      <c r="J553" t="s">
        <v>1576</v>
      </c>
    </row>
    <row r="554" spans="1:10">
      <c r="A554" s="3" t="s">
        <v>1573</v>
      </c>
      <c r="B554" s="3" t="s">
        <v>1574</v>
      </c>
      <c r="C554" s="3"/>
      <c r="D554" s="3"/>
      <c r="E554" s="3" t="s">
        <v>1577</v>
      </c>
      <c r="F554" s="3"/>
      <c r="G554" s="3"/>
      <c r="H554" s="3"/>
      <c r="I554" s="3"/>
      <c r="J554" t="s">
        <v>1578</v>
      </c>
    </row>
    <row r="555" spans="1:10">
      <c r="A555" s="3" t="s">
        <v>1573</v>
      </c>
      <c r="B555" s="3" t="s">
        <v>1574</v>
      </c>
      <c r="C555" s="3"/>
      <c r="D555" s="3"/>
      <c r="E555" s="3"/>
      <c r="F555" s="3" t="s">
        <v>1579</v>
      </c>
      <c r="G555" s="3"/>
      <c r="H555" s="3"/>
      <c r="I555" s="3"/>
      <c r="J555" t="s">
        <v>1580</v>
      </c>
    </row>
    <row r="556" spans="1:10">
      <c r="A556" s="3" t="s">
        <v>1573</v>
      </c>
      <c r="B556" s="3" t="s">
        <v>1574</v>
      </c>
      <c r="C556" s="3"/>
      <c r="D556" s="3"/>
      <c r="E556" s="3"/>
      <c r="F556" s="3" t="s">
        <v>1581</v>
      </c>
      <c r="G556" s="3"/>
      <c r="H556" s="3"/>
      <c r="I556" s="3"/>
      <c r="J556" t="s">
        <v>1582</v>
      </c>
    </row>
    <row r="557" spans="1:10">
      <c r="A557" s="3" t="s">
        <v>1573</v>
      </c>
      <c r="B557" s="3" t="s">
        <v>1574</v>
      </c>
      <c r="C557" s="3"/>
      <c r="D557" s="3"/>
      <c r="E557" s="3"/>
      <c r="F557" s="3" t="s">
        <v>1583</v>
      </c>
      <c r="G557" s="3"/>
      <c r="H557" s="3"/>
      <c r="I557" s="3"/>
      <c r="J557" t="s">
        <v>1584</v>
      </c>
    </row>
    <row r="558" spans="1:10">
      <c r="A558" s="3" t="s">
        <v>1573</v>
      </c>
      <c r="B558" s="3" t="s">
        <v>1585</v>
      </c>
      <c r="C558" s="3"/>
      <c r="D558" s="3"/>
      <c r="E558" s="3" t="s">
        <v>1586</v>
      </c>
      <c r="F558" s="3"/>
      <c r="G558" s="3"/>
      <c r="H558" s="3"/>
      <c r="I558" s="3"/>
      <c r="J558" t="s">
        <v>1587</v>
      </c>
    </row>
    <row r="559" spans="1:10">
      <c r="A559" s="3" t="s">
        <v>1573</v>
      </c>
      <c r="B559" s="3" t="s">
        <v>1585</v>
      </c>
      <c r="C559" s="3"/>
      <c r="D559" s="3"/>
      <c r="E559" s="3" t="s">
        <v>1588</v>
      </c>
      <c r="F559" s="3"/>
      <c r="G559" s="3"/>
      <c r="H559" s="3"/>
      <c r="I559" s="3"/>
      <c r="J559" t="s">
        <v>1589</v>
      </c>
    </row>
    <row r="560" spans="1:10">
      <c r="A560" s="3" t="s">
        <v>1573</v>
      </c>
      <c r="B560" s="3" t="s">
        <v>1585</v>
      </c>
      <c r="C560" s="3"/>
      <c r="D560" s="3"/>
      <c r="E560" s="3" t="s">
        <v>1590</v>
      </c>
      <c r="F560" s="3"/>
      <c r="G560" s="3"/>
      <c r="H560" s="3"/>
      <c r="I560" s="3"/>
      <c r="J560" t="s">
        <v>1591</v>
      </c>
    </row>
    <row r="561" spans="1:10">
      <c r="A561" s="3" t="s">
        <v>1573</v>
      </c>
      <c r="B561" s="3" t="s">
        <v>1585</v>
      </c>
      <c r="C561" s="3"/>
      <c r="D561" s="3"/>
      <c r="E561" s="3"/>
      <c r="F561" s="3" t="s">
        <v>1592</v>
      </c>
      <c r="G561" s="3"/>
      <c r="H561" s="3"/>
      <c r="I561" s="3"/>
      <c r="J561" t="s">
        <v>1593</v>
      </c>
    </row>
    <row r="562" spans="1:10">
      <c r="A562" s="3" t="s">
        <v>1573</v>
      </c>
      <c r="B562" s="3" t="s">
        <v>1585</v>
      </c>
      <c r="C562" s="3"/>
      <c r="D562" s="3"/>
      <c r="E562" s="3"/>
      <c r="F562" s="3" t="s">
        <v>1594</v>
      </c>
      <c r="G562" s="3"/>
      <c r="H562" s="3"/>
      <c r="I562" s="3"/>
      <c r="J562" t="s">
        <v>1595</v>
      </c>
    </row>
    <row r="563" spans="1:10">
      <c r="A563" s="3" t="s">
        <v>1573</v>
      </c>
      <c r="B563" s="3" t="s">
        <v>1596</v>
      </c>
      <c r="C563" s="3"/>
      <c r="D563" s="3"/>
      <c r="E563" s="3" t="s">
        <v>1597</v>
      </c>
      <c r="F563" s="3"/>
      <c r="G563" s="3"/>
      <c r="H563" s="3"/>
      <c r="I563" s="3"/>
      <c r="J563" t="s">
        <v>1598</v>
      </c>
    </row>
    <row r="564" spans="1:10">
      <c r="A564" s="3" t="s">
        <v>1573</v>
      </c>
      <c r="B564" s="3" t="s">
        <v>1596</v>
      </c>
      <c r="C564" s="3"/>
      <c r="D564" s="3"/>
      <c r="E564" s="3" t="s">
        <v>1599</v>
      </c>
      <c r="F564" s="3"/>
      <c r="G564" s="3"/>
      <c r="H564" s="3"/>
      <c r="I564" s="3"/>
      <c r="J564" t="s">
        <v>1600</v>
      </c>
    </row>
    <row r="565" spans="1:10">
      <c r="A565" s="3" t="s">
        <v>1573</v>
      </c>
      <c r="B565" s="3" t="s">
        <v>1596</v>
      </c>
      <c r="C565" s="3"/>
      <c r="D565" s="3"/>
      <c r="E565" s="3" t="s">
        <v>1601</v>
      </c>
      <c r="F565" s="3"/>
      <c r="G565" s="3"/>
      <c r="H565" s="3"/>
      <c r="I565" s="3"/>
      <c r="J565" t="s">
        <v>1602</v>
      </c>
    </row>
    <row r="566" spans="1:10">
      <c r="A566" s="3" t="s">
        <v>1573</v>
      </c>
      <c r="B566" s="3" t="s">
        <v>1596</v>
      </c>
      <c r="C566" s="3"/>
      <c r="D566" s="3"/>
      <c r="E566" s="3"/>
      <c r="F566" s="3" t="s">
        <v>1603</v>
      </c>
      <c r="G566" s="3"/>
      <c r="H566" s="3"/>
      <c r="I566" s="3"/>
      <c r="J566" t="s">
        <v>1604</v>
      </c>
    </row>
    <row r="567" spans="1:10">
      <c r="A567" s="3" t="s">
        <v>1573</v>
      </c>
      <c r="B567" s="3" t="s">
        <v>1596</v>
      </c>
      <c r="C567" s="3"/>
      <c r="D567" s="3"/>
      <c r="E567" s="3"/>
      <c r="F567" s="3" t="s">
        <v>1605</v>
      </c>
      <c r="G567" s="3"/>
      <c r="H567" s="3"/>
      <c r="I567" s="3"/>
      <c r="J567" t="s">
        <v>1606</v>
      </c>
    </row>
    <row r="568" spans="1:10">
      <c r="A568" s="3" t="s">
        <v>1573</v>
      </c>
      <c r="B568" s="3" t="s">
        <v>1596</v>
      </c>
      <c r="C568" s="3"/>
      <c r="D568" s="3"/>
      <c r="E568" s="3"/>
      <c r="F568" s="3" t="s">
        <v>1607</v>
      </c>
      <c r="G568" s="3"/>
      <c r="H568" s="3"/>
      <c r="I568" s="3"/>
      <c r="J568" t="s">
        <v>1608</v>
      </c>
    </row>
    <row r="569" spans="1:10">
      <c r="A569" s="3" t="s">
        <v>1573</v>
      </c>
      <c r="B569" s="3" t="s">
        <v>1596</v>
      </c>
      <c r="C569" s="3"/>
      <c r="D569" s="3"/>
      <c r="E569" s="3"/>
      <c r="F569" s="3" t="s">
        <v>1609</v>
      </c>
      <c r="G569" s="3"/>
      <c r="H569" s="3"/>
      <c r="I569" s="3"/>
      <c r="J569" t="s">
        <v>1610</v>
      </c>
    </row>
    <row r="570" spans="1:10">
      <c r="A570" s="3" t="s">
        <v>1611</v>
      </c>
      <c r="B570" s="3" t="s">
        <v>1612</v>
      </c>
      <c r="C570" s="3"/>
      <c r="D570" s="3"/>
      <c r="E570" s="3" t="s">
        <v>1613</v>
      </c>
      <c r="F570" s="3"/>
      <c r="G570" s="3"/>
      <c r="H570" s="3"/>
      <c r="I570" s="3"/>
      <c r="J570" t="s">
        <v>1614</v>
      </c>
    </row>
    <row r="571" spans="1:10">
      <c r="A571" s="3" t="s">
        <v>1611</v>
      </c>
      <c r="B571" s="3" t="s">
        <v>1612</v>
      </c>
      <c r="C571" s="3"/>
      <c r="D571" s="3"/>
      <c r="E571" s="3" t="s">
        <v>1615</v>
      </c>
      <c r="F571" s="3"/>
      <c r="G571" s="3"/>
      <c r="H571" s="3"/>
      <c r="I571" s="3"/>
      <c r="J571" t="s">
        <v>1616</v>
      </c>
    </row>
    <row r="572" spans="1:10">
      <c r="A572" s="3" t="s">
        <v>1611</v>
      </c>
      <c r="B572" s="3" t="s">
        <v>1612</v>
      </c>
      <c r="C572" s="3"/>
      <c r="D572" s="3"/>
      <c r="E572" s="3" t="s">
        <v>1617</v>
      </c>
      <c r="F572" s="3"/>
      <c r="G572" s="3"/>
      <c r="H572" s="3"/>
      <c r="I572" s="3"/>
      <c r="J572" t="s">
        <v>1618</v>
      </c>
    </row>
    <row r="573" spans="1:10">
      <c r="A573" s="3" t="s">
        <v>1619</v>
      </c>
      <c r="B573" s="3" t="s">
        <v>1620</v>
      </c>
      <c r="C573" s="3"/>
      <c r="D573" s="3"/>
      <c r="E573" s="3" t="s">
        <v>1621</v>
      </c>
      <c r="F573" s="3"/>
      <c r="G573" s="3"/>
      <c r="H573" s="3"/>
      <c r="I573" s="3"/>
      <c r="J573" t="s">
        <v>1622</v>
      </c>
    </row>
    <row r="574" spans="1:10">
      <c r="A574" s="3" t="s">
        <v>1619</v>
      </c>
      <c r="B574" s="3" t="s">
        <v>1620</v>
      </c>
      <c r="C574" s="3"/>
      <c r="D574" s="3"/>
      <c r="E574" s="3" t="s">
        <v>1623</v>
      </c>
      <c r="F574" s="3"/>
      <c r="G574" s="3"/>
      <c r="H574" s="3"/>
      <c r="I574" s="3"/>
      <c r="J574" t="s">
        <v>1624</v>
      </c>
    </row>
    <row r="575" spans="1:10">
      <c r="A575" s="3" t="s">
        <v>1619</v>
      </c>
      <c r="B575" s="3" t="s">
        <v>1620</v>
      </c>
      <c r="C575" s="3"/>
      <c r="D575" s="3"/>
      <c r="E575" s="3"/>
      <c r="F575" s="3" t="s">
        <v>1625</v>
      </c>
      <c r="G575" s="3"/>
      <c r="H575" s="3"/>
      <c r="I575" s="3"/>
      <c r="J575" t="s">
        <v>1626</v>
      </c>
    </row>
    <row r="576" spans="1:10">
      <c r="A576" s="3" t="s">
        <v>1619</v>
      </c>
      <c r="B576" s="3" t="s">
        <v>1620</v>
      </c>
      <c r="C576" s="3"/>
      <c r="D576" s="3"/>
      <c r="E576" s="3"/>
      <c r="F576" s="3" t="s">
        <v>1627</v>
      </c>
      <c r="G576" s="3"/>
      <c r="H576" s="3"/>
      <c r="I576" s="3"/>
      <c r="J576" t="s">
        <v>1628</v>
      </c>
    </row>
    <row r="577" spans="1:10">
      <c r="A577" s="3" t="s">
        <v>1619</v>
      </c>
      <c r="B577" s="3" t="s">
        <v>1629</v>
      </c>
      <c r="C577" s="3"/>
      <c r="D577" s="3"/>
      <c r="E577" s="3" t="s">
        <v>1630</v>
      </c>
      <c r="F577" s="3"/>
      <c r="G577" s="3"/>
      <c r="H577" s="3"/>
      <c r="I577" s="3"/>
      <c r="J577" t="s">
        <v>1631</v>
      </c>
    </row>
    <row r="578" spans="1:10">
      <c r="A578" s="3" t="s">
        <v>1619</v>
      </c>
      <c r="B578" s="3" t="s">
        <v>1629</v>
      </c>
      <c r="C578" s="3"/>
      <c r="D578" s="3"/>
      <c r="E578" s="3" t="s">
        <v>1632</v>
      </c>
      <c r="F578" s="3"/>
      <c r="G578" s="3"/>
      <c r="H578" s="3"/>
      <c r="I578" s="3"/>
      <c r="J578" t="s">
        <v>1633</v>
      </c>
    </row>
    <row r="579" spans="1:10">
      <c r="A579" s="3" t="s">
        <v>1619</v>
      </c>
      <c r="B579" s="3" t="s">
        <v>1629</v>
      </c>
      <c r="C579" s="3"/>
      <c r="D579" s="3"/>
      <c r="E579" s="3"/>
      <c r="F579" s="3" t="s">
        <v>1634</v>
      </c>
      <c r="G579" s="3"/>
      <c r="H579" s="3"/>
      <c r="I579" s="3"/>
      <c r="J579" t="s">
        <v>1635</v>
      </c>
    </row>
    <row r="580" spans="1:10">
      <c r="A580" s="3" t="s">
        <v>1619</v>
      </c>
      <c r="B580" s="3" t="s">
        <v>1629</v>
      </c>
      <c r="C580" s="3"/>
      <c r="D580" s="3"/>
      <c r="E580" s="3"/>
      <c r="F580" s="3" t="s">
        <v>1636</v>
      </c>
      <c r="G580" s="3"/>
      <c r="H580" s="3"/>
      <c r="I580" s="3"/>
      <c r="J580" t="s">
        <v>1637</v>
      </c>
    </row>
    <row r="581" spans="1:10">
      <c r="A581" s="3" t="s">
        <v>1619</v>
      </c>
      <c r="B581" s="3" t="s">
        <v>1638</v>
      </c>
      <c r="C581" s="3"/>
      <c r="D581" s="3"/>
      <c r="E581" s="3" t="s">
        <v>1639</v>
      </c>
      <c r="F581" s="3"/>
      <c r="G581" s="3"/>
      <c r="H581" s="3"/>
      <c r="I581" s="3"/>
      <c r="J581" t="s">
        <v>1640</v>
      </c>
    </row>
    <row r="582" spans="1:10">
      <c r="A582" s="3" t="s">
        <v>1619</v>
      </c>
      <c r="B582" s="3" t="s">
        <v>1638</v>
      </c>
      <c r="C582" s="3"/>
      <c r="D582" s="3"/>
      <c r="E582" s="3" t="s">
        <v>1641</v>
      </c>
      <c r="F582" s="3"/>
      <c r="G582" s="3"/>
      <c r="H582" s="3"/>
      <c r="I582" s="3"/>
      <c r="J582" t="s">
        <v>1642</v>
      </c>
    </row>
    <row r="583" spans="1:10">
      <c r="A583" s="3" t="s">
        <v>1643</v>
      </c>
      <c r="B583" s="3" t="s">
        <v>1644</v>
      </c>
      <c r="C583" s="3"/>
      <c r="D583" s="3"/>
      <c r="E583" s="3" t="s">
        <v>1645</v>
      </c>
      <c r="F583" s="3"/>
      <c r="G583" s="3"/>
      <c r="H583" s="3"/>
      <c r="I583" s="3"/>
      <c r="J583" t="s">
        <v>1646</v>
      </c>
    </row>
    <row r="584" spans="1:10">
      <c r="A584" s="3" t="s">
        <v>1643</v>
      </c>
      <c r="B584" s="3" t="s">
        <v>1644</v>
      </c>
      <c r="C584" s="3"/>
      <c r="D584" s="3"/>
      <c r="E584" s="3" t="s">
        <v>1647</v>
      </c>
      <c r="F584" s="3"/>
      <c r="G584" s="3"/>
      <c r="H584" s="3"/>
      <c r="I584" s="3"/>
      <c r="J584" t="s">
        <v>1648</v>
      </c>
    </row>
    <row r="585" spans="1:10">
      <c r="A585" s="3" t="s">
        <v>1649</v>
      </c>
      <c r="B585" s="3" t="s">
        <v>1650</v>
      </c>
      <c r="C585" s="3"/>
      <c r="D585" s="3"/>
      <c r="E585" s="3" t="s">
        <v>1651</v>
      </c>
      <c r="F585" s="3"/>
      <c r="G585" s="3"/>
      <c r="H585" s="3"/>
      <c r="I585" s="3"/>
      <c r="J585" t="s">
        <v>1652</v>
      </c>
    </row>
    <row r="586" spans="1:10">
      <c r="A586" s="3" t="s">
        <v>1649</v>
      </c>
      <c r="B586" s="3" t="s">
        <v>1650</v>
      </c>
      <c r="C586" s="3"/>
      <c r="D586" s="3"/>
      <c r="E586" s="3" t="s">
        <v>1653</v>
      </c>
      <c r="F586" s="3"/>
      <c r="G586" s="3"/>
      <c r="H586" s="3"/>
      <c r="I586" s="3"/>
      <c r="J586" t="s">
        <v>1654</v>
      </c>
    </row>
    <row r="587" spans="1:10">
      <c r="A587" s="3" t="s">
        <v>1649</v>
      </c>
      <c r="B587" s="3" t="s">
        <v>1655</v>
      </c>
      <c r="C587" s="3"/>
      <c r="D587" s="3"/>
      <c r="E587" s="3"/>
      <c r="F587" s="3"/>
      <c r="G587" s="3"/>
      <c r="H587" s="3"/>
      <c r="I587" s="3"/>
      <c r="J587" t="s">
        <v>1656</v>
      </c>
    </row>
    <row r="588" spans="1:10">
      <c r="A588" s="3" t="s">
        <v>1657</v>
      </c>
      <c r="B588" s="3" t="s">
        <v>1658</v>
      </c>
      <c r="C588" s="3"/>
      <c r="D588" s="3"/>
      <c r="E588" s="3"/>
      <c r="F588" s="3" t="s">
        <v>1659</v>
      </c>
      <c r="G588" s="3"/>
      <c r="H588" s="3"/>
      <c r="I588" s="3"/>
      <c r="J588" t="s">
        <v>1660</v>
      </c>
    </row>
    <row r="589" spans="1:10">
      <c r="A589" s="3" t="s">
        <v>1657</v>
      </c>
      <c r="B589" s="3" t="s">
        <v>1658</v>
      </c>
      <c r="C589" s="3"/>
      <c r="D589" s="3"/>
      <c r="E589" s="3"/>
      <c r="F589" s="3" t="s">
        <v>1661</v>
      </c>
      <c r="G589" s="3"/>
      <c r="H589" s="3"/>
      <c r="I589" s="3"/>
      <c r="J589" t="s">
        <v>1662</v>
      </c>
    </row>
    <row r="590" spans="1:10">
      <c r="A590" s="3" t="s">
        <v>1657</v>
      </c>
      <c r="B590" s="3" t="s">
        <v>1663</v>
      </c>
      <c r="C590" s="3"/>
      <c r="D590" s="3"/>
      <c r="E590" s="3" t="s">
        <v>1664</v>
      </c>
      <c r="F590" s="3"/>
      <c r="G590" s="3"/>
      <c r="H590" s="3"/>
      <c r="I590" s="3"/>
      <c r="J590" t="s">
        <v>1665</v>
      </c>
    </row>
    <row r="591" spans="1:10">
      <c r="A591" s="3" t="s">
        <v>1657</v>
      </c>
      <c r="B591" s="3" t="s">
        <v>1663</v>
      </c>
      <c r="C591" s="3"/>
      <c r="D591" s="3"/>
      <c r="E591" s="3" t="s">
        <v>1666</v>
      </c>
      <c r="F591" s="3"/>
      <c r="G591" s="3"/>
      <c r="H591" s="3"/>
      <c r="I591" s="3"/>
      <c r="J591" t="s">
        <v>1667</v>
      </c>
    </row>
    <row r="592" spans="1:10">
      <c r="A592" s="3" t="s">
        <v>1657</v>
      </c>
      <c r="B592" s="3" t="s">
        <v>1663</v>
      </c>
      <c r="C592" s="3"/>
      <c r="D592" s="3"/>
      <c r="E592" s="3" t="s">
        <v>1668</v>
      </c>
      <c r="F592" s="3"/>
      <c r="G592" s="3"/>
      <c r="H592" s="3"/>
      <c r="I592" s="3"/>
      <c r="J592" t="s">
        <v>1669</v>
      </c>
    </row>
    <row r="593" spans="1:10">
      <c r="A593" s="3" t="s">
        <v>1657</v>
      </c>
      <c r="B593" s="3" t="s">
        <v>1663</v>
      </c>
      <c r="C593" s="3"/>
      <c r="D593" s="3"/>
      <c r="E593" s="3"/>
      <c r="F593" s="3" t="s">
        <v>1670</v>
      </c>
      <c r="G593" s="3"/>
      <c r="H593" s="3"/>
      <c r="I593" s="3"/>
      <c r="J593" t="s">
        <v>1671</v>
      </c>
    </row>
    <row r="594" spans="1:10">
      <c r="A594" s="3" t="s">
        <v>1657</v>
      </c>
      <c r="B594" s="3" t="s">
        <v>1663</v>
      </c>
      <c r="C594" s="3"/>
      <c r="D594" s="3"/>
      <c r="E594" s="3"/>
      <c r="F594" s="3" t="s">
        <v>1672</v>
      </c>
      <c r="G594" s="3"/>
      <c r="H594" s="3"/>
      <c r="I594" s="3"/>
      <c r="J594" t="s">
        <v>1673</v>
      </c>
    </row>
    <row r="595" spans="1:10">
      <c r="A595" s="3" t="s">
        <v>1674</v>
      </c>
      <c r="B595" s="3" t="s">
        <v>1675</v>
      </c>
      <c r="C595" s="3"/>
      <c r="D595" s="3"/>
      <c r="E595" s="3" t="s">
        <v>1676</v>
      </c>
      <c r="F595" s="3"/>
      <c r="G595" s="3"/>
      <c r="H595" s="3"/>
      <c r="I595" s="3"/>
      <c r="J595" t="s">
        <v>1677</v>
      </c>
    </row>
    <row r="596" spans="1:10">
      <c r="A596" s="3" t="s">
        <v>1674</v>
      </c>
      <c r="B596" s="3" t="s">
        <v>1675</v>
      </c>
      <c r="C596" s="3"/>
      <c r="D596" s="3"/>
      <c r="E596" s="3" t="s">
        <v>1678</v>
      </c>
      <c r="F596" s="3"/>
      <c r="G596" s="3"/>
      <c r="H596" s="3"/>
      <c r="I596" s="3"/>
      <c r="J596" t="s">
        <v>1679</v>
      </c>
    </row>
    <row r="597" spans="1:10">
      <c r="A597" s="3" t="s">
        <v>1674</v>
      </c>
      <c r="B597" s="3" t="s">
        <v>1675</v>
      </c>
      <c r="C597" s="3"/>
      <c r="D597" s="3"/>
      <c r="E597" s="3" t="s">
        <v>1680</v>
      </c>
      <c r="F597" s="3"/>
      <c r="G597" s="3"/>
      <c r="H597" s="3"/>
      <c r="I597" s="3"/>
      <c r="J597" t="s">
        <v>1681</v>
      </c>
    </row>
    <row r="598" spans="1:10">
      <c r="A598" s="3" t="s">
        <v>1674</v>
      </c>
      <c r="B598" s="3" t="s">
        <v>1675</v>
      </c>
      <c r="C598" s="3"/>
      <c r="D598" s="3"/>
      <c r="E598" s="3"/>
      <c r="F598" s="3" t="s">
        <v>1682</v>
      </c>
      <c r="G598" s="3"/>
      <c r="H598" s="3"/>
      <c r="I598" s="3"/>
      <c r="J598" t="s">
        <v>1683</v>
      </c>
    </row>
    <row r="599" spans="1:10">
      <c r="A599" s="3" t="s">
        <v>1674</v>
      </c>
      <c r="B599" s="3" t="s">
        <v>1675</v>
      </c>
      <c r="C599" s="3"/>
      <c r="D599" s="3"/>
      <c r="E599" s="3"/>
      <c r="F599" s="3" t="s">
        <v>1684</v>
      </c>
      <c r="G599" s="3"/>
      <c r="H599" s="3"/>
      <c r="I599" s="3"/>
      <c r="J599" t="s">
        <v>1685</v>
      </c>
    </row>
    <row r="600" spans="1:10">
      <c r="A600" s="3" t="s">
        <v>1674</v>
      </c>
      <c r="B600" s="3" t="s">
        <v>1686</v>
      </c>
      <c r="C600" s="3"/>
      <c r="D600" s="3"/>
      <c r="E600" s="3" t="s">
        <v>1687</v>
      </c>
      <c r="F600" s="3"/>
      <c r="G600" s="3"/>
      <c r="H600" s="3"/>
      <c r="I600" s="3"/>
      <c r="J600" t="s">
        <v>1688</v>
      </c>
    </row>
    <row r="601" spans="1:10">
      <c r="A601" s="3" t="s">
        <v>1674</v>
      </c>
      <c r="B601" s="3" t="s">
        <v>1686</v>
      </c>
      <c r="C601" s="3"/>
      <c r="D601" s="3"/>
      <c r="E601" s="3"/>
      <c r="F601" s="3" t="s">
        <v>1689</v>
      </c>
      <c r="G601" s="3"/>
      <c r="H601" s="3"/>
      <c r="I601" s="3"/>
      <c r="J601" t="s">
        <v>1690</v>
      </c>
    </row>
    <row r="602" spans="1:10">
      <c r="A602" s="3" t="s">
        <v>1674</v>
      </c>
      <c r="B602" s="3" t="s">
        <v>1686</v>
      </c>
      <c r="C602" s="3"/>
      <c r="D602" s="3"/>
      <c r="E602" s="3"/>
      <c r="F602" s="3" t="s">
        <v>1691</v>
      </c>
      <c r="G602" s="3"/>
      <c r="H602" s="3"/>
      <c r="I602" s="3"/>
      <c r="J602" t="s">
        <v>1692</v>
      </c>
    </row>
    <row r="603" spans="1:10">
      <c r="A603" s="3" t="s">
        <v>1674</v>
      </c>
      <c r="B603" s="3" t="s">
        <v>1693</v>
      </c>
      <c r="C603" s="3"/>
      <c r="D603" s="3"/>
      <c r="E603" s="3"/>
      <c r="F603" s="3"/>
      <c r="G603" s="3"/>
      <c r="H603" s="3"/>
      <c r="I603" s="3"/>
      <c r="J603" t="s">
        <v>1694</v>
      </c>
    </row>
    <row r="604" spans="1:10">
      <c r="A604" s="3" t="s">
        <v>1695</v>
      </c>
      <c r="B604" s="3" t="s">
        <v>1696</v>
      </c>
      <c r="C604" s="3"/>
      <c r="D604" s="3"/>
      <c r="E604" s="3"/>
      <c r="F604" s="3"/>
      <c r="G604" s="3"/>
      <c r="H604" s="3"/>
      <c r="I604" s="3"/>
      <c r="J604" t="s">
        <v>1697</v>
      </c>
    </row>
    <row r="605" spans="1:10">
      <c r="A605" s="3" t="s">
        <v>1695</v>
      </c>
      <c r="B605" s="3" t="s">
        <v>1698</v>
      </c>
      <c r="C605" s="3"/>
      <c r="D605" s="3"/>
      <c r="E605" s="3" t="s">
        <v>1699</v>
      </c>
      <c r="F605" s="3"/>
      <c r="G605" s="3"/>
      <c r="H605" s="3"/>
      <c r="I605" s="3"/>
      <c r="J605" t="s">
        <v>1700</v>
      </c>
    </row>
    <row r="606" spans="1:10">
      <c r="A606" s="3" t="s">
        <v>1695</v>
      </c>
      <c r="B606" s="3" t="s">
        <v>1698</v>
      </c>
      <c r="C606" s="3"/>
      <c r="D606" s="3"/>
      <c r="E606" s="3"/>
      <c r="F606" s="3" t="s">
        <v>1701</v>
      </c>
      <c r="G606" s="3"/>
      <c r="H606" s="3"/>
      <c r="I606" s="3"/>
      <c r="J606" t="s">
        <v>1702</v>
      </c>
    </row>
    <row r="607" spans="1:10">
      <c r="A607" s="3" t="s">
        <v>1695</v>
      </c>
      <c r="B607" s="3" t="s">
        <v>1698</v>
      </c>
      <c r="C607" s="3"/>
      <c r="D607" s="3"/>
      <c r="E607" s="3"/>
      <c r="F607" s="3" t="s">
        <v>1703</v>
      </c>
      <c r="G607" s="3"/>
      <c r="H607" s="3"/>
      <c r="I607" s="3"/>
      <c r="J607" t="s">
        <v>1704</v>
      </c>
    </row>
    <row r="608" spans="1:10">
      <c r="A608" s="3" t="s">
        <v>1695</v>
      </c>
      <c r="B608" s="3" t="s">
        <v>1698</v>
      </c>
      <c r="C608" s="3"/>
      <c r="D608" s="3"/>
      <c r="E608" s="3"/>
      <c r="F608" s="3" t="s">
        <v>1705</v>
      </c>
      <c r="G608" s="3"/>
      <c r="H608" s="3"/>
      <c r="I608" s="3"/>
      <c r="J608" t="s">
        <v>1706</v>
      </c>
    </row>
    <row r="609" spans="1:10">
      <c r="A609" s="3" t="s">
        <v>1707</v>
      </c>
      <c r="B609" s="3" t="s">
        <v>1708</v>
      </c>
      <c r="C609" s="3"/>
      <c r="D609" s="3"/>
      <c r="E609" s="3" t="s">
        <v>1709</v>
      </c>
      <c r="F609" s="3"/>
      <c r="G609" s="3"/>
      <c r="H609" s="3"/>
      <c r="I609" s="3"/>
      <c r="J609" t="s">
        <v>1710</v>
      </c>
    </row>
    <row r="610" spans="1:10">
      <c r="A610" s="3" t="s">
        <v>1707</v>
      </c>
      <c r="B610" s="3" t="s">
        <v>1708</v>
      </c>
      <c r="C610" s="3"/>
      <c r="D610" s="3"/>
      <c r="E610" s="3" t="s">
        <v>1711</v>
      </c>
      <c r="F610" s="3"/>
      <c r="G610" s="3"/>
      <c r="H610" s="3"/>
      <c r="I610" s="3"/>
      <c r="J610" t="s">
        <v>1712</v>
      </c>
    </row>
    <row r="611" spans="1:10">
      <c r="A611" s="3" t="s">
        <v>1707</v>
      </c>
      <c r="B611" s="3" t="s">
        <v>1708</v>
      </c>
      <c r="C611" s="3"/>
      <c r="D611" s="3"/>
      <c r="E611" s="3"/>
      <c r="F611" s="3" t="s">
        <v>1713</v>
      </c>
      <c r="G611" s="3"/>
      <c r="H611" s="3"/>
      <c r="I611" s="3"/>
      <c r="J611" t="s">
        <v>1714</v>
      </c>
    </row>
    <row r="612" spans="1:10">
      <c r="A612" s="3" t="s">
        <v>1707</v>
      </c>
      <c r="B612" s="3" t="s">
        <v>1708</v>
      </c>
      <c r="C612" s="3"/>
      <c r="D612" s="3"/>
      <c r="E612" s="3"/>
      <c r="F612" s="3" t="s">
        <v>1715</v>
      </c>
      <c r="G612" s="3"/>
      <c r="H612" s="3"/>
      <c r="I612" s="3"/>
      <c r="J612" t="s">
        <v>1716</v>
      </c>
    </row>
    <row r="613" spans="1:10">
      <c r="A613" s="3" t="s">
        <v>1707</v>
      </c>
      <c r="B613" s="3" t="s">
        <v>1717</v>
      </c>
      <c r="C613" s="3"/>
      <c r="D613" s="3"/>
      <c r="E613" s="3" t="s">
        <v>1718</v>
      </c>
      <c r="F613" s="3"/>
      <c r="G613" s="3"/>
      <c r="H613" s="3"/>
      <c r="I613" s="3"/>
      <c r="J613" t="s">
        <v>1719</v>
      </c>
    </row>
    <row r="614" spans="1:10">
      <c r="A614" s="3" t="s">
        <v>1707</v>
      </c>
      <c r="B614" s="3" t="s">
        <v>1717</v>
      </c>
      <c r="C614" s="3"/>
      <c r="D614" s="3"/>
      <c r="E614" s="3" t="s">
        <v>1720</v>
      </c>
      <c r="F614" s="3"/>
      <c r="G614" s="3"/>
      <c r="H614" s="3"/>
      <c r="I614" s="3"/>
      <c r="J614" t="s">
        <v>1721</v>
      </c>
    </row>
    <row r="615" spans="1:10">
      <c r="A615" s="3" t="s">
        <v>1722</v>
      </c>
      <c r="B615" s="3" t="s">
        <v>1723</v>
      </c>
      <c r="C615" s="3"/>
      <c r="D615" s="3"/>
      <c r="E615" s="3"/>
      <c r="F615" s="3" t="s">
        <v>1724</v>
      </c>
      <c r="G615" s="3"/>
      <c r="H615" s="3"/>
      <c r="I615" s="3"/>
      <c r="J615" t="s">
        <v>1725</v>
      </c>
    </row>
    <row r="616" spans="1:10">
      <c r="A616" s="3" t="s">
        <v>1722</v>
      </c>
      <c r="B616" s="3" t="s">
        <v>1723</v>
      </c>
      <c r="C616" s="3"/>
      <c r="D616" s="3"/>
      <c r="E616" s="3"/>
      <c r="F616" s="3" t="s">
        <v>1726</v>
      </c>
      <c r="G616" s="3"/>
      <c r="H616" s="3"/>
      <c r="I616" s="3"/>
      <c r="J616" t="s">
        <v>1727</v>
      </c>
    </row>
    <row r="617" spans="1:10">
      <c r="A617" s="3" t="s">
        <v>1722</v>
      </c>
      <c r="B617" s="3" t="s">
        <v>1728</v>
      </c>
      <c r="C617" s="3"/>
      <c r="D617" s="3"/>
      <c r="E617" s="3" t="s">
        <v>1729</v>
      </c>
      <c r="F617" s="3"/>
      <c r="G617" s="3"/>
      <c r="H617" s="3"/>
      <c r="I617" s="3"/>
      <c r="J617" t="s">
        <v>1730</v>
      </c>
    </row>
    <row r="618" spans="1:10">
      <c r="A618" s="3" t="s">
        <v>1722</v>
      </c>
      <c r="B618" s="3" t="s">
        <v>1728</v>
      </c>
      <c r="C618" s="3"/>
      <c r="D618" s="3"/>
      <c r="E618" s="3" t="s">
        <v>1731</v>
      </c>
      <c r="F618" s="3"/>
      <c r="G618" s="3"/>
      <c r="H618" s="3"/>
      <c r="I618" s="3"/>
      <c r="J618" t="s">
        <v>1732</v>
      </c>
    </row>
    <row r="619" spans="1:10">
      <c r="A619" s="3" t="s">
        <v>1722</v>
      </c>
      <c r="B619" s="3" t="s">
        <v>1728</v>
      </c>
      <c r="C619" s="3"/>
      <c r="D619" s="3"/>
      <c r="E619" s="3"/>
      <c r="F619" s="3" t="s">
        <v>1733</v>
      </c>
      <c r="G619" s="3"/>
      <c r="H619" s="3"/>
      <c r="I619" s="3"/>
      <c r="J619" t="s">
        <v>1734</v>
      </c>
    </row>
    <row r="620" spans="1:10">
      <c r="A620" s="3" t="s">
        <v>1722</v>
      </c>
      <c r="B620" s="3" t="s">
        <v>1728</v>
      </c>
      <c r="C620" s="3"/>
      <c r="D620" s="3"/>
      <c r="E620" s="3"/>
      <c r="F620" s="3" t="s">
        <v>1735</v>
      </c>
      <c r="G620" s="3"/>
      <c r="H620" s="3"/>
      <c r="I620" s="3"/>
      <c r="J620" t="s">
        <v>1736</v>
      </c>
    </row>
    <row r="621" spans="1:10">
      <c r="A621" s="3" t="s">
        <v>1737</v>
      </c>
      <c r="B621" s="3" t="s">
        <v>1738</v>
      </c>
      <c r="C621" s="3"/>
      <c r="D621" s="3"/>
      <c r="E621" s="3"/>
      <c r="F621" s="3"/>
      <c r="G621" s="3"/>
      <c r="H621" s="3"/>
      <c r="I621" s="3"/>
      <c r="J621" t="s">
        <v>1739</v>
      </c>
    </row>
    <row r="622" spans="1:10">
      <c r="A622" s="3" t="s">
        <v>1740</v>
      </c>
      <c r="B622" s="3" t="s">
        <v>1741</v>
      </c>
      <c r="C622" s="3"/>
      <c r="D622" s="3"/>
      <c r="E622" s="3" t="s">
        <v>1742</v>
      </c>
      <c r="F622" s="3"/>
      <c r="G622" s="3"/>
      <c r="H622" s="3"/>
      <c r="I622" s="3"/>
      <c r="J622" t="s">
        <v>1743</v>
      </c>
    </row>
    <row r="623" spans="1:10">
      <c r="A623" s="3" t="s">
        <v>1740</v>
      </c>
      <c r="B623" s="3" t="s">
        <v>1741</v>
      </c>
      <c r="C623" s="3"/>
      <c r="D623" s="3"/>
      <c r="E623" s="3" t="s">
        <v>1744</v>
      </c>
      <c r="F623" s="3"/>
      <c r="G623" s="3"/>
      <c r="H623" s="3"/>
      <c r="I623" s="3"/>
      <c r="J623" t="s">
        <v>1745</v>
      </c>
    </row>
    <row r="624" spans="1:10">
      <c r="A624" s="3" t="s">
        <v>1740</v>
      </c>
      <c r="B624" s="3" t="s">
        <v>1741</v>
      </c>
      <c r="C624" s="3"/>
      <c r="D624" s="3"/>
      <c r="E624" s="3"/>
      <c r="F624" s="3" t="s">
        <v>1746</v>
      </c>
      <c r="G624" s="3"/>
      <c r="H624" s="3"/>
      <c r="I624" s="3"/>
      <c r="J624" t="s">
        <v>1747</v>
      </c>
    </row>
    <row r="625" spans="1:10">
      <c r="A625" s="3" t="s">
        <v>1740</v>
      </c>
      <c r="B625" s="3" t="s">
        <v>1741</v>
      </c>
      <c r="C625" s="3"/>
      <c r="D625" s="3"/>
      <c r="E625" s="3"/>
      <c r="F625" s="3" t="s">
        <v>1748</v>
      </c>
      <c r="G625" s="3"/>
      <c r="H625" s="3"/>
      <c r="I625" s="3"/>
      <c r="J625" t="s">
        <v>1749</v>
      </c>
    </row>
    <row r="626" spans="1:10">
      <c r="A626" s="3" t="s">
        <v>1740</v>
      </c>
      <c r="B626" s="3" t="s">
        <v>1750</v>
      </c>
      <c r="C626" s="3"/>
      <c r="D626" s="3"/>
      <c r="E626" s="3" t="s">
        <v>1751</v>
      </c>
      <c r="F626" s="3"/>
      <c r="G626" s="3"/>
      <c r="H626" s="3"/>
      <c r="I626" s="3"/>
      <c r="J626" t="s">
        <v>1752</v>
      </c>
    </row>
    <row r="627" spans="1:10">
      <c r="A627" s="3" t="s">
        <v>1740</v>
      </c>
      <c r="B627" s="3" t="s">
        <v>1750</v>
      </c>
      <c r="C627" s="3"/>
      <c r="D627" s="3"/>
      <c r="E627" s="3" t="s">
        <v>1753</v>
      </c>
      <c r="F627" s="3"/>
      <c r="G627" s="3"/>
      <c r="H627" s="3"/>
      <c r="I627" s="3"/>
      <c r="J627" t="s">
        <v>1754</v>
      </c>
    </row>
    <row r="628" spans="1:10">
      <c r="A628" s="3" t="s">
        <v>1740</v>
      </c>
      <c r="B628" s="3" t="s">
        <v>1750</v>
      </c>
      <c r="C628" s="3"/>
      <c r="D628" s="3"/>
      <c r="E628" s="3"/>
      <c r="F628" s="3" t="s">
        <v>1755</v>
      </c>
      <c r="G628" s="3"/>
      <c r="H628" s="3"/>
      <c r="I628" s="3"/>
      <c r="J628" t="s">
        <v>1756</v>
      </c>
    </row>
    <row r="629" spans="1:10">
      <c r="A629" s="3" t="s">
        <v>1740</v>
      </c>
      <c r="B629" s="3" t="s">
        <v>1750</v>
      </c>
      <c r="C629" s="3"/>
      <c r="D629" s="3"/>
      <c r="E629" s="3"/>
      <c r="F629" s="3" t="s">
        <v>1757</v>
      </c>
      <c r="G629" s="3"/>
      <c r="H629" s="3"/>
      <c r="I629" s="3"/>
      <c r="J629" t="s">
        <v>1758</v>
      </c>
    </row>
    <row r="630" spans="1:10">
      <c r="A630" s="3" t="s">
        <v>1740</v>
      </c>
      <c r="B630" s="3" t="s">
        <v>1750</v>
      </c>
      <c r="C630" s="3"/>
      <c r="D630" s="3"/>
      <c r="E630" s="3"/>
      <c r="F630" s="3" t="s">
        <v>1759</v>
      </c>
      <c r="G630" s="3"/>
      <c r="H630" s="3"/>
      <c r="I630" s="3"/>
      <c r="J630" t="s">
        <v>1760</v>
      </c>
    </row>
    <row r="631" spans="1:10">
      <c r="A631" s="3" t="s">
        <v>1761</v>
      </c>
      <c r="B631" s="3" t="s">
        <v>1762</v>
      </c>
      <c r="C631" s="3"/>
      <c r="D631" s="3"/>
      <c r="E631" s="3" t="s">
        <v>1763</v>
      </c>
      <c r="F631" s="3"/>
      <c r="G631" s="3"/>
      <c r="H631" s="3"/>
      <c r="I631" s="3"/>
      <c r="J631" t="s">
        <v>1764</v>
      </c>
    </row>
    <row r="632" spans="1:10">
      <c r="A632" s="3" t="s">
        <v>1761</v>
      </c>
      <c r="B632" s="3" t="s">
        <v>1762</v>
      </c>
      <c r="C632" s="3"/>
      <c r="D632" s="3"/>
      <c r="E632" s="3" t="s">
        <v>1765</v>
      </c>
      <c r="F632" s="3"/>
      <c r="G632" s="3"/>
      <c r="H632" s="3"/>
      <c r="I632" s="3"/>
      <c r="J632" t="s">
        <v>1766</v>
      </c>
    </row>
    <row r="633" spans="1:10">
      <c r="A633" s="3" t="s">
        <v>1761</v>
      </c>
      <c r="B633" s="3" t="s">
        <v>1762</v>
      </c>
      <c r="C633" s="3"/>
      <c r="D633" s="3"/>
      <c r="E633" s="3"/>
      <c r="F633" s="3" t="s">
        <v>1767</v>
      </c>
      <c r="G633" s="3"/>
      <c r="H633" s="3"/>
      <c r="I633" s="3"/>
      <c r="J633" t="s">
        <v>1768</v>
      </c>
    </row>
    <row r="634" spans="1:10">
      <c r="A634" s="3" t="s">
        <v>1761</v>
      </c>
      <c r="B634" s="3" t="s">
        <v>1762</v>
      </c>
      <c r="C634" s="3"/>
      <c r="D634" s="3"/>
      <c r="E634" s="3"/>
      <c r="F634" s="3" t="s">
        <v>1769</v>
      </c>
      <c r="G634" s="3"/>
      <c r="H634" s="3"/>
      <c r="I634" s="3"/>
      <c r="J634" t="s">
        <v>1770</v>
      </c>
    </row>
    <row r="635" spans="1:10">
      <c r="A635" s="3" t="s">
        <v>1761</v>
      </c>
      <c r="B635" s="3" t="s">
        <v>1771</v>
      </c>
      <c r="C635" s="3"/>
      <c r="D635" s="3"/>
      <c r="E635" s="3" t="s">
        <v>1772</v>
      </c>
      <c r="F635" s="3"/>
      <c r="G635" s="3"/>
      <c r="H635" s="3"/>
      <c r="I635" s="3"/>
      <c r="J635" t="s">
        <v>1773</v>
      </c>
    </row>
    <row r="636" spans="1:10">
      <c r="A636" s="3" t="s">
        <v>1761</v>
      </c>
      <c r="B636" s="3" t="s">
        <v>1771</v>
      </c>
      <c r="C636" s="3"/>
      <c r="D636" s="3"/>
      <c r="E636" s="3" t="s">
        <v>1774</v>
      </c>
      <c r="F636" s="3"/>
      <c r="G636" s="3"/>
      <c r="H636" s="3"/>
      <c r="I636" s="3"/>
      <c r="J636" t="s">
        <v>1775</v>
      </c>
    </row>
    <row r="637" spans="1:10">
      <c r="A637" s="3" t="s">
        <v>1776</v>
      </c>
      <c r="B637" s="3" t="s">
        <v>1777</v>
      </c>
      <c r="C637" s="3"/>
      <c r="D637" s="3"/>
      <c r="E637" s="3" t="s">
        <v>1778</v>
      </c>
      <c r="F637" s="3"/>
      <c r="G637" s="3"/>
      <c r="H637" s="3"/>
      <c r="I637" s="3"/>
      <c r="J637" t="s">
        <v>1779</v>
      </c>
    </row>
    <row r="638" spans="1:10">
      <c r="A638" s="3" t="s">
        <v>1776</v>
      </c>
      <c r="B638" s="3" t="s">
        <v>1777</v>
      </c>
      <c r="C638" s="3"/>
      <c r="D638" s="3"/>
      <c r="E638" s="3" t="s">
        <v>1780</v>
      </c>
      <c r="F638" s="3"/>
      <c r="G638" s="3"/>
      <c r="H638" s="3"/>
      <c r="I638" s="3"/>
      <c r="J638" t="s">
        <v>1781</v>
      </c>
    </row>
    <row r="639" spans="1:10">
      <c r="A639" s="3" t="s">
        <v>1776</v>
      </c>
      <c r="B639" s="3" t="s">
        <v>1777</v>
      </c>
      <c r="C639" s="3"/>
      <c r="D639" s="3"/>
      <c r="E639" s="3"/>
      <c r="F639" s="3" t="s">
        <v>1782</v>
      </c>
      <c r="G639" s="3"/>
      <c r="H639" s="3"/>
      <c r="I639" s="3"/>
      <c r="J639" t="s">
        <v>1783</v>
      </c>
    </row>
    <row r="640" spans="1:10">
      <c r="A640" s="3" t="s">
        <v>1776</v>
      </c>
      <c r="B640" s="3" t="s">
        <v>1777</v>
      </c>
      <c r="C640" s="3"/>
      <c r="D640" s="3"/>
      <c r="E640" s="3"/>
      <c r="F640" s="3" t="s">
        <v>1784</v>
      </c>
      <c r="G640" s="3"/>
      <c r="H640" s="3"/>
      <c r="I640" s="3"/>
      <c r="J640" t="s">
        <v>1785</v>
      </c>
    </row>
    <row r="641" spans="1:10">
      <c r="A641" s="3" t="s">
        <v>1776</v>
      </c>
      <c r="B641" s="3" t="s">
        <v>1786</v>
      </c>
      <c r="C641" s="3"/>
      <c r="D641" s="3"/>
      <c r="E641" s="3" t="s">
        <v>1787</v>
      </c>
      <c r="F641" s="3"/>
      <c r="G641" s="3"/>
      <c r="H641" s="3"/>
      <c r="I641" s="3"/>
      <c r="J641" t="s">
        <v>1788</v>
      </c>
    </row>
    <row r="642" spans="1:10">
      <c r="A642" s="3" t="s">
        <v>1776</v>
      </c>
      <c r="B642" s="3" t="s">
        <v>1786</v>
      </c>
      <c r="C642" s="3"/>
      <c r="D642" s="3"/>
      <c r="E642" s="3" t="s">
        <v>1789</v>
      </c>
      <c r="F642" s="3"/>
      <c r="G642" s="3"/>
      <c r="H642" s="3"/>
      <c r="I642" s="3"/>
      <c r="J642" t="s">
        <v>1790</v>
      </c>
    </row>
    <row r="643" spans="1:10">
      <c r="A643" s="3" t="s">
        <v>1776</v>
      </c>
      <c r="B643" s="3" t="s">
        <v>1786</v>
      </c>
      <c r="C643" s="3"/>
      <c r="D643" s="3"/>
      <c r="E643" s="3"/>
      <c r="F643" s="3" t="s">
        <v>1791</v>
      </c>
      <c r="G643" s="3"/>
      <c r="H643" s="3"/>
      <c r="I643" s="3"/>
      <c r="J643" t="s">
        <v>1792</v>
      </c>
    </row>
    <row r="644" spans="1:10">
      <c r="A644" s="3" t="s">
        <v>1776</v>
      </c>
      <c r="B644" s="3" t="s">
        <v>1786</v>
      </c>
      <c r="C644" s="3"/>
      <c r="D644" s="3"/>
      <c r="E644" s="3"/>
      <c r="F644" s="3" t="s">
        <v>1793</v>
      </c>
      <c r="G644" s="3"/>
      <c r="H644" s="3"/>
      <c r="I644" s="3"/>
      <c r="J644" t="s">
        <v>1794</v>
      </c>
    </row>
    <row r="645" spans="1:10">
      <c r="A645" s="3" t="s">
        <v>1795</v>
      </c>
      <c r="B645" s="3" t="s">
        <v>1796</v>
      </c>
      <c r="C645" s="3"/>
      <c r="D645" s="3"/>
      <c r="E645" s="3" t="s">
        <v>1797</v>
      </c>
      <c r="F645" s="3"/>
      <c r="G645" s="3"/>
      <c r="H645" s="3"/>
      <c r="I645" s="3"/>
      <c r="J645" t="s">
        <v>1798</v>
      </c>
    </row>
    <row r="646" spans="1:10">
      <c r="A646" s="3" t="s">
        <v>1795</v>
      </c>
      <c r="B646" s="3" t="s">
        <v>1796</v>
      </c>
      <c r="C646" s="3"/>
      <c r="D646" s="3"/>
      <c r="E646" s="3" t="s">
        <v>1799</v>
      </c>
      <c r="F646" s="3"/>
      <c r="G646" s="3"/>
      <c r="H646" s="3"/>
      <c r="I646" s="3"/>
      <c r="J646" t="s">
        <v>1800</v>
      </c>
    </row>
    <row r="647" spans="1:10">
      <c r="A647" s="3" t="s">
        <v>1795</v>
      </c>
      <c r="B647" s="3" t="s">
        <v>1796</v>
      </c>
      <c r="C647" s="3"/>
      <c r="D647" s="3"/>
      <c r="E647" s="3" t="s">
        <v>1801</v>
      </c>
      <c r="F647" s="3"/>
      <c r="G647" s="3"/>
      <c r="H647" s="3"/>
      <c r="I647" s="3"/>
      <c r="J647" t="s">
        <v>1802</v>
      </c>
    </row>
    <row r="648" spans="1:10">
      <c r="A648" s="3" t="s">
        <v>1795</v>
      </c>
      <c r="B648" s="3" t="s">
        <v>1796</v>
      </c>
      <c r="C648" s="3"/>
      <c r="D648" s="3"/>
      <c r="E648" s="3"/>
      <c r="F648" s="3" t="s">
        <v>1803</v>
      </c>
      <c r="G648" s="3"/>
      <c r="H648" s="3"/>
      <c r="I648" s="3"/>
      <c r="J648" t="s">
        <v>1804</v>
      </c>
    </row>
    <row r="649" spans="1:10">
      <c r="A649" s="3" t="s">
        <v>1795</v>
      </c>
      <c r="B649" s="3" t="s">
        <v>1796</v>
      </c>
      <c r="C649" s="3"/>
      <c r="D649" s="3"/>
      <c r="E649" s="3"/>
      <c r="F649" s="3" t="s">
        <v>1805</v>
      </c>
      <c r="G649" s="3"/>
      <c r="H649" s="3"/>
      <c r="I649" s="3"/>
      <c r="J649" t="s">
        <v>1806</v>
      </c>
    </row>
    <row r="650" spans="1:10">
      <c r="A650" s="3" t="s">
        <v>1795</v>
      </c>
      <c r="B650" s="3" t="s">
        <v>1807</v>
      </c>
      <c r="C650" s="3"/>
      <c r="D650" s="3"/>
      <c r="E650" s="3"/>
      <c r="F650" s="3"/>
      <c r="G650" s="3"/>
      <c r="H650" s="3"/>
      <c r="I650" s="3"/>
      <c r="J650" t="s">
        <v>1808</v>
      </c>
    </row>
    <row r="651" spans="1:10">
      <c r="A651" s="3" t="s">
        <v>1809</v>
      </c>
      <c r="B651" s="3" t="s">
        <v>1810</v>
      </c>
      <c r="C651" s="3"/>
      <c r="D651" s="3"/>
      <c r="E651" s="3" t="s">
        <v>1811</v>
      </c>
      <c r="F651" s="3"/>
      <c r="G651" s="3"/>
      <c r="H651" s="3"/>
      <c r="I651" s="3"/>
      <c r="J651" t="s">
        <v>1812</v>
      </c>
    </row>
    <row r="652" spans="1:10">
      <c r="A652" s="3" t="s">
        <v>1809</v>
      </c>
      <c r="B652" s="3" t="s">
        <v>1810</v>
      </c>
      <c r="C652" s="3"/>
      <c r="D652" s="3"/>
      <c r="E652" s="3" t="s">
        <v>1813</v>
      </c>
      <c r="F652" s="3"/>
      <c r="G652" s="3"/>
      <c r="H652" s="3"/>
      <c r="I652" s="3"/>
      <c r="J652" t="s">
        <v>1814</v>
      </c>
    </row>
    <row r="653" spans="1:10">
      <c r="A653" s="3" t="s">
        <v>1815</v>
      </c>
      <c r="B653" s="3" t="s">
        <v>1816</v>
      </c>
      <c r="C653" s="3"/>
      <c r="D653" s="3"/>
      <c r="E653" s="3" t="s">
        <v>1817</v>
      </c>
      <c r="F653" s="3"/>
      <c r="G653" s="3"/>
      <c r="H653" s="3"/>
      <c r="I653" s="3"/>
      <c r="J653" t="s">
        <v>1818</v>
      </c>
    </row>
    <row r="654" spans="1:10">
      <c r="A654" s="3" t="s">
        <v>1815</v>
      </c>
      <c r="B654" s="3" t="s">
        <v>1816</v>
      </c>
      <c r="C654" s="3"/>
      <c r="D654" s="3"/>
      <c r="E654" s="3" t="s">
        <v>1819</v>
      </c>
      <c r="F654" s="3"/>
      <c r="G654" s="3"/>
      <c r="H654" s="3"/>
      <c r="I654" s="3"/>
      <c r="J654" t="s">
        <v>1820</v>
      </c>
    </row>
    <row r="655" spans="1:10">
      <c r="A655" s="3" t="s">
        <v>1815</v>
      </c>
      <c r="B655" s="3" t="s">
        <v>1821</v>
      </c>
      <c r="C655" s="3"/>
      <c r="D655" s="3"/>
      <c r="E655" s="3" t="s">
        <v>1822</v>
      </c>
      <c r="F655" s="3"/>
      <c r="G655" s="3"/>
      <c r="H655" s="3"/>
      <c r="I655" s="3"/>
      <c r="J655" t="s">
        <v>1823</v>
      </c>
    </row>
    <row r="656" spans="1:10">
      <c r="A656" s="3" t="s">
        <v>1815</v>
      </c>
      <c r="B656" s="3" t="s">
        <v>1821</v>
      </c>
      <c r="C656" s="3"/>
      <c r="D656" s="3"/>
      <c r="E656" s="3" t="s">
        <v>1824</v>
      </c>
      <c r="F656" s="3"/>
      <c r="G656" s="3"/>
      <c r="H656" s="3"/>
      <c r="I656" s="3"/>
      <c r="J656" t="s">
        <v>1825</v>
      </c>
    </row>
    <row r="657" spans="1:10">
      <c r="A657" s="3" t="s">
        <v>1826</v>
      </c>
      <c r="B657" s="3" t="s">
        <v>1827</v>
      </c>
      <c r="C657" s="3"/>
      <c r="D657" s="3"/>
      <c r="E657" s="3"/>
      <c r="F657" s="3" t="s">
        <v>1828</v>
      </c>
      <c r="G657" s="3"/>
      <c r="H657" s="3"/>
      <c r="I657" s="3"/>
      <c r="J657" t="s">
        <v>1829</v>
      </c>
    </row>
    <row r="658" spans="1:10">
      <c r="A658" s="3" t="s">
        <v>1826</v>
      </c>
      <c r="B658" s="3" t="s">
        <v>1827</v>
      </c>
      <c r="C658" s="3"/>
      <c r="D658" s="3"/>
      <c r="E658" s="3"/>
      <c r="F658" s="3" t="s">
        <v>1830</v>
      </c>
      <c r="G658" s="3"/>
      <c r="H658" s="3"/>
      <c r="I658" s="3"/>
      <c r="J658" t="s">
        <v>1831</v>
      </c>
    </row>
    <row r="659" spans="1:10">
      <c r="A659" s="3" t="s">
        <v>1826</v>
      </c>
      <c r="B659" s="3" t="s">
        <v>1832</v>
      </c>
      <c r="C659" s="3"/>
      <c r="D659" s="3"/>
      <c r="E659" s="3" t="s">
        <v>1833</v>
      </c>
      <c r="F659" s="3"/>
      <c r="G659" s="3"/>
      <c r="H659" s="3"/>
      <c r="I659" s="3"/>
      <c r="J659" t="s">
        <v>1834</v>
      </c>
    </row>
    <row r="660" spans="1:10">
      <c r="A660" s="3" t="s">
        <v>1826</v>
      </c>
      <c r="B660" s="3" t="s">
        <v>1832</v>
      </c>
      <c r="C660" s="3"/>
      <c r="D660" s="3"/>
      <c r="E660" s="3" t="s">
        <v>1835</v>
      </c>
      <c r="F660" s="3"/>
      <c r="G660" s="3"/>
      <c r="H660" s="3"/>
      <c r="I660" s="3"/>
      <c r="J660" t="s">
        <v>1836</v>
      </c>
    </row>
    <row r="661" spans="1:10">
      <c r="A661" s="3" t="s">
        <v>1826</v>
      </c>
      <c r="B661" s="3" t="s">
        <v>1832</v>
      </c>
      <c r="C661" s="3"/>
      <c r="D661" s="3"/>
      <c r="E661" s="3"/>
      <c r="F661" s="3" t="s">
        <v>1837</v>
      </c>
      <c r="G661" s="3"/>
      <c r="H661" s="3"/>
      <c r="I661" s="3"/>
      <c r="J661" t="s">
        <v>1838</v>
      </c>
    </row>
    <row r="662" spans="1:10">
      <c r="A662" s="3" t="s">
        <v>1826</v>
      </c>
      <c r="B662" s="3" t="s">
        <v>1832</v>
      </c>
      <c r="C662" s="3"/>
      <c r="D662" s="3"/>
      <c r="E662" s="3"/>
      <c r="F662" s="3" t="s">
        <v>1839</v>
      </c>
      <c r="G662" s="3"/>
      <c r="H662" s="3"/>
      <c r="I662" s="3"/>
      <c r="J662" t="s">
        <v>1840</v>
      </c>
    </row>
    <row r="663" spans="1:10">
      <c r="A663" s="3" t="s">
        <v>1841</v>
      </c>
      <c r="B663" s="3" t="s">
        <v>1842</v>
      </c>
      <c r="C663" s="3"/>
      <c r="D663" s="3"/>
      <c r="E663" s="3" t="s">
        <v>1843</v>
      </c>
      <c r="F663" s="3"/>
      <c r="G663" s="3"/>
      <c r="H663" s="3"/>
      <c r="I663" s="3"/>
      <c r="J663" t="s">
        <v>1844</v>
      </c>
    </row>
    <row r="664" spans="1:10">
      <c r="A664" s="3" t="s">
        <v>1841</v>
      </c>
      <c r="B664" s="3" t="s">
        <v>1842</v>
      </c>
      <c r="C664" s="3"/>
      <c r="D664" s="3"/>
      <c r="E664" s="3" t="s">
        <v>1845</v>
      </c>
      <c r="F664" s="3"/>
      <c r="G664" s="3"/>
      <c r="H664" s="3"/>
      <c r="I664" s="3"/>
      <c r="J664" t="s">
        <v>1846</v>
      </c>
    </row>
    <row r="665" spans="1:10">
      <c r="A665" s="3" t="s">
        <v>1841</v>
      </c>
      <c r="B665" s="3" t="s">
        <v>1842</v>
      </c>
      <c r="C665" s="3"/>
      <c r="D665" s="3"/>
      <c r="E665" s="3"/>
      <c r="F665" s="3" t="s">
        <v>1847</v>
      </c>
      <c r="G665" s="3"/>
      <c r="H665" s="3"/>
      <c r="I665" s="3"/>
      <c r="J665" t="s">
        <v>1848</v>
      </c>
    </row>
    <row r="666" spans="1:10">
      <c r="A666" s="3" t="s">
        <v>1841</v>
      </c>
      <c r="B666" s="3" t="s">
        <v>1842</v>
      </c>
      <c r="C666" s="3"/>
      <c r="D666" s="3"/>
      <c r="E666" s="3"/>
      <c r="F666" s="3" t="s">
        <v>1849</v>
      </c>
      <c r="G666" s="3"/>
      <c r="H666" s="3"/>
      <c r="I666" s="3"/>
      <c r="J666" t="s">
        <v>1850</v>
      </c>
    </row>
    <row r="667" spans="1:10">
      <c r="A667" s="3" t="s">
        <v>1841</v>
      </c>
      <c r="B667" s="3" t="s">
        <v>1851</v>
      </c>
      <c r="C667" s="3"/>
      <c r="D667" s="3"/>
      <c r="E667" s="3" t="s">
        <v>1852</v>
      </c>
      <c r="F667" s="3"/>
      <c r="G667" s="3"/>
      <c r="H667" s="3"/>
      <c r="I667" s="3"/>
      <c r="J667" t="s">
        <v>1853</v>
      </c>
    </row>
    <row r="668" spans="1:10">
      <c r="A668" s="3" t="s">
        <v>1841</v>
      </c>
      <c r="B668" s="3" t="s">
        <v>1851</v>
      </c>
      <c r="C668" s="3"/>
      <c r="D668" s="3"/>
      <c r="E668" s="3" t="s">
        <v>1854</v>
      </c>
      <c r="F668" s="3"/>
      <c r="G668" s="3"/>
      <c r="H668" s="3"/>
      <c r="I668" s="3"/>
      <c r="J668" t="s">
        <v>1855</v>
      </c>
    </row>
    <row r="669" spans="1:10">
      <c r="A669" s="3" t="s">
        <v>201</v>
      </c>
      <c r="B669" s="3" t="s">
        <v>202</v>
      </c>
      <c r="C669" s="3"/>
      <c r="D669" s="3" t="s">
        <v>1856</v>
      </c>
      <c r="E669" s="3"/>
      <c r="F669" s="3"/>
      <c r="G669" s="3"/>
      <c r="H669" s="3" t="s">
        <v>1857</v>
      </c>
      <c r="I669" s="3"/>
      <c r="J669" t="s">
        <v>1858</v>
      </c>
    </row>
    <row r="670" spans="1:10">
      <c r="A670" s="3" t="s">
        <v>201</v>
      </c>
      <c r="B670" s="3" t="s">
        <v>202</v>
      </c>
      <c r="C670" s="3"/>
      <c r="D670" s="3" t="s">
        <v>1856</v>
      </c>
      <c r="E670" s="3"/>
      <c r="F670" s="3"/>
      <c r="G670" s="3"/>
      <c r="H670" s="3" t="s">
        <v>1859</v>
      </c>
      <c r="I670" s="3"/>
      <c r="J670" t="s">
        <v>1860</v>
      </c>
    </row>
    <row r="671" spans="1:10">
      <c r="A671" s="3" t="s">
        <v>201</v>
      </c>
      <c r="B671" s="3" t="s">
        <v>202</v>
      </c>
      <c r="C671" s="3"/>
      <c r="D671" s="3" t="s">
        <v>1856</v>
      </c>
      <c r="E671" s="3"/>
      <c r="F671" s="3"/>
      <c r="G671" s="3"/>
      <c r="H671" s="3" t="s">
        <v>1861</v>
      </c>
      <c r="I671" s="3"/>
      <c r="J671" t="s">
        <v>1862</v>
      </c>
    </row>
    <row r="672" spans="1:10">
      <c r="A672" s="3" t="s">
        <v>201</v>
      </c>
      <c r="B672" s="3" t="s">
        <v>202</v>
      </c>
      <c r="C672" s="3"/>
      <c r="D672" s="3" t="s">
        <v>1856</v>
      </c>
      <c r="E672" s="3"/>
      <c r="F672" s="3"/>
      <c r="G672" s="3"/>
      <c r="H672" s="3"/>
      <c r="I672" s="3" t="s">
        <v>1863</v>
      </c>
      <c r="J672" t="s">
        <v>1864</v>
      </c>
    </row>
    <row r="673" spans="1:10">
      <c r="A673" s="3" t="s">
        <v>201</v>
      </c>
      <c r="B673" s="3" t="s">
        <v>202</v>
      </c>
      <c r="C673" s="3"/>
      <c r="D673" s="3" t="s">
        <v>1856</v>
      </c>
      <c r="E673" s="3"/>
      <c r="F673" s="3"/>
      <c r="G673" s="3"/>
      <c r="H673" s="3"/>
      <c r="I673" s="3" t="s">
        <v>1865</v>
      </c>
      <c r="J673" t="s">
        <v>1866</v>
      </c>
    </row>
    <row r="674" spans="1:10">
      <c r="A674" s="3" t="s">
        <v>201</v>
      </c>
      <c r="B674" s="3" t="s">
        <v>209</v>
      </c>
      <c r="C674" s="3" t="s">
        <v>7</v>
      </c>
      <c r="D674" s="3" t="s">
        <v>1867</v>
      </c>
      <c r="E674" s="3"/>
      <c r="F674" s="3"/>
      <c r="G674" s="3" t="s">
        <v>1868</v>
      </c>
      <c r="H674" s="3" t="s">
        <v>1869</v>
      </c>
      <c r="I674" s="3"/>
      <c r="J674" t="s">
        <v>1870</v>
      </c>
    </row>
    <row r="675" spans="1:10">
      <c r="A675" s="3" t="s">
        <v>201</v>
      </c>
      <c r="B675" s="3" t="s">
        <v>209</v>
      </c>
      <c r="C675" s="3" t="s">
        <v>7</v>
      </c>
      <c r="D675" s="3" t="s">
        <v>1867</v>
      </c>
      <c r="E675" s="3"/>
      <c r="F675" s="3"/>
      <c r="G675" s="3" t="s">
        <v>1868</v>
      </c>
      <c r="H675" s="3" t="s">
        <v>1871</v>
      </c>
      <c r="I675" s="3"/>
      <c r="J675" t="s">
        <v>1872</v>
      </c>
    </row>
    <row r="676" spans="1:10">
      <c r="A676" s="3" t="s">
        <v>201</v>
      </c>
      <c r="B676" s="3" t="s">
        <v>209</v>
      </c>
      <c r="C676" s="3" t="s">
        <v>7</v>
      </c>
      <c r="D676" s="3" t="s">
        <v>1867</v>
      </c>
      <c r="E676" s="3"/>
      <c r="F676" s="3"/>
      <c r="G676" s="3" t="s">
        <v>1868</v>
      </c>
      <c r="H676" s="3" t="s">
        <v>1873</v>
      </c>
      <c r="I676" s="3"/>
      <c r="J676" t="s">
        <v>1874</v>
      </c>
    </row>
    <row r="677" spans="1:10">
      <c r="A677" s="3" t="s">
        <v>201</v>
      </c>
      <c r="B677" s="3" t="s">
        <v>209</v>
      </c>
      <c r="C677" s="3" t="s">
        <v>7</v>
      </c>
      <c r="D677" s="3" t="s">
        <v>1867</v>
      </c>
      <c r="E677" s="3"/>
      <c r="F677" s="3"/>
      <c r="G677" s="3" t="s">
        <v>1868</v>
      </c>
      <c r="H677" s="3" t="s">
        <v>1875</v>
      </c>
      <c r="I677" s="3"/>
      <c r="J677" t="s">
        <v>1876</v>
      </c>
    </row>
    <row r="678" spans="1:10">
      <c r="A678" s="3" t="s">
        <v>201</v>
      </c>
      <c r="B678" s="3" t="s">
        <v>209</v>
      </c>
      <c r="C678" s="3" t="s">
        <v>7</v>
      </c>
      <c r="D678" s="3" t="s">
        <v>1867</v>
      </c>
      <c r="E678" s="3"/>
      <c r="F678" s="3"/>
      <c r="G678" s="3" t="s">
        <v>1877</v>
      </c>
      <c r="H678" s="3" t="s">
        <v>1869</v>
      </c>
      <c r="I678" s="3"/>
      <c r="J678" t="s">
        <v>1878</v>
      </c>
    </row>
    <row r="679" spans="1:10">
      <c r="A679" s="3" t="s">
        <v>201</v>
      </c>
      <c r="B679" s="3" t="s">
        <v>209</v>
      </c>
      <c r="C679" s="3" t="s">
        <v>7</v>
      </c>
      <c r="D679" s="3" t="s">
        <v>1867</v>
      </c>
      <c r="E679" s="3"/>
      <c r="F679" s="3"/>
      <c r="G679" s="3" t="s">
        <v>1877</v>
      </c>
      <c r="H679" s="3" t="s">
        <v>1871</v>
      </c>
      <c r="I679" s="3"/>
      <c r="J679" t="s">
        <v>1879</v>
      </c>
    </row>
    <row r="680" spans="1:10">
      <c r="A680" s="3" t="s">
        <v>201</v>
      </c>
      <c r="B680" s="3" t="s">
        <v>209</v>
      </c>
      <c r="C680" s="3" t="s">
        <v>7</v>
      </c>
      <c r="D680" s="3" t="s">
        <v>1867</v>
      </c>
      <c r="E680" s="3"/>
      <c r="F680" s="3"/>
      <c r="G680" s="3" t="s">
        <v>1877</v>
      </c>
      <c r="H680" s="3" t="s">
        <v>1873</v>
      </c>
      <c r="I680" s="3"/>
      <c r="J680" t="s">
        <v>1880</v>
      </c>
    </row>
    <row r="681" spans="1:10">
      <c r="A681" s="3" t="s">
        <v>201</v>
      </c>
      <c r="B681" s="3" t="s">
        <v>209</v>
      </c>
      <c r="C681" s="3" t="s">
        <v>7</v>
      </c>
      <c r="D681" s="3" t="s">
        <v>1867</v>
      </c>
      <c r="E681" s="3"/>
      <c r="F681" s="3"/>
      <c r="G681" s="3" t="s">
        <v>1877</v>
      </c>
      <c r="H681" s="3" t="s">
        <v>1875</v>
      </c>
      <c r="I681" s="3"/>
      <c r="J681" t="s">
        <v>1881</v>
      </c>
    </row>
    <row r="682" spans="1:10">
      <c r="A682" s="3" t="s">
        <v>201</v>
      </c>
      <c r="B682" s="3" t="s">
        <v>209</v>
      </c>
      <c r="C682" s="3" t="s">
        <v>7</v>
      </c>
      <c r="D682" s="3" t="s">
        <v>1867</v>
      </c>
      <c r="E682" s="3"/>
      <c r="F682" s="3"/>
      <c r="G682" s="3"/>
      <c r="H682" s="3"/>
      <c r="I682" s="3" t="s">
        <v>1882</v>
      </c>
      <c r="J682" t="s">
        <v>1883</v>
      </c>
    </row>
    <row r="683" spans="1:10">
      <c r="A683" s="3" t="s">
        <v>201</v>
      </c>
      <c r="B683" s="3" t="s">
        <v>209</v>
      </c>
      <c r="C683" s="3" t="s">
        <v>7</v>
      </c>
      <c r="D683" s="3" t="s">
        <v>1867</v>
      </c>
      <c r="E683" s="3"/>
      <c r="F683" s="3"/>
      <c r="G683" s="3"/>
      <c r="H683" s="3"/>
      <c r="I683" s="3" t="s">
        <v>1884</v>
      </c>
      <c r="J683" t="s">
        <v>1885</v>
      </c>
    </row>
    <row r="684" spans="1:10">
      <c r="A684" s="3" t="s">
        <v>218</v>
      </c>
      <c r="B684" s="3" t="s">
        <v>219</v>
      </c>
      <c r="C684" s="3" t="s">
        <v>10</v>
      </c>
      <c r="D684" s="3" t="s">
        <v>1886</v>
      </c>
      <c r="E684" s="3"/>
      <c r="F684" s="3"/>
      <c r="G684" s="3" t="s">
        <v>1887</v>
      </c>
      <c r="H684" s="3" t="s">
        <v>1888</v>
      </c>
      <c r="I684" s="3"/>
      <c r="J684" t="s">
        <v>1889</v>
      </c>
    </row>
    <row r="685" spans="1:10">
      <c r="A685" s="3" t="s">
        <v>218</v>
      </c>
      <c r="B685" s="3" t="s">
        <v>219</v>
      </c>
      <c r="C685" s="3" t="s">
        <v>10</v>
      </c>
      <c r="D685" s="3" t="s">
        <v>1886</v>
      </c>
      <c r="E685" s="3"/>
      <c r="F685" s="3"/>
      <c r="G685" s="3" t="s">
        <v>1887</v>
      </c>
      <c r="H685" s="3" t="s">
        <v>1890</v>
      </c>
      <c r="I685" s="3"/>
      <c r="J685" t="s">
        <v>1891</v>
      </c>
    </row>
    <row r="686" spans="1:10">
      <c r="A686" s="3" t="s">
        <v>218</v>
      </c>
      <c r="B686" s="3" t="s">
        <v>219</v>
      </c>
      <c r="C686" s="3" t="s">
        <v>10</v>
      </c>
      <c r="D686" s="3" t="s">
        <v>1886</v>
      </c>
      <c r="E686" s="3"/>
      <c r="F686" s="3"/>
      <c r="G686" s="3" t="s">
        <v>1887</v>
      </c>
      <c r="H686" s="3" t="s">
        <v>1892</v>
      </c>
      <c r="I686" s="3"/>
      <c r="J686" t="s">
        <v>1893</v>
      </c>
    </row>
    <row r="687" spans="1:10">
      <c r="A687" s="3" t="s">
        <v>218</v>
      </c>
      <c r="B687" s="3" t="s">
        <v>219</v>
      </c>
      <c r="C687" s="3" t="s">
        <v>10</v>
      </c>
      <c r="D687" s="3" t="s">
        <v>1886</v>
      </c>
      <c r="E687" s="3"/>
      <c r="F687" s="3"/>
      <c r="G687" s="3" t="s">
        <v>1887</v>
      </c>
      <c r="H687" s="3" t="s">
        <v>1894</v>
      </c>
      <c r="I687" s="3"/>
      <c r="J687" t="s">
        <v>1895</v>
      </c>
    </row>
    <row r="688" spans="1:10">
      <c r="A688" s="3" t="s">
        <v>218</v>
      </c>
      <c r="B688" s="3" t="s">
        <v>219</v>
      </c>
      <c r="C688" s="3" t="s">
        <v>10</v>
      </c>
      <c r="D688" s="3" t="s">
        <v>1886</v>
      </c>
      <c r="E688" s="3"/>
      <c r="F688" s="3"/>
      <c r="G688" s="3" t="s">
        <v>1887</v>
      </c>
      <c r="H688" s="3" t="s">
        <v>1896</v>
      </c>
      <c r="I688" s="3"/>
      <c r="J688" t="s">
        <v>1897</v>
      </c>
    </row>
    <row r="689" spans="1:10">
      <c r="A689" s="3" t="s">
        <v>218</v>
      </c>
      <c r="B689" s="3" t="s">
        <v>219</v>
      </c>
      <c r="C689" s="3" t="s">
        <v>10</v>
      </c>
      <c r="D689" s="3" t="s">
        <v>1886</v>
      </c>
      <c r="E689" s="3"/>
      <c r="F689" s="3"/>
      <c r="G689" s="3" t="s">
        <v>1898</v>
      </c>
      <c r="H689" s="3" t="s">
        <v>1888</v>
      </c>
      <c r="I689" s="3"/>
      <c r="J689" t="s">
        <v>1899</v>
      </c>
    </row>
    <row r="690" spans="1:10">
      <c r="A690" s="3" t="s">
        <v>218</v>
      </c>
      <c r="B690" s="3" t="s">
        <v>219</v>
      </c>
      <c r="C690" s="3" t="s">
        <v>10</v>
      </c>
      <c r="D690" s="3" t="s">
        <v>1886</v>
      </c>
      <c r="E690" s="3"/>
      <c r="F690" s="3"/>
      <c r="G690" s="3" t="s">
        <v>1898</v>
      </c>
      <c r="H690" s="3" t="s">
        <v>1890</v>
      </c>
      <c r="I690" s="3"/>
      <c r="J690" t="s">
        <v>1900</v>
      </c>
    </row>
    <row r="691" spans="1:10">
      <c r="A691" s="3" t="s">
        <v>218</v>
      </c>
      <c r="B691" s="3" t="s">
        <v>219</v>
      </c>
      <c r="C691" s="3" t="s">
        <v>10</v>
      </c>
      <c r="D691" s="3" t="s">
        <v>1886</v>
      </c>
      <c r="E691" s="3"/>
      <c r="F691" s="3"/>
      <c r="G691" s="3" t="s">
        <v>1898</v>
      </c>
      <c r="H691" s="3" t="s">
        <v>1892</v>
      </c>
      <c r="I691" s="3"/>
      <c r="J691" t="s">
        <v>1901</v>
      </c>
    </row>
    <row r="692" spans="1:10">
      <c r="A692" s="3" t="s">
        <v>218</v>
      </c>
      <c r="B692" s="3" t="s">
        <v>219</v>
      </c>
      <c r="C692" s="3" t="s">
        <v>10</v>
      </c>
      <c r="D692" s="3" t="s">
        <v>1886</v>
      </c>
      <c r="E692" s="3"/>
      <c r="F692" s="3"/>
      <c r="G692" s="3" t="s">
        <v>1898</v>
      </c>
      <c r="H692" s="3" t="s">
        <v>1894</v>
      </c>
      <c r="I692" s="3"/>
      <c r="J692" t="s">
        <v>1902</v>
      </c>
    </row>
    <row r="693" spans="1:10">
      <c r="A693" s="3" t="s">
        <v>218</v>
      </c>
      <c r="B693" s="3" t="s">
        <v>219</v>
      </c>
      <c r="C693" s="3" t="s">
        <v>10</v>
      </c>
      <c r="D693" s="3" t="s">
        <v>1886</v>
      </c>
      <c r="E693" s="3"/>
      <c r="F693" s="3"/>
      <c r="G693" s="3" t="s">
        <v>1898</v>
      </c>
      <c r="H693" s="3" t="s">
        <v>1896</v>
      </c>
      <c r="I693" s="3"/>
      <c r="J693" t="s">
        <v>1903</v>
      </c>
    </row>
    <row r="694" spans="1:10">
      <c r="A694" s="3" t="s">
        <v>218</v>
      </c>
      <c r="B694" s="3" t="s">
        <v>219</v>
      </c>
      <c r="C694" s="3" t="s">
        <v>10</v>
      </c>
      <c r="D694" s="3" t="s">
        <v>1886</v>
      </c>
      <c r="E694" s="3"/>
      <c r="F694" s="3"/>
      <c r="G694" s="3"/>
      <c r="H694" s="3"/>
      <c r="I694" s="3" t="s">
        <v>1904</v>
      </c>
      <c r="J694" t="s">
        <v>1905</v>
      </c>
    </row>
    <row r="695" spans="1:10">
      <c r="A695" s="3" t="s">
        <v>218</v>
      </c>
      <c r="B695" s="3" t="s">
        <v>219</v>
      </c>
      <c r="C695" s="3" t="s">
        <v>10</v>
      </c>
      <c r="D695" s="3" t="s">
        <v>1886</v>
      </c>
      <c r="E695" s="3"/>
      <c r="F695" s="3"/>
      <c r="G695" s="3"/>
      <c r="H695" s="3"/>
      <c r="I695" s="3" t="s">
        <v>1906</v>
      </c>
      <c r="J695" t="s">
        <v>1907</v>
      </c>
    </row>
    <row r="696" spans="1:10">
      <c r="A696" s="3" t="s">
        <v>218</v>
      </c>
      <c r="B696" s="3" t="s">
        <v>219</v>
      </c>
      <c r="C696" s="3" t="s">
        <v>10</v>
      </c>
      <c r="D696" s="3" t="s">
        <v>1886</v>
      </c>
      <c r="E696" s="3"/>
      <c r="F696" s="3"/>
      <c r="G696" s="3"/>
      <c r="H696" s="3"/>
      <c r="I696" s="3" t="s">
        <v>1908</v>
      </c>
      <c r="J696" t="s">
        <v>1909</v>
      </c>
    </row>
    <row r="697" spans="1:10">
      <c r="A697" s="3" t="s">
        <v>218</v>
      </c>
      <c r="B697" s="3" t="s">
        <v>219</v>
      </c>
      <c r="C697" s="3" t="s">
        <v>10</v>
      </c>
      <c r="D697" s="3" t="s">
        <v>1886</v>
      </c>
      <c r="E697" s="3"/>
      <c r="F697" s="3"/>
      <c r="G697" s="3"/>
      <c r="H697" s="3"/>
      <c r="I697" s="3" t="s">
        <v>1910</v>
      </c>
      <c r="J697" t="s">
        <v>1911</v>
      </c>
    </row>
    <row r="698" spans="1:10">
      <c r="A698" s="3" t="s">
        <v>232</v>
      </c>
      <c r="B698" s="3" t="s">
        <v>233</v>
      </c>
      <c r="C698" s="3" t="s">
        <v>13</v>
      </c>
      <c r="D698" s="3" t="s">
        <v>1912</v>
      </c>
      <c r="E698" s="3"/>
      <c r="F698" s="3"/>
      <c r="G698" s="3" t="s">
        <v>1913</v>
      </c>
      <c r="H698" s="3" t="s">
        <v>1914</v>
      </c>
      <c r="I698" s="3"/>
      <c r="J698" t="s">
        <v>1915</v>
      </c>
    </row>
    <row r="699" spans="1:10">
      <c r="A699" s="3" t="s">
        <v>232</v>
      </c>
      <c r="B699" s="3" t="s">
        <v>233</v>
      </c>
      <c r="C699" s="3" t="s">
        <v>13</v>
      </c>
      <c r="D699" s="3" t="s">
        <v>1912</v>
      </c>
      <c r="E699" s="3"/>
      <c r="F699" s="3"/>
      <c r="G699" s="3" t="s">
        <v>1913</v>
      </c>
      <c r="H699" s="3" t="s">
        <v>1916</v>
      </c>
      <c r="I699" s="3"/>
      <c r="J699" t="s">
        <v>1917</v>
      </c>
    </row>
    <row r="700" spans="1:10">
      <c r="A700" s="3" t="s">
        <v>232</v>
      </c>
      <c r="B700" s="3" t="s">
        <v>233</v>
      </c>
      <c r="C700" s="3" t="s">
        <v>13</v>
      </c>
      <c r="D700" s="3" t="s">
        <v>1912</v>
      </c>
      <c r="E700" s="3"/>
      <c r="F700" s="3"/>
      <c r="G700" s="3" t="s">
        <v>1913</v>
      </c>
      <c r="H700" s="3" t="s">
        <v>1918</v>
      </c>
      <c r="I700" s="3"/>
      <c r="J700" t="s">
        <v>1919</v>
      </c>
    </row>
    <row r="701" spans="1:10">
      <c r="A701" s="3" t="s">
        <v>232</v>
      </c>
      <c r="B701" s="3" t="s">
        <v>233</v>
      </c>
      <c r="C701" s="3" t="s">
        <v>13</v>
      </c>
      <c r="D701" s="3" t="s">
        <v>1912</v>
      </c>
      <c r="E701" s="3"/>
      <c r="F701" s="3"/>
      <c r="G701" s="3" t="s">
        <v>1913</v>
      </c>
      <c r="H701" s="3" t="s">
        <v>1920</v>
      </c>
      <c r="I701" s="3"/>
      <c r="J701" t="s">
        <v>1921</v>
      </c>
    </row>
    <row r="702" spans="1:10">
      <c r="A702" s="3" t="s">
        <v>232</v>
      </c>
      <c r="B702" s="3" t="s">
        <v>233</v>
      </c>
      <c r="C702" s="3" t="s">
        <v>13</v>
      </c>
      <c r="D702" s="3" t="s">
        <v>1912</v>
      </c>
      <c r="E702" s="3"/>
      <c r="F702" s="3"/>
      <c r="G702" s="3" t="s">
        <v>1922</v>
      </c>
      <c r="H702" s="3" t="s">
        <v>1914</v>
      </c>
      <c r="I702" s="3"/>
      <c r="J702" t="s">
        <v>1923</v>
      </c>
    </row>
    <row r="703" spans="1:10">
      <c r="A703" s="3" t="s">
        <v>232</v>
      </c>
      <c r="B703" s="3" t="s">
        <v>233</v>
      </c>
      <c r="C703" s="3" t="s">
        <v>13</v>
      </c>
      <c r="D703" s="3" t="s">
        <v>1912</v>
      </c>
      <c r="E703" s="3"/>
      <c r="F703" s="3"/>
      <c r="G703" s="3" t="s">
        <v>1922</v>
      </c>
      <c r="H703" s="3" t="s">
        <v>1916</v>
      </c>
      <c r="I703" s="3"/>
      <c r="J703" t="s">
        <v>1924</v>
      </c>
    </row>
    <row r="704" spans="1:10">
      <c r="A704" s="3" t="s">
        <v>232</v>
      </c>
      <c r="B704" s="3" t="s">
        <v>233</v>
      </c>
      <c r="C704" s="3" t="s">
        <v>13</v>
      </c>
      <c r="D704" s="3" t="s">
        <v>1912</v>
      </c>
      <c r="E704" s="3"/>
      <c r="F704" s="3"/>
      <c r="G704" s="3" t="s">
        <v>1922</v>
      </c>
      <c r="H704" s="3" t="s">
        <v>1918</v>
      </c>
      <c r="I704" s="3"/>
      <c r="J704" t="s">
        <v>1925</v>
      </c>
    </row>
    <row r="705" spans="1:10">
      <c r="A705" s="3" t="s">
        <v>232</v>
      </c>
      <c r="B705" s="3" t="s">
        <v>233</v>
      </c>
      <c r="C705" s="3" t="s">
        <v>13</v>
      </c>
      <c r="D705" s="3" t="s">
        <v>1912</v>
      </c>
      <c r="E705" s="3"/>
      <c r="F705" s="3"/>
      <c r="G705" s="3" t="s">
        <v>1922</v>
      </c>
      <c r="H705" s="3" t="s">
        <v>1920</v>
      </c>
      <c r="I705" s="3"/>
      <c r="J705" t="s">
        <v>1926</v>
      </c>
    </row>
    <row r="706" spans="1:10">
      <c r="A706" s="3" t="s">
        <v>232</v>
      </c>
      <c r="B706" s="3" t="s">
        <v>238</v>
      </c>
      <c r="C706" s="3" t="s">
        <v>15</v>
      </c>
      <c r="D706" s="3" t="s">
        <v>1927</v>
      </c>
      <c r="E706" s="3"/>
      <c r="F706" s="3"/>
      <c r="G706" s="3"/>
      <c r="H706" s="3" t="s">
        <v>1928</v>
      </c>
      <c r="I706" s="3"/>
      <c r="J706" t="s">
        <v>1929</v>
      </c>
    </row>
    <row r="707" spans="1:10">
      <c r="A707" s="3" t="s">
        <v>232</v>
      </c>
      <c r="B707" s="3" t="s">
        <v>238</v>
      </c>
      <c r="C707" s="3" t="s">
        <v>15</v>
      </c>
      <c r="D707" s="3" t="s">
        <v>1927</v>
      </c>
      <c r="E707" s="3"/>
      <c r="F707" s="3"/>
      <c r="G707" s="3"/>
      <c r="H707" s="3" t="s">
        <v>1930</v>
      </c>
      <c r="I707" s="3"/>
      <c r="J707" t="s">
        <v>1931</v>
      </c>
    </row>
    <row r="708" spans="1:10">
      <c r="A708" s="3" t="s">
        <v>232</v>
      </c>
      <c r="B708" s="3" t="s">
        <v>238</v>
      </c>
      <c r="C708" s="3" t="s">
        <v>15</v>
      </c>
      <c r="D708" s="3" t="s">
        <v>1927</v>
      </c>
      <c r="E708" s="3"/>
      <c r="F708" s="3"/>
      <c r="G708" s="3"/>
      <c r="H708" s="3" t="s">
        <v>1932</v>
      </c>
      <c r="I708" s="3"/>
      <c r="J708" t="s">
        <v>1933</v>
      </c>
    </row>
    <row r="709" spans="1:10">
      <c r="A709" s="3" t="s">
        <v>232</v>
      </c>
      <c r="B709" s="3" t="s">
        <v>238</v>
      </c>
      <c r="C709" s="3" t="s">
        <v>15</v>
      </c>
      <c r="D709" s="3" t="s">
        <v>1927</v>
      </c>
      <c r="E709" s="3"/>
      <c r="F709" s="3"/>
      <c r="G709" s="3"/>
      <c r="H709" s="3" t="s">
        <v>1934</v>
      </c>
      <c r="I709" s="3"/>
      <c r="J709" t="s">
        <v>1935</v>
      </c>
    </row>
    <row r="710" spans="1:10">
      <c r="A710" s="3" t="s">
        <v>245</v>
      </c>
      <c r="B710" s="3" t="s">
        <v>249</v>
      </c>
      <c r="C710" s="3"/>
      <c r="D710" s="3" t="s">
        <v>1936</v>
      </c>
      <c r="E710" s="3"/>
      <c r="F710" s="3"/>
      <c r="G710" s="3" t="s">
        <v>1937</v>
      </c>
      <c r="H710" s="3"/>
      <c r="I710" s="3"/>
      <c r="J710" t="s">
        <v>1938</v>
      </c>
    </row>
    <row r="711" spans="1:10">
      <c r="A711" s="3" t="s">
        <v>254</v>
      </c>
      <c r="B711" s="3" t="s">
        <v>255</v>
      </c>
      <c r="C711" s="3" t="s">
        <v>17</v>
      </c>
      <c r="D711" s="3" t="s">
        <v>1939</v>
      </c>
      <c r="E711" s="3"/>
      <c r="F711" s="3"/>
      <c r="G711" s="3" t="s">
        <v>1940</v>
      </c>
      <c r="H711" s="3"/>
      <c r="I711" s="3"/>
      <c r="J711" t="s">
        <v>1941</v>
      </c>
    </row>
    <row r="712" spans="1:10">
      <c r="A712" s="3" t="s">
        <v>254</v>
      </c>
      <c r="B712" s="3" t="s">
        <v>255</v>
      </c>
      <c r="C712" s="3" t="s">
        <v>17</v>
      </c>
      <c r="D712" s="3" t="s">
        <v>1939</v>
      </c>
      <c r="E712" s="3"/>
      <c r="F712" s="3"/>
      <c r="G712" s="3" t="s">
        <v>1942</v>
      </c>
      <c r="H712" s="3"/>
      <c r="I712" s="3"/>
      <c r="J712" t="s">
        <v>1943</v>
      </c>
    </row>
    <row r="713" spans="1:10">
      <c r="A713" s="3" t="s">
        <v>254</v>
      </c>
      <c r="B713" s="3" t="s">
        <v>264</v>
      </c>
      <c r="C713" s="3" t="s">
        <v>18</v>
      </c>
      <c r="D713" s="3" t="s">
        <v>1944</v>
      </c>
      <c r="E713" s="3"/>
      <c r="F713" s="3"/>
      <c r="G713" s="3" t="s">
        <v>1945</v>
      </c>
      <c r="H713" s="3"/>
      <c r="I713" s="3"/>
      <c r="J713" t="s">
        <v>1946</v>
      </c>
    </row>
    <row r="714" spans="1:10">
      <c r="A714" s="3" t="s">
        <v>254</v>
      </c>
      <c r="B714" s="3" t="s">
        <v>264</v>
      </c>
      <c r="C714" s="3" t="s">
        <v>18</v>
      </c>
      <c r="D714" s="3" t="s">
        <v>1944</v>
      </c>
      <c r="E714" s="3"/>
      <c r="F714" s="3"/>
      <c r="G714" s="3" t="s">
        <v>1947</v>
      </c>
      <c r="H714" s="3"/>
      <c r="I714" s="3"/>
      <c r="J714" t="s">
        <v>1948</v>
      </c>
    </row>
    <row r="715" spans="1:10">
      <c r="A715" s="3" t="s">
        <v>271</v>
      </c>
      <c r="B715" s="3" t="s">
        <v>272</v>
      </c>
      <c r="C715" s="3"/>
      <c r="D715" s="3" t="s">
        <v>1949</v>
      </c>
      <c r="E715" s="3"/>
      <c r="F715" s="3"/>
      <c r="G715" s="3" t="s">
        <v>1950</v>
      </c>
      <c r="H715" s="3" t="s">
        <v>1951</v>
      </c>
      <c r="I715" s="3"/>
      <c r="J715" t="s">
        <v>1952</v>
      </c>
    </row>
    <row r="716" spans="1:10">
      <c r="A716" s="3" t="s">
        <v>271</v>
      </c>
      <c r="B716" s="3" t="s">
        <v>272</v>
      </c>
      <c r="C716" s="3"/>
      <c r="D716" s="3" t="s">
        <v>1949</v>
      </c>
      <c r="E716" s="3"/>
      <c r="F716" s="3"/>
      <c r="G716" s="3" t="s">
        <v>1950</v>
      </c>
      <c r="H716" s="3" t="s">
        <v>1953</v>
      </c>
      <c r="I716" s="3"/>
      <c r="J716" t="s">
        <v>1954</v>
      </c>
    </row>
    <row r="717" spans="1:10">
      <c r="A717" s="3" t="s">
        <v>271</v>
      </c>
      <c r="B717" s="3" t="s">
        <v>272</v>
      </c>
      <c r="C717" s="3"/>
      <c r="D717" s="3" t="s">
        <v>1949</v>
      </c>
      <c r="E717" s="3"/>
      <c r="F717" s="3"/>
      <c r="G717" s="3" t="s">
        <v>1950</v>
      </c>
      <c r="H717" s="3" t="s">
        <v>1955</v>
      </c>
      <c r="I717" s="3"/>
      <c r="J717" t="s">
        <v>1956</v>
      </c>
    </row>
    <row r="718" spans="1:10">
      <c r="A718" s="3" t="s">
        <v>271</v>
      </c>
      <c r="B718" s="3" t="s">
        <v>272</v>
      </c>
      <c r="C718" s="3"/>
      <c r="D718" s="3" t="s">
        <v>1949</v>
      </c>
      <c r="E718" s="3"/>
      <c r="F718" s="3"/>
      <c r="G718" s="3" t="s">
        <v>1957</v>
      </c>
      <c r="H718" s="3" t="s">
        <v>1951</v>
      </c>
      <c r="I718" s="3"/>
      <c r="J718" t="s">
        <v>1958</v>
      </c>
    </row>
    <row r="719" spans="1:10">
      <c r="A719" s="3" t="s">
        <v>271</v>
      </c>
      <c r="B719" s="3" t="s">
        <v>272</v>
      </c>
      <c r="C719" s="3"/>
      <c r="D719" s="3" t="s">
        <v>1949</v>
      </c>
      <c r="E719" s="3"/>
      <c r="F719" s="3"/>
      <c r="G719" s="3" t="s">
        <v>1957</v>
      </c>
      <c r="H719" s="3" t="s">
        <v>1953</v>
      </c>
      <c r="I719" s="3"/>
      <c r="J719" t="s">
        <v>1959</v>
      </c>
    </row>
    <row r="720" spans="1:10">
      <c r="A720" s="3" t="s">
        <v>271</v>
      </c>
      <c r="B720" s="3" t="s">
        <v>272</v>
      </c>
      <c r="C720" s="3"/>
      <c r="D720" s="3" t="s">
        <v>1949</v>
      </c>
      <c r="E720" s="3"/>
      <c r="F720" s="3"/>
      <c r="G720" s="3" t="s">
        <v>1957</v>
      </c>
      <c r="H720" s="3" t="s">
        <v>1955</v>
      </c>
      <c r="I720" s="3"/>
      <c r="J720" t="s">
        <v>1960</v>
      </c>
    </row>
    <row r="721" spans="1:10">
      <c r="A721" s="3" t="s">
        <v>271</v>
      </c>
      <c r="B721" s="3" t="s">
        <v>272</v>
      </c>
      <c r="C721" s="3"/>
      <c r="D721" s="3" t="s">
        <v>1949</v>
      </c>
      <c r="E721" s="3"/>
      <c r="F721" s="3"/>
      <c r="G721" s="3"/>
      <c r="H721" s="3"/>
      <c r="I721" s="3" t="s">
        <v>1961</v>
      </c>
      <c r="J721" t="s">
        <v>1962</v>
      </c>
    </row>
    <row r="722" spans="1:10">
      <c r="A722" s="3" t="s">
        <v>271</v>
      </c>
      <c r="B722" s="3" t="s">
        <v>272</v>
      </c>
      <c r="C722" s="3"/>
      <c r="D722" s="3" t="s">
        <v>1949</v>
      </c>
      <c r="E722" s="3"/>
      <c r="F722" s="3"/>
      <c r="G722" s="3"/>
      <c r="H722" s="3"/>
      <c r="I722" s="3" t="s">
        <v>1963</v>
      </c>
      <c r="J722" t="s">
        <v>1964</v>
      </c>
    </row>
    <row r="723" spans="1:10">
      <c r="A723" s="3" t="s">
        <v>283</v>
      </c>
      <c r="B723" s="3" t="s">
        <v>284</v>
      </c>
      <c r="C723" s="3"/>
      <c r="D723" s="3" t="s">
        <v>1965</v>
      </c>
      <c r="E723" s="3"/>
      <c r="F723" s="3"/>
      <c r="G723" s="3" t="s">
        <v>1966</v>
      </c>
      <c r="H723" s="3" t="s">
        <v>1967</v>
      </c>
      <c r="I723" s="3"/>
      <c r="J723" t="s">
        <v>1968</v>
      </c>
    </row>
    <row r="724" spans="1:10">
      <c r="A724" s="3" t="s">
        <v>283</v>
      </c>
      <c r="B724" s="3" t="s">
        <v>284</v>
      </c>
      <c r="C724" s="3"/>
      <c r="D724" s="3" t="s">
        <v>1965</v>
      </c>
      <c r="E724" s="3"/>
      <c r="F724" s="3"/>
      <c r="G724" s="3" t="s">
        <v>1966</v>
      </c>
      <c r="H724" s="3" t="s">
        <v>1969</v>
      </c>
      <c r="I724" s="3"/>
      <c r="J724" t="s">
        <v>1970</v>
      </c>
    </row>
    <row r="725" spans="1:10">
      <c r="A725" s="3" t="s">
        <v>283</v>
      </c>
      <c r="B725" s="3" t="s">
        <v>284</v>
      </c>
      <c r="C725" s="3"/>
      <c r="D725" s="3" t="s">
        <v>1965</v>
      </c>
      <c r="E725" s="3"/>
      <c r="F725" s="3"/>
      <c r="G725" s="3" t="s">
        <v>1966</v>
      </c>
      <c r="H725" s="3" t="s">
        <v>1971</v>
      </c>
      <c r="I725" s="3"/>
      <c r="J725" t="s">
        <v>1972</v>
      </c>
    </row>
    <row r="726" spans="1:10">
      <c r="A726" s="3" t="s">
        <v>283</v>
      </c>
      <c r="B726" s="3" t="s">
        <v>284</v>
      </c>
      <c r="C726" s="3"/>
      <c r="D726" s="3" t="s">
        <v>1965</v>
      </c>
      <c r="E726" s="3"/>
      <c r="F726" s="3"/>
      <c r="G726" s="3" t="s">
        <v>1966</v>
      </c>
      <c r="H726" s="3" t="s">
        <v>1973</v>
      </c>
      <c r="I726" s="3"/>
      <c r="J726" t="s">
        <v>1974</v>
      </c>
    </row>
    <row r="727" spans="1:10">
      <c r="A727" s="3" t="s">
        <v>283</v>
      </c>
      <c r="B727" s="3" t="s">
        <v>284</v>
      </c>
      <c r="C727" s="3"/>
      <c r="D727" s="3" t="s">
        <v>1965</v>
      </c>
      <c r="E727" s="3"/>
      <c r="F727" s="3"/>
      <c r="G727" s="3" t="s">
        <v>1975</v>
      </c>
      <c r="H727" s="3" t="s">
        <v>1967</v>
      </c>
      <c r="I727" s="3"/>
      <c r="J727" t="s">
        <v>1976</v>
      </c>
    </row>
    <row r="728" spans="1:10">
      <c r="A728" s="3" t="s">
        <v>283</v>
      </c>
      <c r="B728" s="3" t="s">
        <v>284</v>
      </c>
      <c r="C728" s="3"/>
      <c r="D728" s="3" t="s">
        <v>1965</v>
      </c>
      <c r="E728" s="3"/>
      <c r="F728" s="3"/>
      <c r="G728" s="3" t="s">
        <v>1975</v>
      </c>
      <c r="H728" s="3" t="s">
        <v>1969</v>
      </c>
      <c r="I728" s="3"/>
      <c r="J728" t="s">
        <v>1977</v>
      </c>
    </row>
    <row r="729" spans="1:10">
      <c r="A729" s="3" t="s">
        <v>283</v>
      </c>
      <c r="B729" s="3" t="s">
        <v>284</v>
      </c>
      <c r="C729" s="3"/>
      <c r="D729" s="3" t="s">
        <v>1965</v>
      </c>
      <c r="E729" s="3"/>
      <c r="F729" s="3"/>
      <c r="G729" s="3" t="s">
        <v>1975</v>
      </c>
      <c r="H729" s="3" t="s">
        <v>1971</v>
      </c>
      <c r="I729" s="3"/>
      <c r="J729" t="s">
        <v>1978</v>
      </c>
    </row>
    <row r="730" spans="1:10">
      <c r="A730" s="3" t="s">
        <v>283</v>
      </c>
      <c r="B730" s="3" t="s">
        <v>284</v>
      </c>
      <c r="C730" s="3"/>
      <c r="D730" s="3" t="s">
        <v>1965</v>
      </c>
      <c r="E730" s="3"/>
      <c r="F730" s="3"/>
      <c r="G730" s="3" t="s">
        <v>1975</v>
      </c>
      <c r="H730" s="3" t="s">
        <v>1973</v>
      </c>
      <c r="I730" s="3"/>
      <c r="J730" t="s">
        <v>1979</v>
      </c>
    </row>
    <row r="731" spans="1:10">
      <c r="A731" s="3" t="s">
        <v>295</v>
      </c>
      <c r="B731" s="3" t="s">
        <v>296</v>
      </c>
      <c r="C731" s="3" t="s">
        <v>19</v>
      </c>
      <c r="D731" s="3" t="s">
        <v>1980</v>
      </c>
      <c r="E731" s="3"/>
      <c r="F731" s="3"/>
      <c r="G731" s="3"/>
      <c r="H731" s="3" t="s">
        <v>1981</v>
      </c>
      <c r="I731" s="3"/>
      <c r="J731" t="s">
        <v>1982</v>
      </c>
    </row>
    <row r="732" spans="1:10">
      <c r="A732" s="3" t="s">
        <v>295</v>
      </c>
      <c r="B732" s="3" t="s">
        <v>296</v>
      </c>
      <c r="C732" s="3" t="s">
        <v>19</v>
      </c>
      <c r="D732" s="3" t="s">
        <v>1980</v>
      </c>
      <c r="E732" s="3"/>
      <c r="F732" s="3"/>
      <c r="G732" s="3"/>
      <c r="H732" s="3" t="s">
        <v>1983</v>
      </c>
      <c r="I732" s="3"/>
      <c r="J732" t="s">
        <v>1984</v>
      </c>
    </row>
    <row r="733" spans="1:10">
      <c r="A733" s="3" t="s">
        <v>295</v>
      </c>
      <c r="B733" s="3" t="s">
        <v>296</v>
      </c>
      <c r="C733" s="3" t="s">
        <v>19</v>
      </c>
      <c r="D733" s="3" t="s">
        <v>1980</v>
      </c>
      <c r="E733" s="3"/>
      <c r="F733" s="3"/>
      <c r="G733" s="3"/>
      <c r="H733" s="3" t="s">
        <v>1985</v>
      </c>
      <c r="I733" s="3"/>
      <c r="J733" t="s">
        <v>1986</v>
      </c>
    </row>
    <row r="734" spans="1:10">
      <c r="A734" s="3" t="s">
        <v>295</v>
      </c>
      <c r="B734" s="3" t="s">
        <v>296</v>
      </c>
      <c r="C734" s="3" t="s">
        <v>19</v>
      </c>
      <c r="D734" s="3" t="s">
        <v>1980</v>
      </c>
      <c r="E734" s="3"/>
      <c r="F734" s="3"/>
      <c r="G734" s="3"/>
      <c r="H734" s="3" t="s">
        <v>1987</v>
      </c>
      <c r="I734" s="3"/>
      <c r="J734" t="s">
        <v>1988</v>
      </c>
    </row>
    <row r="735" spans="1:10">
      <c r="A735" s="3" t="s">
        <v>295</v>
      </c>
      <c r="B735" s="3" t="s">
        <v>296</v>
      </c>
      <c r="C735" s="3" t="s">
        <v>20</v>
      </c>
      <c r="D735" s="3" t="s">
        <v>1989</v>
      </c>
      <c r="E735" s="3"/>
      <c r="F735" s="3"/>
      <c r="G735" s="3" t="s">
        <v>1990</v>
      </c>
      <c r="H735" s="3" t="s">
        <v>1991</v>
      </c>
      <c r="I735" s="3"/>
      <c r="J735" t="s">
        <v>1992</v>
      </c>
    </row>
    <row r="736" spans="1:10">
      <c r="A736" s="3" t="s">
        <v>295</v>
      </c>
      <c r="B736" s="3" t="s">
        <v>296</v>
      </c>
      <c r="C736" s="3" t="s">
        <v>20</v>
      </c>
      <c r="D736" s="3" t="s">
        <v>1989</v>
      </c>
      <c r="E736" s="3"/>
      <c r="F736" s="3"/>
      <c r="G736" s="3" t="s">
        <v>1990</v>
      </c>
      <c r="H736" s="3" t="s">
        <v>1993</v>
      </c>
      <c r="I736" s="3"/>
      <c r="J736" t="s">
        <v>1994</v>
      </c>
    </row>
    <row r="737" spans="1:10">
      <c r="A737" s="3" t="s">
        <v>295</v>
      </c>
      <c r="B737" s="3" t="s">
        <v>296</v>
      </c>
      <c r="C737" s="3" t="s">
        <v>20</v>
      </c>
      <c r="D737" s="3" t="s">
        <v>1989</v>
      </c>
      <c r="E737" s="3"/>
      <c r="F737" s="3"/>
      <c r="G737" s="3" t="s">
        <v>1990</v>
      </c>
      <c r="H737" s="3" t="s">
        <v>1995</v>
      </c>
      <c r="I737" s="3"/>
      <c r="J737" t="s">
        <v>1996</v>
      </c>
    </row>
    <row r="738" spans="1:10">
      <c r="A738" s="3" t="s">
        <v>295</v>
      </c>
      <c r="B738" s="3" t="s">
        <v>296</v>
      </c>
      <c r="C738" s="3" t="s">
        <v>20</v>
      </c>
      <c r="D738" s="3" t="s">
        <v>1989</v>
      </c>
      <c r="E738" s="3"/>
      <c r="F738" s="3"/>
      <c r="G738" s="3" t="s">
        <v>1990</v>
      </c>
      <c r="H738" s="3" t="s">
        <v>1997</v>
      </c>
      <c r="I738" s="3"/>
      <c r="J738" t="s">
        <v>1998</v>
      </c>
    </row>
    <row r="739" spans="1:10">
      <c r="A739" s="3" t="s">
        <v>295</v>
      </c>
      <c r="B739" s="3" t="s">
        <v>296</v>
      </c>
      <c r="C739" s="3" t="s">
        <v>20</v>
      </c>
      <c r="D739" s="3" t="s">
        <v>1989</v>
      </c>
      <c r="E739" s="3"/>
      <c r="F739" s="3"/>
      <c r="G739" s="3" t="s">
        <v>1999</v>
      </c>
      <c r="H739" s="3" t="s">
        <v>1991</v>
      </c>
      <c r="I739" s="3"/>
      <c r="J739" t="s">
        <v>2000</v>
      </c>
    </row>
    <row r="740" spans="1:10">
      <c r="A740" s="3" t="s">
        <v>295</v>
      </c>
      <c r="B740" s="3" t="s">
        <v>296</v>
      </c>
      <c r="C740" s="3" t="s">
        <v>20</v>
      </c>
      <c r="D740" s="3" t="s">
        <v>1989</v>
      </c>
      <c r="E740" s="3"/>
      <c r="F740" s="3"/>
      <c r="G740" s="3" t="s">
        <v>1999</v>
      </c>
      <c r="H740" s="3" t="s">
        <v>1993</v>
      </c>
      <c r="I740" s="3"/>
      <c r="J740" t="s">
        <v>2001</v>
      </c>
    </row>
    <row r="741" spans="1:10">
      <c r="A741" s="3" t="s">
        <v>295</v>
      </c>
      <c r="B741" s="3" t="s">
        <v>296</v>
      </c>
      <c r="C741" s="3" t="s">
        <v>20</v>
      </c>
      <c r="D741" s="3" t="s">
        <v>1989</v>
      </c>
      <c r="E741" s="3"/>
      <c r="F741" s="3"/>
      <c r="G741" s="3" t="s">
        <v>1999</v>
      </c>
      <c r="H741" s="3" t="s">
        <v>1995</v>
      </c>
      <c r="I741" s="3"/>
      <c r="J741" t="s">
        <v>2002</v>
      </c>
    </row>
    <row r="742" spans="1:10">
      <c r="A742" s="3" t="s">
        <v>295</v>
      </c>
      <c r="B742" s="3" t="s">
        <v>296</v>
      </c>
      <c r="C742" s="3" t="s">
        <v>20</v>
      </c>
      <c r="D742" s="3" t="s">
        <v>1989</v>
      </c>
      <c r="E742" s="3"/>
      <c r="F742" s="3"/>
      <c r="G742" s="3" t="s">
        <v>1999</v>
      </c>
      <c r="H742" s="3" t="s">
        <v>1997</v>
      </c>
      <c r="I742" s="3"/>
      <c r="J742" t="s">
        <v>2003</v>
      </c>
    </row>
    <row r="743" spans="1:10">
      <c r="A743" s="3" t="s">
        <v>301</v>
      </c>
      <c r="B743" s="3" t="s">
        <v>307</v>
      </c>
      <c r="C743" s="3" t="s">
        <v>21</v>
      </c>
      <c r="D743" s="3" t="s">
        <v>2004</v>
      </c>
      <c r="E743" s="3"/>
      <c r="F743" s="3"/>
      <c r="G743" s="3" t="s">
        <v>2005</v>
      </c>
      <c r="H743" s="3"/>
      <c r="I743" s="3"/>
      <c r="J743" t="s">
        <v>2006</v>
      </c>
    </row>
    <row r="744" spans="1:10">
      <c r="A744" s="3" t="s">
        <v>301</v>
      </c>
      <c r="B744" s="3" t="s">
        <v>307</v>
      </c>
      <c r="C744" s="3" t="s">
        <v>21</v>
      </c>
      <c r="D744" s="3" t="s">
        <v>2004</v>
      </c>
      <c r="E744" s="3"/>
      <c r="F744" s="3"/>
      <c r="G744" s="3" t="s">
        <v>2007</v>
      </c>
      <c r="H744" s="3"/>
      <c r="I744" s="3"/>
      <c r="J744" t="s">
        <v>2008</v>
      </c>
    </row>
    <row r="745" spans="1:10">
      <c r="A745" s="3" t="s">
        <v>301</v>
      </c>
      <c r="B745" s="3" t="s">
        <v>307</v>
      </c>
      <c r="C745" s="3" t="s">
        <v>21</v>
      </c>
      <c r="D745" s="3" t="s">
        <v>2004</v>
      </c>
      <c r="E745" s="3"/>
      <c r="F745" s="3"/>
      <c r="G745" s="3"/>
      <c r="H745" s="3"/>
      <c r="I745" s="3" t="s">
        <v>2009</v>
      </c>
      <c r="J745" t="s">
        <v>2010</v>
      </c>
    </row>
    <row r="746" spans="1:10">
      <c r="A746" s="3" t="s">
        <v>301</v>
      </c>
      <c r="B746" s="3" t="s">
        <v>307</v>
      </c>
      <c r="C746" s="3" t="s">
        <v>21</v>
      </c>
      <c r="D746" s="3" t="s">
        <v>2004</v>
      </c>
      <c r="E746" s="3"/>
      <c r="F746" s="3"/>
      <c r="G746" s="3"/>
      <c r="H746" s="3"/>
      <c r="I746" s="3" t="s">
        <v>2011</v>
      </c>
      <c r="J746" t="s">
        <v>2012</v>
      </c>
    </row>
    <row r="747" spans="1:10">
      <c r="A747" s="3" t="s">
        <v>316</v>
      </c>
      <c r="B747" s="3" t="s">
        <v>326</v>
      </c>
      <c r="C747" s="3" t="s">
        <v>23</v>
      </c>
      <c r="D747" s="3" t="s">
        <v>2013</v>
      </c>
      <c r="E747" s="3"/>
      <c r="F747" s="3"/>
      <c r="G747" s="3" t="s">
        <v>2014</v>
      </c>
      <c r="H747" s="3" t="s">
        <v>2015</v>
      </c>
      <c r="I747" s="3"/>
      <c r="J747" t="s">
        <v>2016</v>
      </c>
    </row>
    <row r="748" spans="1:10">
      <c r="A748" s="3" t="s">
        <v>316</v>
      </c>
      <c r="B748" s="3" t="s">
        <v>326</v>
      </c>
      <c r="C748" s="3" t="s">
        <v>23</v>
      </c>
      <c r="D748" s="3" t="s">
        <v>2013</v>
      </c>
      <c r="E748" s="3"/>
      <c r="F748" s="3"/>
      <c r="G748" s="3" t="s">
        <v>2014</v>
      </c>
      <c r="H748" s="3" t="s">
        <v>2017</v>
      </c>
      <c r="I748" s="3"/>
      <c r="J748" t="s">
        <v>2018</v>
      </c>
    </row>
    <row r="749" spans="1:10">
      <c r="A749" s="3" t="s">
        <v>316</v>
      </c>
      <c r="B749" s="3" t="s">
        <v>326</v>
      </c>
      <c r="C749" s="3" t="s">
        <v>23</v>
      </c>
      <c r="D749" s="3" t="s">
        <v>2013</v>
      </c>
      <c r="E749" s="3"/>
      <c r="F749" s="3"/>
      <c r="G749" s="3" t="s">
        <v>2014</v>
      </c>
      <c r="H749" s="3" t="s">
        <v>2019</v>
      </c>
      <c r="I749" s="3"/>
      <c r="J749" t="s">
        <v>2020</v>
      </c>
    </row>
    <row r="750" spans="1:10">
      <c r="A750" s="3" t="s">
        <v>316</v>
      </c>
      <c r="B750" s="3" t="s">
        <v>326</v>
      </c>
      <c r="C750" s="3" t="s">
        <v>23</v>
      </c>
      <c r="D750" s="3" t="s">
        <v>2013</v>
      </c>
      <c r="E750" s="3"/>
      <c r="F750" s="3"/>
      <c r="G750" s="3" t="s">
        <v>2014</v>
      </c>
      <c r="H750" s="3" t="s">
        <v>2021</v>
      </c>
      <c r="I750" s="3"/>
      <c r="J750" t="s">
        <v>2022</v>
      </c>
    </row>
    <row r="751" spans="1:10">
      <c r="A751" s="3" t="s">
        <v>316</v>
      </c>
      <c r="B751" s="3" t="s">
        <v>326</v>
      </c>
      <c r="C751" s="3" t="s">
        <v>23</v>
      </c>
      <c r="D751" s="3" t="s">
        <v>2013</v>
      </c>
      <c r="E751" s="3"/>
      <c r="F751" s="3"/>
      <c r="G751" s="3" t="s">
        <v>2023</v>
      </c>
      <c r="H751" s="3" t="s">
        <v>2015</v>
      </c>
      <c r="I751" s="3"/>
      <c r="J751" t="s">
        <v>2024</v>
      </c>
    </row>
    <row r="752" spans="1:10">
      <c r="A752" s="3" t="s">
        <v>316</v>
      </c>
      <c r="B752" s="3" t="s">
        <v>326</v>
      </c>
      <c r="C752" s="3" t="s">
        <v>23</v>
      </c>
      <c r="D752" s="3" t="s">
        <v>2013</v>
      </c>
      <c r="E752" s="3"/>
      <c r="F752" s="3"/>
      <c r="G752" s="3" t="s">
        <v>2023</v>
      </c>
      <c r="H752" s="3" t="s">
        <v>2017</v>
      </c>
      <c r="I752" s="3"/>
      <c r="J752" t="s">
        <v>2025</v>
      </c>
    </row>
    <row r="753" spans="1:10">
      <c r="A753" s="3" t="s">
        <v>316</v>
      </c>
      <c r="B753" s="3" t="s">
        <v>326</v>
      </c>
      <c r="C753" s="3" t="s">
        <v>23</v>
      </c>
      <c r="D753" s="3" t="s">
        <v>2013</v>
      </c>
      <c r="E753" s="3"/>
      <c r="F753" s="3"/>
      <c r="G753" s="3" t="s">
        <v>2023</v>
      </c>
      <c r="H753" s="3" t="s">
        <v>2019</v>
      </c>
      <c r="I753" s="3"/>
      <c r="J753" t="s">
        <v>2026</v>
      </c>
    </row>
    <row r="754" spans="1:10">
      <c r="A754" s="3" t="s">
        <v>316</v>
      </c>
      <c r="B754" s="3" t="s">
        <v>326</v>
      </c>
      <c r="C754" s="3" t="s">
        <v>23</v>
      </c>
      <c r="D754" s="3" t="s">
        <v>2013</v>
      </c>
      <c r="E754" s="3"/>
      <c r="F754" s="3"/>
      <c r="G754" s="3" t="s">
        <v>2023</v>
      </c>
      <c r="H754" s="3" t="s">
        <v>2021</v>
      </c>
      <c r="I754" s="3"/>
      <c r="J754" t="s">
        <v>2027</v>
      </c>
    </row>
    <row r="755" spans="1:10">
      <c r="A755" s="3" t="s">
        <v>316</v>
      </c>
      <c r="B755" s="3" t="s">
        <v>326</v>
      </c>
      <c r="C755" s="3" t="s">
        <v>23</v>
      </c>
      <c r="D755" s="3" t="s">
        <v>2013</v>
      </c>
      <c r="E755" s="3"/>
      <c r="F755" s="3"/>
      <c r="G755" s="3"/>
      <c r="H755" s="3"/>
      <c r="I755" s="3" t="s">
        <v>2028</v>
      </c>
      <c r="J755" t="s">
        <v>2029</v>
      </c>
    </row>
    <row r="756" spans="1:10">
      <c r="A756" s="3" t="s">
        <v>2030</v>
      </c>
      <c r="B756" s="3" t="s">
        <v>335</v>
      </c>
      <c r="C756" s="3"/>
      <c r="D756" s="3" t="s">
        <v>2031</v>
      </c>
      <c r="E756" s="3"/>
      <c r="F756" s="3"/>
      <c r="G756" s="3" t="s">
        <v>2032</v>
      </c>
      <c r="H756" s="3" t="s">
        <v>2033</v>
      </c>
      <c r="I756" s="3"/>
      <c r="J756" t="s">
        <v>2034</v>
      </c>
    </row>
    <row r="757" spans="1:10">
      <c r="A757" s="3" t="s">
        <v>2030</v>
      </c>
      <c r="B757" s="3" t="s">
        <v>335</v>
      </c>
      <c r="C757" s="3"/>
      <c r="D757" s="3" t="s">
        <v>2031</v>
      </c>
      <c r="E757" s="3"/>
      <c r="F757" s="3"/>
      <c r="G757" s="3" t="s">
        <v>2032</v>
      </c>
      <c r="H757" s="3" t="s">
        <v>2035</v>
      </c>
      <c r="I757" s="3"/>
      <c r="J757" t="s">
        <v>2036</v>
      </c>
    </row>
    <row r="758" spans="1:10">
      <c r="A758" s="3" t="s">
        <v>2030</v>
      </c>
      <c r="B758" s="3" t="s">
        <v>335</v>
      </c>
      <c r="C758" s="3"/>
      <c r="D758" s="3" t="s">
        <v>2031</v>
      </c>
      <c r="E758" s="3"/>
      <c r="F758" s="3"/>
      <c r="G758" s="3" t="s">
        <v>2032</v>
      </c>
      <c r="H758" s="3" t="s">
        <v>2037</v>
      </c>
      <c r="I758" s="3"/>
      <c r="J758" t="s">
        <v>2038</v>
      </c>
    </row>
    <row r="759" spans="1:10">
      <c r="A759" s="3" t="s">
        <v>2030</v>
      </c>
      <c r="B759" s="3" t="s">
        <v>335</v>
      </c>
      <c r="C759" s="3"/>
      <c r="D759" s="3" t="s">
        <v>2031</v>
      </c>
      <c r="E759" s="3"/>
      <c r="F759" s="3"/>
      <c r="G759" s="3" t="s">
        <v>2032</v>
      </c>
      <c r="H759" s="3" t="s">
        <v>2039</v>
      </c>
      <c r="I759" s="3"/>
      <c r="J759" t="s">
        <v>2040</v>
      </c>
    </row>
    <row r="760" spans="1:10">
      <c r="A760" s="3" t="s">
        <v>2030</v>
      </c>
      <c r="B760" s="3" t="s">
        <v>335</v>
      </c>
      <c r="C760" s="3"/>
      <c r="D760" s="3" t="s">
        <v>2031</v>
      </c>
      <c r="E760" s="3"/>
      <c r="F760" s="3"/>
      <c r="G760" s="3" t="s">
        <v>2041</v>
      </c>
      <c r="H760" s="3" t="s">
        <v>2033</v>
      </c>
      <c r="I760" s="3"/>
      <c r="J760" t="s">
        <v>2042</v>
      </c>
    </row>
    <row r="761" spans="1:10">
      <c r="A761" s="3" t="s">
        <v>2030</v>
      </c>
      <c r="B761" s="3" t="s">
        <v>335</v>
      </c>
      <c r="C761" s="3"/>
      <c r="D761" s="3" t="s">
        <v>2031</v>
      </c>
      <c r="E761" s="3"/>
      <c r="F761" s="3"/>
      <c r="G761" s="3" t="s">
        <v>2041</v>
      </c>
      <c r="H761" s="3" t="s">
        <v>2035</v>
      </c>
      <c r="I761" s="3"/>
      <c r="J761" t="s">
        <v>2043</v>
      </c>
    </row>
    <row r="762" spans="1:10">
      <c r="A762" s="3" t="s">
        <v>2030</v>
      </c>
      <c r="B762" s="3" t="s">
        <v>335</v>
      </c>
      <c r="C762" s="3"/>
      <c r="D762" s="3" t="s">
        <v>2031</v>
      </c>
      <c r="E762" s="3"/>
      <c r="F762" s="3"/>
      <c r="G762" s="3" t="s">
        <v>2041</v>
      </c>
      <c r="H762" s="3" t="s">
        <v>2037</v>
      </c>
      <c r="I762" s="3"/>
      <c r="J762" t="s">
        <v>2044</v>
      </c>
    </row>
    <row r="763" spans="1:10">
      <c r="A763" s="3" t="s">
        <v>2030</v>
      </c>
      <c r="B763" s="3" t="s">
        <v>335</v>
      </c>
      <c r="C763" s="3"/>
      <c r="D763" s="3" t="s">
        <v>2031</v>
      </c>
      <c r="E763" s="3"/>
      <c r="F763" s="3"/>
      <c r="G763" s="3" t="s">
        <v>2041</v>
      </c>
      <c r="H763" s="3" t="s">
        <v>2039</v>
      </c>
      <c r="I763" s="3"/>
      <c r="J763" t="s">
        <v>2045</v>
      </c>
    </row>
    <row r="764" spans="1:10">
      <c r="A764" s="3" t="s">
        <v>353</v>
      </c>
      <c r="B764" s="3" t="s">
        <v>346</v>
      </c>
      <c r="C764" s="3"/>
      <c r="D764" s="3" t="s">
        <v>2046</v>
      </c>
      <c r="E764" s="3"/>
      <c r="F764" s="3"/>
      <c r="G764" s="3" t="s">
        <v>2047</v>
      </c>
      <c r="H764" s="3"/>
      <c r="I764" s="3"/>
      <c r="J764" t="s">
        <v>2048</v>
      </c>
    </row>
    <row r="765" spans="1:10">
      <c r="A765" s="3" t="s">
        <v>353</v>
      </c>
      <c r="B765" s="3" t="s">
        <v>346</v>
      </c>
      <c r="C765" s="3"/>
      <c r="D765" s="3" t="s">
        <v>2046</v>
      </c>
      <c r="E765" s="3"/>
      <c r="F765" s="3"/>
      <c r="G765" s="3" t="s">
        <v>2049</v>
      </c>
      <c r="H765" s="3"/>
      <c r="I765" s="3"/>
      <c r="J765" t="s">
        <v>2050</v>
      </c>
    </row>
    <row r="766" spans="1:10">
      <c r="A766" s="3" t="s">
        <v>353</v>
      </c>
      <c r="B766" s="3" t="s">
        <v>346</v>
      </c>
      <c r="C766" s="3"/>
      <c r="D766" s="3" t="s">
        <v>2046</v>
      </c>
      <c r="E766" s="3"/>
      <c r="F766" s="3"/>
      <c r="G766" s="3"/>
      <c r="H766" s="3"/>
      <c r="I766" s="3" t="s">
        <v>2051</v>
      </c>
      <c r="J766" t="s">
        <v>2052</v>
      </c>
    </row>
    <row r="767" spans="1:10">
      <c r="A767" s="3" t="s">
        <v>353</v>
      </c>
      <c r="B767" s="3" t="s">
        <v>346</v>
      </c>
      <c r="C767" s="3"/>
      <c r="D767" s="3" t="s">
        <v>2046</v>
      </c>
      <c r="E767" s="3"/>
      <c r="F767" s="3"/>
      <c r="G767" s="3"/>
      <c r="H767" s="3"/>
      <c r="I767" s="3" t="s">
        <v>2053</v>
      </c>
      <c r="J767" t="s">
        <v>2054</v>
      </c>
    </row>
    <row r="768" spans="1:10">
      <c r="A768" s="3" t="s">
        <v>353</v>
      </c>
      <c r="B768" s="3" t="s">
        <v>346</v>
      </c>
      <c r="C768" s="3"/>
      <c r="D768" s="3" t="s">
        <v>2046</v>
      </c>
      <c r="E768" s="3"/>
      <c r="F768" s="3"/>
      <c r="G768" s="3"/>
      <c r="H768" s="3"/>
      <c r="I768" s="3" t="s">
        <v>2055</v>
      </c>
      <c r="J768" t="s">
        <v>2056</v>
      </c>
    </row>
    <row r="769" spans="1:10">
      <c r="A769" s="3" t="s">
        <v>353</v>
      </c>
      <c r="B769" s="3" t="s">
        <v>354</v>
      </c>
      <c r="C769" s="3" t="s">
        <v>24</v>
      </c>
      <c r="D769" s="3" t="s">
        <v>2057</v>
      </c>
      <c r="E769" s="3"/>
      <c r="F769" s="3"/>
      <c r="G769" s="3"/>
      <c r="H769" s="3" t="s">
        <v>2058</v>
      </c>
      <c r="I769" s="3"/>
      <c r="J769" t="s">
        <v>2059</v>
      </c>
    </row>
    <row r="770" spans="1:10">
      <c r="A770" s="3" t="s">
        <v>353</v>
      </c>
      <c r="B770" s="3" t="s">
        <v>354</v>
      </c>
      <c r="C770" s="3" t="s">
        <v>24</v>
      </c>
      <c r="D770" s="3" t="s">
        <v>2057</v>
      </c>
      <c r="E770" s="3"/>
      <c r="F770" s="3"/>
      <c r="G770" s="3"/>
      <c r="H770" s="3" t="s">
        <v>2060</v>
      </c>
      <c r="I770" s="3"/>
      <c r="J770" t="s">
        <v>2061</v>
      </c>
    </row>
    <row r="771" spans="1:10">
      <c r="A771" s="3" t="s">
        <v>353</v>
      </c>
      <c r="B771" s="3" t="s">
        <v>354</v>
      </c>
      <c r="C771" s="3" t="s">
        <v>24</v>
      </c>
      <c r="D771" s="3" t="s">
        <v>2057</v>
      </c>
      <c r="E771" s="3"/>
      <c r="F771" s="3"/>
      <c r="G771" s="3"/>
      <c r="H771" s="3" t="s">
        <v>2062</v>
      </c>
      <c r="I771" s="3"/>
      <c r="J771" t="s">
        <v>2063</v>
      </c>
    </row>
    <row r="772" spans="1:10">
      <c r="A772" s="3" t="s">
        <v>353</v>
      </c>
      <c r="B772" s="3" t="s">
        <v>354</v>
      </c>
      <c r="C772" s="3" t="s">
        <v>24</v>
      </c>
      <c r="D772" s="3" t="s">
        <v>2057</v>
      </c>
      <c r="E772" s="3"/>
      <c r="F772" s="3"/>
      <c r="G772" s="3"/>
      <c r="H772" s="3" t="s">
        <v>2064</v>
      </c>
      <c r="I772" s="3"/>
      <c r="J772" t="s">
        <v>2065</v>
      </c>
    </row>
    <row r="773" spans="1:10">
      <c r="A773" s="3" t="s">
        <v>353</v>
      </c>
      <c r="B773" s="3" t="s">
        <v>354</v>
      </c>
      <c r="C773" s="3" t="s">
        <v>24</v>
      </c>
      <c r="D773" s="3" t="s">
        <v>2057</v>
      </c>
      <c r="E773" s="3"/>
      <c r="F773" s="3"/>
      <c r="G773" s="3"/>
      <c r="H773" s="3"/>
      <c r="I773" s="3" t="s">
        <v>2066</v>
      </c>
      <c r="J773" t="s">
        <v>2067</v>
      </c>
    </row>
    <row r="774" spans="1:10">
      <c r="A774" s="3" t="s">
        <v>353</v>
      </c>
      <c r="B774" s="3" t="s">
        <v>354</v>
      </c>
      <c r="C774" s="3" t="s">
        <v>24</v>
      </c>
      <c r="D774" s="3" t="s">
        <v>2057</v>
      </c>
      <c r="E774" s="3"/>
      <c r="F774" s="3"/>
      <c r="G774" s="3"/>
      <c r="H774" s="3"/>
      <c r="I774" s="3" t="s">
        <v>2068</v>
      </c>
      <c r="J774" t="s">
        <v>2069</v>
      </c>
    </row>
    <row r="775" spans="1:10">
      <c r="A775" s="3" t="s">
        <v>353</v>
      </c>
      <c r="B775" s="3" t="s">
        <v>354</v>
      </c>
      <c r="C775" s="3" t="s">
        <v>24</v>
      </c>
      <c r="D775" s="3" t="s">
        <v>2057</v>
      </c>
      <c r="E775" s="3"/>
      <c r="F775" s="3"/>
      <c r="G775" s="3"/>
      <c r="H775" s="3"/>
      <c r="I775" s="3" t="s">
        <v>2070</v>
      </c>
      <c r="J775" t="s">
        <v>2071</v>
      </c>
    </row>
    <row r="776" spans="1:10">
      <c r="A776" s="3" t="s">
        <v>353</v>
      </c>
      <c r="B776" s="3" t="s">
        <v>354</v>
      </c>
      <c r="C776" s="3" t="s">
        <v>24</v>
      </c>
      <c r="D776" s="3" t="s">
        <v>2057</v>
      </c>
      <c r="E776" s="3"/>
      <c r="F776" s="3"/>
      <c r="G776" s="3"/>
      <c r="H776" s="3"/>
      <c r="I776" s="3" t="s">
        <v>2072</v>
      </c>
      <c r="J776" t="s">
        <v>2073</v>
      </c>
    </row>
    <row r="777" spans="1:10">
      <c r="A777" s="3" t="s">
        <v>356</v>
      </c>
      <c r="B777" s="3" t="s">
        <v>357</v>
      </c>
      <c r="C777" s="3" t="s">
        <v>25</v>
      </c>
      <c r="D777" s="3" t="s">
        <v>2074</v>
      </c>
      <c r="E777" s="3"/>
      <c r="F777" s="3"/>
      <c r="G777" s="3" t="s">
        <v>2075</v>
      </c>
      <c r="H777" s="3" t="s">
        <v>2076</v>
      </c>
      <c r="I777" s="3"/>
      <c r="J777" t="s">
        <v>2077</v>
      </c>
    </row>
    <row r="778" spans="1:10">
      <c r="A778" s="3" t="s">
        <v>356</v>
      </c>
      <c r="B778" s="3" t="s">
        <v>357</v>
      </c>
      <c r="C778" s="3" t="s">
        <v>25</v>
      </c>
      <c r="D778" s="3" t="s">
        <v>2074</v>
      </c>
      <c r="E778" s="3"/>
      <c r="F778" s="3"/>
      <c r="G778" s="3" t="s">
        <v>2075</v>
      </c>
      <c r="H778" s="3" t="s">
        <v>2078</v>
      </c>
      <c r="I778" s="3"/>
      <c r="J778" t="s">
        <v>2079</v>
      </c>
    </row>
    <row r="779" spans="1:10">
      <c r="A779" s="3" t="s">
        <v>356</v>
      </c>
      <c r="B779" s="3" t="s">
        <v>357</v>
      </c>
      <c r="C779" s="3" t="s">
        <v>25</v>
      </c>
      <c r="D779" s="3" t="s">
        <v>2074</v>
      </c>
      <c r="E779" s="3"/>
      <c r="F779" s="3"/>
      <c r="G779" s="3" t="s">
        <v>2075</v>
      </c>
      <c r="H779" s="3" t="s">
        <v>2080</v>
      </c>
      <c r="I779" s="3"/>
      <c r="J779" t="s">
        <v>2081</v>
      </c>
    </row>
    <row r="780" spans="1:10">
      <c r="A780" s="3" t="s">
        <v>356</v>
      </c>
      <c r="B780" s="3" t="s">
        <v>357</v>
      </c>
      <c r="C780" s="3" t="s">
        <v>25</v>
      </c>
      <c r="D780" s="3" t="s">
        <v>2074</v>
      </c>
      <c r="E780" s="3"/>
      <c r="F780" s="3"/>
      <c r="G780" s="3" t="s">
        <v>2075</v>
      </c>
      <c r="H780" s="3" t="s">
        <v>2082</v>
      </c>
      <c r="I780" s="3"/>
      <c r="J780" t="s">
        <v>2083</v>
      </c>
    </row>
    <row r="781" spans="1:10">
      <c r="A781" s="3" t="s">
        <v>356</v>
      </c>
      <c r="B781" s="3" t="s">
        <v>357</v>
      </c>
      <c r="C781" s="3" t="s">
        <v>25</v>
      </c>
      <c r="D781" s="3" t="s">
        <v>2074</v>
      </c>
      <c r="E781" s="3"/>
      <c r="F781" s="3"/>
      <c r="G781" s="3" t="s">
        <v>2084</v>
      </c>
      <c r="H781" s="3" t="s">
        <v>2076</v>
      </c>
      <c r="I781" s="3"/>
      <c r="J781" t="s">
        <v>2085</v>
      </c>
    </row>
    <row r="782" spans="1:10">
      <c r="A782" s="3" t="s">
        <v>356</v>
      </c>
      <c r="B782" s="3" t="s">
        <v>357</v>
      </c>
      <c r="C782" s="3" t="s">
        <v>25</v>
      </c>
      <c r="D782" s="3" t="s">
        <v>2074</v>
      </c>
      <c r="E782" s="3"/>
      <c r="F782" s="3"/>
      <c r="G782" s="3" t="s">
        <v>2084</v>
      </c>
      <c r="H782" s="3" t="s">
        <v>2078</v>
      </c>
      <c r="I782" s="3"/>
      <c r="J782" t="s">
        <v>2086</v>
      </c>
    </row>
    <row r="783" spans="1:10">
      <c r="A783" s="3" t="s">
        <v>356</v>
      </c>
      <c r="B783" s="3" t="s">
        <v>357</v>
      </c>
      <c r="C783" s="3" t="s">
        <v>25</v>
      </c>
      <c r="D783" s="3" t="s">
        <v>2074</v>
      </c>
      <c r="E783" s="3"/>
      <c r="F783" s="3"/>
      <c r="G783" s="3" t="s">
        <v>2084</v>
      </c>
      <c r="H783" s="3" t="s">
        <v>2080</v>
      </c>
      <c r="I783" s="3"/>
      <c r="J783" t="s">
        <v>2087</v>
      </c>
    </row>
    <row r="784" spans="1:10">
      <c r="A784" s="3" t="s">
        <v>356</v>
      </c>
      <c r="B784" s="3" t="s">
        <v>357</v>
      </c>
      <c r="C784" s="3" t="s">
        <v>25</v>
      </c>
      <c r="D784" s="3" t="s">
        <v>2074</v>
      </c>
      <c r="E784" s="3"/>
      <c r="F784" s="3"/>
      <c r="G784" s="3" t="s">
        <v>2084</v>
      </c>
      <c r="H784" s="3" t="s">
        <v>2082</v>
      </c>
      <c r="I784" s="3"/>
      <c r="J784" t="s">
        <v>2088</v>
      </c>
    </row>
    <row r="785" spans="1:10">
      <c r="A785" s="3" t="s">
        <v>356</v>
      </c>
      <c r="B785" s="3" t="s">
        <v>362</v>
      </c>
      <c r="C785" s="3" t="s">
        <v>26</v>
      </c>
      <c r="D785" s="3" t="s">
        <v>2089</v>
      </c>
      <c r="E785" s="3"/>
      <c r="F785" s="3"/>
      <c r="G785" s="3" t="s">
        <v>2090</v>
      </c>
      <c r="H785" s="3"/>
      <c r="I785" s="3"/>
      <c r="J785" t="s">
        <v>2091</v>
      </c>
    </row>
    <row r="786" spans="1:10">
      <c r="A786" s="3" t="s">
        <v>356</v>
      </c>
      <c r="B786" s="3" t="s">
        <v>362</v>
      </c>
      <c r="C786" s="3" t="s">
        <v>26</v>
      </c>
      <c r="D786" s="3" t="s">
        <v>2089</v>
      </c>
      <c r="E786" s="3"/>
      <c r="F786" s="3"/>
      <c r="G786" s="3" t="s">
        <v>2092</v>
      </c>
      <c r="H786" s="3"/>
      <c r="I786" s="3"/>
      <c r="J786" t="s">
        <v>2093</v>
      </c>
    </row>
    <row r="787" spans="1:10">
      <c r="A787" s="3" t="s">
        <v>356</v>
      </c>
      <c r="B787" s="3" t="s">
        <v>362</v>
      </c>
      <c r="C787" s="3" t="s">
        <v>26</v>
      </c>
      <c r="D787" s="3" t="s">
        <v>2089</v>
      </c>
      <c r="E787" s="3"/>
      <c r="F787" s="3"/>
      <c r="G787" s="3"/>
      <c r="H787" s="3"/>
      <c r="I787" s="3" t="s">
        <v>2094</v>
      </c>
      <c r="J787" t="s">
        <v>2095</v>
      </c>
    </row>
    <row r="788" spans="1:10">
      <c r="A788" s="3" t="s">
        <v>356</v>
      </c>
      <c r="B788" s="3" t="s">
        <v>362</v>
      </c>
      <c r="C788" s="3" t="s">
        <v>26</v>
      </c>
      <c r="D788" s="3" t="s">
        <v>2089</v>
      </c>
      <c r="E788" s="3"/>
      <c r="F788" s="3"/>
      <c r="G788" s="3"/>
      <c r="H788" s="3"/>
      <c r="I788" s="3" t="s">
        <v>2096</v>
      </c>
      <c r="J788" t="s">
        <v>2097</v>
      </c>
    </row>
    <row r="789" spans="1:10">
      <c r="A789" s="3" t="s">
        <v>356</v>
      </c>
      <c r="B789" s="3" t="s">
        <v>362</v>
      </c>
      <c r="C789" s="3" t="s">
        <v>26</v>
      </c>
      <c r="D789" s="3" t="s">
        <v>2089</v>
      </c>
      <c r="E789" s="3"/>
      <c r="F789" s="3"/>
      <c r="G789" s="3"/>
      <c r="H789" s="3"/>
      <c r="I789" s="3" t="s">
        <v>2098</v>
      </c>
      <c r="J789" t="s">
        <v>2099</v>
      </c>
    </row>
    <row r="790" spans="1:10">
      <c r="A790" s="3" t="s">
        <v>356</v>
      </c>
      <c r="B790" s="3" t="s">
        <v>362</v>
      </c>
      <c r="C790" s="3" t="s">
        <v>27</v>
      </c>
      <c r="D790" s="3" t="s">
        <v>2100</v>
      </c>
      <c r="E790" s="3"/>
      <c r="F790" s="3"/>
      <c r="G790" s="3"/>
      <c r="H790" s="3" t="s">
        <v>2101</v>
      </c>
      <c r="I790" s="3"/>
      <c r="J790" t="s">
        <v>2102</v>
      </c>
    </row>
    <row r="791" spans="1:10">
      <c r="A791" s="3" t="s">
        <v>356</v>
      </c>
      <c r="B791" s="3" t="s">
        <v>362</v>
      </c>
      <c r="C791" s="3" t="s">
        <v>27</v>
      </c>
      <c r="D791" s="3" t="s">
        <v>2100</v>
      </c>
      <c r="E791" s="3"/>
      <c r="F791" s="3"/>
      <c r="G791" s="3"/>
      <c r="H791" s="3" t="s">
        <v>2103</v>
      </c>
      <c r="I791" s="3"/>
      <c r="J791" t="s">
        <v>2104</v>
      </c>
    </row>
    <row r="792" spans="1:10">
      <c r="A792" s="3" t="s">
        <v>356</v>
      </c>
      <c r="B792" s="3" t="s">
        <v>362</v>
      </c>
      <c r="C792" s="3" t="s">
        <v>27</v>
      </c>
      <c r="D792" s="3" t="s">
        <v>2100</v>
      </c>
      <c r="E792" s="3"/>
      <c r="F792" s="3"/>
      <c r="G792" s="3"/>
      <c r="H792" s="3" t="s">
        <v>2105</v>
      </c>
      <c r="I792" s="3"/>
      <c r="J792" t="s">
        <v>2106</v>
      </c>
    </row>
    <row r="793" spans="1:10">
      <c r="A793" s="3" t="s">
        <v>356</v>
      </c>
      <c r="B793" s="3" t="s">
        <v>362</v>
      </c>
      <c r="C793" s="3" t="s">
        <v>27</v>
      </c>
      <c r="D793" s="3" t="s">
        <v>2100</v>
      </c>
      <c r="E793" s="3"/>
      <c r="F793" s="3"/>
      <c r="G793" s="3"/>
      <c r="H793" s="3" t="s">
        <v>2107</v>
      </c>
      <c r="I793" s="3"/>
      <c r="J793" t="s">
        <v>2108</v>
      </c>
    </row>
    <row r="794" spans="1:10">
      <c r="A794" s="3" t="s">
        <v>356</v>
      </c>
      <c r="B794" s="3" t="s">
        <v>362</v>
      </c>
      <c r="C794" s="3" t="s">
        <v>27</v>
      </c>
      <c r="D794" s="3" t="s">
        <v>2100</v>
      </c>
      <c r="E794" s="3"/>
      <c r="F794" s="3"/>
      <c r="G794" s="3"/>
      <c r="H794" s="3" t="s">
        <v>2109</v>
      </c>
      <c r="I794" s="3"/>
      <c r="J794" t="s">
        <v>2110</v>
      </c>
    </row>
    <row r="795" spans="1:10">
      <c r="A795" s="3" t="s">
        <v>356</v>
      </c>
      <c r="B795" s="3" t="s">
        <v>362</v>
      </c>
      <c r="C795" s="3" t="s">
        <v>27</v>
      </c>
      <c r="D795" s="3" t="s">
        <v>2100</v>
      </c>
      <c r="E795" s="3"/>
      <c r="F795" s="3"/>
      <c r="G795" s="3"/>
      <c r="H795" s="3"/>
      <c r="I795" s="3" t="s">
        <v>2111</v>
      </c>
      <c r="J795" t="s">
        <v>2112</v>
      </c>
    </row>
    <row r="796" spans="1:10">
      <c r="A796" s="3" t="s">
        <v>356</v>
      </c>
      <c r="B796" s="3" t="s">
        <v>362</v>
      </c>
      <c r="C796" s="3" t="s">
        <v>27</v>
      </c>
      <c r="D796" s="3" t="s">
        <v>2100</v>
      </c>
      <c r="E796" s="3"/>
      <c r="F796" s="3"/>
      <c r="G796" s="3"/>
      <c r="H796" s="3"/>
      <c r="I796" s="3" t="s">
        <v>2113</v>
      </c>
      <c r="J796" t="s">
        <v>2114</v>
      </c>
    </row>
    <row r="797" spans="1:10">
      <c r="A797" s="3" t="s">
        <v>356</v>
      </c>
      <c r="B797" s="3" t="s">
        <v>362</v>
      </c>
      <c r="C797" s="3" t="s">
        <v>27</v>
      </c>
      <c r="D797" s="3" t="s">
        <v>2100</v>
      </c>
      <c r="E797" s="3"/>
      <c r="F797" s="3"/>
      <c r="G797" s="3"/>
      <c r="H797" s="3"/>
      <c r="I797" s="3" t="s">
        <v>2115</v>
      </c>
      <c r="J797" t="s">
        <v>2116</v>
      </c>
    </row>
    <row r="798" spans="1:10">
      <c r="A798" s="3" t="s">
        <v>356</v>
      </c>
      <c r="B798" s="3"/>
      <c r="C798" s="3"/>
      <c r="D798" s="3" t="s">
        <v>2117</v>
      </c>
      <c r="E798" s="3"/>
      <c r="F798" s="3"/>
      <c r="G798" s="3" t="s">
        <v>2118</v>
      </c>
      <c r="H798" s="3" t="s">
        <v>2119</v>
      </c>
      <c r="I798" s="3"/>
      <c r="J798" t="s">
        <v>2120</v>
      </c>
    </row>
    <row r="799" spans="1:10">
      <c r="A799" s="3" t="s">
        <v>356</v>
      </c>
      <c r="B799" s="3"/>
      <c r="C799" s="3"/>
      <c r="D799" s="3" t="s">
        <v>2117</v>
      </c>
      <c r="E799" s="3"/>
      <c r="F799" s="3"/>
      <c r="G799" s="3" t="s">
        <v>2118</v>
      </c>
      <c r="H799" s="3" t="s">
        <v>2121</v>
      </c>
      <c r="I799" s="3"/>
      <c r="J799" t="s">
        <v>2122</v>
      </c>
    </row>
    <row r="800" spans="1:10">
      <c r="A800" s="3" t="s">
        <v>356</v>
      </c>
      <c r="B800" s="3"/>
      <c r="C800" s="3"/>
      <c r="D800" s="3" t="s">
        <v>2117</v>
      </c>
      <c r="E800" s="3"/>
      <c r="F800" s="3"/>
      <c r="G800" s="3" t="s">
        <v>2118</v>
      </c>
      <c r="H800" s="3" t="s">
        <v>2123</v>
      </c>
      <c r="I800" s="3"/>
      <c r="J800" t="s">
        <v>2124</v>
      </c>
    </row>
    <row r="801" spans="1:10">
      <c r="A801" s="3" t="s">
        <v>356</v>
      </c>
      <c r="B801" s="3"/>
      <c r="C801" s="3"/>
      <c r="D801" s="3" t="s">
        <v>2117</v>
      </c>
      <c r="E801" s="3"/>
      <c r="F801" s="3"/>
      <c r="G801" s="3" t="s">
        <v>2125</v>
      </c>
      <c r="H801" s="3" t="s">
        <v>2119</v>
      </c>
      <c r="I801" s="3"/>
      <c r="J801" t="s">
        <v>2126</v>
      </c>
    </row>
    <row r="802" spans="1:10">
      <c r="A802" s="3" t="s">
        <v>356</v>
      </c>
      <c r="B802" s="3"/>
      <c r="C802" s="3"/>
      <c r="D802" s="3" t="s">
        <v>2117</v>
      </c>
      <c r="E802" s="3"/>
      <c r="F802" s="3"/>
      <c r="G802" s="3" t="s">
        <v>2125</v>
      </c>
      <c r="H802" s="3" t="s">
        <v>2121</v>
      </c>
      <c r="I802" s="3"/>
      <c r="J802" t="s">
        <v>2127</v>
      </c>
    </row>
    <row r="803" spans="1:10">
      <c r="A803" s="3" t="s">
        <v>356</v>
      </c>
      <c r="B803" s="3"/>
      <c r="C803" s="3"/>
      <c r="D803" s="3" t="s">
        <v>2117</v>
      </c>
      <c r="E803" s="3"/>
      <c r="F803" s="3"/>
      <c r="G803" s="3" t="s">
        <v>2125</v>
      </c>
      <c r="H803" s="3" t="s">
        <v>2123</v>
      </c>
      <c r="I803" s="3"/>
      <c r="J803" t="s">
        <v>2128</v>
      </c>
    </row>
    <row r="804" spans="1:10">
      <c r="A804" s="3" t="s">
        <v>372</v>
      </c>
      <c r="B804" s="3"/>
      <c r="C804" s="3"/>
      <c r="D804" s="3" t="s">
        <v>2129</v>
      </c>
      <c r="E804" s="3"/>
      <c r="F804" s="3"/>
      <c r="G804" s="3" t="s">
        <v>2130</v>
      </c>
      <c r="H804" s="3" t="s">
        <v>2131</v>
      </c>
      <c r="I804" s="3"/>
      <c r="J804" t="s">
        <v>2132</v>
      </c>
    </row>
    <row r="805" spans="1:10">
      <c r="A805" s="3" t="s">
        <v>372</v>
      </c>
      <c r="B805" s="3"/>
      <c r="C805" s="3"/>
      <c r="D805" s="3" t="s">
        <v>2129</v>
      </c>
      <c r="E805" s="3"/>
      <c r="F805" s="3"/>
      <c r="G805" s="3" t="s">
        <v>2130</v>
      </c>
      <c r="H805" s="3" t="s">
        <v>2133</v>
      </c>
      <c r="I805" s="3"/>
      <c r="J805" t="s">
        <v>2134</v>
      </c>
    </row>
    <row r="806" spans="1:10">
      <c r="A806" s="3" t="s">
        <v>372</v>
      </c>
      <c r="B806" s="3"/>
      <c r="C806" s="3"/>
      <c r="D806" s="3" t="s">
        <v>2129</v>
      </c>
      <c r="E806" s="3"/>
      <c r="F806" s="3"/>
      <c r="G806" s="3" t="s">
        <v>2130</v>
      </c>
      <c r="H806" s="3" t="s">
        <v>2135</v>
      </c>
      <c r="I806" s="3"/>
      <c r="J806" t="s">
        <v>2136</v>
      </c>
    </row>
    <row r="807" spans="1:10">
      <c r="A807" s="3" t="s">
        <v>372</v>
      </c>
      <c r="B807" s="3"/>
      <c r="C807" s="3"/>
      <c r="D807" s="3" t="s">
        <v>2129</v>
      </c>
      <c r="E807" s="3"/>
      <c r="F807" s="3"/>
      <c r="G807" s="3" t="s">
        <v>2130</v>
      </c>
      <c r="H807" s="3" t="s">
        <v>2137</v>
      </c>
      <c r="I807" s="3"/>
      <c r="J807" t="s">
        <v>2138</v>
      </c>
    </row>
    <row r="808" spans="1:10">
      <c r="A808" s="3" t="s">
        <v>372</v>
      </c>
      <c r="B808" s="3"/>
      <c r="C808" s="3"/>
      <c r="D808" s="3" t="s">
        <v>2129</v>
      </c>
      <c r="E808" s="3"/>
      <c r="F808" s="3"/>
      <c r="G808" s="3" t="s">
        <v>2139</v>
      </c>
      <c r="H808" s="3" t="s">
        <v>2131</v>
      </c>
      <c r="I808" s="3"/>
      <c r="J808" t="s">
        <v>2140</v>
      </c>
    </row>
    <row r="809" spans="1:10">
      <c r="A809" s="3" t="s">
        <v>372</v>
      </c>
      <c r="B809" s="3"/>
      <c r="C809" s="3"/>
      <c r="D809" s="3" t="s">
        <v>2129</v>
      </c>
      <c r="E809" s="3"/>
      <c r="F809" s="3"/>
      <c r="G809" s="3" t="s">
        <v>2139</v>
      </c>
      <c r="H809" s="3" t="s">
        <v>2133</v>
      </c>
      <c r="I809" s="3"/>
      <c r="J809" t="s">
        <v>2141</v>
      </c>
    </row>
    <row r="810" spans="1:10">
      <c r="A810" s="3" t="s">
        <v>372</v>
      </c>
      <c r="B810" s="3"/>
      <c r="C810" s="3"/>
      <c r="D810" s="3" t="s">
        <v>2129</v>
      </c>
      <c r="E810" s="3"/>
      <c r="F810" s="3"/>
      <c r="G810" s="3" t="s">
        <v>2139</v>
      </c>
      <c r="H810" s="3" t="s">
        <v>2135</v>
      </c>
      <c r="I810" s="3"/>
      <c r="J810" t="s">
        <v>2142</v>
      </c>
    </row>
    <row r="811" spans="1:10">
      <c r="A811" s="3" t="s">
        <v>372</v>
      </c>
      <c r="B811" s="3"/>
      <c r="C811" s="3"/>
      <c r="D811" s="3" t="s">
        <v>2129</v>
      </c>
      <c r="E811" s="3"/>
      <c r="F811" s="3"/>
      <c r="G811" s="3" t="s">
        <v>2139</v>
      </c>
      <c r="H811" s="3" t="s">
        <v>2137</v>
      </c>
      <c r="I811" s="3"/>
      <c r="J811" t="s">
        <v>2143</v>
      </c>
    </row>
    <row r="812" spans="1:10">
      <c r="A812" s="3" t="s">
        <v>389</v>
      </c>
      <c r="B812" s="3"/>
      <c r="C812" s="3"/>
      <c r="D812" s="3" t="s">
        <v>2144</v>
      </c>
      <c r="E812" s="3"/>
      <c r="F812" s="3"/>
      <c r="G812" s="3"/>
      <c r="H812" s="3" t="s">
        <v>2145</v>
      </c>
      <c r="I812" s="3"/>
      <c r="J812" t="s">
        <v>2146</v>
      </c>
    </row>
    <row r="813" spans="1:10">
      <c r="A813" s="3" t="s">
        <v>389</v>
      </c>
      <c r="B813" s="3"/>
      <c r="C813" s="3"/>
      <c r="D813" s="3" t="s">
        <v>2144</v>
      </c>
      <c r="E813" s="3"/>
      <c r="F813" s="3"/>
      <c r="G813" s="3"/>
      <c r="H813" s="3" t="s">
        <v>2147</v>
      </c>
      <c r="I813" s="3"/>
      <c r="J813" t="s">
        <v>2148</v>
      </c>
    </row>
    <row r="814" spans="1:10">
      <c r="A814" s="3" t="s">
        <v>389</v>
      </c>
      <c r="B814" s="3"/>
      <c r="C814" s="3"/>
      <c r="D814" s="3" t="s">
        <v>2144</v>
      </c>
      <c r="E814" s="3"/>
      <c r="F814" s="3"/>
      <c r="G814" s="3"/>
      <c r="H814" s="3" t="s">
        <v>2149</v>
      </c>
      <c r="I814" s="3"/>
      <c r="J814" t="s">
        <v>2150</v>
      </c>
    </row>
    <row r="815" spans="1:10">
      <c r="A815" s="3" t="s">
        <v>389</v>
      </c>
      <c r="B815" s="3"/>
      <c r="C815" s="3"/>
      <c r="D815" s="3" t="s">
        <v>2144</v>
      </c>
      <c r="E815" s="3"/>
      <c r="F815" s="3"/>
      <c r="G815" s="3"/>
      <c r="H815" s="3" t="s">
        <v>2151</v>
      </c>
      <c r="I815" s="3"/>
      <c r="J815" t="s">
        <v>2152</v>
      </c>
    </row>
    <row r="816" spans="1:10">
      <c r="A816" s="3" t="s">
        <v>401</v>
      </c>
      <c r="B816" s="3" t="s">
        <v>402</v>
      </c>
      <c r="C816" s="3" t="s">
        <v>31</v>
      </c>
      <c r="D816" s="3" t="s">
        <v>2153</v>
      </c>
      <c r="E816" s="3"/>
      <c r="F816" s="3"/>
      <c r="G816" s="3" t="s">
        <v>2154</v>
      </c>
      <c r="H816" s="3" t="s">
        <v>2155</v>
      </c>
      <c r="I816" s="3"/>
      <c r="J816" t="s">
        <v>2156</v>
      </c>
    </row>
    <row r="817" spans="1:10">
      <c r="A817" s="3" t="s">
        <v>401</v>
      </c>
      <c r="B817" s="3" t="s">
        <v>402</v>
      </c>
      <c r="C817" s="3" t="s">
        <v>31</v>
      </c>
      <c r="D817" s="3" t="s">
        <v>2153</v>
      </c>
      <c r="E817" s="3"/>
      <c r="F817" s="3"/>
      <c r="G817" s="3" t="s">
        <v>2154</v>
      </c>
      <c r="H817" s="3" t="s">
        <v>2157</v>
      </c>
      <c r="I817" s="3"/>
      <c r="J817" t="s">
        <v>2158</v>
      </c>
    </row>
    <row r="818" spans="1:10">
      <c r="A818" s="3" t="s">
        <v>401</v>
      </c>
      <c r="B818" s="3" t="s">
        <v>402</v>
      </c>
      <c r="C818" s="3" t="s">
        <v>31</v>
      </c>
      <c r="D818" s="3" t="s">
        <v>2153</v>
      </c>
      <c r="E818" s="3"/>
      <c r="F818" s="3"/>
      <c r="G818" s="3" t="s">
        <v>2154</v>
      </c>
      <c r="H818" s="3" t="s">
        <v>2159</v>
      </c>
      <c r="I818" s="3"/>
      <c r="J818" t="s">
        <v>2160</v>
      </c>
    </row>
    <row r="819" spans="1:10">
      <c r="A819" s="3" t="s">
        <v>401</v>
      </c>
      <c r="B819" s="3" t="s">
        <v>402</v>
      </c>
      <c r="C819" s="3" t="s">
        <v>31</v>
      </c>
      <c r="D819" s="3" t="s">
        <v>2153</v>
      </c>
      <c r="E819" s="3"/>
      <c r="F819" s="3"/>
      <c r="G819" s="3" t="s">
        <v>2154</v>
      </c>
      <c r="H819" s="3" t="s">
        <v>2161</v>
      </c>
      <c r="I819" s="3"/>
      <c r="J819" t="s">
        <v>2162</v>
      </c>
    </row>
    <row r="820" spans="1:10">
      <c r="A820" s="3" t="s">
        <v>401</v>
      </c>
      <c r="B820" s="3" t="s">
        <v>402</v>
      </c>
      <c r="C820" s="3" t="s">
        <v>31</v>
      </c>
      <c r="D820" s="3" t="s">
        <v>2153</v>
      </c>
      <c r="E820" s="3"/>
      <c r="F820" s="3"/>
      <c r="G820" s="3" t="s">
        <v>2163</v>
      </c>
      <c r="H820" s="3" t="s">
        <v>2155</v>
      </c>
      <c r="I820" s="3"/>
      <c r="J820" t="s">
        <v>2164</v>
      </c>
    </row>
    <row r="821" spans="1:10">
      <c r="A821" s="3" t="s">
        <v>401</v>
      </c>
      <c r="B821" s="3" t="s">
        <v>402</v>
      </c>
      <c r="C821" s="3" t="s">
        <v>31</v>
      </c>
      <c r="D821" s="3" t="s">
        <v>2153</v>
      </c>
      <c r="E821" s="3"/>
      <c r="F821" s="3"/>
      <c r="G821" s="3" t="s">
        <v>2163</v>
      </c>
      <c r="H821" s="3" t="s">
        <v>2157</v>
      </c>
      <c r="I821" s="3"/>
      <c r="J821" t="s">
        <v>2165</v>
      </c>
    </row>
    <row r="822" spans="1:10">
      <c r="A822" s="3" t="s">
        <v>401</v>
      </c>
      <c r="B822" s="3" t="s">
        <v>402</v>
      </c>
      <c r="C822" s="3" t="s">
        <v>31</v>
      </c>
      <c r="D822" s="3" t="s">
        <v>2153</v>
      </c>
      <c r="E822" s="3"/>
      <c r="F822" s="3"/>
      <c r="G822" s="3" t="s">
        <v>2163</v>
      </c>
      <c r="H822" s="3" t="s">
        <v>2159</v>
      </c>
      <c r="I822" s="3"/>
      <c r="J822" t="s">
        <v>2166</v>
      </c>
    </row>
    <row r="823" spans="1:10">
      <c r="A823" s="3" t="s">
        <v>401</v>
      </c>
      <c r="B823" s="3" t="s">
        <v>402</v>
      </c>
      <c r="C823" s="3" t="s">
        <v>31</v>
      </c>
      <c r="D823" s="3" t="s">
        <v>2153</v>
      </c>
      <c r="E823" s="3"/>
      <c r="F823" s="3"/>
      <c r="G823" s="3" t="s">
        <v>2163</v>
      </c>
      <c r="H823" s="3" t="s">
        <v>2161</v>
      </c>
      <c r="I823" s="3"/>
      <c r="J823" t="s">
        <v>2167</v>
      </c>
    </row>
    <row r="824" spans="1:10">
      <c r="A824" s="3" t="s">
        <v>401</v>
      </c>
      <c r="B824" s="3" t="s">
        <v>402</v>
      </c>
      <c r="C824" s="3" t="s">
        <v>32</v>
      </c>
      <c r="D824" s="3" t="s">
        <v>2168</v>
      </c>
      <c r="E824" s="3"/>
      <c r="F824" s="3"/>
      <c r="G824" s="3" t="s">
        <v>2169</v>
      </c>
      <c r="H824" s="3"/>
      <c r="I824" s="3"/>
      <c r="J824" t="s">
        <v>2170</v>
      </c>
    </row>
    <row r="825" spans="1:10">
      <c r="A825" s="3" t="s">
        <v>401</v>
      </c>
      <c r="B825" s="3" t="s">
        <v>402</v>
      </c>
      <c r="C825" s="3" t="s">
        <v>32</v>
      </c>
      <c r="D825" s="3" t="s">
        <v>2168</v>
      </c>
      <c r="E825" s="3"/>
      <c r="F825" s="3"/>
      <c r="G825" s="3" t="s">
        <v>2171</v>
      </c>
      <c r="H825" s="3"/>
      <c r="I825" s="3"/>
      <c r="J825" t="s">
        <v>2172</v>
      </c>
    </row>
    <row r="826" spans="1:10">
      <c r="A826" s="3" t="s">
        <v>401</v>
      </c>
      <c r="B826" s="3" t="s">
        <v>402</v>
      </c>
      <c r="C826" s="3" t="s">
        <v>32</v>
      </c>
      <c r="D826" s="3" t="s">
        <v>2168</v>
      </c>
      <c r="E826" s="3"/>
      <c r="F826" s="3"/>
      <c r="G826" s="3"/>
      <c r="H826" s="3"/>
      <c r="I826" s="3" t="s">
        <v>2173</v>
      </c>
      <c r="J826" t="s">
        <v>2174</v>
      </c>
    </row>
    <row r="827" spans="1:10">
      <c r="A827" s="3" t="s">
        <v>401</v>
      </c>
      <c r="B827" s="3" t="s">
        <v>402</v>
      </c>
      <c r="C827" s="3" t="s">
        <v>32</v>
      </c>
      <c r="D827" s="3" t="s">
        <v>2168</v>
      </c>
      <c r="E827" s="3"/>
      <c r="F827" s="3"/>
      <c r="G827" s="3"/>
      <c r="H827" s="3"/>
      <c r="I827" s="3" t="s">
        <v>2175</v>
      </c>
      <c r="J827" t="s">
        <v>2176</v>
      </c>
    </row>
    <row r="828" spans="1:10">
      <c r="A828" s="3" t="s">
        <v>401</v>
      </c>
      <c r="B828" s="3" t="s">
        <v>402</v>
      </c>
      <c r="C828" s="3" t="s">
        <v>32</v>
      </c>
      <c r="D828" s="3" t="s">
        <v>2168</v>
      </c>
      <c r="E828" s="3"/>
      <c r="F828" s="3"/>
      <c r="G828" s="3"/>
      <c r="H828" s="3"/>
      <c r="I828" s="3" t="s">
        <v>2177</v>
      </c>
      <c r="J828" t="s">
        <v>2178</v>
      </c>
    </row>
    <row r="829" spans="1:10">
      <c r="A829" s="3" t="s">
        <v>407</v>
      </c>
      <c r="B829" s="3" t="s">
        <v>408</v>
      </c>
      <c r="C829" s="3" t="s">
        <v>33</v>
      </c>
      <c r="D829" s="3" t="s">
        <v>2179</v>
      </c>
      <c r="E829" s="3"/>
      <c r="F829" s="3"/>
      <c r="G829" s="3" t="s">
        <v>2180</v>
      </c>
      <c r="H829" s="3" t="s">
        <v>2181</v>
      </c>
      <c r="I829" s="3"/>
      <c r="J829" t="s">
        <v>2182</v>
      </c>
    </row>
    <row r="830" spans="1:10">
      <c r="A830" s="3" t="s">
        <v>407</v>
      </c>
      <c r="B830" s="3" t="s">
        <v>408</v>
      </c>
      <c r="C830" s="3" t="s">
        <v>33</v>
      </c>
      <c r="D830" s="3" t="s">
        <v>2179</v>
      </c>
      <c r="E830" s="3"/>
      <c r="F830" s="3"/>
      <c r="G830" s="3" t="s">
        <v>2180</v>
      </c>
      <c r="H830" s="3" t="s">
        <v>2183</v>
      </c>
      <c r="I830" s="3"/>
      <c r="J830" t="s">
        <v>2184</v>
      </c>
    </row>
    <row r="831" spans="1:10">
      <c r="A831" s="3" t="s">
        <v>407</v>
      </c>
      <c r="B831" s="3" t="s">
        <v>408</v>
      </c>
      <c r="C831" s="3" t="s">
        <v>33</v>
      </c>
      <c r="D831" s="3" t="s">
        <v>2179</v>
      </c>
      <c r="E831" s="3"/>
      <c r="F831" s="3"/>
      <c r="G831" s="3" t="s">
        <v>2180</v>
      </c>
      <c r="H831" s="3" t="s">
        <v>2185</v>
      </c>
      <c r="I831" s="3"/>
      <c r="J831" t="s">
        <v>2186</v>
      </c>
    </row>
    <row r="832" spans="1:10">
      <c r="A832" s="3" t="s">
        <v>407</v>
      </c>
      <c r="B832" s="3" t="s">
        <v>408</v>
      </c>
      <c r="C832" s="3" t="s">
        <v>33</v>
      </c>
      <c r="D832" s="3" t="s">
        <v>2179</v>
      </c>
      <c r="E832" s="3"/>
      <c r="F832" s="3"/>
      <c r="G832" s="3" t="s">
        <v>2180</v>
      </c>
      <c r="H832" s="3" t="s">
        <v>2187</v>
      </c>
      <c r="I832" s="3"/>
      <c r="J832" t="s">
        <v>2188</v>
      </c>
    </row>
    <row r="833" spans="1:10">
      <c r="A833" s="3" t="s">
        <v>407</v>
      </c>
      <c r="B833" s="3" t="s">
        <v>408</v>
      </c>
      <c r="C833" s="3" t="s">
        <v>33</v>
      </c>
      <c r="D833" s="3" t="s">
        <v>2179</v>
      </c>
      <c r="E833" s="3"/>
      <c r="F833" s="3"/>
      <c r="G833" s="3" t="s">
        <v>2189</v>
      </c>
      <c r="H833" s="3" t="s">
        <v>2181</v>
      </c>
      <c r="I833" s="3"/>
      <c r="J833" t="s">
        <v>2190</v>
      </c>
    </row>
    <row r="834" spans="1:10">
      <c r="A834" s="3" t="s">
        <v>407</v>
      </c>
      <c r="B834" s="3" t="s">
        <v>408</v>
      </c>
      <c r="C834" s="3" t="s">
        <v>33</v>
      </c>
      <c r="D834" s="3" t="s">
        <v>2179</v>
      </c>
      <c r="E834" s="3"/>
      <c r="F834" s="3"/>
      <c r="G834" s="3" t="s">
        <v>2189</v>
      </c>
      <c r="H834" s="3" t="s">
        <v>2183</v>
      </c>
      <c r="I834" s="3"/>
      <c r="J834" t="s">
        <v>2191</v>
      </c>
    </row>
    <row r="835" spans="1:10">
      <c r="A835" s="3" t="s">
        <v>407</v>
      </c>
      <c r="B835" s="3" t="s">
        <v>408</v>
      </c>
      <c r="C835" s="3" t="s">
        <v>33</v>
      </c>
      <c r="D835" s="3" t="s">
        <v>2179</v>
      </c>
      <c r="E835" s="3"/>
      <c r="F835" s="3"/>
      <c r="G835" s="3" t="s">
        <v>2189</v>
      </c>
      <c r="H835" s="3" t="s">
        <v>2185</v>
      </c>
      <c r="I835" s="3"/>
      <c r="J835" t="s">
        <v>2192</v>
      </c>
    </row>
    <row r="836" spans="1:10">
      <c r="A836" s="3" t="s">
        <v>407</v>
      </c>
      <c r="B836" s="3" t="s">
        <v>408</v>
      </c>
      <c r="C836" s="3" t="s">
        <v>33</v>
      </c>
      <c r="D836" s="3" t="s">
        <v>2179</v>
      </c>
      <c r="E836" s="3"/>
      <c r="F836" s="3"/>
      <c r="G836" s="3" t="s">
        <v>2189</v>
      </c>
      <c r="H836" s="3" t="s">
        <v>2187</v>
      </c>
      <c r="I836" s="3"/>
      <c r="J836" t="s">
        <v>2193</v>
      </c>
    </row>
    <row r="837" spans="1:10">
      <c r="A837" s="3" t="s">
        <v>407</v>
      </c>
      <c r="B837" s="3" t="s">
        <v>408</v>
      </c>
      <c r="C837" s="3" t="s">
        <v>33</v>
      </c>
      <c r="D837" s="3" t="s">
        <v>2179</v>
      </c>
      <c r="E837" s="3"/>
      <c r="F837" s="3"/>
      <c r="G837" s="3"/>
      <c r="H837" s="3"/>
      <c r="I837" s="3" t="s">
        <v>2194</v>
      </c>
      <c r="J837" t="s">
        <v>2195</v>
      </c>
    </row>
    <row r="838" spans="1:10">
      <c r="A838" s="3" t="s">
        <v>411</v>
      </c>
      <c r="B838" s="3" t="s">
        <v>412</v>
      </c>
      <c r="C838" s="3" t="s">
        <v>34</v>
      </c>
      <c r="D838" s="3" t="s">
        <v>2196</v>
      </c>
      <c r="E838" s="3"/>
      <c r="F838" s="3"/>
      <c r="G838" s="3" t="s">
        <v>2197</v>
      </c>
      <c r="H838" s="3"/>
      <c r="I838" s="3"/>
      <c r="J838" t="s">
        <v>2198</v>
      </c>
    </row>
    <row r="839" spans="1:10">
      <c r="A839" s="3" t="s">
        <v>411</v>
      </c>
      <c r="B839" s="3" t="s">
        <v>412</v>
      </c>
      <c r="C839" s="3" t="s">
        <v>34</v>
      </c>
      <c r="D839" s="3" t="s">
        <v>2196</v>
      </c>
      <c r="E839" s="3"/>
      <c r="F839" s="3"/>
      <c r="G839" s="3" t="s">
        <v>2199</v>
      </c>
      <c r="H839" s="3"/>
      <c r="I839" s="3"/>
      <c r="J839" t="s">
        <v>2200</v>
      </c>
    </row>
    <row r="840" spans="1:10">
      <c r="A840" s="3" t="s">
        <v>411</v>
      </c>
      <c r="B840" s="3" t="s">
        <v>412</v>
      </c>
      <c r="C840" s="3" t="s">
        <v>34</v>
      </c>
      <c r="D840" s="3" t="s">
        <v>2196</v>
      </c>
      <c r="E840" s="3"/>
      <c r="F840" s="3"/>
      <c r="G840" s="3"/>
      <c r="H840" s="3"/>
      <c r="I840" s="3" t="s">
        <v>2201</v>
      </c>
      <c r="J840" t="s">
        <v>2202</v>
      </c>
    </row>
    <row r="841" spans="1:10">
      <c r="A841" s="3" t="s">
        <v>411</v>
      </c>
      <c r="B841" s="3" t="s">
        <v>412</v>
      </c>
      <c r="C841" s="3" t="s">
        <v>34</v>
      </c>
      <c r="D841" s="3" t="s">
        <v>2196</v>
      </c>
      <c r="E841" s="3"/>
      <c r="F841" s="3"/>
      <c r="G841" s="3"/>
      <c r="H841" s="3"/>
      <c r="I841" s="3" t="s">
        <v>2203</v>
      </c>
      <c r="J841" t="s">
        <v>2204</v>
      </c>
    </row>
    <row r="842" spans="1:10">
      <c r="A842" s="3" t="s">
        <v>411</v>
      </c>
      <c r="B842" s="3" t="s">
        <v>412</v>
      </c>
      <c r="C842" s="3" t="s">
        <v>34</v>
      </c>
      <c r="D842" s="3" t="s">
        <v>2196</v>
      </c>
      <c r="E842" s="3"/>
      <c r="F842" s="3"/>
      <c r="G842" s="3"/>
      <c r="H842" s="3"/>
      <c r="I842" s="3" t="s">
        <v>2205</v>
      </c>
      <c r="J842" t="s">
        <v>2206</v>
      </c>
    </row>
    <row r="843" spans="1:10">
      <c r="A843" s="3" t="s">
        <v>411</v>
      </c>
      <c r="B843" s="3" t="s">
        <v>412</v>
      </c>
      <c r="C843" s="3" t="s">
        <v>34</v>
      </c>
      <c r="D843" s="3" t="s">
        <v>2196</v>
      </c>
      <c r="E843" s="3"/>
      <c r="F843" s="3"/>
      <c r="G843" s="3"/>
      <c r="H843" s="3"/>
      <c r="I843" s="3" t="s">
        <v>2207</v>
      </c>
      <c r="J843" t="s">
        <v>2208</v>
      </c>
    </row>
    <row r="844" spans="1:10">
      <c r="A844" s="3" t="s">
        <v>411</v>
      </c>
      <c r="B844" s="3" t="s">
        <v>419</v>
      </c>
      <c r="C844" s="3" t="s">
        <v>35</v>
      </c>
      <c r="D844" s="3" t="s">
        <v>2209</v>
      </c>
      <c r="E844" s="3"/>
      <c r="F844" s="3"/>
      <c r="G844" s="3" t="s">
        <v>2210</v>
      </c>
      <c r="H844" s="3" t="s">
        <v>2211</v>
      </c>
      <c r="I844" s="3"/>
      <c r="J844" t="s">
        <v>2212</v>
      </c>
    </row>
    <row r="845" spans="1:10">
      <c r="A845" s="3" t="s">
        <v>411</v>
      </c>
      <c r="B845" s="3" t="s">
        <v>419</v>
      </c>
      <c r="C845" s="3" t="s">
        <v>35</v>
      </c>
      <c r="D845" s="3" t="s">
        <v>2209</v>
      </c>
      <c r="E845" s="3"/>
      <c r="F845" s="3"/>
      <c r="G845" s="3" t="s">
        <v>2210</v>
      </c>
      <c r="H845" s="3" t="s">
        <v>2213</v>
      </c>
      <c r="I845" s="3"/>
      <c r="J845" t="s">
        <v>2214</v>
      </c>
    </row>
    <row r="846" spans="1:10">
      <c r="A846" s="3" t="s">
        <v>411</v>
      </c>
      <c r="B846" s="3" t="s">
        <v>419</v>
      </c>
      <c r="C846" s="3" t="s">
        <v>35</v>
      </c>
      <c r="D846" s="3" t="s">
        <v>2209</v>
      </c>
      <c r="E846" s="3"/>
      <c r="F846" s="3"/>
      <c r="G846" s="3" t="s">
        <v>2210</v>
      </c>
      <c r="H846" s="3" t="s">
        <v>2215</v>
      </c>
      <c r="I846" s="3"/>
      <c r="J846" t="s">
        <v>2216</v>
      </c>
    </row>
    <row r="847" spans="1:10">
      <c r="A847" s="3" t="s">
        <v>411</v>
      </c>
      <c r="B847" s="3" t="s">
        <v>419</v>
      </c>
      <c r="C847" s="3" t="s">
        <v>35</v>
      </c>
      <c r="D847" s="3" t="s">
        <v>2209</v>
      </c>
      <c r="E847" s="3"/>
      <c r="F847" s="3"/>
      <c r="G847" s="3" t="s">
        <v>2210</v>
      </c>
      <c r="H847" s="3" t="s">
        <v>2217</v>
      </c>
      <c r="I847" s="3"/>
      <c r="J847" t="s">
        <v>2218</v>
      </c>
    </row>
    <row r="848" spans="1:10">
      <c r="A848" s="3" t="s">
        <v>411</v>
      </c>
      <c r="B848" s="3" t="s">
        <v>419</v>
      </c>
      <c r="C848" s="3" t="s">
        <v>35</v>
      </c>
      <c r="D848" s="3" t="s">
        <v>2209</v>
      </c>
      <c r="E848" s="3"/>
      <c r="F848" s="3"/>
      <c r="G848" s="3" t="s">
        <v>2219</v>
      </c>
      <c r="H848" s="3" t="s">
        <v>2211</v>
      </c>
      <c r="I848" s="3"/>
      <c r="J848" t="s">
        <v>2220</v>
      </c>
    </row>
    <row r="849" spans="1:10">
      <c r="A849" s="3" t="s">
        <v>411</v>
      </c>
      <c r="B849" s="3" t="s">
        <v>419</v>
      </c>
      <c r="C849" s="3" t="s">
        <v>35</v>
      </c>
      <c r="D849" s="3" t="s">
        <v>2209</v>
      </c>
      <c r="E849" s="3"/>
      <c r="F849" s="3"/>
      <c r="G849" s="3" t="s">
        <v>2219</v>
      </c>
      <c r="H849" s="3" t="s">
        <v>2213</v>
      </c>
      <c r="I849" s="3"/>
      <c r="J849" t="s">
        <v>2221</v>
      </c>
    </row>
    <row r="850" spans="1:10">
      <c r="A850" s="3" t="s">
        <v>411</v>
      </c>
      <c r="B850" s="3" t="s">
        <v>419</v>
      </c>
      <c r="C850" s="3" t="s">
        <v>35</v>
      </c>
      <c r="D850" s="3" t="s">
        <v>2209</v>
      </c>
      <c r="E850" s="3"/>
      <c r="F850" s="3"/>
      <c r="G850" s="3" t="s">
        <v>2219</v>
      </c>
      <c r="H850" s="3" t="s">
        <v>2215</v>
      </c>
      <c r="I850" s="3"/>
      <c r="J850" t="s">
        <v>2222</v>
      </c>
    </row>
    <row r="851" spans="1:10">
      <c r="A851" s="3" t="s">
        <v>411</v>
      </c>
      <c r="B851" s="3" t="s">
        <v>419</v>
      </c>
      <c r="C851" s="3" t="s">
        <v>35</v>
      </c>
      <c r="D851" s="3" t="s">
        <v>2209</v>
      </c>
      <c r="E851" s="3"/>
      <c r="F851" s="3"/>
      <c r="G851" s="3" t="s">
        <v>2219</v>
      </c>
      <c r="H851" s="3" t="s">
        <v>2217</v>
      </c>
      <c r="I851" s="3"/>
      <c r="J851" t="s">
        <v>2223</v>
      </c>
    </row>
    <row r="852" spans="1:10">
      <c r="A852" s="3" t="s">
        <v>411</v>
      </c>
      <c r="B852" s="3" t="s">
        <v>419</v>
      </c>
      <c r="C852" s="3" t="s">
        <v>35</v>
      </c>
      <c r="D852" s="3" t="s">
        <v>2209</v>
      </c>
      <c r="E852" s="3"/>
      <c r="F852" s="3"/>
      <c r="G852" s="3"/>
      <c r="H852" s="3"/>
      <c r="I852" s="3" t="s">
        <v>2224</v>
      </c>
      <c r="J852" t="s">
        <v>2225</v>
      </c>
    </row>
    <row r="853" spans="1:10">
      <c r="A853" s="3" t="s">
        <v>411</v>
      </c>
      <c r="B853" s="3" t="s">
        <v>419</v>
      </c>
      <c r="C853" s="3" t="s">
        <v>35</v>
      </c>
      <c r="D853" s="3" t="s">
        <v>2209</v>
      </c>
      <c r="E853" s="3"/>
      <c r="F853" s="3"/>
      <c r="G853" s="3"/>
      <c r="H853" s="3"/>
      <c r="I853" s="3" t="s">
        <v>2226</v>
      </c>
      <c r="J853" t="s">
        <v>2227</v>
      </c>
    </row>
    <row r="854" spans="1:10">
      <c r="A854" s="3" t="s">
        <v>411</v>
      </c>
      <c r="B854" s="3" t="s">
        <v>419</v>
      </c>
      <c r="C854" s="3" t="s">
        <v>35</v>
      </c>
      <c r="D854" s="3" t="s">
        <v>2209</v>
      </c>
      <c r="E854" s="3"/>
      <c r="F854" s="3"/>
      <c r="G854" s="3"/>
      <c r="H854" s="3"/>
      <c r="I854" s="3" t="s">
        <v>2228</v>
      </c>
      <c r="J854" t="s">
        <v>2229</v>
      </c>
    </row>
    <row r="855" spans="1:10">
      <c r="A855" s="3" t="s">
        <v>411</v>
      </c>
      <c r="B855" s="3" t="s">
        <v>419</v>
      </c>
      <c r="C855" s="3" t="s">
        <v>35</v>
      </c>
      <c r="D855" s="3" t="s">
        <v>2209</v>
      </c>
      <c r="E855" s="3"/>
      <c r="F855" s="3"/>
      <c r="G855" s="3"/>
      <c r="H855" s="3"/>
      <c r="I855" s="3" t="s">
        <v>2230</v>
      </c>
      <c r="J855" t="s">
        <v>2231</v>
      </c>
    </row>
    <row r="856" spans="1:10">
      <c r="A856" s="3" t="s">
        <v>411</v>
      </c>
      <c r="B856" s="3" t="s">
        <v>424</v>
      </c>
      <c r="C856" s="3" t="s">
        <v>36</v>
      </c>
      <c r="D856" s="3" t="s">
        <v>2232</v>
      </c>
      <c r="E856" s="3"/>
      <c r="F856" s="3"/>
      <c r="G856" s="3"/>
      <c r="H856" s="3" t="s">
        <v>2233</v>
      </c>
      <c r="I856" s="3"/>
      <c r="J856" t="s">
        <v>2234</v>
      </c>
    </row>
    <row r="857" spans="1:10">
      <c r="A857" s="3" t="s">
        <v>411</v>
      </c>
      <c r="B857" s="3" t="s">
        <v>424</v>
      </c>
      <c r="C857" s="3" t="s">
        <v>36</v>
      </c>
      <c r="D857" s="3" t="s">
        <v>2232</v>
      </c>
      <c r="E857" s="3"/>
      <c r="F857" s="3"/>
      <c r="G857" s="3"/>
      <c r="H857" s="3" t="s">
        <v>2235</v>
      </c>
      <c r="I857" s="3"/>
      <c r="J857" t="s">
        <v>2236</v>
      </c>
    </row>
    <row r="858" spans="1:10">
      <c r="A858" s="3" t="s">
        <v>411</v>
      </c>
      <c r="B858" s="3" t="s">
        <v>424</v>
      </c>
      <c r="C858" s="3" t="s">
        <v>36</v>
      </c>
      <c r="D858" s="3" t="s">
        <v>2232</v>
      </c>
      <c r="E858" s="3"/>
      <c r="F858" s="3"/>
      <c r="G858" s="3"/>
      <c r="H858" s="3" t="s">
        <v>2237</v>
      </c>
      <c r="I858" s="3"/>
      <c r="J858" t="s">
        <v>2238</v>
      </c>
    </row>
    <row r="859" spans="1:10">
      <c r="A859" s="3" t="s">
        <v>411</v>
      </c>
      <c r="B859" s="3" t="s">
        <v>424</v>
      </c>
      <c r="C859" s="3" t="s">
        <v>36</v>
      </c>
      <c r="D859" s="3" t="s">
        <v>2232</v>
      </c>
      <c r="E859" s="3"/>
      <c r="F859" s="3"/>
      <c r="G859" s="3"/>
      <c r="H859" s="3" t="s">
        <v>2239</v>
      </c>
      <c r="I859" s="3"/>
      <c r="J859" t="s">
        <v>2240</v>
      </c>
    </row>
    <row r="860" spans="1:10">
      <c r="A860" s="3" t="s">
        <v>411</v>
      </c>
      <c r="B860" s="3" t="s">
        <v>424</v>
      </c>
      <c r="C860" s="3" t="s">
        <v>36</v>
      </c>
      <c r="D860" s="3" t="s">
        <v>2232</v>
      </c>
      <c r="E860" s="3"/>
      <c r="F860" s="3"/>
      <c r="G860" s="3"/>
      <c r="H860" s="3" t="s">
        <v>2241</v>
      </c>
      <c r="I860" s="3"/>
      <c r="J860" t="s">
        <v>2242</v>
      </c>
    </row>
    <row r="861" spans="1:10">
      <c r="A861" s="3" t="s">
        <v>411</v>
      </c>
      <c r="B861" s="3" t="s">
        <v>424</v>
      </c>
      <c r="C861" s="3" t="s">
        <v>36</v>
      </c>
      <c r="D861" s="3" t="s">
        <v>2232</v>
      </c>
      <c r="E861" s="3"/>
      <c r="F861" s="3"/>
      <c r="G861" s="3"/>
      <c r="H861" s="3"/>
      <c r="I861" s="3" t="s">
        <v>2243</v>
      </c>
      <c r="J861" t="s">
        <v>2244</v>
      </c>
    </row>
    <row r="862" spans="1:10">
      <c r="A862" s="3" t="s">
        <v>411</v>
      </c>
      <c r="B862" s="3" t="s">
        <v>424</v>
      </c>
      <c r="C862" s="3" t="s">
        <v>36</v>
      </c>
      <c r="D862" s="3" t="s">
        <v>2232</v>
      </c>
      <c r="E862" s="3"/>
      <c r="F862" s="3"/>
      <c r="G862" s="3"/>
      <c r="H862" s="3"/>
      <c r="I862" s="3" t="s">
        <v>2245</v>
      </c>
      <c r="J862" t="s">
        <v>2246</v>
      </c>
    </row>
    <row r="863" spans="1:10">
      <c r="A863" s="3" t="s">
        <v>411</v>
      </c>
      <c r="B863" s="3" t="s">
        <v>424</v>
      </c>
      <c r="C863" s="3" t="s">
        <v>36</v>
      </c>
      <c r="D863" s="3" t="s">
        <v>2232</v>
      </c>
      <c r="E863" s="3"/>
      <c r="F863" s="3"/>
      <c r="G863" s="3"/>
      <c r="H863" s="3"/>
      <c r="I863" s="3" t="s">
        <v>2247</v>
      </c>
      <c r="J863" t="s">
        <v>2248</v>
      </c>
    </row>
    <row r="864" spans="1:10">
      <c r="A864" s="3" t="s">
        <v>435</v>
      </c>
      <c r="B864" s="3" t="s">
        <v>436</v>
      </c>
      <c r="C864" s="3"/>
      <c r="D864" s="3" t="s">
        <v>2249</v>
      </c>
      <c r="E864" s="3"/>
      <c r="F864" s="3"/>
      <c r="G864" s="3" t="s">
        <v>2250</v>
      </c>
      <c r="H864" s="3"/>
      <c r="I864" s="3"/>
      <c r="J864" t="s">
        <v>2251</v>
      </c>
    </row>
    <row r="865" spans="1:10">
      <c r="A865" s="3" t="s">
        <v>435</v>
      </c>
      <c r="B865" s="3" t="s">
        <v>436</v>
      </c>
      <c r="C865" s="3"/>
      <c r="D865" s="3" t="s">
        <v>2249</v>
      </c>
      <c r="E865" s="3"/>
      <c r="F865" s="3"/>
      <c r="G865" s="3" t="s">
        <v>2252</v>
      </c>
      <c r="H865" s="3"/>
      <c r="I865" s="3"/>
      <c r="J865" t="s">
        <v>2253</v>
      </c>
    </row>
    <row r="866" spans="1:10">
      <c r="A866" s="3" t="s">
        <v>435</v>
      </c>
      <c r="B866" s="3" t="s">
        <v>436</v>
      </c>
      <c r="C866" s="3"/>
      <c r="D866" s="3" t="s">
        <v>2249</v>
      </c>
      <c r="E866" s="3"/>
      <c r="F866" s="3"/>
      <c r="G866" s="3"/>
      <c r="H866" s="3"/>
      <c r="I866" s="3" t="s">
        <v>2254</v>
      </c>
      <c r="J866" t="s">
        <v>2255</v>
      </c>
    </row>
    <row r="867" spans="1:10">
      <c r="A867" s="3" t="s">
        <v>435</v>
      </c>
      <c r="B867" s="3" t="s">
        <v>449</v>
      </c>
      <c r="C867" s="3"/>
      <c r="D867" s="3" t="s">
        <v>2256</v>
      </c>
      <c r="E867" s="3"/>
      <c r="F867" s="3"/>
      <c r="G867" s="3" t="s">
        <v>2257</v>
      </c>
      <c r="H867" s="3"/>
      <c r="I867" s="3"/>
      <c r="J867" t="s">
        <v>2258</v>
      </c>
    </row>
    <row r="868" spans="1:10">
      <c r="A868" s="3" t="s">
        <v>435</v>
      </c>
      <c r="B868" s="3" t="s">
        <v>449</v>
      </c>
      <c r="C868" s="3"/>
      <c r="D868" s="3" t="s">
        <v>2256</v>
      </c>
      <c r="E868" s="3"/>
      <c r="F868" s="3"/>
      <c r="G868" s="3" t="s">
        <v>2259</v>
      </c>
      <c r="H868" s="3"/>
      <c r="I868" s="3"/>
      <c r="J868" t="s">
        <v>2260</v>
      </c>
    </row>
    <row r="869" spans="1:10">
      <c r="A869" s="3" t="s">
        <v>435</v>
      </c>
      <c r="B869" s="3" t="s">
        <v>449</v>
      </c>
      <c r="C869" s="3"/>
      <c r="D869" s="3" t="s">
        <v>2256</v>
      </c>
      <c r="E869" s="3"/>
      <c r="F869" s="3"/>
      <c r="G869" s="3"/>
      <c r="H869" s="3"/>
      <c r="I869" s="3" t="s">
        <v>2261</v>
      </c>
      <c r="J869" t="s">
        <v>2262</v>
      </c>
    </row>
    <row r="870" spans="1:10">
      <c r="A870" s="3" t="s">
        <v>435</v>
      </c>
      <c r="B870" s="3" t="s">
        <v>449</v>
      </c>
      <c r="C870" s="3"/>
      <c r="D870" s="3" t="s">
        <v>2256</v>
      </c>
      <c r="E870" s="3"/>
      <c r="F870" s="3"/>
      <c r="G870" s="3"/>
      <c r="H870" s="3"/>
      <c r="I870" s="3" t="s">
        <v>2263</v>
      </c>
      <c r="J870" t="s">
        <v>2264</v>
      </c>
    </row>
    <row r="871" spans="1:10">
      <c r="A871" s="3" t="s">
        <v>435</v>
      </c>
      <c r="B871" s="3" t="s">
        <v>449</v>
      </c>
      <c r="C871" s="3"/>
      <c r="D871" s="3" t="s">
        <v>2256</v>
      </c>
      <c r="E871" s="3"/>
      <c r="F871" s="3"/>
      <c r="G871" s="3"/>
      <c r="H871" s="3"/>
      <c r="I871" s="3" t="s">
        <v>2265</v>
      </c>
      <c r="J871" t="s">
        <v>2266</v>
      </c>
    </row>
    <row r="872" spans="1:10">
      <c r="A872" s="3" t="s">
        <v>435</v>
      </c>
      <c r="B872" s="3" t="s">
        <v>449</v>
      </c>
      <c r="C872" s="3"/>
      <c r="D872" s="3" t="s">
        <v>2256</v>
      </c>
      <c r="E872" s="3"/>
      <c r="F872" s="3"/>
      <c r="G872" s="3"/>
      <c r="H872" s="3"/>
      <c r="I872" s="3" t="s">
        <v>2267</v>
      </c>
      <c r="J872" t="s">
        <v>2268</v>
      </c>
    </row>
    <row r="873" spans="1:10">
      <c r="A873" s="3" t="s">
        <v>462</v>
      </c>
      <c r="B873" s="3" t="s">
        <v>463</v>
      </c>
      <c r="C873" s="3" t="s">
        <v>37</v>
      </c>
      <c r="D873" s="3" t="s">
        <v>2269</v>
      </c>
      <c r="E873" s="3"/>
      <c r="F873" s="3"/>
      <c r="G873" s="3" t="s">
        <v>2270</v>
      </c>
      <c r="H873" s="3" t="s">
        <v>2271</v>
      </c>
      <c r="I873" s="3"/>
      <c r="J873" t="s">
        <v>2272</v>
      </c>
    </row>
    <row r="874" spans="1:10">
      <c r="A874" s="3" t="s">
        <v>462</v>
      </c>
      <c r="B874" s="3" t="s">
        <v>463</v>
      </c>
      <c r="C874" s="3" t="s">
        <v>37</v>
      </c>
      <c r="D874" s="3" t="s">
        <v>2269</v>
      </c>
      <c r="E874" s="3"/>
      <c r="F874" s="3"/>
      <c r="G874" s="3" t="s">
        <v>2270</v>
      </c>
      <c r="H874" s="3" t="s">
        <v>2273</v>
      </c>
      <c r="I874" s="3"/>
      <c r="J874" t="s">
        <v>2274</v>
      </c>
    </row>
    <row r="875" spans="1:10">
      <c r="A875" s="3" t="s">
        <v>462</v>
      </c>
      <c r="B875" s="3" t="s">
        <v>463</v>
      </c>
      <c r="C875" s="3" t="s">
        <v>37</v>
      </c>
      <c r="D875" s="3" t="s">
        <v>2269</v>
      </c>
      <c r="E875" s="3"/>
      <c r="F875" s="3"/>
      <c r="G875" s="3" t="s">
        <v>2270</v>
      </c>
      <c r="H875" s="3" t="s">
        <v>2275</v>
      </c>
      <c r="I875" s="3"/>
      <c r="J875" t="s">
        <v>2276</v>
      </c>
    </row>
    <row r="876" spans="1:10">
      <c r="A876" s="3" t="s">
        <v>462</v>
      </c>
      <c r="B876" s="3" t="s">
        <v>463</v>
      </c>
      <c r="C876" s="3" t="s">
        <v>37</v>
      </c>
      <c r="D876" s="3" t="s">
        <v>2269</v>
      </c>
      <c r="E876" s="3"/>
      <c r="F876" s="3"/>
      <c r="G876" s="3" t="s">
        <v>2270</v>
      </c>
      <c r="H876" s="3" t="s">
        <v>2277</v>
      </c>
      <c r="I876" s="3"/>
      <c r="J876" t="s">
        <v>2278</v>
      </c>
    </row>
    <row r="877" spans="1:10">
      <c r="A877" s="3" t="s">
        <v>462</v>
      </c>
      <c r="B877" s="3" t="s">
        <v>463</v>
      </c>
      <c r="C877" s="3" t="s">
        <v>37</v>
      </c>
      <c r="D877" s="3" t="s">
        <v>2269</v>
      </c>
      <c r="E877" s="3"/>
      <c r="F877" s="3"/>
      <c r="G877" s="3" t="s">
        <v>2279</v>
      </c>
      <c r="H877" s="3" t="s">
        <v>2271</v>
      </c>
      <c r="I877" s="3"/>
      <c r="J877" t="s">
        <v>2280</v>
      </c>
    </row>
    <row r="878" spans="1:10">
      <c r="A878" s="3" t="s">
        <v>462</v>
      </c>
      <c r="B878" s="3" t="s">
        <v>463</v>
      </c>
      <c r="C878" s="3" t="s">
        <v>37</v>
      </c>
      <c r="D878" s="3" t="s">
        <v>2269</v>
      </c>
      <c r="E878" s="3"/>
      <c r="F878" s="3"/>
      <c r="G878" s="3" t="s">
        <v>2279</v>
      </c>
      <c r="H878" s="3" t="s">
        <v>2273</v>
      </c>
      <c r="I878" s="3"/>
      <c r="J878" t="s">
        <v>2281</v>
      </c>
    </row>
    <row r="879" spans="1:10">
      <c r="A879" s="3" t="s">
        <v>462</v>
      </c>
      <c r="B879" s="3" t="s">
        <v>463</v>
      </c>
      <c r="C879" s="3" t="s">
        <v>37</v>
      </c>
      <c r="D879" s="3" t="s">
        <v>2269</v>
      </c>
      <c r="E879" s="3"/>
      <c r="F879" s="3"/>
      <c r="G879" s="3" t="s">
        <v>2279</v>
      </c>
      <c r="H879" s="3" t="s">
        <v>2275</v>
      </c>
      <c r="I879" s="3"/>
      <c r="J879" t="s">
        <v>2282</v>
      </c>
    </row>
    <row r="880" spans="1:10">
      <c r="A880" s="3" t="s">
        <v>462</v>
      </c>
      <c r="B880" s="3" t="s">
        <v>463</v>
      </c>
      <c r="C880" s="3" t="s">
        <v>37</v>
      </c>
      <c r="D880" s="3" t="s">
        <v>2269</v>
      </c>
      <c r="E880" s="3"/>
      <c r="F880" s="3"/>
      <c r="G880" s="3" t="s">
        <v>2279</v>
      </c>
      <c r="H880" s="3" t="s">
        <v>2277</v>
      </c>
      <c r="I880" s="3"/>
      <c r="J880" t="s">
        <v>2283</v>
      </c>
    </row>
    <row r="881" spans="1:10">
      <c r="A881" s="3" t="s">
        <v>462</v>
      </c>
      <c r="B881" s="3" t="s">
        <v>463</v>
      </c>
      <c r="C881" s="3" t="s">
        <v>37</v>
      </c>
      <c r="D881" s="3" t="s">
        <v>2269</v>
      </c>
      <c r="E881" s="3"/>
      <c r="F881" s="3"/>
      <c r="G881" s="3"/>
      <c r="H881" s="3"/>
      <c r="I881" s="3" t="s">
        <v>2284</v>
      </c>
      <c r="J881" t="s">
        <v>2285</v>
      </c>
    </row>
    <row r="882" spans="1:10">
      <c r="A882" s="3" t="s">
        <v>462</v>
      </c>
      <c r="B882" s="3" t="s">
        <v>463</v>
      </c>
      <c r="C882" s="3" t="s">
        <v>37</v>
      </c>
      <c r="D882" s="3" t="s">
        <v>2269</v>
      </c>
      <c r="E882" s="3"/>
      <c r="F882" s="3"/>
      <c r="G882" s="3"/>
      <c r="H882" s="3"/>
      <c r="I882" s="3" t="s">
        <v>2286</v>
      </c>
      <c r="J882" t="s">
        <v>2287</v>
      </c>
    </row>
    <row r="883" spans="1:10">
      <c r="A883" s="3" t="s">
        <v>462</v>
      </c>
      <c r="B883" s="3" t="s">
        <v>463</v>
      </c>
      <c r="C883" s="3" t="s">
        <v>37</v>
      </c>
      <c r="D883" s="3" t="s">
        <v>2269</v>
      </c>
      <c r="E883" s="3"/>
      <c r="F883" s="3"/>
      <c r="G883" s="3"/>
      <c r="H883" s="3"/>
      <c r="I883" s="3" t="s">
        <v>2288</v>
      </c>
      <c r="J883" t="s">
        <v>2289</v>
      </c>
    </row>
    <row r="884" spans="1:10">
      <c r="A884" s="3" t="s">
        <v>462</v>
      </c>
      <c r="B884" s="3" t="s">
        <v>463</v>
      </c>
      <c r="C884" s="3" t="s">
        <v>37</v>
      </c>
      <c r="D884" s="3" t="s">
        <v>2269</v>
      </c>
      <c r="E884" s="3"/>
      <c r="F884" s="3"/>
      <c r="G884" s="3"/>
      <c r="H884" s="3"/>
      <c r="I884" s="3" t="s">
        <v>2290</v>
      </c>
      <c r="J884" t="s">
        <v>2291</v>
      </c>
    </row>
    <row r="885" spans="1:10">
      <c r="A885" s="3" t="s">
        <v>468</v>
      </c>
      <c r="B885" s="3" t="s">
        <v>469</v>
      </c>
      <c r="C885" s="3" t="s">
        <v>38</v>
      </c>
      <c r="D885" s="3" t="s">
        <v>2292</v>
      </c>
      <c r="E885" s="3"/>
      <c r="F885" s="3"/>
      <c r="G885" s="3" t="s">
        <v>2293</v>
      </c>
      <c r="H885" s="3"/>
      <c r="I885" s="3"/>
      <c r="J885" t="s">
        <v>2294</v>
      </c>
    </row>
    <row r="886" spans="1:10">
      <c r="A886" s="3" t="s">
        <v>468</v>
      </c>
      <c r="B886" s="3" t="s">
        <v>469</v>
      </c>
      <c r="C886" s="3" t="s">
        <v>38</v>
      </c>
      <c r="D886" s="3" t="s">
        <v>2292</v>
      </c>
      <c r="E886" s="3"/>
      <c r="F886" s="3"/>
      <c r="G886" s="3" t="s">
        <v>2295</v>
      </c>
      <c r="H886" s="3"/>
      <c r="I886" s="3"/>
      <c r="J886" t="s">
        <v>2296</v>
      </c>
    </row>
    <row r="887" spans="1:10">
      <c r="A887" s="3" t="s">
        <v>468</v>
      </c>
      <c r="B887" s="3" t="s">
        <v>469</v>
      </c>
      <c r="C887" s="3" t="s">
        <v>38</v>
      </c>
      <c r="D887" s="3" t="s">
        <v>2292</v>
      </c>
      <c r="E887" s="3"/>
      <c r="F887" s="3"/>
      <c r="G887" s="3" t="s">
        <v>2297</v>
      </c>
      <c r="H887" s="3"/>
      <c r="I887" s="3"/>
      <c r="J887" t="s">
        <v>2298</v>
      </c>
    </row>
    <row r="888" spans="1:10">
      <c r="A888" s="3" t="s">
        <v>487</v>
      </c>
      <c r="B888" s="3" t="s">
        <v>488</v>
      </c>
      <c r="C888" s="3" t="s">
        <v>40</v>
      </c>
      <c r="D888" s="3" t="s">
        <v>2299</v>
      </c>
      <c r="E888" s="3"/>
      <c r="F888" s="3"/>
      <c r="G888" s="3"/>
      <c r="H888" s="3"/>
      <c r="I888" s="3"/>
      <c r="J888" t="s">
        <v>2300</v>
      </c>
    </row>
    <row r="889" spans="1:10">
      <c r="A889" s="3" t="s">
        <v>487</v>
      </c>
      <c r="B889" s="3" t="s">
        <v>488</v>
      </c>
      <c r="C889" s="3" t="s">
        <v>40</v>
      </c>
      <c r="D889" s="3" t="s">
        <v>2299</v>
      </c>
      <c r="E889" s="3"/>
      <c r="F889" s="3"/>
      <c r="G889" s="3"/>
      <c r="H889" s="3"/>
      <c r="I889" s="3" t="s">
        <v>2301</v>
      </c>
      <c r="J889" t="s">
        <v>2302</v>
      </c>
    </row>
    <row r="890" spans="1:10">
      <c r="A890" s="3" t="s">
        <v>487</v>
      </c>
      <c r="B890" s="3" t="s">
        <v>495</v>
      </c>
      <c r="C890" s="3" t="s">
        <v>41</v>
      </c>
      <c r="D890" s="3" t="s">
        <v>2303</v>
      </c>
      <c r="E890" s="3"/>
      <c r="F890" s="3"/>
      <c r="G890" s="3" t="s">
        <v>2304</v>
      </c>
      <c r="H890" s="3"/>
      <c r="I890" s="3"/>
      <c r="J890" t="s">
        <v>2305</v>
      </c>
    </row>
    <row r="891" spans="1:10">
      <c r="A891" s="3" t="s">
        <v>487</v>
      </c>
      <c r="B891" s="3" t="s">
        <v>495</v>
      </c>
      <c r="C891" s="3" t="s">
        <v>41</v>
      </c>
      <c r="D891" s="3" t="s">
        <v>2303</v>
      </c>
      <c r="E891" s="3"/>
      <c r="F891" s="3"/>
      <c r="G891" s="3" t="s">
        <v>2306</v>
      </c>
      <c r="H891" s="3"/>
      <c r="I891" s="3"/>
      <c r="J891" t="s">
        <v>2307</v>
      </c>
    </row>
    <row r="892" spans="1:10">
      <c r="A892" s="3" t="s">
        <v>508</v>
      </c>
      <c r="B892" s="3" t="s">
        <v>509</v>
      </c>
      <c r="C892" s="3" t="s">
        <v>42</v>
      </c>
      <c r="D892" s="3" t="s">
        <v>2308</v>
      </c>
      <c r="E892" s="3"/>
      <c r="F892" s="3"/>
      <c r="G892" s="3"/>
      <c r="H892" s="3" t="s">
        <v>2309</v>
      </c>
      <c r="I892" s="3"/>
      <c r="J892" t="s">
        <v>2310</v>
      </c>
    </row>
    <row r="893" spans="1:10">
      <c r="A893" s="3" t="s">
        <v>508</v>
      </c>
      <c r="B893" s="3" t="s">
        <v>509</v>
      </c>
      <c r="C893" s="3" t="s">
        <v>42</v>
      </c>
      <c r="D893" s="3" t="s">
        <v>2308</v>
      </c>
      <c r="E893" s="3"/>
      <c r="F893" s="3"/>
      <c r="G893" s="3"/>
      <c r="H893" s="3" t="s">
        <v>2311</v>
      </c>
      <c r="I893" s="3"/>
      <c r="J893" t="s">
        <v>2312</v>
      </c>
    </row>
    <row r="894" spans="1:10">
      <c r="A894" s="3" t="s">
        <v>508</v>
      </c>
      <c r="B894" s="3" t="s">
        <v>509</v>
      </c>
      <c r="C894" s="3" t="s">
        <v>42</v>
      </c>
      <c r="D894" s="3" t="s">
        <v>2308</v>
      </c>
      <c r="E894" s="3"/>
      <c r="F894" s="3"/>
      <c r="G894" s="3"/>
      <c r="H894" s="3" t="s">
        <v>2313</v>
      </c>
      <c r="I894" s="3"/>
      <c r="J894" t="s">
        <v>2314</v>
      </c>
    </row>
    <row r="895" spans="1:10">
      <c r="A895" s="3" t="s">
        <v>508</v>
      </c>
      <c r="B895" s="3" t="s">
        <v>509</v>
      </c>
      <c r="C895" s="3" t="s">
        <v>42</v>
      </c>
      <c r="D895" s="3" t="s">
        <v>2308</v>
      </c>
      <c r="E895" s="3"/>
      <c r="F895" s="3"/>
      <c r="G895" s="3"/>
      <c r="H895" s="3"/>
      <c r="I895" s="3" t="s">
        <v>2315</v>
      </c>
      <c r="J895" t="s">
        <v>2316</v>
      </c>
    </row>
    <row r="896" spans="1:10">
      <c r="A896" s="3" t="s">
        <v>508</v>
      </c>
      <c r="B896" s="3" t="s">
        <v>509</v>
      </c>
      <c r="C896" s="3" t="s">
        <v>42</v>
      </c>
      <c r="D896" s="3" t="s">
        <v>2308</v>
      </c>
      <c r="E896" s="3"/>
      <c r="F896" s="3"/>
      <c r="G896" s="3"/>
      <c r="H896" s="3"/>
      <c r="I896" s="3" t="s">
        <v>2317</v>
      </c>
      <c r="J896" t="s">
        <v>2318</v>
      </c>
    </row>
    <row r="897" spans="1:10">
      <c r="A897" s="3" t="s">
        <v>508</v>
      </c>
      <c r="B897" s="3" t="s">
        <v>520</v>
      </c>
      <c r="C897" s="3" t="s">
        <v>44</v>
      </c>
      <c r="D897" s="3" t="s">
        <v>2319</v>
      </c>
      <c r="E897" s="3"/>
      <c r="F897" s="3"/>
      <c r="G897" s="3" t="s">
        <v>2320</v>
      </c>
      <c r="H897" s="3"/>
      <c r="I897" s="3"/>
      <c r="J897" t="s">
        <v>2321</v>
      </c>
    </row>
    <row r="898" spans="1:10">
      <c r="A898" s="3" t="s">
        <v>508</v>
      </c>
      <c r="B898" s="3" t="s">
        <v>520</v>
      </c>
      <c r="C898" s="3" t="s">
        <v>44</v>
      </c>
      <c r="D898" s="3" t="s">
        <v>2319</v>
      </c>
      <c r="E898" s="3"/>
      <c r="F898" s="3"/>
      <c r="G898" s="3" t="s">
        <v>2322</v>
      </c>
      <c r="H898" s="3"/>
      <c r="I898" s="3"/>
      <c r="J898" t="s">
        <v>2323</v>
      </c>
    </row>
    <row r="899" spans="1:10">
      <c r="A899" s="3" t="s">
        <v>508</v>
      </c>
      <c r="B899" s="3" t="s">
        <v>520</v>
      </c>
      <c r="C899" s="3" t="s">
        <v>44</v>
      </c>
      <c r="D899" s="3" t="s">
        <v>2319</v>
      </c>
      <c r="E899" s="3"/>
      <c r="F899" s="3"/>
      <c r="G899" s="3"/>
      <c r="H899" s="3"/>
      <c r="I899" s="3" t="s">
        <v>2324</v>
      </c>
      <c r="J899" t="s">
        <v>2325</v>
      </c>
    </row>
    <row r="900" spans="1:10">
      <c r="A900" s="3" t="s">
        <v>508</v>
      </c>
      <c r="B900" s="3" t="s">
        <v>520</v>
      </c>
      <c r="C900" s="3" t="s">
        <v>44</v>
      </c>
      <c r="D900" s="3" t="s">
        <v>2319</v>
      </c>
      <c r="E900" s="3"/>
      <c r="F900" s="3"/>
      <c r="G900" s="3"/>
      <c r="H900" s="3"/>
      <c r="I900" s="3" t="s">
        <v>2326</v>
      </c>
      <c r="J900" t="s">
        <v>2327</v>
      </c>
    </row>
    <row r="901" spans="1:10">
      <c r="A901" s="3" t="s">
        <v>508</v>
      </c>
      <c r="B901" s="3" t="s">
        <v>520</v>
      </c>
      <c r="C901" s="3" t="s">
        <v>44</v>
      </c>
      <c r="D901" s="3" t="s">
        <v>2319</v>
      </c>
      <c r="E901" s="3"/>
      <c r="F901" s="3"/>
      <c r="G901" s="3"/>
      <c r="H901" s="3"/>
      <c r="I901" s="3" t="s">
        <v>2328</v>
      </c>
      <c r="J901" t="s">
        <v>2329</v>
      </c>
    </row>
    <row r="902" spans="1:10">
      <c r="A902" s="3" t="s">
        <v>508</v>
      </c>
      <c r="B902" s="3" t="s">
        <v>520</v>
      </c>
      <c r="C902" s="3" t="s">
        <v>45</v>
      </c>
      <c r="D902" s="3" t="s">
        <v>2330</v>
      </c>
      <c r="E902" s="3"/>
      <c r="F902" s="3"/>
      <c r="G902" s="3" t="s">
        <v>2331</v>
      </c>
      <c r="H902" s="3"/>
      <c r="I902" s="3"/>
      <c r="J902" t="s">
        <v>2332</v>
      </c>
    </row>
    <row r="903" spans="1:10">
      <c r="A903" s="3" t="s">
        <v>508</v>
      </c>
      <c r="B903" s="3" t="s">
        <v>520</v>
      </c>
      <c r="C903" s="3" t="s">
        <v>45</v>
      </c>
      <c r="D903" s="3" t="s">
        <v>2330</v>
      </c>
      <c r="E903" s="3"/>
      <c r="F903" s="3"/>
      <c r="G903" s="3" t="s">
        <v>2333</v>
      </c>
      <c r="H903" s="3"/>
      <c r="I903" s="3"/>
      <c r="J903" t="s">
        <v>2334</v>
      </c>
    </row>
    <row r="904" spans="1:10">
      <c r="A904" s="3" t="s">
        <v>508</v>
      </c>
      <c r="B904" s="3" t="s">
        <v>520</v>
      </c>
      <c r="C904" s="3" t="s">
        <v>45</v>
      </c>
      <c r="D904" s="3" t="s">
        <v>2330</v>
      </c>
      <c r="E904" s="3"/>
      <c r="F904" s="3"/>
      <c r="G904" s="3"/>
      <c r="H904" s="3"/>
      <c r="I904" s="3" t="s">
        <v>2335</v>
      </c>
      <c r="J904" t="s">
        <v>2336</v>
      </c>
    </row>
    <row r="905" spans="1:10">
      <c r="A905" s="3" t="s">
        <v>508</v>
      </c>
      <c r="B905" s="3" t="s">
        <v>520</v>
      </c>
      <c r="C905" s="3" t="s">
        <v>45</v>
      </c>
      <c r="D905" s="3" t="s">
        <v>2330</v>
      </c>
      <c r="E905" s="3"/>
      <c r="F905" s="3"/>
      <c r="G905" s="3"/>
      <c r="H905" s="3"/>
      <c r="I905" s="3" t="s">
        <v>2337</v>
      </c>
      <c r="J905" t="s">
        <v>2338</v>
      </c>
    </row>
    <row r="906" spans="1:10">
      <c r="A906" s="3" t="s">
        <v>508</v>
      </c>
      <c r="B906" s="3" t="s">
        <v>520</v>
      </c>
      <c r="C906" s="3" t="s">
        <v>45</v>
      </c>
      <c r="D906" s="3" t="s">
        <v>2330</v>
      </c>
      <c r="E906" s="3"/>
      <c r="F906" s="3"/>
      <c r="G906" s="3"/>
      <c r="H906" s="3"/>
      <c r="I906" s="3" t="s">
        <v>2339</v>
      </c>
      <c r="J906" t="s">
        <v>2340</v>
      </c>
    </row>
    <row r="907" spans="1:10">
      <c r="A907" s="3" t="s">
        <v>508</v>
      </c>
      <c r="B907" s="3" t="s">
        <v>520</v>
      </c>
      <c r="C907" s="3" t="s">
        <v>45</v>
      </c>
      <c r="D907" s="3" t="s">
        <v>2330</v>
      </c>
      <c r="E907" s="3"/>
      <c r="F907" s="3"/>
      <c r="G907" s="3"/>
      <c r="H907" s="3"/>
      <c r="I907" s="3" t="s">
        <v>2341</v>
      </c>
      <c r="J907" t="s">
        <v>2342</v>
      </c>
    </row>
    <row r="908" spans="1:10">
      <c r="A908" s="3" t="s">
        <v>508</v>
      </c>
      <c r="B908" s="3" t="s">
        <v>520</v>
      </c>
      <c r="C908" s="3" t="s">
        <v>45</v>
      </c>
      <c r="D908" s="3" t="s">
        <v>2343</v>
      </c>
      <c r="E908" s="3"/>
      <c r="F908" s="3"/>
      <c r="G908" s="3" t="s">
        <v>2344</v>
      </c>
      <c r="H908" s="3" t="s">
        <v>2345</v>
      </c>
      <c r="I908" s="3"/>
      <c r="J908" t="s">
        <v>2346</v>
      </c>
    </row>
    <row r="909" spans="1:10">
      <c r="A909" s="3" t="s">
        <v>508</v>
      </c>
      <c r="B909" s="3" t="s">
        <v>520</v>
      </c>
      <c r="C909" s="3" t="s">
        <v>45</v>
      </c>
      <c r="D909" s="3" t="s">
        <v>2343</v>
      </c>
      <c r="E909" s="3"/>
      <c r="F909" s="3"/>
      <c r="G909" s="3" t="s">
        <v>2344</v>
      </c>
      <c r="H909" s="3" t="s">
        <v>2347</v>
      </c>
      <c r="I909" s="3"/>
      <c r="J909" t="s">
        <v>2348</v>
      </c>
    </row>
    <row r="910" spans="1:10">
      <c r="A910" s="3" t="s">
        <v>508</v>
      </c>
      <c r="B910" s="3" t="s">
        <v>520</v>
      </c>
      <c r="C910" s="3" t="s">
        <v>45</v>
      </c>
      <c r="D910" s="3" t="s">
        <v>2343</v>
      </c>
      <c r="E910" s="3"/>
      <c r="F910" s="3"/>
      <c r="G910" s="3" t="s">
        <v>2344</v>
      </c>
      <c r="H910" s="3" t="s">
        <v>2349</v>
      </c>
      <c r="I910" s="3"/>
      <c r="J910" t="s">
        <v>2350</v>
      </c>
    </row>
    <row r="911" spans="1:10">
      <c r="A911" s="3" t="s">
        <v>508</v>
      </c>
      <c r="B911" s="3" t="s">
        <v>520</v>
      </c>
      <c r="C911" s="3" t="s">
        <v>45</v>
      </c>
      <c r="D911" s="3" t="s">
        <v>2343</v>
      </c>
      <c r="E911" s="3"/>
      <c r="F911" s="3"/>
      <c r="G911" s="3" t="s">
        <v>2344</v>
      </c>
      <c r="H911" s="3" t="s">
        <v>2351</v>
      </c>
      <c r="I911" s="3"/>
      <c r="J911" t="s">
        <v>2352</v>
      </c>
    </row>
    <row r="912" spans="1:10">
      <c r="A912" s="3" t="s">
        <v>508</v>
      </c>
      <c r="B912" s="3" t="s">
        <v>520</v>
      </c>
      <c r="C912" s="3" t="s">
        <v>45</v>
      </c>
      <c r="D912" s="3" t="s">
        <v>2343</v>
      </c>
      <c r="E912" s="3"/>
      <c r="F912" s="3"/>
      <c r="G912" s="3" t="s">
        <v>2353</v>
      </c>
      <c r="H912" s="3" t="s">
        <v>2345</v>
      </c>
      <c r="I912" s="3"/>
      <c r="J912" t="s">
        <v>2354</v>
      </c>
    </row>
    <row r="913" spans="1:10">
      <c r="A913" s="3" t="s">
        <v>508</v>
      </c>
      <c r="B913" s="3" t="s">
        <v>520</v>
      </c>
      <c r="C913" s="3" t="s">
        <v>45</v>
      </c>
      <c r="D913" s="3" t="s">
        <v>2343</v>
      </c>
      <c r="E913" s="3"/>
      <c r="F913" s="3"/>
      <c r="G913" s="3" t="s">
        <v>2353</v>
      </c>
      <c r="H913" s="3" t="s">
        <v>2347</v>
      </c>
      <c r="I913" s="3"/>
      <c r="J913" t="s">
        <v>2355</v>
      </c>
    </row>
    <row r="914" spans="1:10">
      <c r="A914" s="3" t="s">
        <v>508</v>
      </c>
      <c r="B914" s="3" t="s">
        <v>520</v>
      </c>
      <c r="C914" s="3" t="s">
        <v>45</v>
      </c>
      <c r="D914" s="3" t="s">
        <v>2343</v>
      </c>
      <c r="E914" s="3"/>
      <c r="F914" s="3"/>
      <c r="G914" s="3" t="s">
        <v>2353</v>
      </c>
      <c r="H914" s="3" t="s">
        <v>2349</v>
      </c>
      <c r="I914" s="3"/>
      <c r="J914" t="s">
        <v>2356</v>
      </c>
    </row>
    <row r="915" spans="1:10">
      <c r="A915" s="3" t="s">
        <v>508</v>
      </c>
      <c r="B915" s="3" t="s">
        <v>520</v>
      </c>
      <c r="C915" s="3" t="s">
        <v>45</v>
      </c>
      <c r="D915" s="3" t="s">
        <v>2343</v>
      </c>
      <c r="E915" s="3"/>
      <c r="F915" s="3"/>
      <c r="G915" s="3" t="s">
        <v>2353</v>
      </c>
      <c r="H915" s="3" t="s">
        <v>2351</v>
      </c>
      <c r="I915" s="3"/>
      <c r="J915" t="s">
        <v>2357</v>
      </c>
    </row>
    <row r="916" spans="1:10">
      <c r="A916" s="3" t="s">
        <v>508</v>
      </c>
      <c r="B916" s="3" t="s">
        <v>520</v>
      </c>
      <c r="C916" s="3" t="s">
        <v>45</v>
      </c>
      <c r="D916" s="3" t="s">
        <v>2343</v>
      </c>
      <c r="E916" s="3"/>
      <c r="F916" s="3"/>
      <c r="G916" s="3" t="s">
        <v>2358</v>
      </c>
      <c r="H916" s="3" t="s">
        <v>2345</v>
      </c>
      <c r="I916" s="3"/>
      <c r="J916" t="s">
        <v>2359</v>
      </c>
    </row>
    <row r="917" spans="1:10">
      <c r="A917" s="3" t="s">
        <v>508</v>
      </c>
      <c r="B917" s="3" t="s">
        <v>520</v>
      </c>
      <c r="C917" s="3" t="s">
        <v>45</v>
      </c>
      <c r="D917" s="3" t="s">
        <v>2343</v>
      </c>
      <c r="E917" s="3"/>
      <c r="F917" s="3"/>
      <c r="G917" s="3" t="s">
        <v>2358</v>
      </c>
      <c r="H917" s="3" t="s">
        <v>2347</v>
      </c>
      <c r="I917" s="3"/>
      <c r="J917" t="s">
        <v>2360</v>
      </c>
    </row>
    <row r="918" spans="1:10">
      <c r="A918" s="3" t="s">
        <v>508</v>
      </c>
      <c r="B918" s="3" t="s">
        <v>520</v>
      </c>
      <c r="C918" s="3" t="s">
        <v>45</v>
      </c>
      <c r="D918" s="3" t="s">
        <v>2343</v>
      </c>
      <c r="E918" s="3"/>
      <c r="F918" s="3"/>
      <c r="G918" s="3" t="s">
        <v>2358</v>
      </c>
      <c r="H918" s="3" t="s">
        <v>2349</v>
      </c>
      <c r="I918" s="3"/>
      <c r="J918" t="s">
        <v>2361</v>
      </c>
    </row>
    <row r="919" spans="1:10">
      <c r="A919" s="3" t="s">
        <v>508</v>
      </c>
      <c r="B919" s="3" t="s">
        <v>520</v>
      </c>
      <c r="C919" s="3" t="s">
        <v>45</v>
      </c>
      <c r="D919" s="3" t="s">
        <v>2343</v>
      </c>
      <c r="E919" s="3"/>
      <c r="F919" s="3"/>
      <c r="G919" s="3" t="s">
        <v>2358</v>
      </c>
      <c r="H919" s="3" t="s">
        <v>2351</v>
      </c>
      <c r="I919" s="3"/>
      <c r="J919" t="s">
        <v>2362</v>
      </c>
    </row>
    <row r="920" spans="1:10">
      <c r="A920" s="3" t="s">
        <v>522</v>
      </c>
      <c r="B920" s="3" t="s">
        <v>523</v>
      </c>
      <c r="C920" s="3" t="s">
        <v>46</v>
      </c>
      <c r="D920" s="3" t="s">
        <v>2363</v>
      </c>
      <c r="E920" s="3"/>
      <c r="F920" s="3"/>
      <c r="G920" s="3"/>
      <c r="H920" s="3" t="s">
        <v>2364</v>
      </c>
      <c r="I920" s="3"/>
      <c r="J920" t="s">
        <v>2365</v>
      </c>
    </row>
    <row r="921" spans="1:10">
      <c r="A921" s="3" t="s">
        <v>522</v>
      </c>
      <c r="B921" s="3" t="s">
        <v>523</v>
      </c>
      <c r="C921" s="3" t="s">
        <v>46</v>
      </c>
      <c r="D921" s="3" t="s">
        <v>2363</v>
      </c>
      <c r="E921" s="3"/>
      <c r="F921" s="3"/>
      <c r="G921" s="3"/>
      <c r="H921" s="3" t="s">
        <v>2366</v>
      </c>
      <c r="I921" s="3"/>
      <c r="J921" t="s">
        <v>2367</v>
      </c>
    </row>
    <row r="922" spans="1:10">
      <c r="A922" s="3" t="s">
        <v>522</v>
      </c>
      <c r="B922" s="3" t="s">
        <v>523</v>
      </c>
      <c r="C922" s="3" t="s">
        <v>46</v>
      </c>
      <c r="D922" s="3" t="s">
        <v>2363</v>
      </c>
      <c r="E922" s="3"/>
      <c r="F922" s="3"/>
      <c r="G922" s="3"/>
      <c r="H922" s="3" t="s">
        <v>2368</v>
      </c>
      <c r="I922" s="3"/>
      <c r="J922" t="s">
        <v>2369</v>
      </c>
    </row>
    <row r="923" spans="1:10">
      <c r="A923" s="3" t="s">
        <v>522</v>
      </c>
      <c r="B923" s="3" t="s">
        <v>523</v>
      </c>
      <c r="C923" s="3" t="s">
        <v>46</v>
      </c>
      <c r="D923" s="3" t="s">
        <v>2363</v>
      </c>
      <c r="E923" s="3"/>
      <c r="F923" s="3"/>
      <c r="G923" s="3"/>
      <c r="H923" s="3" t="s">
        <v>2370</v>
      </c>
      <c r="I923" s="3"/>
      <c r="J923" t="s">
        <v>2371</v>
      </c>
    </row>
    <row r="924" spans="1:10">
      <c r="A924" s="3" t="s">
        <v>522</v>
      </c>
      <c r="B924" s="3" t="s">
        <v>523</v>
      </c>
      <c r="C924" s="3" t="s">
        <v>46</v>
      </c>
      <c r="D924" s="3" t="s">
        <v>2372</v>
      </c>
      <c r="E924" s="3"/>
      <c r="F924" s="3"/>
      <c r="G924" s="3" t="s">
        <v>2373</v>
      </c>
      <c r="H924" s="3"/>
      <c r="I924" s="3"/>
      <c r="J924" t="s">
        <v>2374</v>
      </c>
    </row>
    <row r="925" spans="1:10">
      <c r="A925" s="3" t="s">
        <v>522</v>
      </c>
      <c r="B925" s="3" t="s">
        <v>523</v>
      </c>
      <c r="C925" s="3" t="s">
        <v>46</v>
      </c>
      <c r="D925" s="3" t="s">
        <v>2372</v>
      </c>
      <c r="E925" s="3"/>
      <c r="F925" s="3"/>
      <c r="G925" s="3" t="s">
        <v>2375</v>
      </c>
      <c r="H925" s="3"/>
      <c r="I925" s="3"/>
      <c r="J925" t="s">
        <v>2376</v>
      </c>
    </row>
    <row r="926" spans="1:10">
      <c r="A926" s="3" t="s">
        <v>522</v>
      </c>
      <c r="B926" s="3" t="s">
        <v>523</v>
      </c>
      <c r="C926" s="3" t="s">
        <v>46</v>
      </c>
      <c r="D926" s="3" t="s">
        <v>2372</v>
      </c>
      <c r="E926" s="3"/>
      <c r="F926" s="3"/>
      <c r="G926" s="3"/>
      <c r="H926" s="3"/>
      <c r="I926" s="3" t="s">
        <v>2377</v>
      </c>
      <c r="J926" t="s">
        <v>2378</v>
      </c>
    </row>
    <row r="927" spans="1:10">
      <c r="A927" s="3" t="s">
        <v>522</v>
      </c>
      <c r="B927" s="3" t="s">
        <v>523</v>
      </c>
      <c r="C927" s="3" t="s">
        <v>46</v>
      </c>
      <c r="D927" s="3" t="s">
        <v>2372</v>
      </c>
      <c r="E927" s="3"/>
      <c r="F927" s="3"/>
      <c r="G927" s="3"/>
      <c r="H927" s="3"/>
      <c r="I927" s="3" t="s">
        <v>2379</v>
      </c>
      <c r="J927" t="s">
        <v>2380</v>
      </c>
    </row>
    <row r="928" spans="1:10">
      <c r="A928" s="3" t="s">
        <v>522</v>
      </c>
      <c r="B928" s="3" t="s">
        <v>523</v>
      </c>
      <c r="C928" s="3" t="s">
        <v>46</v>
      </c>
      <c r="D928" s="3" t="s">
        <v>2372</v>
      </c>
      <c r="E928" s="3"/>
      <c r="F928" s="3"/>
      <c r="G928" s="3"/>
      <c r="H928" s="3"/>
      <c r="I928" s="3" t="s">
        <v>2381</v>
      </c>
      <c r="J928" t="s">
        <v>2382</v>
      </c>
    </row>
    <row r="929" spans="1:10">
      <c r="A929" s="3" t="s">
        <v>522</v>
      </c>
      <c r="B929" s="3" t="s">
        <v>523</v>
      </c>
      <c r="C929" s="3" t="s">
        <v>46</v>
      </c>
      <c r="D929" s="3" t="s">
        <v>2372</v>
      </c>
      <c r="E929" s="3"/>
      <c r="F929" s="3"/>
      <c r="G929" s="3"/>
      <c r="H929" s="3"/>
      <c r="I929" s="3" t="s">
        <v>2383</v>
      </c>
      <c r="J929" t="s">
        <v>2384</v>
      </c>
    </row>
    <row r="930" spans="1:10">
      <c r="A930" s="3" t="s">
        <v>522</v>
      </c>
      <c r="B930" s="3" t="s">
        <v>543</v>
      </c>
      <c r="C930" s="3" t="s">
        <v>47</v>
      </c>
      <c r="D930" s="3" t="s">
        <v>2385</v>
      </c>
      <c r="E930" s="3"/>
      <c r="F930" s="3"/>
      <c r="G930" s="3" t="s">
        <v>2386</v>
      </c>
      <c r="H930" s="3" t="s">
        <v>2387</v>
      </c>
      <c r="I930" s="3"/>
      <c r="J930" t="s">
        <v>2388</v>
      </c>
    </row>
    <row r="931" spans="1:10">
      <c r="A931" s="3" t="s">
        <v>522</v>
      </c>
      <c r="B931" s="3" t="s">
        <v>543</v>
      </c>
      <c r="C931" s="3" t="s">
        <v>47</v>
      </c>
      <c r="D931" s="3" t="s">
        <v>2385</v>
      </c>
      <c r="E931" s="3"/>
      <c r="F931" s="3"/>
      <c r="G931" s="3" t="s">
        <v>2386</v>
      </c>
      <c r="H931" s="3" t="s">
        <v>2389</v>
      </c>
      <c r="I931" s="3"/>
      <c r="J931" t="s">
        <v>2390</v>
      </c>
    </row>
    <row r="932" spans="1:10">
      <c r="A932" s="3" t="s">
        <v>522</v>
      </c>
      <c r="B932" s="3" t="s">
        <v>543</v>
      </c>
      <c r="C932" s="3" t="s">
        <v>47</v>
      </c>
      <c r="D932" s="3" t="s">
        <v>2385</v>
      </c>
      <c r="E932" s="3"/>
      <c r="F932" s="3"/>
      <c r="G932" s="3" t="s">
        <v>2386</v>
      </c>
      <c r="H932" s="3" t="s">
        <v>2391</v>
      </c>
      <c r="I932" s="3"/>
      <c r="J932" t="s">
        <v>2392</v>
      </c>
    </row>
    <row r="933" spans="1:10">
      <c r="A933" s="3" t="s">
        <v>522</v>
      </c>
      <c r="B933" s="3" t="s">
        <v>543</v>
      </c>
      <c r="C933" s="3" t="s">
        <v>47</v>
      </c>
      <c r="D933" s="3" t="s">
        <v>2385</v>
      </c>
      <c r="E933" s="3"/>
      <c r="F933" s="3"/>
      <c r="G933" s="3" t="s">
        <v>2386</v>
      </c>
      <c r="H933" s="3" t="s">
        <v>2393</v>
      </c>
      <c r="I933" s="3"/>
      <c r="J933" t="s">
        <v>2394</v>
      </c>
    </row>
    <row r="934" spans="1:10">
      <c r="A934" s="3" t="s">
        <v>522</v>
      </c>
      <c r="B934" s="3" t="s">
        <v>543</v>
      </c>
      <c r="C934" s="3" t="s">
        <v>47</v>
      </c>
      <c r="D934" s="3" t="s">
        <v>2385</v>
      </c>
      <c r="E934" s="3"/>
      <c r="F934" s="3"/>
      <c r="G934" s="3" t="s">
        <v>2395</v>
      </c>
      <c r="H934" s="3" t="s">
        <v>2387</v>
      </c>
      <c r="I934" s="3"/>
      <c r="J934" t="s">
        <v>2396</v>
      </c>
    </row>
    <row r="935" spans="1:10">
      <c r="A935" s="3" t="s">
        <v>522</v>
      </c>
      <c r="B935" s="3" t="s">
        <v>543</v>
      </c>
      <c r="C935" s="3" t="s">
        <v>47</v>
      </c>
      <c r="D935" s="3" t="s">
        <v>2385</v>
      </c>
      <c r="E935" s="3"/>
      <c r="F935" s="3"/>
      <c r="G935" s="3" t="s">
        <v>2395</v>
      </c>
      <c r="H935" s="3" t="s">
        <v>2389</v>
      </c>
      <c r="I935" s="3"/>
      <c r="J935" t="s">
        <v>2397</v>
      </c>
    </row>
    <row r="936" spans="1:10">
      <c r="A936" s="3" t="s">
        <v>522</v>
      </c>
      <c r="B936" s="3" t="s">
        <v>543</v>
      </c>
      <c r="C936" s="3" t="s">
        <v>47</v>
      </c>
      <c r="D936" s="3" t="s">
        <v>2385</v>
      </c>
      <c r="E936" s="3"/>
      <c r="F936" s="3"/>
      <c r="G936" s="3" t="s">
        <v>2395</v>
      </c>
      <c r="H936" s="3" t="s">
        <v>2391</v>
      </c>
      <c r="I936" s="3"/>
      <c r="J936" t="s">
        <v>2398</v>
      </c>
    </row>
    <row r="937" spans="1:10">
      <c r="A937" s="3" t="s">
        <v>522</v>
      </c>
      <c r="B937" s="3" t="s">
        <v>543</v>
      </c>
      <c r="C937" s="3" t="s">
        <v>47</v>
      </c>
      <c r="D937" s="3" t="s">
        <v>2385</v>
      </c>
      <c r="E937" s="3"/>
      <c r="F937" s="3"/>
      <c r="G937" s="3" t="s">
        <v>2395</v>
      </c>
      <c r="H937" s="3" t="s">
        <v>2393</v>
      </c>
      <c r="I937" s="3"/>
      <c r="J937" t="s">
        <v>2399</v>
      </c>
    </row>
    <row r="938" spans="1:10">
      <c r="A938" s="3" t="s">
        <v>556</v>
      </c>
      <c r="B938" s="3" t="s">
        <v>557</v>
      </c>
      <c r="C938" s="3" t="s">
        <v>48</v>
      </c>
      <c r="D938" s="3" t="s">
        <v>2400</v>
      </c>
      <c r="E938" s="3"/>
      <c r="F938" s="3"/>
      <c r="G938" s="3" t="s">
        <v>2401</v>
      </c>
      <c r="H938" s="3" t="s">
        <v>2402</v>
      </c>
      <c r="I938" s="3"/>
      <c r="J938" t="s">
        <v>2403</v>
      </c>
    </row>
    <row r="939" spans="1:10">
      <c r="A939" s="3" t="s">
        <v>556</v>
      </c>
      <c r="B939" s="3" t="s">
        <v>557</v>
      </c>
      <c r="C939" s="3" t="s">
        <v>48</v>
      </c>
      <c r="D939" s="3" t="s">
        <v>2400</v>
      </c>
      <c r="E939" s="3"/>
      <c r="F939" s="3"/>
      <c r="G939" s="3" t="s">
        <v>2401</v>
      </c>
      <c r="H939" s="3" t="s">
        <v>2404</v>
      </c>
      <c r="I939" s="3"/>
      <c r="J939" t="s">
        <v>2405</v>
      </c>
    </row>
    <row r="940" spans="1:10">
      <c r="A940" s="3" t="s">
        <v>556</v>
      </c>
      <c r="B940" s="3" t="s">
        <v>557</v>
      </c>
      <c r="C940" s="3" t="s">
        <v>48</v>
      </c>
      <c r="D940" s="3" t="s">
        <v>2400</v>
      </c>
      <c r="E940" s="3"/>
      <c r="F940" s="3"/>
      <c r="G940" s="3" t="s">
        <v>2401</v>
      </c>
      <c r="H940" s="3" t="s">
        <v>2406</v>
      </c>
      <c r="I940" s="3"/>
      <c r="J940" t="s">
        <v>2407</v>
      </c>
    </row>
    <row r="941" spans="1:10">
      <c r="A941" s="3" t="s">
        <v>556</v>
      </c>
      <c r="B941" s="3" t="s">
        <v>557</v>
      </c>
      <c r="C941" s="3" t="s">
        <v>48</v>
      </c>
      <c r="D941" s="3" t="s">
        <v>2400</v>
      </c>
      <c r="E941" s="3"/>
      <c r="F941" s="3"/>
      <c r="G941" s="3" t="s">
        <v>2401</v>
      </c>
      <c r="H941" s="3" t="s">
        <v>2408</v>
      </c>
      <c r="I941" s="3"/>
      <c r="J941" t="s">
        <v>2409</v>
      </c>
    </row>
    <row r="942" spans="1:10">
      <c r="A942" s="3" t="s">
        <v>556</v>
      </c>
      <c r="B942" s="3" t="s">
        <v>557</v>
      </c>
      <c r="C942" s="3" t="s">
        <v>48</v>
      </c>
      <c r="D942" s="3" t="s">
        <v>2400</v>
      </c>
      <c r="E942" s="3"/>
      <c r="F942" s="3"/>
      <c r="G942" s="3" t="s">
        <v>2410</v>
      </c>
      <c r="H942" s="3" t="s">
        <v>2402</v>
      </c>
      <c r="I942" s="3"/>
      <c r="J942" t="s">
        <v>2411</v>
      </c>
    </row>
    <row r="943" spans="1:10">
      <c r="A943" s="3" t="s">
        <v>556</v>
      </c>
      <c r="B943" s="3" t="s">
        <v>557</v>
      </c>
      <c r="C943" s="3" t="s">
        <v>48</v>
      </c>
      <c r="D943" s="3" t="s">
        <v>2400</v>
      </c>
      <c r="E943" s="3"/>
      <c r="F943" s="3"/>
      <c r="G943" s="3" t="s">
        <v>2410</v>
      </c>
      <c r="H943" s="3" t="s">
        <v>2404</v>
      </c>
      <c r="I943" s="3"/>
      <c r="J943" t="s">
        <v>2412</v>
      </c>
    </row>
    <row r="944" spans="1:10">
      <c r="A944" s="3" t="s">
        <v>556</v>
      </c>
      <c r="B944" s="3" t="s">
        <v>557</v>
      </c>
      <c r="C944" s="3" t="s">
        <v>48</v>
      </c>
      <c r="D944" s="3" t="s">
        <v>2400</v>
      </c>
      <c r="E944" s="3"/>
      <c r="F944" s="3"/>
      <c r="G944" s="3" t="s">
        <v>2410</v>
      </c>
      <c r="H944" s="3" t="s">
        <v>2406</v>
      </c>
      <c r="I944" s="3"/>
      <c r="J944" t="s">
        <v>2413</v>
      </c>
    </row>
    <row r="945" spans="1:10">
      <c r="A945" s="3" t="s">
        <v>556</v>
      </c>
      <c r="B945" s="3" t="s">
        <v>557</v>
      </c>
      <c r="C945" s="3" t="s">
        <v>48</v>
      </c>
      <c r="D945" s="3" t="s">
        <v>2400</v>
      </c>
      <c r="E945" s="3"/>
      <c r="F945" s="3"/>
      <c r="G945" s="3" t="s">
        <v>2410</v>
      </c>
      <c r="H945" s="3" t="s">
        <v>2408</v>
      </c>
      <c r="I945" s="3"/>
      <c r="J945" t="s">
        <v>2414</v>
      </c>
    </row>
    <row r="946" spans="1:10">
      <c r="A946" s="3" t="s">
        <v>560</v>
      </c>
      <c r="B946" s="3" t="s">
        <v>561</v>
      </c>
      <c r="C946" s="3" t="s">
        <v>49</v>
      </c>
      <c r="D946" s="3" t="s">
        <v>2415</v>
      </c>
      <c r="E946" s="3"/>
      <c r="F946" s="3"/>
      <c r="G946" s="3" t="s">
        <v>2416</v>
      </c>
      <c r="H946" s="3"/>
      <c r="I946" s="3"/>
      <c r="J946" t="s">
        <v>2417</v>
      </c>
    </row>
    <row r="947" spans="1:10">
      <c r="A947" s="3" t="s">
        <v>560</v>
      </c>
      <c r="B947" s="3" t="s">
        <v>561</v>
      </c>
      <c r="C947" s="3" t="s">
        <v>49</v>
      </c>
      <c r="D947" s="3" t="s">
        <v>2415</v>
      </c>
      <c r="E947" s="3"/>
      <c r="F947" s="3"/>
      <c r="G947" s="3" t="s">
        <v>2418</v>
      </c>
      <c r="H947" s="3"/>
      <c r="I947" s="3"/>
      <c r="J947" t="s">
        <v>2419</v>
      </c>
    </row>
    <row r="948" spans="1:10">
      <c r="A948" s="3" t="s">
        <v>560</v>
      </c>
      <c r="B948" s="3" t="s">
        <v>561</v>
      </c>
      <c r="C948" s="3" t="s">
        <v>49</v>
      </c>
      <c r="D948" s="3" t="s">
        <v>2415</v>
      </c>
      <c r="E948" s="3"/>
      <c r="F948" s="3"/>
      <c r="G948" s="3"/>
      <c r="H948" s="3"/>
      <c r="I948" s="3" t="s">
        <v>2420</v>
      </c>
      <c r="J948" t="s">
        <v>2421</v>
      </c>
    </row>
    <row r="949" spans="1:10">
      <c r="A949" s="3" t="s">
        <v>560</v>
      </c>
      <c r="B949" s="3" t="s">
        <v>561</v>
      </c>
      <c r="C949" s="3" t="s">
        <v>49</v>
      </c>
      <c r="D949" s="3" t="s">
        <v>2415</v>
      </c>
      <c r="E949" s="3"/>
      <c r="F949" s="3"/>
      <c r="G949" s="3"/>
      <c r="H949" s="3"/>
      <c r="I949" s="3" t="s">
        <v>2422</v>
      </c>
      <c r="J949" t="s">
        <v>2423</v>
      </c>
    </row>
    <row r="950" spans="1:10">
      <c r="A950" s="3" t="s">
        <v>571</v>
      </c>
      <c r="B950" s="3" t="s">
        <v>572</v>
      </c>
      <c r="C950" s="3" t="s">
        <v>50</v>
      </c>
      <c r="D950" s="3" t="s">
        <v>2424</v>
      </c>
      <c r="E950" s="3"/>
      <c r="F950" s="3"/>
      <c r="G950" s="3" t="s">
        <v>2425</v>
      </c>
      <c r="H950" s="3" t="s">
        <v>2426</v>
      </c>
      <c r="I950" s="3"/>
      <c r="J950" t="s">
        <v>2427</v>
      </c>
    </row>
    <row r="951" spans="1:10">
      <c r="A951" s="3" t="s">
        <v>571</v>
      </c>
      <c r="B951" s="3" t="s">
        <v>572</v>
      </c>
      <c r="C951" s="3" t="s">
        <v>50</v>
      </c>
      <c r="D951" s="3" t="s">
        <v>2424</v>
      </c>
      <c r="E951" s="3"/>
      <c r="F951" s="3"/>
      <c r="G951" s="3" t="s">
        <v>2425</v>
      </c>
      <c r="H951" s="3" t="s">
        <v>2428</v>
      </c>
      <c r="I951" s="3"/>
      <c r="J951" t="s">
        <v>2429</v>
      </c>
    </row>
    <row r="952" spans="1:10">
      <c r="A952" s="3" t="s">
        <v>571</v>
      </c>
      <c r="B952" s="3" t="s">
        <v>572</v>
      </c>
      <c r="C952" s="3" t="s">
        <v>50</v>
      </c>
      <c r="D952" s="3" t="s">
        <v>2424</v>
      </c>
      <c r="E952" s="3"/>
      <c r="F952" s="3"/>
      <c r="G952" s="3" t="s">
        <v>2425</v>
      </c>
      <c r="H952" s="3" t="s">
        <v>2430</v>
      </c>
      <c r="I952" s="3"/>
      <c r="J952" t="s">
        <v>2431</v>
      </c>
    </row>
    <row r="953" spans="1:10">
      <c r="A953" s="3" t="s">
        <v>571</v>
      </c>
      <c r="B953" s="3" t="s">
        <v>572</v>
      </c>
      <c r="C953" s="3" t="s">
        <v>50</v>
      </c>
      <c r="D953" s="3" t="s">
        <v>2424</v>
      </c>
      <c r="E953" s="3"/>
      <c r="F953" s="3"/>
      <c r="G953" s="3" t="s">
        <v>2432</v>
      </c>
      <c r="H953" s="3" t="s">
        <v>2426</v>
      </c>
      <c r="I953" s="3"/>
      <c r="J953" t="s">
        <v>2433</v>
      </c>
    </row>
    <row r="954" spans="1:10">
      <c r="A954" s="3" t="s">
        <v>571</v>
      </c>
      <c r="B954" s="3" t="s">
        <v>572</v>
      </c>
      <c r="C954" s="3" t="s">
        <v>50</v>
      </c>
      <c r="D954" s="3" t="s">
        <v>2424</v>
      </c>
      <c r="E954" s="3"/>
      <c r="F954" s="3"/>
      <c r="G954" s="3" t="s">
        <v>2432</v>
      </c>
      <c r="H954" s="3" t="s">
        <v>2428</v>
      </c>
      <c r="I954" s="3"/>
      <c r="J954" t="s">
        <v>2434</v>
      </c>
    </row>
    <row r="955" spans="1:10">
      <c r="A955" s="3" t="s">
        <v>571</v>
      </c>
      <c r="B955" s="3" t="s">
        <v>572</v>
      </c>
      <c r="C955" s="3" t="s">
        <v>50</v>
      </c>
      <c r="D955" s="3" t="s">
        <v>2424</v>
      </c>
      <c r="E955" s="3"/>
      <c r="F955" s="3"/>
      <c r="G955" s="3" t="s">
        <v>2432</v>
      </c>
      <c r="H955" s="3" t="s">
        <v>2430</v>
      </c>
      <c r="I955" s="3"/>
      <c r="J955" t="s">
        <v>2435</v>
      </c>
    </row>
    <row r="956" spans="1:10">
      <c r="A956" s="3" t="s">
        <v>571</v>
      </c>
      <c r="B956" s="3" t="s">
        <v>572</v>
      </c>
      <c r="C956" s="3" t="s">
        <v>50</v>
      </c>
      <c r="D956" s="3" t="s">
        <v>2424</v>
      </c>
      <c r="E956" s="3"/>
      <c r="F956" s="3"/>
      <c r="G956" s="3"/>
      <c r="H956" s="3"/>
      <c r="I956" s="3" t="s">
        <v>2436</v>
      </c>
      <c r="J956" t="s">
        <v>2437</v>
      </c>
    </row>
    <row r="957" spans="1:10">
      <c r="A957" s="3" t="s">
        <v>571</v>
      </c>
      <c r="B957" s="3" t="s">
        <v>572</v>
      </c>
      <c r="C957" s="3" t="s">
        <v>50</v>
      </c>
      <c r="D957" s="3" t="s">
        <v>2424</v>
      </c>
      <c r="E957" s="3"/>
      <c r="F957" s="3"/>
      <c r="G957" s="3"/>
      <c r="H957" s="3"/>
      <c r="I957" s="3" t="s">
        <v>2438</v>
      </c>
      <c r="J957" t="s">
        <v>2439</v>
      </c>
    </row>
    <row r="958" spans="1:10">
      <c r="A958" s="3" t="s">
        <v>571</v>
      </c>
      <c r="B958" s="3" t="s">
        <v>572</v>
      </c>
      <c r="C958" s="3" t="s">
        <v>50</v>
      </c>
      <c r="D958" s="3" t="s">
        <v>2424</v>
      </c>
      <c r="E958" s="3"/>
      <c r="F958" s="3"/>
      <c r="G958" s="3"/>
      <c r="H958" s="3"/>
      <c r="I958" s="3" t="s">
        <v>2440</v>
      </c>
      <c r="J958" t="s">
        <v>2441</v>
      </c>
    </row>
    <row r="959" spans="1:10">
      <c r="A959" s="3" t="s">
        <v>571</v>
      </c>
      <c r="B959" s="3" t="s">
        <v>572</v>
      </c>
      <c r="C959" s="3" t="s">
        <v>50</v>
      </c>
      <c r="D959" s="3" t="s">
        <v>2424</v>
      </c>
      <c r="E959" s="3"/>
      <c r="F959" s="3"/>
      <c r="G959" s="3"/>
      <c r="H959" s="3"/>
      <c r="I959" s="3" t="s">
        <v>2442</v>
      </c>
      <c r="J959" t="s">
        <v>2443</v>
      </c>
    </row>
    <row r="960" spans="1:10">
      <c r="A960" s="3" t="s">
        <v>571</v>
      </c>
      <c r="B960" s="3" t="s">
        <v>577</v>
      </c>
      <c r="C960" s="3" t="s">
        <v>51</v>
      </c>
      <c r="D960" s="3" t="s">
        <v>2444</v>
      </c>
      <c r="E960" s="3"/>
      <c r="F960" s="3"/>
      <c r="G960" s="3" t="s">
        <v>2445</v>
      </c>
      <c r="H960" s="3"/>
      <c r="I960" s="3"/>
      <c r="J960" t="s">
        <v>2446</v>
      </c>
    </row>
    <row r="961" spans="1:10">
      <c r="A961" s="3" t="s">
        <v>571</v>
      </c>
      <c r="B961" s="3" t="s">
        <v>577</v>
      </c>
      <c r="C961" s="3" t="s">
        <v>51</v>
      </c>
      <c r="D961" s="3" t="s">
        <v>2444</v>
      </c>
      <c r="E961" s="3"/>
      <c r="F961" s="3"/>
      <c r="G961" s="3" t="s">
        <v>2447</v>
      </c>
      <c r="H961" s="3"/>
      <c r="I961" s="3"/>
      <c r="J961" t="s">
        <v>2448</v>
      </c>
    </row>
    <row r="962" spans="1:10">
      <c r="A962" s="3" t="s">
        <v>571</v>
      </c>
      <c r="B962" s="3" t="s">
        <v>577</v>
      </c>
      <c r="C962" s="3" t="s">
        <v>51</v>
      </c>
      <c r="D962" s="3" t="s">
        <v>2444</v>
      </c>
      <c r="E962" s="3"/>
      <c r="F962" s="3"/>
      <c r="G962" s="3"/>
      <c r="H962" s="3"/>
      <c r="I962" s="3" t="s">
        <v>2449</v>
      </c>
      <c r="J962" t="s">
        <v>2450</v>
      </c>
    </row>
    <row r="963" spans="1:10">
      <c r="A963" s="3" t="s">
        <v>571</v>
      </c>
      <c r="B963" s="3" t="s">
        <v>577</v>
      </c>
      <c r="C963" s="3" t="s">
        <v>51</v>
      </c>
      <c r="D963" s="3" t="s">
        <v>2444</v>
      </c>
      <c r="E963" s="3"/>
      <c r="F963" s="3"/>
      <c r="G963" s="3"/>
      <c r="H963" s="3"/>
      <c r="I963" s="3" t="s">
        <v>2451</v>
      </c>
      <c r="J963" t="s">
        <v>2452</v>
      </c>
    </row>
    <row r="964" spans="1:10">
      <c r="A964" s="3" t="s">
        <v>571</v>
      </c>
      <c r="B964" s="3" t="s">
        <v>577</v>
      </c>
      <c r="C964" s="3" t="s">
        <v>51</v>
      </c>
      <c r="D964" s="3" t="s">
        <v>2444</v>
      </c>
      <c r="E964" s="3"/>
      <c r="F964" s="3"/>
      <c r="G964" s="3"/>
      <c r="H964" s="3"/>
      <c r="I964" s="3" t="s">
        <v>2453</v>
      </c>
      <c r="J964" t="s">
        <v>2454</v>
      </c>
    </row>
    <row r="965" spans="1:10">
      <c r="A965" s="3" t="s">
        <v>571</v>
      </c>
      <c r="B965" s="3" t="s">
        <v>584</v>
      </c>
      <c r="C965" s="3" t="s">
        <v>52</v>
      </c>
      <c r="D965" s="3" t="s">
        <v>2455</v>
      </c>
      <c r="E965" s="3"/>
      <c r="F965" s="3"/>
      <c r="G965" s="3"/>
      <c r="H965" s="3"/>
      <c r="I965" s="3"/>
      <c r="J965" t="s">
        <v>2456</v>
      </c>
    </row>
    <row r="966" spans="1:10">
      <c r="A966" s="3" t="s">
        <v>571</v>
      </c>
      <c r="B966" s="3" t="s">
        <v>584</v>
      </c>
      <c r="C966" s="3" t="s">
        <v>52</v>
      </c>
      <c r="D966" s="3" t="s">
        <v>2457</v>
      </c>
      <c r="E966" s="3"/>
      <c r="F966" s="3"/>
      <c r="G966" s="3" t="s">
        <v>2458</v>
      </c>
      <c r="H966" s="3" t="s">
        <v>2459</v>
      </c>
      <c r="I966" s="3"/>
      <c r="J966" t="s">
        <v>2460</v>
      </c>
    </row>
    <row r="967" spans="1:10">
      <c r="A967" s="3" t="s">
        <v>571</v>
      </c>
      <c r="B967" s="3" t="s">
        <v>584</v>
      </c>
      <c r="C967" s="3" t="s">
        <v>52</v>
      </c>
      <c r="D967" s="3" t="s">
        <v>2457</v>
      </c>
      <c r="E967" s="3"/>
      <c r="F967" s="3"/>
      <c r="G967" s="3" t="s">
        <v>2458</v>
      </c>
      <c r="H967" s="3" t="s">
        <v>2461</v>
      </c>
      <c r="I967" s="3"/>
      <c r="J967" t="s">
        <v>2462</v>
      </c>
    </row>
    <row r="968" spans="1:10">
      <c r="A968" s="3" t="s">
        <v>571</v>
      </c>
      <c r="B968" s="3" t="s">
        <v>584</v>
      </c>
      <c r="C968" s="3" t="s">
        <v>52</v>
      </c>
      <c r="D968" s="3" t="s">
        <v>2457</v>
      </c>
      <c r="E968" s="3"/>
      <c r="F968" s="3"/>
      <c r="G968" s="3" t="s">
        <v>2458</v>
      </c>
      <c r="H968" s="3" t="s">
        <v>2463</v>
      </c>
      <c r="I968" s="3"/>
      <c r="J968" t="s">
        <v>2464</v>
      </c>
    </row>
    <row r="969" spans="1:10">
      <c r="A969" s="3" t="s">
        <v>571</v>
      </c>
      <c r="B969" s="3" t="s">
        <v>584</v>
      </c>
      <c r="C969" s="3" t="s">
        <v>52</v>
      </c>
      <c r="D969" s="3" t="s">
        <v>2457</v>
      </c>
      <c r="E969" s="3"/>
      <c r="F969" s="3"/>
      <c r="G969" s="3" t="s">
        <v>2458</v>
      </c>
      <c r="H969" s="3" t="s">
        <v>2465</v>
      </c>
      <c r="I969" s="3"/>
      <c r="J969" t="s">
        <v>2466</v>
      </c>
    </row>
    <row r="970" spans="1:10">
      <c r="A970" s="3" t="s">
        <v>571</v>
      </c>
      <c r="B970" s="3" t="s">
        <v>584</v>
      </c>
      <c r="C970" s="3" t="s">
        <v>52</v>
      </c>
      <c r="D970" s="3" t="s">
        <v>2457</v>
      </c>
      <c r="E970" s="3"/>
      <c r="F970" s="3"/>
      <c r="G970" s="3" t="s">
        <v>2458</v>
      </c>
      <c r="H970" s="3" t="s">
        <v>2467</v>
      </c>
      <c r="I970" s="3"/>
      <c r="J970" t="s">
        <v>2468</v>
      </c>
    </row>
    <row r="971" spans="1:10">
      <c r="A971" s="3" t="s">
        <v>571</v>
      </c>
      <c r="B971" s="3" t="s">
        <v>584</v>
      </c>
      <c r="C971" s="3" t="s">
        <v>52</v>
      </c>
      <c r="D971" s="3" t="s">
        <v>2457</v>
      </c>
      <c r="E971" s="3"/>
      <c r="F971" s="3"/>
      <c r="G971" s="3" t="s">
        <v>2469</v>
      </c>
      <c r="H971" s="3" t="s">
        <v>2459</v>
      </c>
      <c r="I971" s="3"/>
      <c r="J971" t="s">
        <v>2470</v>
      </c>
    </row>
    <row r="972" spans="1:10">
      <c r="A972" s="3" t="s">
        <v>571</v>
      </c>
      <c r="B972" s="3" t="s">
        <v>584</v>
      </c>
      <c r="C972" s="3" t="s">
        <v>52</v>
      </c>
      <c r="D972" s="3" t="s">
        <v>2457</v>
      </c>
      <c r="E972" s="3"/>
      <c r="F972" s="3"/>
      <c r="G972" s="3" t="s">
        <v>2469</v>
      </c>
      <c r="H972" s="3" t="s">
        <v>2461</v>
      </c>
      <c r="I972" s="3"/>
      <c r="J972" t="s">
        <v>2471</v>
      </c>
    </row>
    <row r="973" spans="1:10">
      <c r="A973" s="3" t="s">
        <v>571</v>
      </c>
      <c r="B973" s="3" t="s">
        <v>584</v>
      </c>
      <c r="C973" s="3" t="s">
        <v>52</v>
      </c>
      <c r="D973" s="3" t="s">
        <v>2457</v>
      </c>
      <c r="E973" s="3"/>
      <c r="F973" s="3"/>
      <c r="G973" s="3" t="s">
        <v>2469</v>
      </c>
      <c r="H973" s="3" t="s">
        <v>2463</v>
      </c>
      <c r="I973" s="3"/>
      <c r="J973" t="s">
        <v>2472</v>
      </c>
    </row>
    <row r="974" spans="1:10">
      <c r="A974" s="3" t="s">
        <v>571</v>
      </c>
      <c r="B974" s="3" t="s">
        <v>584</v>
      </c>
      <c r="C974" s="3" t="s">
        <v>52</v>
      </c>
      <c r="D974" s="3" t="s">
        <v>2457</v>
      </c>
      <c r="E974" s="3"/>
      <c r="F974" s="3"/>
      <c r="G974" s="3" t="s">
        <v>2469</v>
      </c>
      <c r="H974" s="3" t="s">
        <v>2465</v>
      </c>
      <c r="I974" s="3"/>
      <c r="J974" t="s">
        <v>2473</v>
      </c>
    </row>
    <row r="975" spans="1:10">
      <c r="A975" s="3" t="s">
        <v>571</v>
      </c>
      <c r="B975" s="3" t="s">
        <v>584</v>
      </c>
      <c r="C975" s="3" t="s">
        <v>52</v>
      </c>
      <c r="D975" s="3" t="s">
        <v>2457</v>
      </c>
      <c r="E975" s="3"/>
      <c r="F975" s="3"/>
      <c r="G975" s="3" t="s">
        <v>2469</v>
      </c>
      <c r="H975" s="3" t="s">
        <v>2467</v>
      </c>
      <c r="I975" s="3"/>
      <c r="J975" t="s">
        <v>2474</v>
      </c>
    </row>
    <row r="976" spans="1:10">
      <c r="A976" s="3" t="s">
        <v>593</v>
      </c>
      <c r="B976" s="3" t="s">
        <v>594</v>
      </c>
      <c r="C976" s="3" t="s">
        <v>53</v>
      </c>
      <c r="D976" s="3" t="s">
        <v>2475</v>
      </c>
      <c r="E976" s="3"/>
      <c r="F976" s="3"/>
      <c r="G976" s="3"/>
      <c r="H976" s="3" t="s">
        <v>2476</v>
      </c>
      <c r="I976" s="3"/>
      <c r="J976" t="s">
        <v>2477</v>
      </c>
    </row>
    <row r="977" spans="1:10">
      <c r="A977" s="3" t="s">
        <v>593</v>
      </c>
      <c r="B977" s="3" t="s">
        <v>594</v>
      </c>
      <c r="C977" s="3" t="s">
        <v>53</v>
      </c>
      <c r="D977" s="3" t="s">
        <v>2475</v>
      </c>
      <c r="E977" s="3"/>
      <c r="F977" s="3"/>
      <c r="G977" s="3"/>
      <c r="H977" s="3" t="s">
        <v>2478</v>
      </c>
      <c r="I977" s="3"/>
      <c r="J977" t="s">
        <v>2479</v>
      </c>
    </row>
    <row r="978" spans="1:10">
      <c r="A978" s="3" t="s">
        <v>593</v>
      </c>
      <c r="B978" s="3" t="s">
        <v>594</v>
      </c>
      <c r="C978" s="3" t="s">
        <v>53</v>
      </c>
      <c r="D978" s="3" t="s">
        <v>2475</v>
      </c>
      <c r="E978" s="3"/>
      <c r="F978" s="3"/>
      <c r="G978" s="3"/>
      <c r="H978" s="3" t="s">
        <v>2480</v>
      </c>
      <c r="I978" s="3"/>
      <c r="J978" t="s">
        <v>2481</v>
      </c>
    </row>
    <row r="979" spans="1:10">
      <c r="A979" s="3" t="s">
        <v>593</v>
      </c>
      <c r="B979" s="3" t="s">
        <v>594</v>
      </c>
      <c r="C979" s="3" t="s">
        <v>53</v>
      </c>
      <c r="D979" s="3" t="s">
        <v>2475</v>
      </c>
      <c r="E979" s="3"/>
      <c r="F979" s="3"/>
      <c r="G979" s="3"/>
      <c r="H979" s="3"/>
      <c r="I979" s="3" t="s">
        <v>2482</v>
      </c>
      <c r="J979" t="s">
        <v>2483</v>
      </c>
    </row>
    <row r="980" spans="1:10">
      <c r="A980" s="3" t="s">
        <v>593</v>
      </c>
      <c r="B980" s="3" t="s">
        <v>594</v>
      </c>
      <c r="C980" s="3" t="s">
        <v>53</v>
      </c>
      <c r="D980" s="3" t="s">
        <v>2475</v>
      </c>
      <c r="E980" s="3"/>
      <c r="F980" s="3"/>
      <c r="G980" s="3"/>
      <c r="H980" s="3"/>
      <c r="I980" s="3" t="s">
        <v>2484</v>
      </c>
      <c r="J980" t="s">
        <v>2485</v>
      </c>
    </row>
    <row r="981" spans="1:10">
      <c r="A981" s="3" t="s">
        <v>593</v>
      </c>
      <c r="B981" s="3" t="s">
        <v>599</v>
      </c>
      <c r="C981" s="3" t="s">
        <v>54</v>
      </c>
      <c r="D981" s="3" t="s">
        <v>2486</v>
      </c>
      <c r="E981" s="3"/>
      <c r="F981" s="3"/>
      <c r="G981" s="3" t="s">
        <v>2487</v>
      </c>
      <c r="H981" s="3"/>
      <c r="I981" s="3"/>
      <c r="J981" t="s">
        <v>2488</v>
      </c>
    </row>
    <row r="982" spans="1:10">
      <c r="A982" s="3" t="s">
        <v>593</v>
      </c>
      <c r="B982" s="3" t="s">
        <v>599</v>
      </c>
      <c r="C982" s="3" t="s">
        <v>54</v>
      </c>
      <c r="D982" s="3" t="s">
        <v>2486</v>
      </c>
      <c r="E982" s="3"/>
      <c r="F982" s="3"/>
      <c r="G982" s="3" t="s">
        <v>2489</v>
      </c>
      <c r="H982" s="3"/>
      <c r="I982" s="3"/>
      <c r="J982" t="s">
        <v>2490</v>
      </c>
    </row>
    <row r="983" spans="1:10">
      <c r="A983" s="3" t="s">
        <v>593</v>
      </c>
      <c r="B983" s="3" t="s">
        <v>604</v>
      </c>
      <c r="C983" s="3"/>
      <c r="D983" s="3" t="s">
        <v>2491</v>
      </c>
      <c r="E983" s="3"/>
      <c r="F983" s="3"/>
      <c r="G983" s="3" t="s">
        <v>2492</v>
      </c>
      <c r="H983" s="3" t="s">
        <v>2493</v>
      </c>
      <c r="I983" s="3"/>
      <c r="J983" t="s">
        <v>2494</v>
      </c>
    </row>
    <row r="984" spans="1:10">
      <c r="A984" s="3" t="s">
        <v>593</v>
      </c>
      <c r="B984" s="3" t="s">
        <v>604</v>
      </c>
      <c r="C984" s="3"/>
      <c r="D984" s="3" t="s">
        <v>2491</v>
      </c>
      <c r="E984" s="3"/>
      <c r="F984" s="3"/>
      <c r="G984" s="3" t="s">
        <v>2492</v>
      </c>
      <c r="H984" s="3" t="s">
        <v>2495</v>
      </c>
      <c r="I984" s="3"/>
      <c r="J984" t="s">
        <v>2496</v>
      </c>
    </row>
    <row r="985" spans="1:10">
      <c r="A985" s="3" t="s">
        <v>593</v>
      </c>
      <c r="B985" s="3" t="s">
        <v>604</v>
      </c>
      <c r="C985" s="3"/>
      <c r="D985" s="3" t="s">
        <v>2491</v>
      </c>
      <c r="E985" s="3"/>
      <c r="F985" s="3"/>
      <c r="G985" s="3" t="s">
        <v>2492</v>
      </c>
      <c r="H985" s="3" t="s">
        <v>2497</v>
      </c>
      <c r="I985" s="3"/>
      <c r="J985" t="s">
        <v>2498</v>
      </c>
    </row>
    <row r="986" spans="1:10">
      <c r="A986" s="3" t="s">
        <v>593</v>
      </c>
      <c r="B986" s="3" t="s">
        <v>604</v>
      </c>
      <c r="C986" s="3"/>
      <c r="D986" s="3" t="s">
        <v>2491</v>
      </c>
      <c r="E986" s="3"/>
      <c r="F986" s="3"/>
      <c r="G986" s="3" t="s">
        <v>2492</v>
      </c>
      <c r="H986" s="3" t="s">
        <v>2499</v>
      </c>
      <c r="I986" s="3"/>
      <c r="J986" t="s">
        <v>2500</v>
      </c>
    </row>
    <row r="987" spans="1:10">
      <c r="A987" s="3" t="s">
        <v>593</v>
      </c>
      <c r="B987" s="3" t="s">
        <v>604</v>
      </c>
      <c r="C987" s="3"/>
      <c r="D987" s="3" t="s">
        <v>2491</v>
      </c>
      <c r="E987" s="3"/>
      <c r="F987" s="3"/>
      <c r="G987" s="3" t="s">
        <v>2501</v>
      </c>
      <c r="H987" s="3" t="s">
        <v>2493</v>
      </c>
      <c r="I987" s="3"/>
      <c r="J987" t="s">
        <v>2502</v>
      </c>
    </row>
    <row r="988" spans="1:10">
      <c r="A988" s="3" t="s">
        <v>593</v>
      </c>
      <c r="B988" s="3" t="s">
        <v>604</v>
      </c>
      <c r="C988" s="3"/>
      <c r="D988" s="3" t="s">
        <v>2491</v>
      </c>
      <c r="E988" s="3"/>
      <c r="F988" s="3"/>
      <c r="G988" s="3" t="s">
        <v>2501</v>
      </c>
      <c r="H988" s="3" t="s">
        <v>2495</v>
      </c>
      <c r="I988" s="3"/>
      <c r="J988" t="s">
        <v>2503</v>
      </c>
    </row>
    <row r="989" spans="1:10">
      <c r="A989" s="3" t="s">
        <v>593</v>
      </c>
      <c r="B989" s="3" t="s">
        <v>604</v>
      </c>
      <c r="C989" s="3"/>
      <c r="D989" s="3" t="s">
        <v>2491</v>
      </c>
      <c r="E989" s="3"/>
      <c r="F989" s="3"/>
      <c r="G989" s="3" t="s">
        <v>2501</v>
      </c>
      <c r="H989" s="3" t="s">
        <v>2497</v>
      </c>
      <c r="I989" s="3"/>
      <c r="J989" t="s">
        <v>2504</v>
      </c>
    </row>
    <row r="990" spans="1:10">
      <c r="A990" s="3" t="s">
        <v>593</v>
      </c>
      <c r="B990" s="3" t="s">
        <v>604</v>
      </c>
      <c r="C990" s="3"/>
      <c r="D990" s="3" t="s">
        <v>2491</v>
      </c>
      <c r="E990" s="3"/>
      <c r="F990" s="3"/>
      <c r="G990" s="3" t="s">
        <v>2501</v>
      </c>
      <c r="H990" s="3" t="s">
        <v>2499</v>
      </c>
      <c r="I990" s="3"/>
      <c r="J990" t="s">
        <v>2505</v>
      </c>
    </row>
    <row r="991" spans="1:10">
      <c r="A991" s="3" t="s">
        <v>609</v>
      </c>
      <c r="B991" s="3" t="s">
        <v>610</v>
      </c>
      <c r="C991" s="3" t="s">
        <v>55</v>
      </c>
      <c r="D991" s="3" t="s">
        <v>2506</v>
      </c>
      <c r="E991" s="3"/>
      <c r="F991" s="3"/>
      <c r="G991" s="3" t="s">
        <v>2507</v>
      </c>
      <c r="H991" s="3" t="s">
        <v>2508</v>
      </c>
      <c r="I991" s="3"/>
      <c r="J991" t="s">
        <v>2509</v>
      </c>
    </row>
    <row r="992" spans="1:10">
      <c r="A992" s="3" t="s">
        <v>609</v>
      </c>
      <c r="B992" s="3" t="s">
        <v>610</v>
      </c>
      <c r="C992" s="3" t="s">
        <v>55</v>
      </c>
      <c r="D992" s="3" t="s">
        <v>2506</v>
      </c>
      <c r="E992" s="3"/>
      <c r="F992" s="3"/>
      <c r="G992" s="3" t="s">
        <v>2507</v>
      </c>
      <c r="H992" s="3" t="s">
        <v>2510</v>
      </c>
      <c r="I992" s="3"/>
      <c r="J992" t="s">
        <v>2511</v>
      </c>
    </row>
    <row r="993" spans="1:10">
      <c r="A993" s="3" t="s">
        <v>609</v>
      </c>
      <c r="B993" s="3" t="s">
        <v>610</v>
      </c>
      <c r="C993" s="3" t="s">
        <v>55</v>
      </c>
      <c r="D993" s="3" t="s">
        <v>2506</v>
      </c>
      <c r="E993" s="3"/>
      <c r="F993" s="3"/>
      <c r="G993" s="3" t="s">
        <v>2507</v>
      </c>
      <c r="H993" s="3" t="s">
        <v>2512</v>
      </c>
      <c r="I993" s="3"/>
      <c r="J993" t="s">
        <v>2513</v>
      </c>
    </row>
    <row r="994" spans="1:10">
      <c r="A994" s="3" t="s">
        <v>609</v>
      </c>
      <c r="B994" s="3" t="s">
        <v>610</v>
      </c>
      <c r="C994" s="3" t="s">
        <v>55</v>
      </c>
      <c r="D994" s="3" t="s">
        <v>2506</v>
      </c>
      <c r="E994" s="3"/>
      <c r="F994" s="3"/>
      <c r="G994" s="3" t="s">
        <v>2507</v>
      </c>
      <c r="H994" s="3" t="s">
        <v>2514</v>
      </c>
      <c r="I994" s="3"/>
      <c r="J994" t="s">
        <v>2515</v>
      </c>
    </row>
    <row r="995" spans="1:10">
      <c r="A995" s="3" t="s">
        <v>609</v>
      </c>
      <c r="B995" s="3" t="s">
        <v>610</v>
      </c>
      <c r="C995" s="3" t="s">
        <v>55</v>
      </c>
      <c r="D995" s="3" t="s">
        <v>2506</v>
      </c>
      <c r="E995" s="3"/>
      <c r="F995" s="3"/>
      <c r="G995" s="3" t="s">
        <v>2516</v>
      </c>
      <c r="H995" s="3" t="s">
        <v>2508</v>
      </c>
      <c r="I995" s="3"/>
      <c r="J995" t="s">
        <v>2517</v>
      </c>
    </row>
    <row r="996" spans="1:10">
      <c r="A996" s="3" t="s">
        <v>609</v>
      </c>
      <c r="B996" s="3" t="s">
        <v>610</v>
      </c>
      <c r="C996" s="3" t="s">
        <v>55</v>
      </c>
      <c r="D996" s="3" t="s">
        <v>2506</v>
      </c>
      <c r="E996" s="3"/>
      <c r="F996" s="3"/>
      <c r="G996" s="3" t="s">
        <v>2516</v>
      </c>
      <c r="H996" s="3" t="s">
        <v>2510</v>
      </c>
      <c r="I996" s="3"/>
      <c r="J996" t="s">
        <v>2518</v>
      </c>
    </row>
    <row r="997" spans="1:10">
      <c r="A997" s="3" t="s">
        <v>609</v>
      </c>
      <c r="B997" s="3" t="s">
        <v>610</v>
      </c>
      <c r="C997" s="3" t="s">
        <v>55</v>
      </c>
      <c r="D997" s="3" t="s">
        <v>2506</v>
      </c>
      <c r="E997" s="3"/>
      <c r="F997" s="3"/>
      <c r="G997" s="3" t="s">
        <v>2516</v>
      </c>
      <c r="H997" s="3" t="s">
        <v>2512</v>
      </c>
      <c r="I997" s="3"/>
      <c r="J997" t="s">
        <v>2519</v>
      </c>
    </row>
    <row r="998" spans="1:10">
      <c r="A998" s="3" t="s">
        <v>609</v>
      </c>
      <c r="B998" s="3" t="s">
        <v>610</v>
      </c>
      <c r="C998" s="3" t="s">
        <v>55</v>
      </c>
      <c r="D998" s="3" t="s">
        <v>2506</v>
      </c>
      <c r="E998" s="3"/>
      <c r="F998" s="3"/>
      <c r="G998" s="3" t="s">
        <v>2516</v>
      </c>
      <c r="H998" s="3" t="s">
        <v>2514</v>
      </c>
      <c r="I998" s="3"/>
      <c r="J998" t="s">
        <v>2520</v>
      </c>
    </row>
    <row r="999" spans="1:10">
      <c r="A999" s="3" t="s">
        <v>643</v>
      </c>
      <c r="B999" s="3" t="s">
        <v>649</v>
      </c>
      <c r="C999" s="3" t="s">
        <v>59</v>
      </c>
      <c r="D999" s="3" t="s">
        <v>2521</v>
      </c>
      <c r="E999" s="3"/>
      <c r="F999" s="3"/>
      <c r="G999" s="3" t="s">
        <v>2522</v>
      </c>
      <c r="H999" s="3" t="s">
        <v>2523</v>
      </c>
      <c r="I999" s="3"/>
      <c r="J999" t="s">
        <v>2524</v>
      </c>
    </row>
    <row r="1000" spans="1:10">
      <c r="A1000" s="3" t="s">
        <v>643</v>
      </c>
      <c r="B1000" s="3" t="s">
        <v>649</v>
      </c>
      <c r="C1000" s="3" t="s">
        <v>59</v>
      </c>
      <c r="D1000" s="3" t="s">
        <v>2521</v>
      </c>
      <c r="E1000" s="3"/>
      <c r="F1000" s="3"/>
      <c r="G1000" s="3" t="s">
        <v>2522</v>
      </c>
      <c r="H1000" s="3" t="s">
        <v>2525</v>
      </c>
      <c r="I1000" s="3"/>
      <c r="J1000" t="s">
        <v>2526</v>
      </c>
    </row>
    <row r="1001" spans="1:10">
      <c r="A1001" s="3" t="s">
        <v>643</v>
      </c>
      <c r="B1001" s="3" t="s">
        <v>649</v>
      </c>
      <c r="C1001" s="3" t="s">
        <v>59</v>
      </c>
      <c r="D1001" s="3" t="s">
        <v>2521</v>
      </c>
      <c r="E1001" s="3"/>
      <c r="F1001" s="3"/>
      <c r="G1001" s="3" t="s">
        <v>2522</v>
      </c>
      <c r="H1001" s="3" t="s">
        <v>2527</v>
      </c>
      <c r="I1001" s="3"/>
      <c r="J1001" t="s">
        <v>2528</v>
      </c>
    </row>
    <row r="1002" spans="1:10">
      <c r="A1002" s="3" t="s">
        <v>643</v>
      </c>
      <c r="B1002" s="3" t="s">
        <v>649</v>
      </c>
      <c r="C1002" s="3" t="s">
        <v>59</v>
      </c>
      <c r="D1002" s="3" t="s">
        <v>2521</v>
      </c>
      <c r="E1002" s="3"/>
      <c r="F1002" s="3"/>
      <c r="G1002" s="3" t="s">
        <v>2522</v>
      </c>
      <c r="H1002" s="3" t="s">
        <v>2529</v>
      </c>
      <c r="I1002" s="3"/>
      <c r="J1002" t="s">
        <v>2530</v>
      </c>
    </row>
    <row r="1003" spans="1:10">
      <c r="A1003" s="3" t="s">
        <v>643</v>
      </c>
      <c r="B1003" s="3" t="s">
        <v>649</v>
      </c>
      <c r="C1003" s="3" t="s">
        <v>59</v>
      </c>
      <c r="D1003" s="3" t="s">
        <v>2521</v>
      </c>
      <c r="E1003" s="3"/>
      <c r="F1003" s="3"/>
      <c r="G1003" s="3" t="s">
        <v>2531</v>
      </c>
      <c r="H1003" s="3" t="s">
        <v>2523</v>
      </c>
      <c r="I1003" s="3"/>
      <c r="J1003" t="s">
        <v>2532</v>
      </c>
    </row>
    <row r="1004" spans="1:10">
      <c r="A1004" s="3" t="s">
        <v>643</v>
      </c>
      <c r="B1004" s="3" t="s">
        <v>649</v>
      </c>
      <c r="C1004" s="3" t="s">
        <v>59</v>
      </c>
      <c r="D1004" s="3" t="s">
        <v>2521</v>
      </c>
      <c r="E1004" s="3"/>
      <c r="F1004" s="3"/>
      <c r="G1004" s="3" t="s">
        <v>2531</v>
      </c>
      <c r="H1004" s="3" t="s">
        <v>2525</v>
      </c>
      <c r="I1004" s="3"/>
      <c r="J1004" t="s">
        <v>2533</v>
      </c>
    </row>
    <row r="1005" spans="1:10">
      <c r="A1005" s="3" t="s">
        <v>643</v>
      </c>
      <c r="B1005" s="3" t="s">
        <v>649</v>
      </c>
      <c r="C1005" s="3" t="s">
        <v>59</v>
      </c>
      <c r="D1005" s="3" t="s">
        <v>2521</v>
      </c>
      <c r="E1005" s="3"/>
      <c r="F1005" s="3"/>
      <c r="G1005" s="3" t="s">
        <v>2531</v>
      </c>
      <c r="H1005" s="3" t="s">
        <v>2527</v>
      </c>
      <c r="I1005" s="3"/>
      <c r="J1005" t="s">
        <v>2534</v>
      </c>
    </row>
    <row r="1006" spans="1:10">
      <c r="A1006" s="3" t="s">
        <v>643</v>
      </c>
      <c r="B1006" s="3" t="s">
        <v>649</v>
      </c>
      <c r="C1006" s="3" t="s">
        <v>59</v>
      </c>
      <c r="D1006" s="3" t="s">
        <v>2521</v>
      </c>
      <c r="E1006" s="3"/>
      <c r="F1006" s="3"/>
      <c r="G1006" s="3" t="s">
        <v>2531</v>
      </c>
      <c r="H1006" s="3" t="s">
        <v>2529</v>
      </c>
      <c r="I1006" s="3"/>
      <c r="J1006" t="s">
        <v>2535</v>
      </c>
    </row>
    <row r="1007" spans="1:10">
      <c r="A1007" s="3" t="s">
        <v>643</v>
      </c>
      <c r="B1007" s="3" t="s">
        <v>649</v>
      </c>
      <c r="C1007" s="3" t="s">
        <v>59</v>
      </c>
      <c r="D1007" s="3" t="s">
        <v>2521</v>
      </c>
      <c r="E1007" s="3"/>
      <c r="F1007" s="3"/>
      <c r="G1007" s="3"/>
      <c r="H1007" s="3"/>
      <c r="I1007" s="3" t="s">
        <v>2536</v>
      </c>
      <c r="J1007" t="s">
        <v>2537</v>
      </c>
    </row>
    <row r="1008" spans="1:10">
      <c r="A1008" s="3" t="s">
        <v>643</v>
      </c>
      <c r="B1008" s="3" t="s">
        <v>649</v>
      </c>
      <c r="C1008" s="3" t="s">
        <v>59</v>
      </c>
      <c r="D1008" s="3" t="s">
        <v>2521</v>
      </c>
      <c r="E1008" s="3"/>
      <c r="F1008" s="3"/>
      <c r="G1008" s="3"/>
      <c r="H1008" s="3"/>
      <c r="I1008" s="3" t="s">
        <v>2538</v>
      </c>
      <c r="J1008" t="s">
        <v>2539</v>
      </c>
    </row>
    <row r="1009" spans="1:10">
      <c r="A1009" s="3" t="s">
        <v>643</v>
      </c>
      <c r="B1009" s="3" t="s">
        <v>649</v>
      </c>
      <c r="C1009" s="3" t="s">
        <v>59</v>
      </c>
      <c r="D1009" s="3" t="s">
        <v>2521</v>
      </c>
      <c r="E1009" s="3"/>
      <c r="F1009" s="3"/>
      <c r="G1009" s="3"/>
      <c r="H1009" s="3"/>
      <c r="I1009" s="3" t="s">
        <v>2540</v>
      </c>
      <c r="J1009" t="s">
        <v>2541</v>
      </c>
    </row>
    <row r="1010" spans="1:10">
      <c r="A1010" s="3" t="s">
        <v>643</v>
      </c>
      <c r="B1010" s="3" t="s">
        <v>649</v>
      </c>
      <c r="C1010" s="3" t="s">
        <v>59</v>
      </c>
      <c r="D1010" s="3" t="s">
        <v>2521</v>
      </c>
      <c r="E1010" s="3"/>
      <c r="F1010" s="3"/>
      <c r="G1010" s="3"/>
      <c r="H1010" s="3"/>
      <c r="I1010" s="3" t="s">
        <v>2542</v>
      </c>
      <c r="J1010" t="s">
        <v>2543</v>
      </c>
    </row>
    <row r="1011" spans="1:10">
      <c r="A1011" s="3" t="s">
        <v>658</v>
      </c>
      <c r="B1011" s="3" t="s">
        <v>659</v>
      </c>
      <c r="C1011" s="3" t="s">
        <v>60</v>
      </c>
      <c r="D1011" s="3" t="s">
        <v>2544</v>
      </c>
      <c r="E1011" s="3"/>
      <c r="F1011" s="3"/>
      <c r="G1011" s="3" t="s">
        <v>2545</v>
      </c>
      <c r="H1011" s="3" t="s">
        <v>2546</v>
      </c>
      <c r="I1011" s="3"/>
      <c r="J1011" t="s">
        <v>2547</v>
      </c>
    </row>
    <row r="1012" spans="1:10">
      <c r="A1012" s="3" t="s">
        <v>658</v>
      </c>
      <c r="B1012" s="3" t="s">
        <v>659</v>
      </c>
      <c r="C1012" s="3" t="s">
        <v>60</v>
      </c>
      <c r="D1012" s="3" t="s">
        <v>2544</v>
      </c>
      <c r="E1012" s="3"/>
      <c r="F1012" s="3"/>
      <c r="G1012" s="3" t="s">
        <v>2545</v>
      </c>
      <c r="H1012" s="3" t="s">
        <v>2548</v>
      </c>
      <c r="I1012" s="3"/>
      <c r="J1012" t="s">
        <v>2549</v>
      </c>
    </row>
    <row r="1013" spans="1:10">
      <c r="A1013" s="3" t="s">
        <v>658</v>
      </c>
      <c r="B1013" s="3" t="s">
        <v>659</v>
      </c>
      <c r="C1013" s="3" t="s">
        <v>60</v>
      </c>
      <c r="D1013" s="3" t="s">
        <v>2544</v>
      </c>
      <c r="E1013" s="3"/>
      <c r="F1013" s="3"/>
      <c r="G1013" s="3" t="s">
        <v>2545</v>
      </c>
      <c r="H1013" s="3" t="s">
        <v>2550</v>
      </c>
      <c r="I1013" s="3"/>
      <c r="J1013" t="s">
        <v>2551</v>
      </c>
    </row>
    <row r="1014" spans="1:10">
      <c r="A1014" s="3" t="s">
        <v>658</v>
      </c>
      <c r="B1014" s="3" t="s">
        <v>659</v>
      </c>
      <c r="C1014" s="3" t="s">
        <v>60</v>
      </c>
      <c r="D1014" s="3" t="s">
        <v>2544</v>
      </c>
      <c r="E1014" s="3"/>
      <c r="F1014" s="3"/>
      <c r="G1014" s="3" t="s">
        <v>2545</v>
      </c>
      <c r="H1014" s="3" t="s">
        <v>2552</v>
      </c>
      <c r="I1014" s="3"/>
      <c r="J1014" t="s">
        <v>2553</v>
      </c>
    </row>
    <row r="1015" spans="1:10">
      <c r="A1015" s="3" t="s">
        <v>658</v>
      </c>
      <c r="B1015" s="3" t="s">
        <v>659</v>
      </c>
      <c r="C1015" s="3" t="s">
        <v>60</v>
      </c>
      <c r="D1015" s="3" t="s">
        <v>2544</v>
      </c>
      <c r="E1015" s="3"/>
      <c r="F1015" s="3"/>
      <c r="G1015" s="3" t="s">
        <v>2554</v>
      </c>
      <c r="H1015" s="3" t="s">
        <v>2546</v>
      </c>
      <c r="I1015" s="3"/>
      <c r="J1015" t="s">
        <v>2555</v>
      </c>
    </row>
    <row r="1016" spans="1:10">
      <c r="A1016" s="3" t="s">
        <v>658</v>
      </c>
      <c r="B1016" s="3" t="s">
        <v>659</v>
      </c>
      <c r="C1016" s="3" t="s">
        <v>60</v>
      </c>
      <c r="D1016" s="3" t="s">
        <v>2544</v>
      </c>
      <c r="E1016" s="3"/>
      <c r="F1016" s="3"/>
      <c r="G1016" s="3" t="s">
        <v>2554</v>
      </c>
      <c r="H1016" s="3" t="s">
        <v>2548</v>
      </c>
      <c r="I1016" s="3"/>
      <c r="J1016" t="s">
        <v>2556</v>
      </c>
    </row>
    <row r="1017" spans="1:10">
      <c r="A1017" s="3" t="s">
        <v>658</v>
      </c>
      <c r="B1017" s="3" t="s">
        <v>659</v>
      </c>
      <c r="C1017" s="3" t="s">
        <v>60</v>
      </c>
      <c r="D1017" s="3" t="s">
        <v>2544</v>
      </c>
      <c r="E1017" s="3"/>
      <c r="F1017" s="3"/>
      <c r="G1017" s="3" t="s">
        <v>2554</v>
      </c>
      <c r="H1017" s="3" t="s">
        <v>2550</v>
      </c>
      <c r="I1017" s="3"/>
      <c r="J1017" t="s">
        <v>2557</v>
      </c>
    </row>
    <row r="1018" spans="1:10">
      <c r="A1018" s="3" t="s">
        <v>658</v>
      </c>
      <c r="B1018" s="3" t="s">
        <v>659</v>
      </c>
      <c r="C1018" s="3" t="s">
        <v>60</v>
      </c>
      <c r="D1018" s="3" t="s">
        <v>2544</v>
      </c>
      <c r="E1018" s="3"/>
      <c r="F1018" s="3"/>
      <c r="G1018" s="3" t="s">
        <v>2554</v>
      </c>
      <c r="H1018" s="3" t="s">
        <v>2552</v>
      </c>
      <c r="I1018" s="3"/>
      <c r="J1018" t="s">
        <v>2558</v>
      </c>
    </row>
    <row r="1019" spans="1:10">
      <c r="A1019" s="3" t="s">
        <v>658</v>
      </c>
      <c r="B1019" s="3" t="s">
        <v>659</v>
      </c>
      <c r="C1019" s="3" t="s">
        <v>60</v>
      </c>
      <c r="D1019" s="3" t="s">
        <v>2544</v>
      </c>
      <c r="E1019" s="3"/>
      <c r="F1019" s="3"/>
      <c r="G1019" s="3"/>
      <c r="H1019" s="3"/>
      <c r="I1019" s="3" t="s">
        <v>2559</v>
      </c>
      <c r="J1019" t="s">
        <v>2560</v>
      </c>
    </row>
    <row r="1020" spans="1:10">
      <c r="A1020" s="3" t="s">
        <v>658</v>
      </c>
      <c r="B1020" s="3" t="s">
        <v>659</v>
      </c>
      <c r="C1020" s="3" t="s">
        <v>60</v>
      </c>
      <c r="D1020" s="3" t="s">
        <v>2544</v>
      </c>
      <c r="E1020" s="3"/>
      <c r="F1020" s="3"/>
      <c r="G1020" s="3"/>
      <c r="H1020" s="3"/>
      <c r="I1020" s="3" t="s">
        <v>2561</v>
      </c>
      <c r="J1020" t="s">
        <v>2562</v>
      </c>
    </row>
    <row r="1021" spans="1:10">
      <c r="A1021" s="3" t="s">
        <v>658</v>
      </c>
      <c r="B1021" s="3" t="s">
        <v>659</v>
      </c>
      <c r="C1021" s="3" t="s">
        <v>60</v>
      </c>
      <c r="D1021" s="3" t="s">
        <v>2544</v>
      </c>
      <c r="E1021" s="3"/>
      <c r="F1021" s="3"/>
      <c r="G1021" s="3"/>
      <c r="H1021" s="3"/>
      <c r="I1021" s="3" t="s">
        <v>2563</v>
      </c>
      <c r="J1021" t="s">
        <v>2564</v>
      </c>
    </row>
    <row r="1022" spans="1:10">
      <c r="A1022" s="3" t="s">
        <v>658</v>
      </c>
      <c r="B1022" s="3" t="s">
        <v>659</v>
      </c>
      <c r="C1022" s="3" t="s">
        <v>60</v>
      </c>
      <c r="D1022" s="3" t="s">
        <v>2544</v>
      </c>
      <c r="E1022" s="3"/>
      <c r="F1022" s="3"/>
      <c r="G1022" s="3"/>
      <c r="H1022" s="3"/>
      <c r="I1022" s="3" t="s">
        <v>2565</v>
      </c>
      <c r="J1022" t="s">
        <v>2566</v>
      </c>
    </row>
    <row r="1023" spans="1:10">
      <c r="A1023" s="3" t="s">
        <v>666</v>
      </c>
      <c r="B1023" s="3" t="s">
        <v>667</v>
      </c>
      <c r="C1023" s="3"/>
      <c r="D1023" s="3" t="s">
        <v>2567</v>
      </c>
      <c r="E1023" s="3"/>
      <c r="F1023" s="3"/>
      <c r="G1023" s="3" t="s">
        <v>2568</v>
      </c>
      <c r="H1023" s="3" t="s">
        <v>2569</v>
      </c>
      <c r="I1023" s="3"/>
      <c r="J1023" t="s">
        <v>2570</v>
      </c>
    </row>
    <row r="1024" spans="1:10">
      <c r="A1024" s="3" t="s">
        <v>666</v>
      </c>
      <c r="B1024" s="3" t="s">
        <v>667</v>
      </c>
      <c r="C1024" s="3"/>
      <c r="D1024" s="3" t="s">
        <v>2567</v>
      </c>
      <c r="E1024" s="3"/>
      <c r="F1024" s="3"/>
      <c r="G1024" s="3" t="s">
        <v>2568</v>
      </c>
      <c r="H1024" s="3" t="s">
        <v>2571</v>
      </c>
      <c r="I1024" s="3"/>
      <c r="J1024" t="s">
        <v>2572</v>
      </c>
    </row>
    <row r="1025" spans="1:10">
      <c r="A1025" s="3" t="s">
        <v>666</v>
      </c>
      <c r="B1025" s="3" t="s">
        <v>667</v>
      </c>
      <c r="C1025" s="3"/>
      <c r="D1025" s="3" t="s">
        <v>2567</v>
      </c>
      <c r="E1025" s="3"/>
      <c r="F1025" s="3"/>
      <c r="G1025" s="3" t="s">
        <v>2568</v>
      </c>
      <c r="H1025" s="3" t="s">
        <v>2573</v>
      </c>
      <c r="I1025" s="3"/>
      <c r="J1025" t="s">
        <v>2574</v>
      </c>
    </row>
    <row r="1026" spans="1:10">
      <c r="A1026" s="3" t="s">
        <v>666</v>
      </c>
      <c r="B1026" s="3" t="s">
        <v>667</v>
      </c>
      <c r="C1026" s="3"/>
      <c r="D1026" s="3" t="s">
        <v>2567</v>
      </c>
      <c r="E1026" s="3"/>
      <c r="F1026" s="3"/>
      <c r="G1026" s="3" t="s">
        <v>2568</v>
      </c>
      <c r="H1026" s="3" t="s">
        <v>2575</v>
      </c>
      <c r="I1026" s="3"/>
      <c r="J1026" t="s">
        <v>2576</v>
      </c>
    </row>
    <row r="1027" spans="1:10">
      <c r="A1027" s="3" t="s">
        <v>666</v>
      </c>
      <c r="B1027" s="3" t="s">
        <v>667</v>
      </c>
      <c r="C1027" s="3"/>
      <c r="D1027" s="3" t="s">
        <v>2567</v>
      </c>
      <c r="E1027" s="3"/>
      <c r="F1027" s="3"/>
      <c r="G1027" s="3" t="s">
        <v>2577</v>
      </c>
      <c r="H1027" s="3" t="s">
        <v>2569</v>
      </c>
      <c r="I1027" s="3"/>
      <c r="J1027" t="s">
        <v>2578</v>
      </c>
    </row>
    <row r="1028" spans="1:10">
      <c r="A1028" s="3" t="s">
        <v>666</v>
      </c>
      <c r="B1028" s="3" t="s">
        <v>667</v>
      </c>
      <c r="C1028" s="3"/>
      <c r="D1028" s="3" t="s">
        <v>2567</v>
      </c>
      <c r="E1028" s="3"/>
      <c r="F1028" s="3"/>
      <c r="G1028" s="3" t="s">
        <v>2577</v>
      </c>
      <c r="H1028" s="3" t="s">
        <v>2571</v>
      </c>
      <c r="I1028" s="3"/>
      <c r="J1028" t="s">
        <v>2579</v>
      </c>
    </row>
    <row r="1029" spans="1:10">
      <c r="A1029" s="3" t="s">
        <v>666</v>
      </c>
      <c r="B1029" s="3" t="s">
        <v>667</v>
      </c>
      <c r="C1029" s="3"/>
      <c r="D1029" s="3" t="s">
        <v>2567</v>
      </c>
      <c r="E1029" s="3"/>
      <c r="F1029" s="3"/>
      <c r="G1029" s="3" t="s">
        <v>2577</v>
      </c>
      <c r="H1029" s="3" t="s">
        <v>2573</v>
      </c>
      <c r="I1029" s="3"/>
      <c r="J1029" t="s">
        <v>2580</v>
      </c>
    </row>
    <row r="1030" spans="1:10">
      <c r="A1030" s="3" t="s">
        <v>666</v>
      </c>
      <c r="B1030" s="3" t="s">
        <v>667</v>
      </c>
      <c r="C1030" s="3"/>
      <c r="D1030" s="3" t="s">
        <v>2567</v>
      </c>
      <c r="E1030" s="3"/>
      <c r="F1030" s="3"/>
      <c r="G1030" s="3" t="s">
        <v>2577</v>
      </c>
      <c r="H1030" s="3" t="s">
        <v>2575</v>
      </c>
      <c r="I1030" s="3"/>
      <c r="J1030" t="s">
        <v>2581</v>
      </c>
    </row>
    <row r="1031" spans="1:10">
      <c r="A1031" s="3" t="s">
        <v>672</v>
      </c>
      <c r="B1031" s="3" t="s">
        <v>675</v>
      </c>
      <c r="C1031" s="3" t="s">
        <v>62</v>
      </c>
      <c r="D1031" s="3" t="s">
        <v>2582</v>
      </c>
      <c r="E1031" s="3"/>
      <c r="F1031" s="3"/>
      <c r="G1031" s="3" t="s">
        <v>2583</v>
      </c>
      <c r="H1031" s="3" t="s">
        <v>2584</v>
      </c>
      <c r="I1031" s="3"/>
      <c r="J1031" t="s">
        <v>2585</v>
      </c>
    </row>
    <row r="1032" spans="1:10">
      <c r="A1032" s="3" t="s">
        <v>672</v>
      </c>
      <c r="B1032" s="3" t="s">
        <v>675</v>
      </c>
      <c r="C1032" s="3" t="s">
        <v>62</v>
      </c>
      <c r="D1032" s="3" t="s">
        <v>2582</v>
      </c>
      <c r="E1032" s="3"/>
      <c r="F1032" s="3"/>
      <c r="G1032" s="3" t="s">
        <v>2583</v>
      </c>
      <c r="H1032" s="3" t="s">
        <v>2586</v>
      </c>
      <c r="I1032" s="3"/>
      <c r="J1032" t="s">
        <v>2587</v>
      </c>
    </row>
    <row r="1033" spans="1:10">
      <c r="A1033" s="3" t="s">
        <v>672</v>
      </c>
      <c r="B1033" s="3" t="s">
        <v>675</v>
      </c>
      <c r="C1033" s="3" t="s">
        <v>62</v>
      </c>
      <c r="D1033" s="3" t="s">
        <v>2582</v>
      </c>
      <c r="E1033" s="3"/>
      <c r="F1033" s="3"/>
      <c r="G1033" s="3" t="s">
        <v>2583</v>
      </c>
      <c r="H1033" s="3" t="s">
        <v>2588</v>
      </c>
      <c r="I1033" s="3"/>
      <c r="J1033" t="s">
        <v>2589</v>
      </c>
    </row>
    <row r="1034" spans="1:10">
      <c r="A1034" s="3" t="s">
        <v>672</v>
      </c>
      <c r="B1034" s="3" t="s">
        <v>675</v>
      </c>
      <c r="C1034" s="3" t="s">
        <v>62</v>
      </c>
      <c r="D1034" s="3" t="s">
        <v>2582</v>
      </c>
      <c r="E1034" s="3"/>
      <c r="F1034" s="3"/>
      <c r="G1034" s="3" t="s">
        <v>2583</v>
      </c>
      <c r="H1034" s="3" t="s">
        <v>2590</v>
      </c>
      <c r="I1034" s="3"/>
      <c r="J1034" t="s">
        <v>2591</v>
      </c>
    </row>
    <row r="1035" spans="1:10">
      <c r="A1035" s="3" t="s">
        <v>686</v>
      </c>
      <c r="B1035" s="3" t="s">
        <v>692</v>
      </c>
      <c r="C1035" s="3" t="s">
        <v>64</v>
      </c>
      <c r="D1035" s="3" t="s">
        <v>2592</v>
      </c>
      <c r="E1035" s="3"/>
      <c r="F1035" s="3"/>
      <c r="G1035" s="3" t="s">
        <v>2593</v>
      </c>
      <c r="H1035" s="3"/>
      <c r="I1035" s="3"/>
      <c r="J1035" t="s">
        <v>2594</v>
      </c>
    </row>
    <row r="1036" spans="1:10">
      <c r="A1036" s="3" t="s">
        <v>686</v>
      </c>
      <c r="B1036" s="3" t="s">
        <v>692</v>
      </c>
      <c r="C1036" s="3" t="s">
        <v>64</v>
      </c>
      <c r="D1036" s="3" t="s">
        <v>2592</v>
      </c>
      <c r="E1036" s="3"/>
      <c r="F1036" s="3"/>
      <c r="G1036" s="3" t="s">
        <v>2595</v>
      </c>
      <c r="H1036" s="3"/>
      <c r="I1036" s="3"/>
      <c r="J1036" t="s">
        <v>2596</v>
      </c>
    </row>
    <row r="1037" spans="1:10">
      <c r="A1037" s="3" t="s">
        <v>699</v>
      </c>
      <c r="B1037" s="3" t="s">
        <v>705</v>
      </c>
      <c r="C1037" s="3" t="s">
        <v>65</v>
      </c>
      <c r="D1037" s="3" t="s">
        <v>2597</v>
      </c>
      <c r="E1037" s="3"/>
      <c r="F1037" s="3"/>
      <c r="G1037" s="3" t="s">
        <v>2598</v>
      </c>
      <c r="H1037" s="3" t="s">
        <v>2599</v>
      </c>
      <c r="I1037" s="3"/>
      <c r="J1037" t="s">
        <v>2600</v>
      </c>
    </row>
    <row r="1038" spans="1:10">
      <c r="A1038" s="3" t="s">
        <v>699</v>
      </c>
      <c r="B1038" s="3" t="s">
        <v>705</v>
      </c>
      <c r="C1038" s="3" t="s">
        <v>65</v>
      </c>
      <c r="D1038" s="3" t="s">
        <v>2597</v>
      </c>
      <c r="E1038" s="3"/>
      <c r="F1038" s="3"/>
      <c r="G1038" s="3" t="s">
        <v>2598</v>
      </c>
      <c r="H1038" s="3" t="s">
        <v>2601</v>
      </c>
      <c r="I1038" s="3"/>
      <c r="J1038" t="s">
        <v>2602</v>
      </c>
    </row>
    <row r="1039" spans="1:10">
      <c r="A1039" s="3" t="s">
        <v>699</v>
      </c>
      <c r="B1039" s="3" t="s">
        <v>705</v>
      </c>
      <c r="C1039" s="3" t="s">
        <v>65</v>
      </c>
      <c r="D1039" s="3" t="s">
        <v>2597</v>
      </c>
      <c r="E1039" s="3"/>
      <c r="F1039" s="3"/>
      <c r="G1039" s="3" t="s">
        <v>2598</v>
      </c>
      <c r="H1039" s="3" t="s">
        <v>2603</v>
      </c>
      <c r="I1039" s="3"/>
      <c r="J1039" t="s">
        <v>2604</v>
      </c>
    </row>
    <row r="1040" spans="1:10">
      <c r="A1040" s="3" t="s">
        <v>699</v>
      </c>
      <c r="B1040" s="3" t="s">
        <v>705</v>
      </c>
      <c r="C1040" s="3" t="s">
        <v>65</v>
      </c>
      <c r="D1040" s="3" t="s">
        <v>2597</v>
      </c>
      <c r="E1040" s="3"/>
      <c r="F1040" s="3"/>
      <c r="G1040" s="3" t="s">
        <v>2598</v>
      </c>
      <c r="H1040" s="3" t="s">
        <v>2605</v>
      </c>
      <c r="I1040" s="3"/>
      <c r="J1040" t="s">
        <v>2606</v>
      </c>
    </row>
    <row r="1041" spans="1:10">
      <c r="A1041" s="3" t="s">
        <v>699</v>
      </c>
      <c r="B1041" s="3" t="s">
        <v>705</v>
      </c>
      <c r="C1041" s="3" t="s">
        <v>65</v>
      </c>
      <c r="D1041" s="3" t="s">
        <v>2597</v>
      </c>
      <c r="E1041" s="3"/>
      <c r="F1041" s="3"/>
      <c r="G1041" s="3" t="s">
        <v>2607</v>
      </c>
      <c r="H1041" s="3" t="s">
        <v>2599</v>
      </c>
      <c r="I1041" s="3"/>
      <c r="J1041" t="s">
        <v>2608</v>
      </c>
    </row>
    <row r="1042" spans="1:10">
      <c r="A1042" s="3" t="s">
        <v>699</v>
      </c>
      <c r="B1042" s="3" t="s">
        <v>705</v>
      </c>
      <c r="C1042" s="3" t="s">
        <v>65</v>
      </c>
      <c r="D1042" s="3" t="s">
        <v>2597</v>
      </c>
      <c r="E1042" s="3"/>
      <c r="F1042" s="3"/>
      <c r="G1042" s="3" t="s">
        <v>2607</v>
      </c>
      <c r="H1042" s="3" t="s">
        <v>2601</v>
      </c>
      <c r="I1042" s="3"/>
      <c r="J1042" t="s">
        <v>2609</v>
      </c>
    </row>
    <row r="1043" spans="1:10">
      <c r="A1043" s="3" t="s">
        <v>699</v>
      </c>
      <c r="B1043" s="3" t="s">
        <v>705</v>
      </c>
      <c r="C1043" s="3" t="s">
        <v>65</v>
      </c>
      <c r="D1043" s="3" t="s">
        <v>2597</v>
      </c>
      <c r="E1043" s="3"/>
      <c r="F1043" s="3"/>
      <c r="G1043" s="3" t="s">
        <v>2607</v>
      </c>
      <c r="H1043" s="3" t="s">
        <v>2603</v>
      </c>
      <c r="I1043" s="3"/>
      <c r="J1043" t="s">
        <v>2610</v>
      </c>
    </row>
    <row r="1044" spans="1:10">
      <c r="A1044" s="3" t="s">
        <v>699</v>
      </c>
      <c r="B1044" s="3" t="s">
        <v>705</v>
      </c>
      <c r="C1044" s="3" t="s">
        <v>65</v>
      </c>
      <c r="D1044" s="3" t="s">
        <v>2597</v>
      </c>
      <c r="E1044" s="3"/>
      <c r="F1044" s="3"/>
      <c r="G1044" s="3" t="s">
        <v>2607</v>
      </c>
      <c r="H1044" s="3" t="s">
        <v>2605</v>
      </c>
      <c r="I1044" s="3"/>
      <c r="J1044" t="s">
        <v>2611</v>
      </c>
    </row>
    <row r="1045" spans="1:10">
      <c r="A1045" s="3" t="s">
        <v>699</v>
      </c>
      <c r="B1045" s="3" t="s">
        <v>705</v>
      </c>
      <c r="C1045" s="3" t="s">
        <v>65</v>
      </c>
      <c r="D1045" s="3" t="s">
        <v>2612</v>
      </c>
      <c r="E1045" s="3"/>
      <c r="F1045" s="3"/>
      <c r="G1045" s="3" t="s">
        <v>2613</v>
      </c>
      <c r="H1045" s="3"/>
      <c r="I1045" s="3"/>
      <c r="J1045" t="s">
        <v>2614</v>
      </c>
    </row>
    <row r="1046" spans="1:10">
      <c r="A1046" s="3" t="s">
        <v>699</v>
      </c>
      <c r="B1046" s="3" t="s">
        <v>705</v>
      </c>
      <c r="C1046" s="3" t="s">
        <v>65</v>
      </c>
      <c r="D1046" s="3" t="s">
        <v>2612</v>
      </c>
      <c r="E1046" s="3"/>
      <c r="F1046" s="3"/>
      <c r="G1046" s="3" t="s">
        <v>2615</v>
      </c>
      <c r="H1046" s="3"/>
      <c r="I1046" s="3"/>
      <c r="J1046" t="s">
        <v>2616</v>
      </c>
    </row>
    <row r="1047" spans="1:10">
      <c r="A1047" s="3" t="s">
        <v>699</v>
      </c>
      <c r="B1047" s="3" t="s">
        <v>705</v>
      </c>
      <c r="C1047" s="3" t="s">
        <v>65</v>
      </c>
      <c r="D1047" s="3" t="s">
        <v>2612</v>
      </c>
      <c r="E1047" s="3"/>
      <c r="F1047" s="3"/>
      <c r="G1047" s="3"/>
      <c r="H1047" s="3"/>
      <c r="I1047" s="3" t="s">
        <v>2617</v>
      </c>
      <c r="J1047" t="s">
        <v>2618</v>
      </c>
    </row>
    <row r="1048" spans="1:10">
      <c r="A1048" s="3" t="s">
        <v>714</v>
      </c>
      <c r="B1048" s="3" t="s">
        <v>715</v>
      </c>
      <c r="C1048" s="3" t="s">
        <v>66</v>
      </c>
      <c r="D1048" s="3" t="s">
        <v>2619</v>
      </c>
      <c r="E1048" s="3"/>
      <c r="F1048" s="3"/>
      <c r="G1048" s="3"/>
      <c r="H1048" s="3" t="s">
        <v>2620</v>
      </c>
      <c r="I1048" s="3"/>
      <c r="J1048" t="s">
        <v>2621</v>
      </c>
    </row>
    <row r="1049" spans="1:10">
      <c r="A1049" s="3" t="s">
        <v>714</v>
      </c>
      <c r="B1049" s="3" t="s">
        <v>715</v>
      </c>
      <c r="C1049" s="3" t="s">
        <v>66</v>
      </c>
      <c r="D1049" s="3" t="s">
        <v>2619</v>
      </c>
      <c r="E1049" s="3"/>
      <c r="F1049" s="3"/>
      <c r="G1049" s="3"/>
      <c r="H1049" s="3" t="s">
        <v>2622</v>
      </c>
      <c r="I1049" s="3"/>
      <c r="J1049" t="s">
        <v>2623</v>
      </c>
    </row>
    <row r="1050" spans="1:10">
      <c r="A1050" s="3" t="s">
        <v>714</v>
      </c>
      <c r="B1050" s="3" t="s">
        <v>715</v>
      </c>
      <c r="C1050" s="3" t="s">
        <v>66</v>
      </c>
      <c r="D1050" s="3" t="s">
        <v>2619</v>
      </c>
      <c r="E1050" s="3"/>
      <c r="F1050" s="3"/>
      <c r="G1050" s="3"/>
      <c r="H1050" s="3" t="s">
        <v>2624</v>
      </c>
      <c r="I1050" s="3"/>
      <c r="J1050" t="s">
        <v>2625</v>
      </c>
    </row>
    <row r="1051" spans="1:10">
      <c r="A1051" s="3" t="s">
        <v>714</v>
      </c>
      <c r="B1051" s="3" t="s">
        <v>715</v>
      </c>
      <c r="C1051" s="3" t="s">
        <v>66</v>
      </c>
      <c r="D1051" s="3" t="s">
        <v>2619</v>
      </c>
      <c r="E1051" s="3"/>
      <c r="F1051" s="3"/>
      <c r="G1051" s="3"/>
      <c r="H1051" s="3" t="s">
        <v>2626</v>
      </c>
      <c r="I1051" s="3"/>
      <c r="J1051" t="s">
        <v>2627</v>
      </c>
    </row>
    <row r="1052" spans="1:10">
      <c r="A1052" s="3" t="s">
        <v>714</v>
      </c>
      <c r="B1052" s="3" t="s">
        <v>726</v>
      </c>
      <c r="C1052" s="3" t="s">
        <v>67</v>
      </c>
      <c r="D1052" s="3" t="s">
        <v>2628</v>
      </c>
      <c r="E1052" s="3"/>
      <c r="F1052" s="3"/>
      <c r="G1052" s="3" t="s">
        <v>2629</v>
      </c>
      <c r="H1052" s="3" t="s">
        <v>2630</v>
      </c>
      <c r="I1052" s="3"/>
      <c r="J1052" t="s">
        <v>2631</v>
      </c>
    </row>
    <row r="1053" spans="1:10">
      <c r="A1053" s="3" t="s">
        <v>714</v>
      </c>
      <c r="B1053" s="3" t="s">
        <v>726</v>
      </c>
      <c r="C1053" s="3" t="s">
        <v>67</v>
      </c>
      <c r="D1053" s="3" t="s">
        <v>2628</v>
      </c>
      <c r="E1053" s="3"/>
      <c r="F1053" s="3"/>
      <c r="G1053" s="3" t="s">
        <v>2629</v>
      </c>
      <c r="H1053" s="3" t="s">
        <v>2632</v>
      </c>
      <c r="I1053" s="3"/>
      <c r="J1053" t="s">
        <v>2633</v>
      </c>
    </row>
    <row r="1054" spans="1:10">
      <c r="A1054" s="3" t="s">
        <v>714</v>
      </c>
      <c r="B1054" s="3" t="s">
        <v>726</v>
      </c>
      <c r="C1054" s="3" t="s">
        <v>67</v>
      </c>
      <c r="D1054" s="3" t="s">
        <v>2628</v>
      </c>
      <c r="E1054" s="3"/>
      <c r="F1054" s="3"/>
      <c r="G1054" s="3" t="s">
        <v>2629</v>
      </c>
      <c r="H1054" s="3" t="s">
        <v>2634</v>
      </c>
      <c r="I1054" s="3"/>
      <c r="J1054" t="s">
        <v>2635</v>
      </c>
    </row>
    <row r="1055" spans="1:10">
      <c r="A1055" s="3" t="s">
        <v>714</v>
      </c>
      <c r="B1055" s="3" t="s">
        <v>726</v>
      </c>
      <c r="C1055" s="3" t="s">
        <v>67</v>
      </c>
      <c r="D1055" s="3" t="s">
        <v>2628</v>
      </c>
      <c r="E1055" s="3"/>
      <c r="F1055" s="3"/>
      <c r="G1055" s="3" t="s">
        <v>2636</v>
      </c>
      <c r="H1055" s="3" t="s">
        <v>2630</v>
      </c>
      <c r="I1055" s="3"/>
      <c r="J1055" t="s">
        <v>2637</v>
      </c>
    </row>
    <row r="1056" spans="1:10">
      <c r="A1056" s="3" t="s">
        <v>714</v>
      </c>
      <c r="B1056" s="3" t="s">
        <v>726</v>
      </c>
      <c r="C1056" s="3" t="s">
        <v>67</v>
      </c>
      <c r="D1056" s="3" t="s">
        <v>2628</v>
      </c>
      <c r="E1056" s="3"/>
      <c r="F1056" s="3"/>
      <c r="G1056" s="3" t="s">
        <v>2636</v>
      </c>
      <c r="H1056" s="3" t="s">
        <v>2632</v>
      </c>
      <c r="I1056" s="3"/>
      <c r="J1056" t="s">
        <v>2638</v>
      </c>
    </row>
    <row r="1057" spans="1:10">
      <c r="A1057" s="3" t="s">
        <v>714</v>
      </c>
      <c r="B1057" s="3" t="s">
        <v>726</v>
      </c>
      <c r="C1057" s="3" t="s">
        <v>67</v>
      </c>
      <c r="D1057" s="3" t="s">
        <v>2628</v>
      </c>
      <c r="E1057" s="3"/>
      <c r="F1057" s="3"/>
      <c r="G1057" s="3" t="s">
        <v>2636</v>
      </c>
      <c r="H1057" s="3" t="s">
        <v>2634</v>
      </c>
      <c r="I1057" s="3"/>
      <c r="J1057" t="s">
        <v>2639</v>
      </c>
    </row>
    <row r="1058" spans="1:10">
      <c r="A1058" s="3" t="s">
        <v>731</v>
      </c>
      <c r="B1058" s="3" t="s">
        <v>732</v>
      </c>
      <c r="C1058" s="3"/>
      <c r="D1058" s="3" t="s">
        <v>2640</v>
      </c>
      <c r="E1058" s="3"/>
      <c r="F1058" s="3"/>
      <c r="G1058" s="3"/>
      <c r="H1058" s="3" t="s">
        <v>2641</v>
      </c>
      <c r="I1058" s="3"/>
      <c r="J1058" t="s">
        <v>2642</v>
      </c>
    </row>
    <row r="1059" spans="1:10">
      <c r="A1059" s="3" t="s">
        <v>731</v>
      </c>
      <c r="B1059" s="3" t="s">
        <v>732</v>
      </c>
      <c r="C1059" s="3"/>
      <c r="D1059" s="3" t="s">
        <v>2640</v>
      </c>
      <c r="E1059" s="3"/>
      <c r="F1059" s="3"/>
      <c r="G1059" s="3"/>
      <c r="H1059" s="3" t="s">
        <v>2643</v>
      </c>
      <c r="I1059" s="3"/>
      <c r="J1059" t="s">
        <v>2644</v>
      </c>
    </row>
    <row r="1060" spans="1:10">
      <c r="A1060" s="3" t="s">
        <v>731</v>
      </c>
      <c r="B1060" s="3" t="s">
        <v>732</v>
      </c>
      <c r="C1060" s="3"/>
      <c r="D1060" s="3" t="s">
        <v>2640</v>
      </c>
      <c r="E1060" s="3"/>
      <c r="F1060" s="3"/>
      <c r="G1060" s="3"/>
      <c r="H1060" s="3" t="s">
        <v>2645</v>
      </c>
      <c r="I1060" s="3"/>
      <c r="J1060" t="s">
        <v>2646</v>
      </c>
    </row>
    <row r="1061" spans="1:10">
      <c r="A1061" s="3" t="s">
        <v>731</v>
      </c>
      <c r="B1061" s="3" t="s">
        <v>732</v>
      </c>
      <c r="C1061" s="3"/>
      <c r="D1061" s="3" t="s">
        <v>2640</v>
      </c>
      <c r="E1061" s="3"/>
      <c r="F1061" s="3"/>
      <c r="G1061" s="3"/>
      <c r="H1061" s="3" t="s">
        <v>2647</v>
      </c>
      <c r="I1061" s="3"/>
      <c r="J1061" t="s">
        <v>2648</v>
      </c>
    </row>
    <row r="1062" spans="1:10">
      <c r="A1062" s="3" t="s">
        <v>737</v>
      </c>
      <c r="B1062" s="3" t="s">
        <v>738</v>
      </c>
      <c r="C1062" s="3" t="s">
        <v>68</v>
      </c>
      <c r="D1062" s="3" t="s">
        <v>2649</v>
      </c>
      <c r="E1062" s="3"/>
      <c r="F1062" s="3"/>
      <c r="G1062" s="3" t="s">
        <v>2650</v>
      </c>
      <c r="H1062" s="3"/>
      <c r="I1062" s="3"/>
      <c r="J1062" t="s">
        <v>2651</v>
      </c>
    </row>
    <row r="1063" spans="1:10">
      <c r="A1063" s="3" t="s">
        <v>737</v>
      </c>
      <c r="B1063" s="3" t="s">
        <v>738</v>
      </c>
      <c r="C1063" s="3" t="s">
        <v>68</v>
      </c>
      <c r="D1063" s="3" t="s">
        <v>2649</v>
      </c>
      <c r="E1063" s="3"/>
      <c r="F1063" s="3"/>
      <c r="G1063" s="3" t="s">
        <v>2652</v>
      </c>
      <c r="H1063" s="3"/>
      <c r="I1063" s="3"/>
      <c r="J1063" t="s">
        <v>2653</v>
      </c>
    </row>
    <row r="1064" spans="1:10">
      <c r="A1064" s="3" t="s">
        <v>737</v>
      </c>
      <c r="B1064" s="3" t="s">
        <v>743</v>
      </c>
      <c r="C1064" s="3" t="s">
        <v>69</v>
      </c>
      <c r="D1064" s="3" t="s">
        <v>2654</v>
      </c>
      <c r="E1064" s="3"/>
      <c r="F1064" s="3"/>
      <c r="G1064" s="3" t="s">
        <v>2655</v>
      </c>
      <c r="H1064" s="3"/>
      <c r="I1064" s="3"/>
      <c r="J1064" t="s">
        <v>2656</v>
      </c>
    </row>
    <row r="1065" spans="1:10">
      <c r="A1065" s="3" t="s">
        <v>737</v>
      </c>
      <c r="B1065" s="3" t="s">
        <v>743</v>
      </c>
      <c r="C1065" s="3" t="s">
        <v>69</v>
      </c>
      <c r="D1065" s="3" t="s">
        <v>2654</v>
      </c>
      <c r="E1065" s="3"/>
      <c r="F1065" s="3"/>
      <c r="G1065" s="3" t="s">
        <v>2657</v>
      </c>
      <c r="H1065" s="3"/>
      <c r="I1065" s="3"/>
      <c r="J1065" t="s">
        <v>2658</v>
      </c>
    </row>
    <row r="1066" spans="1:10">
      <c r="A1066" s="3" t="s">
        <v>759</v>
      </c>
      <c r="B1066" s="3" t="s">
        <v>760</v>
      </c>
      <c r="C1066" s="3" t="s">
        <v>71</v>
      </c>
      <c r="D1066" s="3" t="s">
        <v>2659</v>
      </c>
      <c r="E1066" s="3"/>
      <c r="F1066" s="3"/>
      <c r="G1066" s="3" t="s">
        <v>2660</v>
      </c>
      <c r="H1066" s="3" t="s">
        <v>2661</v>
      </c>
      <c r="I1066" s="3"/>
      <c r="J1066" t="s">
        <v>2662</v>
      </c>
    </row>
    <row r="1067" spans="1:10">
      <c r="A1067" s="3" t="s">
        <v>759</v>
      </c>
      <c r="B1067" s="3" t="s">
        <v>760</v>
      </c>
      <c r="C1067" s="3" t="s">
        <v>71</v>
      </c>
      <c r="D1067" s="3" t="s">
        <v>2659</v>
      </c>
      <c r="E1067" s="3"/>
      <c r="F1067" s="3"/>
      <c r="G1067" s="3" t="s">
        <v>2660</v>
      </c>
      <c r="H1067" s="3" t="s">
        <v>2663</v>
      </c>
      <c r="I1067" s="3"/>
      <c r="J1067" t="s">
        <v>2664</v>
      </c>
    </row>
    <row r="1068" spans="1:10">
      <c r="A1068" s="3" t="s">
        <v>759</v>
      </c>
      <c r="B1068" s="3" t="s">
        <v>760</v>
      </c>
      <c r="C1068" s="3" t="s">
        <v>71</v>
      </c>
      <c r="D1068" s="3" t="s">
        <v>2659</v>
      </c>
      <c r="E1068" s="3"/>
      <c r="F1068" s="3"/>
      <c r="G1068" s="3" t="s">
        <v>2660</v>
      </c>
      <c r="H1068" s="3" t="s">
        <v>2665</v>
      </c>
      <c r="I1068" s="3"/>
      <c r="J1068" t="s">
        <v>2666</v>
      </c>
    </row>
    <row r="1069" spans="1:10">
      <c r="A1069" s="3" t="s">
        <v>759</v>
      </c>
      <c r="B1069" s="3" t="s">
        <v>760</v>
      </c>
      <c r="C1069" s="3" t="s">
        <v>71</v>
      </c>
      <c r="D1069" s="3" t="s">
        <v>2659</v>
      </c>
      <c r="E1069" s="3"/>
      <c r="F1069" s="3"/>
      <c r="G1069" s="3" t="s">
        <v>2660</v>
      </c>
      <c r="H1069" s="3" t="s">
        <v>2667</v>
      </c>
      <c r="I1069" s="3"/>
      <c r="J1069" t="s">
        <v>2668</v>
      </c>
    </row>
    <row r="1070" spans="1:10">
      <c r="A1070" s="3" t="s">
        <v>759</v>
      </c>
      <c r="B1070" s="3" t="s">
        <v>760</v>
      </c>
      <c r="C1070" s="3" t="s">
        <v>71</v>
      </c>
      <c r="D1070" s="3" t="s">
        <v>2659</v>
      </c>
      <c r="E1070" s="3"/>
      <c r="F1070" s="3"/>
      <c r="G1070" s="3" t="s">
        <v>2669</v>
      </c>
      <c r="H1070" s="3" t="s">
        <v>2661</v>
      </c>
      <c r="I1070" s="3"/>
      <c r="J1070" t="s">
        <v>2670</v>
      </c>
    </row>
    <row r="1071" spans="1:10">
      <c r="A1071" s="3" t="s">
        <v>759</v>
      </c>
      <c r="B1071" s="3" t="s">
        <v>760</v>
      </c>
      <c r="C1071" s="3" t="s">
        <v>71</v>
      </c>
      <c r="D1071" s="3" t="s">
        <v>2659</v>
      </c>
      <c r="E1071" s="3"/>
      <c r="F1071" s="3"/>
      <c r="G1071" s="3" t="s">
        <v>2669</v>
      </c>
      <c r="H1071" s="3" t="s">
        <v>2663</v>
      </c>
      <c r="I1071" s="3"/>
      <c r="J1071" t="s">
        <v>2671</v>
      </c>
    </row>
    <row r="1072" spans="1:10">
      <c r="A1072" s="3" t="s">
        <v>759</v>
      </c>
      <c r="B1072" s="3" t="s">
        <v>760</v>
      </c>
      <c r="C1072" s="3" t="s">
        <v>71</v>
      </c>
      <c r="D1072" s="3" t="s">
        <v>2659</v>
      </c>
      <c r="E1072" s="3"/>
      <c r="F1072" s="3"/>
      <c r="G1072" s="3" t="s">
        <v>2669</v>
      </c>
      <c r="H1072" s="3" t="s">
        <v>2665</v>
      </c>
      <c r="I1072" s="3"/>
      <c r="J1072" t="s">
        <v>2672</v>
      </c>
    </row>
    <row r="1073" spans="1:10">
      <c r="A1073" s="3" t="s">
        <v>759</v>
      </c>
      <c r="B1073" s="3" t="s">
        <v>760</v>
      </c>
      <c r="C1073" s="3" t="s">
        <v>71</v>
      </c>
      <c r="D1073" s="3" t="s">
        <v>2659</v>
      </c>
      <c r="E1073" s="3"/>
      <c r="F1073" s="3"/>
      <c r="G1073" s="3" t="s">
        <v>2669</v>
      </c>
      <c r="H1073" s="3" t="s">
        <v>2667</v>
      </c>
      <c r="I1073" s="3"/>
      <c r="J1073" t="s">
        <v>2673</v>
      </c>
    </row>
    <row r="1074" spans="1:10">
      <c r="A1074" s="3" t="s">
        <v>767</v>
      </c>
      <c r="B1074" s="3" t="s">
        <v>773</v>
      </c>
      <c r="C1074" s="3"/>
      <c r="D1074" s="3" t="s">
        <v>2674</v>
      </c>
      <c r="E1074" s="3"/>
      <c r="F1074" s="3"/>
      <c r="G1074" s="3" t="s">
        <v>2675</v>
      </c>
      <c r="H1074" s="3" t="s">
        <v>2676</v>
      </c>
      <c r="I1074" s="3"/>
      <c r="J1074" t="s">
        <v>2677</v>
      </c>
    </row>
    <row r="1075" spans="1:10">
      <c r="A1075" s="3" t="s">
        <v>767</v>
      </c>
      <c r="B1075" s="3" t="s">
        <v>773</v>
      </c>
      <c r="C1075" s="3"/>
      <c r="D1075" s="3" t="s">
        <v>2674</v>
      </c>
      <c r="E1075" s="3"/>
      <c r="F1075" s="3"/>
      <c r="G1075" s="3" t="s">
        <v>2675</v>
      </c>
      <c r="H1075" s="3" t="s">
        <v>2678</v>
      </c>
      <c r="I1075" s="3"/>
      <c r="J1075" t="s">
        <v>2679</v>
      </c>
    </row>
    <row r="1076" spans="1:10">
      <c r="A1076" s="3" t="s">
        <v>767</v>
      </c>
      <c r="B1076" s="3" t="s">
        <v>773</v>
      </c>
      <c r="C1076" s="3"/>
      <c r="D1076" s="3" t="s">
        <v>2674</v>
      </c>
      <c r="E1076" s="3"/>
      <c r="F1076" s="3"/>
      <c r="G1076" s="3" t="s">
        <v>2675</v>
      </c>
      <c r="H1076" s="3" t="s">
        <v>2680</v>
      </c>
      <c r="I1076" s="3"/>
      <c r="J1076" t="s">
        <v>2681</v>
      </c>
    </row>
    <row r="1077" spans="1:10">
      <c r="A1077" s="3" t="s">
        <v>767</v>
      </c>
      <c r="B1077" s="3" t="s">
        <v>773</v>
      </c>
      <c r="C1077" s="3"/>
      <c r="D1077" s="3" t="s">
        <v>2674</v>
      </c>
      <c r="E1077" s="3"/>
      <c r="F1077" s="3"/>
      <c r="G1077" s="3" t="s">
        <v>2675</v>
      </c>
      <c r="H1077" s="3" t="s">
        <v>2682</v>
      </c>
      <c r="I1077" s="3"/>
      <c r="J1077" t="s">
        <v>2683</v>
      </c>
    </row>
    <row r="1078" spans="1:10">
      <c r="A1078" s="3" t="s">
        <v>767</v>
      </c>
      <c r="B1078" s="3" t="s">
        <v>773</v>
      </c>
      <c r="C1078" s="3"/>
      <c r="D1078" s="3" t="s">
        <v>2674</v>
      </c>
      <c r="E1078" s="3"/>
      <c r="F1078" s="3"/>
      <c r="G1078" s="3" t="s">
        <v>2684</v>
      </c>
      <c r="H1078" s="3" t="s">
        <v>2676</v>
      </c>
      <c r="I1078" s="3"/>
      <c r="J1078" t="s">
        <v>2685</v>
      </c>
    </row>
    <row r="1079" spans="1:10">
      <c r="A1079" s="3" t="s">
        <v>767</v>
      </c>
      <c r="B1079" s="3" t="s">
        <v>773</v>
      </c>
      <c r="C1079" s="3"/>
      <c r="D1079" s="3" t="s">
        <v>2674</v>
      </c>
      <c r="E1079" s="3"/>
      <c r="F1079" s="3"/>
      <c r="G1079" s="3" t="s">
        <v>2684</v>
      </c>
      <c r="H1079" s="3" t="s">
        <v>2678</v>
      </c>
      <c r="I1079" s="3"/>
      <c r="J1079" t="s">
        <v>2686</v>
      </c>
    </row>
    <row r="1080" spans="1:10">
      <c r="A1080" s="3" t="s">
        <v>767</v>
      </c>
      <c r="B1080" s="3" t="s">
        <v>773</v>
      </c>
      <c r="C1080" s="3"/>
      <c r="D1080" s="3" t="s">
        <v>2674</v>
      </c>
      <c r="E1080" s="3"/>
      <c r="F1080" s="3"/>
      <c r="G1080" s="3" t="s">
        <v>2684</v>
      </c>
      <c r="H1080" s="3" t="s">
        <v>2680</v>
      </c>
      <c r="I1080" s="3"/>
      <c r="J1080" t="s">
        <v>2687</v>
      </c>
    </row>
    <row r="1081" spans="1:10">
      <c r="A1081" s="3" t="s">
        <v>767</v>
      </c>
      <c r="B1081" s="3" t="s">
        <v>773</v>
      </c>
      <c r="C1081" s="3"/>
      <c r="D1081" s="3" t="s">
        <v>2674</v>
      </c>
      <c r="E1081" s="3"/>
      <c r="F1081" s="3"/>
      <c r="G1081" s="3" t="s">
        <v>2684</v>
      </c>
      <c r="H1081" s="3" t="s">
        <v>2682</v>
      </c>
      <c r="I1081" s="3"/>
      <c r="J1081" t="s">
        <v>2688</v>
      </c>
    </row>
    <row r="1082" spans="1:10">
      <c r="A1082" s="3" t="s">
        <v>767</v>
      </c>
      <c r="B1082" s="3" t="s">
        <v>784</v>
      </c>
      <c r="C1082" s="3" t="s">
        <v>73</v>
      </c>
      <c r="D1082" s="3" t="s">
        <v>2689</v>
      </c>
      <c r="E1082" s="3"/>
      <c r="F1082" s="3"/>
      <c r="G1082" s="3" t="s">
        <v>2690</v>
      </c>
      <c r="H1082" s="3" t="s">
        <v>2691</v>
      </c>
      <c r="I1082" s="3"/>
      <c r="J1082" t="s">
        <v>2692</v>
      </c>
    </row>
    <row r="1083" spans="1:10">
      <c r="A1083" s="3" t="s">
        <v>767</v>
      </c>
      <c r="B1083" s="3" t="s">
        <v>784</v>
      </c>
      <c r="C1083" s="3" t="s">
        <v>73</v>
      </c>
      <c r="D1083" s="3" t="s">
        <v>2689</v>
      </c>
      <c r="E1083" s="3"/>
      <c r="F1083" s="3"/>
      <c r="G1083" s="3" t="s">
        <v>2690</v>
      </c>
      <c r="H1083" s="3" t="s">
        <v>2693</v>
      </c>
      <c r="I1083" s="3"/>
      <c r="J1083" t="s">
        <v>2694</v>
      </c>
    </row>
    <row r="1084" spans="1:10">
      <c r="A1084" s="3" t="s">
        <v>767</v>
      </c>
      <c r="B1084" s="3" t="s">
        <v>784</v>
      </c>
      <c r="C1084" s="3" t="s">
        <v>73</v>
      </c>
      <c r="D1084" s="3" t="s">
        <v>2689</v>
      </c>
      <c r="E1084" s="3"/>
      <c r="F1084" s="3"/>
      <c r="G1084" s="3" t="s">
        <v>2690</v>
      </c>
      <c r="H1084" s="3" t="s">
        <v>2695</v>
      </c>
      <c r="I1084" s="3"/>
      <c r="J1084" t="s">
        <v>2696</v>
      </c>
    </row>
    <row r="1085" spans="1:10">
      <c r="A1085" s="3" t="s">
        <v>767</v>
      </c>
      <c r="B1085" s="3" t="s">
        <v>784</v>
      </c>
      <c r="C1085" s="3" t="s">
        <v>73</v>
      </c>
      <c r="D1085" s="3" t="s">
        <v>2689</v>
      </c>
      <c r="E1085" s="3"/>
      <c r="F1085" s="3"/>
      <c r="G1085" s="3" t="s">
        <v>2690</v>
      </c>
      <c r="H1085" s="3" t="s">
        <v>2697</v>
      </c>
      <c r="I1085" s="3"/>
      <c r="J1085" t="s">
        <v>2698</v>
      </c>
    </row>
    <row r="1086" spans="1:10">
      <c r="A1086" s="3" t="s">
        <v>767</v>
      </c>
      <c r="B1086" s="3" t="s">
        <v>784</v>
      </c>
      <c r="C1086" s="3" t="s">
        <v>73</v>
      </c>
      <c r="D1086" s="3" t="s">
        <v>2689</v>
      </c>
      <c r="E1086" s="3"/>
      <c r="F1086" s="3"/>
      <c r="G1086" s="3" t="s">
        <v>2699</v>
      </c>
      <c r="H1086" s="3" t="s">
        <v>2691</v>
      </c>
      <c r="I1086" s="3"/>
      <c r="J1086" t="s">
        <v>2700</v>
      </c>
    </row>
    <row r="1087" spans="1:10">
      <c r="A1087" s="3" t="s">
        <v>767</v>
      </c>
      <c r="B1087" s="3" t="s">
        <v>784</v>
      </c>
      <c r="C1087" s="3" t="s">
        <v>73</v>
      </c>
      <c r="D1087" s="3" t="s">
        <v>2689</v>
      </c>
      <c r="E1087" s="3"/>
      <c r="F1087" s="3"/>
      <c r="G1087" s="3" t="s">
        <v>2699</v>
      </c>
      <c r="H1087" s="3" t="s">
        <v>2693</v>
      </c>
      <c r="I1087" s="3"/>
      <c r="J1087" t="s">
        <v>2701</v>
      </c>
    </row>
    <row r="1088" spans="1:10">
      <c r="A1088" s="3" t="s">
        <v>767</v>
      </c>
      <c r="B1088" s="3" t="s">
        <v>784</v>
      </c>
      <c r="C1088" s="3" t="s">
        <v>73</v>
      </c>
      <c r="D1088" s="3" t="s">
        <v>2689</v>
      </c>
      <c r="E1088" s="3"/>
      <c r="F1088" s="3"/>
      <c r="G1088" s="3" t="s">
        <v>2699</v>
      </c>
      <c r="H1088" s="3" t="s">
        <v>2695</v>
      </c>
      <c r="I1088" s="3"/>
      <c r="J1088" t="s">
        <v>2702</v>
      </c>
    </row>
    <row r="1089" spans="1:10">
      <c r="A1089" s="3" t="s">
        <v>767</v>
      </c>
      <c r="B1089" s="3" t="s">
        <v>784</v>
      </c>
      <c r="C1089" s="3" t="s">
        <v>73</v>
      </c>
      <c r="D1089" s="3" t="s">
        <v>2689</v>
      </c>
      <c r="E1089" s="3"/>
      <c r="F1089" s="3"/>
      <c r="G1089" s="3" t="s">
        <v>2699</v>
      </c>
      <c r="H1089" s="3" t="s">
        <v>2697</v>
      </c>
      <c r="I1089" s="3"/>
      <c r="J1089" t="s">
        <v>2703</v>
      </c>
    </row>
    <row r="1090" spans="1:10">
      <c r="A1090" s="3" t="s">
        <v>789</v>
      </c>
      <c r="B1090" s="3" t="s">
        <v>799</v>
      </c>
      <c r="C1090" s="3" t="s">
        <v>75</v>
      </c>
      <c r="D1090" s="3" t="s">
        <v>2704</v>
      </c>
      <c r="E1090" s="3"/>
      <c r="F1090" s="3"/>
      <c r="G1090" s="3" t="s">
        <v>2705</v>
      </c>
      <c r="H1090" s="3"/>
      <c r="I1090" s="3"/>
      <c r="J1090" t="s">
        <v>2706</v>
      </c>
    </row>
    <row r="1091" spans="1:10">
      <c r="A1091" s="3" t="s">
        <v>789</v>
      </c>
      <c r="B1091" s="3" t="s">
        <v>799</v>
      </c>
      <c r="C1091" s="3" t="s">
        <v>75</v>
      </c>
      <c r="D1091" s="3" t="s">
        <v>2707</v>
      </c>
      <c r="E1091" s="3"/>
      <c r="F1091" s="3"/>
      <c r="G1091" s="3" t="s">
        <v>2708</v>
      </c>
      <c r="H1091" s="3"/>
      <c r="I1091" s="3"/>
      <c r="J1091" t="s">
        <v>2709</v>
      </c>
    </row>
    <row r="1092" spans="1:10">
      <c r="A1092" s="3" t="s">
        <v>789</v>
      </c>
      <c r="B1092" s="3" t="s">
        <v>799</v>
      </c>
      <c r="C1092" s="3" t="s">
        <v>75</v>
      </c>
      <c r="D1092" s="3" t="s">
        <v>2707</v>
      </c>
      <c r="E1092" s="3"/>
      <c r="F1092" s="3"/>
      <c r="G1092" s="3" t="s">
        <v>2710</v>
      </c>
      <c r="H1092" s="3"/>
      <c r="I1092" s="3"/>
      <c r="J1092" t="s">
        <v>2711</v>
      </c>
    </row>
    <row r="1093" spans="1:10">
      <c r="A1093" s="3" t="s">
        <v>789</v>
      </c>
      <c r="B1093" s="3" t="s">
        <v>802</v>
      </c>
      <c r="C1093" s="3"/>
      <c r="D1093" s="3" t="s">
        <v>2712</v>
      </c>
      <c r="E1093" s="3"/>
      <c r="F1093" s="3"/>
      <c r="G1093" s="3"/>
      <c r="H1093" s="3" t="s">
        <v>2713</v>
      </c>
      <c r="I1093" s="3"/>
      <c r="J1093" t="s">
        <v>2714</v>
      </c>
    </row>
    <row r="1094" spans="1:10">
      <c r="A1094" s="3" t="s">
        <v>789</v>
      </c>
      <c r="B1094" s="3" t="s">
        <v>802</v>
      </c>
      <c r="C1094" s="3"/>
      <c r="D1094" s="3" t="s">
        <v>2712</v>
      </c>
      <c r="E1094" s="3"/>
      <c r="F1094" s="3"/>
      <c r="G1094" s="3"/>
      <c r="H1094" s="3" t="s">
        <v>2715</v>
      </c>
      <c r="I1094" s="3"/>
      <c r="J1094" t="s">
        <v>2716</v>
      </c>
    </row>
    <row r="1095" spans="1:10">
      <c r="A1095" s="3" t="s">
        <v>789</v>
      </c>
      <c r="B1095" s="3" t="s">
        <v>802</v>
      </c>
      <c r="C1095" s="3"/>
      <c r="D1095" s="3" t="s">
        <v>2712</v>
      </c>
      <c r="E1095" s="3"/>
      <c r="F1095" s="3"/>
      <c r="G1095" s="3"/>
      <c r="H1095" s="3" t="s">
        <v>2717</v>
      </c>
      <c r="I1095" s="3"/>
      <c r="J1095" t="s">
        <v>2718</v>
      </c>
    </row>
    <row r="1096" spans="1:10">
      <c r="A1096" s="3" t="s">
        <v>789</v>
      </c>
      <c r="B1096" s="3" t="s">
        <v>802</v>
      </c>
      <c r="C1096" s="3"/>
      <c r="D1096" s="3" t="s">
        <v>2712</v>
      </c>
      <c r="E1096" s="3"/>
      <c r="F1096" s="3"/>
      <c r="G1096" s="3"/>
      <c r="H1096" s="3" t="s">
        <v>2719</v>
      </c>
      <c r="I1096" s="3"/>
      <c r="J1096" t="s">
        <v>2720</v>
      </c>
    </row>
    <row r="1097" spans="1:10">
      <c r="A1097" s="3" t="s">
        <v>805</v>
      </c>
      <c r="B1097" s="3" t="s">
        <v>806</v>
      </c>
      <c r="C1097" s="3" t="s">
        <v>76</v>
      </c>
      <c r="D1097" s="3" t="s">
        <v>2721</v>
      </c>
      <c r="E1097" s="3"/>
      <c r="F1097" s="3"/>
      <c r="G1097" s="3"/>
      <c r="H1097" s="3"/>
      <c r="I1097" s="3"/>
      <c r="J1097" t="s">
        <v>2722</v>
      </c>
    </row>
    <row r="1098" spans="1:10">
      <c r="A1098" s="3" t="s">
        <v>805</v>
      </c>
      <c r="B1098" s="3" t="s">
        <v>806</v>
      </c>
      <c r="C1098" s="3" t="s">
        <v>76</v>
      </c>
      <c r="D1098" s="3" t="s">
        <v>2721</v>
      </c>
      <c r="E1098" s="3"/>
      <c r="F1098" s="3"/>
      <c r="G1098" s="3"/>
      <c r="H1098" s="3"/>
      <c r="I1098" s="3" t="s">
        <v>2723</v>
      </c>
      <c r="J1098" t="s">
        <v>2724</v>
      </c>
    </row>
    <row r="1099" spans="1:10">
      <c r="A1099" s="3" t="s">
        <v>805</v>
      </c>
      <c r="B1099" s="3" t="s">
        <v>806</v>
      </c>
      <c r="C1099" s="3" t="s">
        <v>76</v>
      </c>
      <c r="D1099" s="3" t="s">
        <v>2721</v>
      </c>
      <c r="E1099" s="3"/>
      <c r="F1099" s="3"/>
      <c r="G1099" s="3"/>
      <c r="H1099" s="3"/>
      <c r="I1099" s="3" t="s">
        <v>2725</v>
      </c>
      <c r="J1099" t="s">
        <v>2726</v>
      </c>
    </row>
    <row r="1100" spans="1:10">
      <c r="A1100" s="3" t="s">
        <v>805</v>
      </c>
      <c r="B1100" s="3" t="s">
        <v>806</v>
      </c>
      <c r="C1100" s="3" t="s">
        <v>76</v>
      </c>
      <c r="D1100" s="3" t="s">
        <v>2721</v>
      </c>
      <c r="E1100" s="3"/>
      <c r="F1100" s="3"/>
      <c r="G1100" s="3"/>
      <c r="H1100" s="3"/>
      <c r="I1100" s="3" t="s">
        <v>2727</v>
      </c>
      <c r="J1100" t="s">
        <v>2728</v>
      </c>
    </row>
    <row r="1101" spans="1:10">
      <c r="A1101" s="3" t="s">
        <v>805</v>
      </c>
      <c r="B1101" s="3" t="s">
        <v>806</v>
      </c>
      <c r="C1101" s="3" t="s">
        <v>76</v>
      </c>
      <c r="D1101" s="3" t="s">
        <v>2729</v>
      </c>
      <c r="E1101" s="3"/>
      <c r="F1101" s="3"/>
      <c r="G1101" s="3" t="s">
        <v>2730</v>
      </c>
      <c r="H1101" s="3" t="s">
        <v>2731</v>
      </c>
      <c r="I1101" s="3"/>
      <c r="J1101" t="s">
        <v>2732</v>
      </c>
    </row>
    <row r="1102" spans="1:10">
      <c r="A1102" s="3" t="s">
        <v>805</v>
      </c>
      <c r="B1102" s="3" t="s">
        <v>806</v>
      </c>
      <c r="C1102" s="3" t="s">
        <v>76</v>
      </c>
      <c r="D1102" s="3" t="s">
        <v>2729</v>
      </c>
      <c r="E1102" s="3"/>
      <c r="F1102" s="3"/>
      <c r="G1102" s="3" t="s">
        <v>2730</v>
      </c>
      <c r="H1102" s="3" t="s">
        <v>2733</v>
      </c>
      <c r="I1102" s="3"/>
      <c r="J1102" t="s">
        <v>2734</v>
      </c>
    </row>
    <row r="1103" spans="1:10">
      <c r="A1103" s="3" t="s">
        <v>805</v>
      </c>
      <c r="B1103" s="3" t="s">
        <v>806</v>
      </c>
      <c r="C1103" s="3" t="s">
        <v>76</v>
      </c>
      <c r="D1103" s="3" t="s">
        <v>2729</v>
      </c>
      <c r="E1103" s="3"/>
      <c r="F1103" s="3"/>
      <c r="G1103" s="3" t="s">
        <v>2730</v>
      </c>
      <c r="H1103" s="3" t="s">
        <v>2735</v>
      </c>
      <c r="I1103" s="3"/>
      <c r="J1103" t="s">
        <v>2736</v>
      </c>
    </row>
    <row r="1104" spans="1:10">
      <c r="A1104" s="3" t="s">
        <v>805</v>
      </c>
      <c r="B1104" s="3" t="s">
        <v>806</v>
      </c>
      <c r="C1104" s="3" t="s">
        <v>76</v>
      </c>
      <c r="D1104" s="3" t="s">
        <v>2729</v>
      </c>
      <c r="E1104" s="3"/>
      <c r="F1104" s="3"/>
      <c r="G1104" s="3" t="s">
        <v>2730</v>
      </c>
      <c r="H1104" s="3" t="s">
        <v>2737</v>
      </c>
      <c r="I1104" s="3"/>
      <c r="J1104" t="s">
        <v>2738</v>
      </c>
    </row>
    <row r="1105" spans="1:10">
      <c r="A1105" s="3" t="s">
        <v>805</v>
      </c>
      <c r="B1105" s="3" t="s">
        <v>806</v>
      </c>
      <c r="C1105" s="3" t="s">
        <v>76</v>
      </c>
      <c r="D1105" s="3" t="s">
        <v>2729</v>
      </c>
      <c r="E1105" s="3"/>
      <c r="F1105" s="3"/>
      <c r="G1105" s="3" t="s">
        <v>2739</v>
      </c>
      <c r="H1105" s="3" t="s">
        <v>2731</v>
      </c>
      <c r="I1105" s="3"/>
      <c r="J1105" t="s">
        <v>2740</v>
      </c>
    </row>
    <row r="1106" spans="1:10">
      <c r="A1106" s="3" t="s">
        <v>805</v>
      </c>
      <c r="B1106" s="3" t="s">
        <v>806</v>
      </c>
      <c r="C1106" s="3" t="s">
        <v>76</v>
      </c>
      <c r="D1106" s="3" t="s">
        <v>2729</v>
      </c>
      <c r="E1106" s="3"/>
      <c r="F1106" s="3"/>
      <c r="G1106" s="3" t="s">
        <v>2739</v>
      </c>
      <c r="H1106" s="3" t="s">
        <v>2733</v>
      </c>
      <c r="I1106" s="3"/>
      <c r="J1106" t="s">
        <v>2741</v>
      </c>
    </row>
    <row r="1107" spans="1:10">
      <c r="A1107" s="3" t="s">
        <v>805</v>
      </c>
      <c r="B1107" s="3" t="s">
        <v>806</v>
      </c>
      <c r="C1107" s="3" t="s">
        <v>76</v>
      </c>
      <c r="D1107" s="3" t="s">
        <v>2729</v>
      </c>
      <c r="E1107" s="3"/>
      <c r="F1107" s="3"/>
      <c r="G1107" s="3" t="s">
        <v>2739</v>
      </c>
      <c r="H1107" s="3" t="s">
        <v>2735</v>
      </c>
      <c r="I1107" s="3"/>
      <c r="J1107" t="s">
        <v>2742</v>
      </c>
    </row>
    <row r="1108" spans="1:10">
      <c r="A1108" s="3" t="s">
        <v>805</v>
      </c>
      <c r="B1108" s="3" t="s">
        <v>806</v>
      </c>
      <c r="C1108" s="3" t="s">
        <v>76</v>
      </c>
      <c r="D1108" s="3" t="s">
        <v>2729</v>
      </c>
      <c r="E1108" s="3"/>
      <c r="F1108" s="3"/>
      <c r="G1108" s="3" t="s">
        <v>2739</v>
      </c>
      <c r="H1108" s="3" t="s">
        <v>2737</v>
      </c>
      <c r="I1108" s="3"/>
      <c r="J1108" t="s">
        <v>2743</v>
      </c>
    </row>
    <row r="1109" spans="1:10">
      <c r="A1109" s="3" t="s">
        <v>805</v>
      </c>
      <c r="B1109" s="3" t="s">
        <v>806</v>
      </c>
      <c r="C1109" s="3" t="s">
        <v>76</v>
      </c>
      <c r="D1109" s="3" t="s">
        <v>2729</v>
      </c>
      <c r="E1109" s="3"/>
      <c r="F1109" s="3"/>
      <c r="G1109" s="3"/>
      <c r="H1109" s="3"/>
      <c r="I1109" s="3" t="s">
        <v>2744</v>
      </c>
      <c r="J1109" t="s">
        <v>2745</v>
      </c>
    </row>
    <row r="1110" spans="1:10">
      <c r="A1110" s="3" t="s">
        <v>805</v>
      </c>
      <c r="B1110" s="3" t="s">
        <v>806</v>
      </c>
      <c r="C1110" s="3" t="s">
        <v>76</v>
      </c>
      <c r="D1110" s="3" t="s">
        <v>2729</v>
      </c>
      <c r="E1110" s="3"/>
      <c r="F1110" s="3"/>
      <c r="G1110" s="3"/>
      <c r="H1110" s="3"/>
      <c r="I1110" s="3" t="s">
        <v>2746</v>
      </c>
      <c r="J1110" t="s">
        <v>2747</v>
      </c>
    </row>
    <row r="1111" spans="1:10">
      <c r="A1111" s="3" t="s">
        <v>805</v>
      </c>
      <c r="B1111" s="3" t="s">
        <v>806</v>
      </c>
      <c r="C1111" s="3" t="s">
        <v>76</v>
      </c>
      <c r="D1111" s="3" t="s">
        <v>2729</v>
      </c>
      <c r="E1111" s="3"/>
      <c r="F1111" s="3"/>
      <c r="G1111" s="3"/>
      <c r="H1111" s="3"/>
      <c r="I1111" s="3" t="s">
        <v>2748</v>
      </c>
      <c r="J1111" t="s">
        <v>2749</v>
      </c>
    </row>
    <row r="1112" spans="1:10">
      <c r="A1112" s="3" t="s">
        <v>815</v>
      </c>
      <c r="B1112" s="3" t="s">
        <v>816</v>
      </c>
      <c r="C1112" s="3" t="s">
        <v>78</v>
      </c>
      <c r="D1112" s="3" t="s">
        <v>2750</v>
      </c>
      <c r="E1112" s="3"/>
      <c r="F1112" s="3"/>
      <c r="G1112" s="3"/>
      <c r="H1112" s="3" t="s">
        <v>2751</v>
      </c>
      <c r="I1112" s="3"/>
      <c r="J1112" t="s">
        <v>2752</v>
      </c>
    </row>
    <row r="1113" spans="1:10">
      <c r="A1113" s="3" t="s">
        <v>815</v>
      </c>
      <c r="B1113" s="3" t="s">
        <v>816</v>
      </c>
      <c r="C1113" s="3" t="s">
        <v>78</v>
      </c>
      <c r="D1113" s="3" t="s">
        <v>2750</v>
      </c>
      <c r="E1113" s="3"/>
      <c r="F1113" s="3"/>
      <c r="G1113" s="3"/>
      <c r="H1113" s="3" t="s">
        <v>2753</v>
      </c>
      <c r="I1113" s="3"/>
      <c r="J1113" t="s">
        <v>2754</v>
      </c>
    </row>
    <row r="1114" spans="1:10">
      <c r="A1114" s="3" t="s">
        <v>815</v>
      </c>
      <c r="B1114" s="3" t="s">
        <v>816</v>
      </c>
      <c r="C1114" s="3" t="s">
        <v>78</v>
      </c>
      <c r="D1114" s="3" t="s">
        <v>2750</v>
      </c>
      <c r="E1114" s="3"/>
      <c r="F1114" s="3"/>
      <c r="G1114" s="3"/>
      <c r="H1114" s="3" t="s">
        <v>2755</v>
      </c>
      <c r="I1114" s="3"/>
      <c r="J1114" t="s">
        <v>2756</v>
      </c>
    </row>
    <row r="1115" spans="1:10">
      <c r="A1115" s="3" t="s">
        <v>815</v>
      </c>
      <c r="B1115" s="3" t="s">
        <v>816</v>
      </c>
      <c r="C1115" s="3" t="s">
        <v>78</v>
      </c>
      <c r="D1115" s="3" t="s">
        <v>2757</v>
      </c>
      <c r="E1115" s="3"/>
      <c r="F1115" s="3"/>
      <c r="G1115" s="3" t="s">
        <v>2758</v>
      </c>
      <c r="H1115" s="3" t="s">
        <v>2759</v>
      </c>
      <c r="I1115" s="3"/>
      <c r="J1115" t="s">
        <v>2760</v>
      </c>
    </row>
    <row r="1116" spans="1:10">
      <c r="A1116" s="3" t="s">
        <v>815</v>
      </c>
      <c r="B1116" s="3" t="s">
        <v>816</v>
      </c>
      <c r="C1116" s="3" t="s">
        <v>78</v>
      </c>
      <c r="D1116" s="3" t="s">
        <v>2757</v>
      </c>
      <c r="E1116" s="3"/>
      <c r="F1116" s="3"/>
      <c r="G1116" s="3" t="s">
        <v>2758</v>
      </c>
      <c r="H1116" s="3" t="s">
        <v>2761</v>
      </c>
      <c r="I1116" s="3"/>
      <c r="J1116" t="s">
        <v>2762</v>
      </c>
    </row>
    <row r="1117" spans="1:10">
      <c r="A1117" s="3" t="s">
        <v>815</v>
      </c>
      <c r="B1117" s="3" t="s">
        <v>816</v>
      </c>
      <c r="C1117" s="3" t="s">
        <v>78</v>
      </c>
      <c r="D1117" s="3" t="s">
        <v>2757</v>
      </c>
      <c r="E1117" s="3"/>
      <c r="F1117" s="3"/>
      <c r="G1117" s="3" t="s">
        <v>2758</v>
      </c>
      <c r="H1117" s="3" t="s">
        <v>2763</v>
      </c>
      <c r="I1117" s="3"/>
      <c r="J1117" t="s">
        <v>2764</v>
      </c>
    </row>
    <row r="1118" spans="1:10">
      <c r="A1118" s="3" t="s">
        <v>815</v>
      </c>
      <c r="B1118" s="3" t="s">
        <v>816</v>
      </c>
      <c r="C1118" s="3" t="s">
        <v>78</v>
      </c>
      <c r="D1118" s="3" t="s">
        <v>2757</v>
      </c>
      <c r="E1118" s="3"/>
      <c r="F1118" s="3"/>
      <c r="G1118" s="3"/>
      <c r="H1118" s="3"/>
      <c r="I1118" s="3" t="s">
        <v>2765</v>
      </c>
      <c r="J1118" t="s">
        <v>2766</v>
      </c>
    </row>
    <row r="1119" spans="1:10">
      <c r="A1119" s="3" t="s">
        <v>815</v>
      </c>
      <c r="B1119" s="3" t="s">
        <v>816</v>
      </c>
      <c r="C1119" s="3" t="s">
        <v>78</v>
      </c>
      <c r="D1119" s="3" t="s">
        <v>2757</v>
      </c>
      <c r="E1119" s="3"/>
      <c r="F1119" s="3"/>
      <c r="G1119" s="3"/>
      <c r="H1119" s="3"/>
      <c r="I1119" s="3" t="s">
        <v>2767</v>
      </c>
      <c r="J1119" t="s">
        <v>2768</v>
      </c>
    </row>
    <row r="1120" spans="1:10">
      <c r="A1120" s="3" t="s">
        <v>853</v>
      </c>
      <c r="B1120" s="3" t="s">
        <v>854</v>
      </c>
      <c r="C1120" s="3" t="s">
        <v>80</v>
      </c>
      <c r="D1120" s="3" t="s">
        <v>2769</v>
      </c>
      <c r="E1120" s="3"/>
      <c r="F1120" s="3"/>
      <c r="G1120" s="3" t="s">
        <v>2770</v>
      </c>
      <c r="H1120" s="3"/>
      <c r="I1120" s="3"/>
      <c r="J1120" t="s">
        <v>2771</v>
      </c>
    </row>
    <row r="1121" spans="1:10">
      <c r="A1121" s="3" t="s">
        <v>853</v>
      </c>
      <c r="B1121" s="3" t="s">
        <v>854</v>
      </c>
      <c r="C1121" s="3" t="s">
        <v>80</v>
      </c>
      <c r="D1121" s="3" t="s">
        <v>2769</v>
      </c>
      <c r="E1121" s="3"/>
      <c r="F1121" s="3"/>
      <c r="G1121" s="3" t="s">
        <v>2772</v>
      </c>
      <c r="H1121" s="3"/>
      <c r="I1121" s="3"/>
      <c r="J1121" t="s">
        <v>2773</v>
      </c>
    </row>
    <row r="1122" spans="1:10">
      <c r="A1122" s="3" t="s">
        <v>853</v>
      </c>
      <c r="B1122" s="3" t="s">
        <v>859</v>
      </c>
      <c r="C1122" s="3" t="s">
        <v>81</v>
      </c>
      <c r="D1122" s="3" t="s">
        <v>2774</v>
      </c>
      <c r="E1122" s="3"/>
      <c r="F1122" s="3"/>
      <c r="G1122" s="3" t="s">
        <v>2775</v>
      </c>
      <c r="H1122" s="3" t="s">
        <v>2776</v>
      </c>
      <c r="I1122" s="3"/>
      <c r="J1122" t="s">
        <v>2777</v>
      </c>
    </row>
    <row r="1123" spans="1:10">
      <c r="A1123" s="3" t="s">
        <v>853</v>
      </c>
      <c r="B1123" s="3" t="s">
        <v>859</v>
      </c>
      <c r="C1123" s="3" t="s">
        <v>81</v>
      </c>
      <c r="D1123" s="3" t="s">
        <v>2774</v>
      </c>
      <c r="E1123" s="3"/>
      <c r="F1123" s="3"/>
      <c r="G1123" s="3" t="s">
        <v>2775</v>
      </c>
      <c r="H1123" s="3" t="s">
        <v>2778</v>
      </c>
      <c r="I1123" s="3"/>
      <c r="J1123" t="s">
        <v>2779</v>
      </c>
    </row>
    <row r="1124" spans="1:10">
      <c r="A1124" s="3" t="s">
        <v>853</v>
      </c>
      <c r="B1124" s="3" t="s">
        <v>859</v>
      </c>
      <c r="C1124" s="3" t="s">
        <v>81</v>
      </c>
      <c r="D1124" s="3" t="s">
        <v>2774</v>
      </c>
      <c r="E1124" s="3"/>
      <c r="F1124" s="3"/>
      <c r="G1124" s="3" t="s">
        <v>2775</v>
      </c>
      <c r="H1124" s="3" t="s">
        <v>2780</v>
      </c>
      <c r="I1124" s="3"/>
      <c r="J1124" t="s">
        <v>2781</v>
      </c>
    </row>
    <row r="1125" spans="1:10">
      <c r="A1125" s="3" t="s">
        <v>853</v>
      </c>
      <c r="B1125" s="3" t="s">
        <v>859</v>
      </c>
      <c r="C1125" s="3" t="s">
        <v>81</v>
      </c>
      <c r="D1125" s="3" t="s">
        <v>2774</v>
      </c>
      <c r="E1125" s="3"/>
      <c r="F1125" s="3"/>
      <c r="G1125" s="3" t="s">
        <v>2775</v>
      </c>
      <c r="H1125" s="3" t="s">
        <v>2782</v>
      </c>
      <c r="I1125" s="3"/>
      <c r="J1125" t="s">
        <v>2783</v>
      </c>
    </row>
    <row r="1126" spans="1:10">
      <c r="A1126" s="3" t="s">
        <v>853</v>
      </c>
      <c r="B1126" s="3" t="s">
        <v>859</v>
      </c>
      <c r="C1126" s="3" t="s">
        <v>81</v>
      </c>
      <c r="D1126" s="3" t="s">
        <v>2774</v>
      </c>
      <c r="E1126" s="3"/>
      <c r="F1126" s="3"/>
      <c r="G1126" s="3" t="s">
        <v>2784</v>
      </c>
      <c r="H1126" s="3" t="s">
        <v>2776</v>
      </c>
      <c r="I1126" s="3"/>
      <c r="J1126" t="s">
        <v>2785</v>
      </c>
    </row>
    <row r="1127" spans="1:10">
      <c r="A1127" s="3" t="s">
        <v>853</v>
      </c>
      <c r="B1127" s="3" t="s">
        <v>859</v>
      </c>
      <c r="C1127" s="3" t="s">
        <v>81</v>
      </c>
      <c r="D1127" s="3" t="s">
        <v>2774</v>
      </c>
      <c r="E1127" s="3"/>
      <c r="F1127" s="3"/>
      <c r="G1127" s="3" t="s">
        <v>2784</v>
      </c>
      <c r="H1127" s="3" t="s">
        <v>2778</v>
      </c>
      <c r="I1127" s="3"/>
      <c r="J1127" t="s">
        <v>2786</v>
      </c>
    </row>
    <row r="1128" spans="1:10">
      <c r="A1128" s="3" t="s">
        <v>853</v>
      </c>
      <c r="B1128" s="3" t="s">
        <v>859</v>
      </c>
      <c r="C1128" s="3" t="s">
        <v>81</v>
      </c>
      <c r="D1128" s="3" t="s">
        <v>2774</v>
      </c>
      <c r="E1128" s="3"/>
      <c r="F1128" s="3"/>
      <c r="G1128" s="3" t="s">
        <v>2784</v>
      </c>
      <c r="H1128" s="3" t="s">
        <v>2780</v>
      </c>
      <c r="I1128" s="3"/>
      <c r="J1128" t="s">
        <v>2787</v>
      </c>
    </row>
    <row r="1129" spans="1:10">
      <c r="A1129" s="3" t="s">
        <v>853</v>
      </c>
      <c r="B1129" s="3" t="s">
        <v>859</v>
      </c>
      <c r="C1129" s="3" t="s">
        <v>81</v>
      </c>
      <c r="D1129" s="3" t="s">
        <v>2774</v>
      </c>
      <c r="E1129" s="3"/>
      <c r="F1129" s="3"/>
      <c r="G1129" s="3" t="s">
        <v>2784</v>
      </c>
      <c r="H1129" s="3" t="s">
        <v>2782</v>
      </c>
      <c r="I1129" s="3"/>
      <c r="J1129" t="s">
        <v>2788</v>
      </c>
    </row>
    <row r="1130" spans="1:10">
      <c r="A1130" s="3" t="s">
        <v>868</v>
      </c>
      <c r="B1130" s="3" t="s">
        <v>869</v>
      </c>
      <c r="C1130" s="3" t="s">
        <v>82</v>
      </c>
      <c r="D1130" s="3" t="s">
        <v>2789</v>
      </c>
      <c r="E1130" s="3"/>
      <c r="F1130" s="3"/>
      <c r="G1130" s="3" t="s">
        <v>2790</v>
      </c>
      <c r="H1130" s="3" t="s">
        <v>2791</v>
      </c>
      <c r="I1130" s="3"/>
      <c r="J1130" t="s">
        <v>2792</v>
      </c>
    </row>
    <row r="1131" spans="1:10">
      <c r="A1131" s="3" t="s">
        <v>868</v>
      </c>
      <c r="B1131" s="3" t="s">
        <v>869</v>
      </c>
      <c r="C1131" s="3" t="s">
        <v>82</v>
      </c>
      <c r="D1131" s="3" t="s">
        <v>2789</v>
      </c>
      <c r="E1131" s="3"/>
      <c r="F1131" s="3"/>
      <c r="G1131" s="3" t="s">
        <v>2790</v>
      </c>
      <c r="H1131" s="3" t="s">
        <v>2793</v>
      </c>
      <c r="I1131" s="3"/>
      <c r="J1131" t="s">
        <v>2794</v>
      </c>
    </row>
    <row r="1132" spans="1:10">
      <c r="A1132" s="3" t="s">
        <v>868</v>
      </c>
      <c r="B1132" s="3" t="s">
        <v>869</v>
      </c>
      <c r="C1132" s="3" t="s">
        <v>82</v>
      </c>
      <c r="D1132" s="3" t="s">
        <v>2789</v>
      </c>
      <c r="E1132" s="3"/>
      <c r="F1132" s="3"/>
      <c r="G1132" s="3" t="s">
        <v>2790</v>
      </c>
      <c r="H1132" s="3" t="s">
        <v>2795</v>
      </c>
      <c r="I1132" s="3"/>
      <c r="J1132" t="s">
        <v>2796</v>
      </c>
    </row>
    <row r="1133" spans="1:10">
      <c r="A1133" s="3" t="s">
        <v>868</v>
      </c>
      <c r="B1133" s="3" t="s">
        <v>869</v>
      </c>
      <c r="C1133" s="3" t="s">
        <v>82</v>
      </c>
      <c r="D1133" s="3" t="s">
        <v>2789</v>
      </c>
      <c r="E1133" s="3"/>
      <c r="F1133" s="3"/>
      <c r="G1133" s="3" t="s">
        <v>2790</v>
      </c>
      <c r="H1133" s="3" t="s">
        <v>2797</v>
      </c>
      <c r="I1133" s="3"/>
      <c r="J1133" t="s">
        <v>2798</v>
      </c>
    </row>
    <row r="1134" spans="1:10">
      <c r="A1134" s="3" t="s">
        <v>868</v>
      </c>
      <c r="B1134" s="3" t="s">
        <v>869</v>
      </c>
      <c r="C1134" s="3" t="s">
        <v>82</v>
      </c>
      <c r="D1134" s="3" t="s">
        <v>2789</v>
      </c>
      <c r="E1134" s="3"/>
      <c r="F1134" s="3"/>
      <c r="G1134" s="3" t="s">
        <v>2799</v>
      </c>
      <c r="H1134" s="3" t="s">
        <v>2791</v>
      </c>
      <c r="I1134" s="3"/>
      <c r="J1134" t="s">
        <v>2800</v>
      </c>
    </row>
    <row r="1135" spans="1:10">
      <c r="A1135" s="3" t="s">
        <v>868</v>
      </c>
      <c r="B1135" s="3" t="s">
        <v>869</v>
      </c>
      <c r="C1135" s="3" t="s">
        <v>82</v>
      </c>
      <c r="D1135" s="3" t="s">
        <v>2789</v>
      </c>
      <c r="E1135" s="3"/>
      <c r="F1135" s="3"/>
      <c r="G1135" s="3" t="s">
        <v>2799</v>
      </c>
      <c r="H1135" s="3" t="s">
        <v>2793</v>
      </c>
      <c r="I1135" s="3"/>
      <c r="J1135" t="s">
        <v>2801</v>
      </c>
    </row>
    <row r="1136" spans="1:10">
      <c r="A1136" s="3" t="s">
        <v>868</v>
      </c>
      <c r="B1136" s="3" t="s">
        <v>869</v>
      </c>
      <c r="C1136" s="3" t="s">
        <v>82</v>
      </c>
      <c r="D1136" s="3" t="s">
        <v>2789</v>
      </c>
      <c r="E1136" s="3"/>
      <c r="F1136" s="3"/>
      <c r="G1136" s="3" t="s">
        <v>2799</v>
      </c>
      <c r="H1136" s="3" t="s">
        <v>2795</v>
      </c>
      <c r="I1136" s="3"/>
      <c r="J1136" t="s">
        <v>2802</v>
      </c>
    </row>
    <row r="1137" spans="1:10">
      <c r="A1137" s="3" t="s">
        <v>868</v>
      </c>
      <c r="B1137" s="3" t="s">
        <v>869</v>
      </c>
      <c r="C1137" s="3" t="s">
        <v>82</v>
      </c>
      <c r="D1137" s="3" t="s">
        <v>2789</v>
      </c>
      <c r="E1137" s="3"/>
      <c r="F1137" s="3"/>
      <c r="G1137" s="3" t="s">
        <v>2799</v>
      </c>
      <c r="H1137" s="3" t="s">
        <v>2797</v>
      </c>
      <c r="I1137" s="3"/>
      <c r="J1137" t="s">
        <v>2803</v>
      </c>
    </row>
    <row r="1138" spans="1:10">
      <c r="A1138" s="3" t="s">
        <v>868</v>
      </c>
      <c r="B1138" s="3" t="s">
        <v>869</v>
      </c>
      <c r="C1138" s="3" t="s">
        <v>82</v>
      </c>
      <c r="D1138" s="3" t="s">
        <v>2789</v>
      </c>
      <c r="E1138" s="3"/>
      <c r="F1138" s="3"/>
      <c r="G1138" s="3" t="s">
        <v>2804</v>
      </c>
      <c r="H1138" s="3" t="s">
        <v>2791</v>
      </c>
      <c r="I1138" s="3"/>
      <c r="J1138" t="s">
        <v>2805</v>
      </c>
    </row>
    <row r="1139" spans="1:10">
      <c r="A1139" s="3" t="s">
        <v>868</v>
      </c>
      <c r="B1139" s="3" t="s">
        <v>869</v>
      </c>
      <c r="C1139" s="3" t="s">
        <v>82</v>
      </c>
      <c r="D1139" s="3" t="s">
        <v>2789</v>
      </c>
      <c r="E1139" s="3"/>
      <c r="F1139" s="3"/>
      <c r="G1139" s="3" t="s">
        <v>2804</v>
      </c>
      <c r="H1139" s="3" t="s">
        <v>2793</v>
      </c>
      <c r="I1139" s="3"/>
      <c r="J1139" t="s">
        <v>2806</v>
      </c>
    </row>
    <row r="1140" spans="1:10">
      <c r="A1140" s="3" t="s">
        <v>868</v>
      </c>
      <c r="B1140" s="3" t="s">
        <v>869</v>
      </c>
      <c r="C1140" s="3" t="s">
        <v>82</v>
      </c>
      <c r="D1140" s="3" t="s">
        <v>2789</v>
      </c>
      <c r="E1140" s="3"/>
      <c r="F1140" s="3"/>
      <c r="G1140" s="3" t="s">
        <v>2804</v>
      </c>
      <c r="H1140" s="3" t="s">
        <v>2795</v>
      </c>
      <c r="I1140" s="3"/>
      <c r="J1140" t="s">
        <v>2807</v>
      </c>
    </row>
    <row r="1141" spans="1:10">
      <c r="A1141" s="3" t="s">
        <v>868</v>
      </c>
      <c r="B1141" s="3" t="s">
        <v>869</v>
      </c>
      <c r="C1141" s="3" t="s">
        <v>82</v>
      </c>
      <c r="D1141" s="3" t="s">
        <v>2789</v>
      </c>
      <c r="E1141" s="3"/>
      <c r="F1141" s="3"/>
      <c r="G1141" s="3" t="s">
        <v>2804</v>
      </c>
      <c r="H1141" s="3" t="s">
        <v>2797</v>
      </c>
      <c r="I1141" s="3"/>
      <c r="J1141" t="s">
        <v>2808</v>
      </c>
    </row>
    <row r="1142" spans="1:10">
      <c r="A1142" s="3" t="s">
        <v>868</v>
      </c>
      <c r="B1142" s="3" t="s">
        <v>869</v>
      </c>
      <c r="C1142" s="3" t="s">
        <v>82</v>
      </c>
      <c r="D1142" s="3" t="s">
        <v>2809</v>
      </c>
      <c r="E1142" s="3"/>
      <c r="F1142" s="3"/>
      <c r="G1142" s="3" t="s">
        <v>2810</v>
      </c>
      <c r="H1142" s="3" t="s">
        <v>2811</v>
      </c>
      <c r="I1142" s="3"/>
      <c r="J1142" t="s">
        <v>2812</v>
      </c>
    </row>
    <row r="1143" spans="1:10">
      <c r="A1143" s="3" t="s">
        <v>868</v>
      </c>
      <c r="B1143" s="3" t="s">
        <v>869</v>
      </c>
      <c r="C1143" s="3" t="s">
        <v>82</v>
      </c>
      <c r="D1143" s="3" t="s">
        <v>2809</v>
      </c>
      <c r="E1143" s="3"/>
      <c r="F1143" s="3"/>
      <c r="G1143" s="3" t="s">
        <v>2810</v>
      </c>
      <c r="H1143" s="3" t="s">
        <v>2813</v>
      </c>
      <c r="I1143" s="3"/>
      <c r="J1143" t="s">
        <v>2814</v>
      </c>
    </row>
    <row r="1144" spans="1:10">
      <c r="A1144" s="3" t="s">
        <v>868</v>
      </c>
      <c r="B1144" s="3" t="s">
        <v>869</v>
      </c>
      <c r="C1144" s="3" t="s">
        <v>82</v>
      </c>
      <c r="D1144" s="3" t="s">
        <v>2809</v>
      </c>
      <c r="E1144" s="3"/>
      <c r="F1144" s="3"/>
      <c r="G1144" s="3" t="s">
        <v>2810</v>
      </c>
      <c r="H1144" s="3" t="s">
        <v>2815</v>
      </c>
      <c r="I1144" s="3"/>
      <c r="J1144" t="s">
        <v>2816</v>
      </c>
    </row>
    <row r="1145" spans="1:10">
      <c r="A1145" s="3" t="s">
        <v>868</v>
      </c>
      <c r="B1145" s="3" t="s">
        <v>869</v>
      </c>
      <c r="C1145" s="3" t="s">
        <v>82</v>
      </c>
      <c r="D1145" s="3" t="s">
        <v>2809</v>
      </c>
      <c r="E1145" s="3"/>
      <c r="F1145" s="3"/>
      <c r="G1145" s="3" t="s">
        <v>2810</v>
      </c>
      <c r="H1145" s="3" t="s">
        <v>2817</v>
      </c>
      <c r="I1145" s="3"/>
      <c r="J1145" t="s">
        <v>2818</v>
      </c>
    </row>
    <row r="1146" spans="1:10">
      <c r="A1146" s="3" t="s">
        <v>868</v>
      </c>
      <c r="B1146" s="3" t="s">
        <v>869</v>
      </c>
      <c r="C1146" s="3" t="s">
        <v>82</v>
      </c>
      <c r="D1146" s="3" t="s">
        <v>2809</v>
      </c>
      <c r="E1146" s="3"/>
      <c r="F1146" s="3"/>
      <c r="G1146" s="3" t="s">
        <v>2819</v>
      </c>
      <c r="H1146" s="3" t="s">
        <v>2811</v>
      </c>
      <c r="I1146" s="3"/>
      <c r="J1146" t="s">
        <v>2820</v>
      </c>
    </row>
    <row r="1147" spans="1:10">
      <c r="A1147" s="3" t="s">
        <v>868</v>
      </c>
      <c r="B1147" s="3" t="s">
        <v>869</v>
      </c>
      <c r="C1147" s="3" t="s">
        <v>82</v>
      </c>
      <c r="D1147" s="3" t="s">
        <v>2809</v>
      </c>
      <c r="E1147" s="3"/>
      <c r="F1147" s="3"/>
      <c r="G1147" s="3" t="s">
        <v>2819</v>
      </c>
      <c r="H1147" s="3" t="s">
        <v>2813</v>
      </c>
      <c r="I1147" s="3"/>
      <c r="J1147" t="s">
        <v>2821</v>
      </c>
    </row>
    <row r="1148" spans="1:10">
      <c r="A1148" s="3" t="s">
        <v>868</v>
      </c>
      <c r="B1148" s="3" t="s">
        <v>869</v>
      </c>
      <c r="C1148" s="3" t="s">
        <v>82</v>
      </c>
      <c r="D1148" s="3" t="s">
        <v>2809</v>
      </c>
      <c r="E1148" s="3"/>
      <c r="F1148" s="3"/>
      <c r="G1148" s="3" t="s">
        <v>2819</v>
      </c>
      <c r="H1148" s="3" t="s">
        <v>2815</v>
      </c>
      <c r="I1148" s="3"/>
      <c r="J1148" t="s">
        <v>2822</v>
      </c>
    </row>
    <row r="1149" spans="1:10">
      <c r="A1149" s="3" t="s">
        <v>868</v>
      </c>
      <c r="B1149" s="3" t="s">
        <v>869</v>
      </c>
      <c r="C1149" s="3" t="s">
        <v>82</v>
      </c>
      <c r="D1149" s="3" t="s">
        <v>2809</v>
      </c>
      <c r="E1149" s="3"/>
      <c r="F1149" s="3"/>
      <c r="G1149" s="3" t="s">
        <v>2819</v>
      </c>
      <c r="H1149" s="3" t="s">
        <v>2817</v>
      </c>
      <c r="I1149" s="3"/>
      <c r="J1149" t="s">
        <v>2823</v>
      </c>
    </row>
    <row r="1150" spans="1:10">
      <c r="A1150" s="3" t="s">
        <v>876</v>
      </c>
      <c r="B1150" s="3" t="s">
        <v>877</v>
      </c>
      <c r="C1150" s="3" t="s">
        <v>83</v>
      </c>
      <c r="D1150" s="3" t="s">
        <v>2824</v>
      </c>
      <c r="E1150" s="3"/>
      <c r="F1150" s="3"/>
      <c r="G1150" s="3" t="s">
        <v>2825</v>
      </c>
      <c r="H1150" s="3" t="s">
        <v>2826</v>
      </c>
      <c r="I1150" s="3"/>
      <c r="J1150" t="s">
        <v>2827</v>
      </c>
    </row>
    <row r="1151" spans="1:10">
      <c r="A1151" s="3" t="s">
        <v>876</v>
      </c>
      <c r="B1151" s="3" t="s">
        <v>877</v>
      </c>
      <c r="C1151" s="3" t="s">
        <v>83</v>
      </c>
      <c r="D1151" s="3" t="s">
        <v>2824</v>
      </c>
      <c r="E1151" s="3"/>
      <c r="F1151" s="3"/>
      <c r="G1151" s="3" t="s">
        <v>2825</v>
      </c>
      <c r="H1151" s="3" t="s">
        <v>2828</v>
      </c>
      <c r="I1151" s="3"/>
      <c r="J1151" t="s">
        <v>2829</v>
      </c>
    </row>
    <row r="1152" spans="1:10">
      <c r="A1152" s="3" t="s">
        <v>876</v>
      </c>
      <c r="B1152" s="3" t="s">
        <v>877</v>
      </c>
      <c r="C1152" s="3" t="s">
        <v>83</v>
      </c>
      <c r="D1152" s="3" t="s">
        <v>2824</v>
      </c>
      <c r="E1152" s="3"/>
      <c r="F1152" s="3"/>
      <c r="G1152" s="3" t="s">
        <v>2825</v>
      </c>
      <c r="H1152" s="3" t="s">
        <v>2830</v>
      </c>
      <c r="I1152" s="3"/>
      <c r="J1152" t="s">
        <v>2831</v>
      </c>
    </row>
    <row r="1153" spans="1:10">
      <c r="A1153" s="3" t="s">
        <v>876</v>
      </c>
      <c r="B1153" s="3" t="s">
        <v>877</v>
      </c>
      <c r="C1153" s="3" t="s">
        <v>83</v>
      </c>
      <c r="D1153" s="3" t="s">
        <v>2824</v>
      </c>
      <c r="E1153" s="3"/>
      <c r="F1153" s="3"/>
      <c r="G1153" s="3" t="s">
        <v>2832</v>
      </c>
      <c r="H1153" s="3" t="s">
        <v>2826</v>
      </c>
      <c r="I1153" s="3"/>
      <c r="J1153" t="s">
        <v>2833</v>
      </c>
    </row>
    <row r="1154" spans="1:10">
      <c r="A1154" s="3" t="s">
        <v>876</v>
      </c>
      <c r="B1154" s="3" t="s">
        <v>877</v>
      </c>
      <c r="C1154" s="3" t="s">
        <v>83</v>
      </c>
      <c r="D1154" s="3" t="s">
        <v>2824</v>
      </c>
      <c r="E1154" s="3"/>
      <c r="F1154" s="3"/>
      <c r="G1154" s="3" t="s">
        <v>2832</v>
      </c>
      <c r="H1154" s="3" t="s">
        <v>2828</v>
      </c>
      <c r="I1154" s="3"/>
      <c r="J1154" t="s">
        <v>2834</v>
      </c>
    </row>
    <row r="1155" spans="1:10">
      <c r="A1155" s="3" t="s">
        <v>876</v>
      </c>
      <c r="B1155" s="3" t="s">
        <v>877</v>
      </c>
      <c r="C1155" s="3" t="s">
        <v>83</v>
      </c>
      <c r="D1155" s="3" t="s">
        <v>2824</v>
      </c>
      <c r="E1155" s="3"/>
      <c r="F1155" s="3"/>
      <c r="G1155" s="3" t="s">
        <v>2832</v>
      </c>
      <c r="H1155" s="3" t="s">
        <v>2830</v>
      </c>
      <c r="I1155" s="3"/>
      <c r="J1155" t="s">
        <v>2835</v>
      </c>
    </row>
    <row r="1156" spans="1:10">
      <c r="A1156" s="3" t="s">
        <v>876</v>
      </c>
      <c r="B1156" s="3" t="s">
        <v>877</v>
      </c>
      <c r="C1156" s="3" t="s">
        <v>83</v>
      </c>
      <c r="D1156" s="3" t="s">
        <v>2824</v>
      </c>
      <c r="E1156" s="3"/>
      <c r="F1156" s="3"/>
      <c r="G1156" s="3"/>
      <c r="H1156" s="3"/>
      <c r="I1156" s="3" t="s">
        <v>2836</v>
      </c>
      <c r="J1156" t="s">
        <v>2837</v>
      </c>
    </row>
    <row r="1157" spans="1:10">
      <c r="A1157" s="3" t="s">
        <v>876</v>
      </c>
      <c r="B1157" s="3" t="s">
        <v>877</v>
      </c>
      <c r="C1157" s="3" t="s">
        <v>83</v>
      </c>
      <c r="D1157" s="3" t="s">
        <v>2824</v>
      </c>
      <c r="E1157" s="3"/>
      <c r="F1157" s="3"/>
      <c r="G1157" s="3"/>
      <c r="H1157" s="3"/>
      <c r="I1157" s="3" t="s">
        <v>2838</v>
      </c>
      <c r="J1157" t="s">
        <v>2839</v>
      </c>
    </row>
    <row r="1158" spans="1:10">
      <c r="A1158" s="3" t="s">
        <v>882</v>
      </c>
      <c r="B1158" s="3" t="s">
        <v>883</v>
      </c>
      <c r="C1158" s="3" t="s">
        <v>85</v>
      </c>
      <c r="D1158" s="3" t="s">
        <v>2840</v>
      </c>
      <c r="E1158" s="3"/>
      <c r="F1158" s="3"/>
      <c r="G1158" s="3" t="s">
        <v>2841</v>
      </c>
      <c r="H1158" s="3" t="s">
        <v>2842</v>
      </c>
      <c r="I1158" s="3"/>
      <c r="J1158" t="s">
        <v>2843</v>
      </c>
    </row>
    <row r="1159" spans="1:10">
      <c r="A1159" s="3" t="s">
        <v>882</v>
      </c>
      <c r="B1159" s="3" t="s">
        <v>883</v>
      </c>
      <c r="C1159" s="3" t="s">
        <v>85</v>
      </c>
      <c r="D1159" s="3" t="s">
        <v>2840</v>
      </c>
      <c r="E1159" s="3"/>
      <c r="F1159" s="3"/>
      <c r="G1159" s="3" t="s">
        <v>2841</v>
      </c>
      <c r="H1159" s="3" t="s">
        <v>2844</v>
      </c>
      <c r="I1159" s="3"/>
      <c r="J1159" t="s">
        <v>2845</v>
      </c>
    </row>
    <row r="1160" spans="1:10">
      <c r="A1160" s="3" t="s">
        <v>882</v>
      </c>
      <c r="B1160" s="3" t="s">
        <v>883</v>
      </c>
      <c r="C1160" s="3" t="s">
        <v>85</v>
      </c>
      <c r="D1160" s="3" t="s">
        <v>2840</v>
      </c>
      <c r="E1160" s="3"/>
      <c r="F1160" s="3"/>
      <c r="G1160" s="3" t="s">
        <v>2841</v>
      </c>
      <c r="H1160" s="3" t="s">
        <v>2846</v>
      </c>
      <c r="I1160" s="3"/>
      <c r="J1160" t="s">
        <v>2847</v>
      </c>
    </row>
    <row r="1161" spans="1:10">
      <c r="A1161" s="3" t="s">
        <v>882</v>
      </c>
      <c r="B1161" s="3" t="s">
        <v>883</v>
      </c>
      <c r="C1161" s="3" t="s">
        <v>85</v>
      </c>
      <c r="D1161" s="3" t="s">
        <v>2840</v>
      </c>
      <c r="E1161" s="3"/>
      <c r="F1161" s="3"/>
      <c r="G1161" s="3" t="s">
        <v>2841</v>
      </c>
      <c r="H1161" s="3" t="s">
        <v>2848</v>
      </c>
      <c r="I1161" s="3"/>
      <c r="J1161" t="s">
        <v>2849</v>
      </c>
    </row>
    <row r="1162" spans="1:10">
      <c r="A1162" s="3" t="s">
        <v>882</v>
      </c>
      <c r="B1162" s="3" t="s">
        <v>883</v>
      </c>
      <c r="C1162" s="3" t="s">
        <v>85</v>
      </c>
      <c r="D1162" s="3" t="s">
        <v>2840</v>
      </c>
      <c r="E1162" s="3"/>
      <c r="F1162" s="3"/>
      <c r="G1162" s="3" t="s">
        <v>2850</v>
      </c>
      <c r="H1162" s="3" t="s">
        <v>2842</v>
      </c>
      <c r="I1162" s="3"/>
      <c r="J1162" t="s">
        <v>2851</v>
      </c>
    </row>
    <row r="1163" spans="1:10">
      <c r="A1163" s="3" t="s">
        <v>882</v>
      </c>
      <c r="B1163" s="3" t="s">
        <v>883</v>
      </c>
      <c r="C1163" s="3" t="s">
        <v>85</v>
      </c>
      <c r="D1163" s="3" t="s">
        <v>2840</v>
      </c>
      <c r="E1163" s="3"/>
      <c r="F1163" s="3"/>
      <c r="G1163" s="3" t="s">
        <v>2850</v>
      </c>
      <c r="H1163" s="3" t="s">
        <v>2844</v>
      </c>
      <c r="I1163" s="3"/>
      <c r="J1163" t="s">
        <v>2852</v>
      </c>
    </row>
    <row r="1164" spans="1:10">
      <c r="A1164" s="3" t="s">
        <v>882</v>
      </c>
      <c r="B1164" s="3" t="s">
        <v>883</v>
      </c>
      <c r="C1164" s="3" t="s">
        <v>85</v>
      </c>
      <c r="D1164" s="3" t="s">
        <v>2840</v>
      </c>
      <c r="E1164" s="3"/>
      <c r="F1164" s="3"/>
      <c r="G1164" s="3" t="s">
        <v>2850</v>
      </c>
      <c r="H1164" s="3" t="s">
        <v>2846</v>
      </c>
      <c r="I1164" s="3"/>
      <c r="J1164" t="s">
        <v>2853</v>
      </c>
    </row>
    <row r="1165" spans="1:10">
      <c r="A1165" s="3" t="s">
        <v>882</v>
      </c>
      <c r="B1165" s="3" t="s">
        <v>883</v>
      </c>
      <c r="C1165" s="3" t="s">
        <v>85</v>
      </c>
      <c r="D1165" s="3" t="s">
        <v>2840</v>
      </c>
      <c r="E1165" s="3"/>
      <c r="F1165" s="3"/>
      <c r="G1165" s="3" t="s">
        <v>2850</v>
      </c>
      <c r="H1165" s="3" t="s">
        <v>2848</v>
      </c>
      <c r="I1165" s="3"/>
      <c r="J1165" t="s">
        <v>2854</v>
      </c>
    </row>
    <row r="1166" spans="1:10">
      <c r="A1166" s="3" t="s">
        <v>882</v>
      </c>
      <c r="B1166" s="3" t="s">
        <v>883</v>
      </c>
      <c r="C1166" s="3" t="s">
        <v>85</v>
      </c>
      <c r="D1166" s="3" t="s">
        <v>2840</v>
      </c>
      <c r="E1166" s="3"/>
      <c r="F1166" s="3"/>
      <c r="G1166" s="3"/>
      <c r="H1166" s="3"/>
      <c r="I1166" s="3" t="s">
        <v>2855</v>
      </c>
      <c r="J1166" t="s">
        <v>2856</v>
      </c>
    </row>
    <row r="1167" spans="1:10">
      <c r="A1167" s="3" t="s">
        <v>882</v>
      </c>
      <c r="B1167" s="3" t="s">
        <v>883</v>
      </c>
      <c r="C1167" s="3" t="s">
        <v>85</v>
      </c>
      <c r="D1167" s="3" t="s">
        <v>2840</v>
      </c>
      <c r="E1167" s="3"/>
      <c r="F1167" s="3"/>
      <c r="G1167" s="3"/>
      <c r="H1167" s="3"/>
      <c r="I1167" s="3" t="s">
        <v>2857</v>
      </c>
      <c r="J1167" t="s">
        <v>2858</v>
      </c>
    </row>
    <row r="1168" spans="1:10">
      <c r="A1168" s="3" t="s">
        <v>882</v>
      </c>
      <c r="B1168" s="3" t="s">
        <v>897</v>
      </c>
      <c r="C1168" s="3" t="s">
        <v>87</v>
      </c>
      <c r="D1168" s="3" t="s">
        <v>2859</v>
      </c>
      <c r="E1168" s="3"/>
      <c r="F1168" s="3"/>
      <c r="G1168" s="3" t="s">
        <v>2860</v>
      </c>
      <c r="H1168" s="3"/>
      <c r="I1168" s="3"/>
      <c r="J1168" t="s">
        <v>2861</v>
      </c>
    </row>
    <row r="1169" spans="1:10">
      <c r="A1169" s="3" t="s">
        <v>882</v>
      </c>
      <c r="B1169" s="3" t="s">
        <v>897</v>
      </c>
      <c r="C1169" s="3" t="s">
        <v>87</v>
      </c>
      <c r="D1169" s="3" t="s">
        <v>2859</v>
      </c>
      <c r="E1169" s="3"/>
      <c r="F1169" s="3"/>
      <c r="G1169" s="3" t="s">
        <v>2862</v>
      </c>
      <c r="H1169" s="3"/>
      <c r="I1169" s="3"/>
      <c r="J1169" t="s">
        <v>2863</v>
      </c>
    </row>
    <row r="1170" spans="1:10">
      <c r="A1170" s="3" t="s">
        <v>907</v>
      </c>
      <c r="B1170" s="3" t="s">
        <v>913</v>
      </c>
      <c r="C1170" s="3" t="s">
        <v>89</v>
      </c>
      <c r="D1170" s="3" t="s">
        <v>2864</v>
      </c>
      <c r="E1170" s="3"/>
      <c r="F1170" s="3"/>
      <c r="G1170" s="3" t="s">
        <v>2865</v>
      </c>
      <c r="H1170" s="3" t="s">
        <v>2866</v>
      </c>
      <c r="I1170" s="3"/>
      <c r="J1170" t="s">
        <v>2867</v>
      </c>
    </row>
    <row r="1171" spans="1:10">
      <c r="A1171" s="3" t="s">
        <v>907</v>
      </c>
      <c r="B1171" s="3" t="s">
        <v>913</v>
      </c>
      <c r="C1171" s="3" t="s">
        <v>89</v>
      </c>
      <c r="D1171" s="3" t="s">
        <v>2864</v>
      </c>
      <c r="E1171" s="3"/>
      <c r="F1171" s="3"/>
      <c r="G1171" s="3" t="s">
        <v>2865</v>
      </c>
      <c r="H1171" s="3" t="s">
        <v>2868</v>
      </c>
      <c r="I1171" s="3"/>
      <c r="J1171" t="s">
        <v>2869</v>
      </c>
    </row>
    <row r="1172" spans="1:10">
      <c r="A1172" s="3" t="s">
        <v>907</v>
      </c>
      <c r="B1172" s="3" t="s">
        <v>913</v>
      </c>
      <c r="C1172" s="3" t="s">
        <v>89</v>
      </c>
      <c r="D1172" s="3" t="s">
        <v>2864</v>
      </c>
      <c r="E1172" s="3"/>
      <c r="F1172" s="3"/>
      <c r="G1172" s="3" t="s">
        <v>2865</v>
      </c>
      <c r="H1172" s="3" t="s">
        <v>2870</v>
      </c>
      <c r="I1172" s="3"/>
      <c r="J1172" t="s">
        <v>2871</v>
      </c>
    </row>
    <row r="1173" spans="1:10">
      <c r="A1173" s="3" t="s">
        <v>907</v>
      </c>
      <c r="B1173" s="3" t="s">
        <v>913</v>
      </c>
      <c r="C1173" s="3" t="s">
        <v>89</v>
      </c>
      <c r="D1173" s="3" t="s">
        <v>2864</v>
      </c>
      <c r="E1173" s="3"/>
      <c r="F1173" s="3"/>
      <c r="G1173" s="3" t="s">
        <v>2872</v>
      </c>
      <c r="H1173" s="3" t="s">
        <v>2866</v>
      </c>
      <c r="I1173" s="3"/>
      <c r="J1173" t="s">
        <v>2873</v>
      </c>
    </row>
    <row r="1174" spans="1:10">
      <c r="A1174" s="3" t="s">
        <v>907</v>
      </c>
      <c r="B1174" s="3" t="s">
        <v>913</v>
      </c>
      <c r="C1174" s="3" t="s">
        <v>89</v>
      </c>
      <c r="D1174" s="3" t="s">
        <v>2864</v>
      </c>
      <c r="E1174" s="3"/>
      <c r="F1174" s="3"/>
      <c r="G1174" s="3" t="s">
        <v>2872</v>
      </c>
      <c r="H1174" s="3" t="s">
        <v>2868</v>
      </c>
      <c r="I1174" s="3"/>
      <c r="J1174" t="s">
        <v>2874</v>
      </c>
    </row>
    <row r="1175" spans="1:10">
      <c r="A1175" s="3" t="s">
        <v>907</v>
      </c>
      <c r="B1175" s="3" t="s">
        <v>913</v>
      </c>
      <c r="C1175" s="3" t="s">
        <v>89</v>
      </c>
      <c r="D1175" s="3" t="s">
        <v>2864</v>
      </c>
      <c r="E1175" s="3"/>
      <c r="F1175" s="3"/>
      <c r="G1175" s="3" t="s">
        <v>2872</v>
      </c>
      <c r="H1175" s="3" t="s">
        <v>2870</v>
      </c>
      <c r="I1175" s="3"/>
      <c r="J1175" t="s">
        <v>2875</v>
      </c>
    </row>
    <row r="1176" spans="1:10">
      <c r="A1176" s="3" t="s">
        <v>907</v>
      </c>
      <c r="B1176" s="3" t="s">
        <v>913</v>
      </c>
      <c r="C1176" s="3" t="s">
        <v>89</v>
      </c>
      <c r="D1176" s="3" t="s">
        <v>2876</v>
      </c>
      <c r="E1176" s="3"/>
      <c r="F1176" s="3"/>
      <c r="G1176" s="3" t="s">
        <v>2877</v>
      </c>
      <c r="H1176" s="3" t="s">
        <v>2878</v>
      </c>
      <c r="I1176" s="3"/>
      <c r="J1176" t="s">
        <v>2879</v>
      </c>
    </row>
    <row r="1177" spans="1:10">
      <c r="A1177" s="3" t="s">
        <v>907</v>
      </c>
      <c r="B1177" s="3" t="s">
        <v>913</v>
      </c>
      <c r="C1177" s="3" t="s">
        <v>89</v>
      </c>
      <c r="D1177" s="3" t="s">
        <v>2876</v>
      </c>
      <c r="E1177" s="3"/>
      <c r="F1177" s="3"/>
      <c r="G1177" s="3" t="s">
        <v>2877</v>
      </c>
      <c r="H1177" s="3" t="s">
        <v>2880</v>
      </c>
      <c r="I1177" s="3"/>
      <c r="J1177" t="s">
        <v>2881</v>
      </c>
    </row>
    <row r="1178" spans="1:10">
      <c r="A1178" s="3" t="s">
        <v>907</v>
      </c>
      <c r="B1178" s="3" t="s">
        <v>913</v>
      </c>
      <c r="C1178" s="3" t="s">
        <v>89</v>
      </c>
      <c r="D1178" s="3" t="s">
        <v>2876</v>
      </c>
      <c r="E1178" s="3"/>
      <c r="F1178" s="3"/>
      <c r="G1178" s="3" t="s">
        <v>2877</v>
      </c>
      <c r="H1178" s="3" t="s">
        <v>2882</v>
      </c>
      <c r="I1178" s="3"/>
      <c r="J1178" t="s">
        <v>2883</v>
      </c>
    </row>
    <row r="1179" spans="1:10">
      <c r="A1179" s="3" t="s">
        <v>907</v>
      </c>
      <c r="B1179" s="3" t="s">
        <v>913</v>
      </c>
      <c r="C1179" s="3" t="s">
        <v>89</v>
      </c>
      <c r="D1179" s="3" t="s">
        <v>2876</v>
      </c>
      <c r="E1179" s="3"/>
      <c r="F1179" s="3"/>
      <c r="G1179" s="3" t="s">
        <v>2877</v>
      </c>
      <c r="H1179" s="3" t="s">
        <v>2884</v>
      </c>
      <c r="I1179" s="3"/>
      <c r="J1179" t="s">
        <v>2885</v>
      </c>
    </row>
    <row r="1180" spans="1:10">
      <c r="A1180" s="3" t="s">
        <v>907</v>
      </c>
      <c r="B1180" s="3" t="s">
        <v>913</v>
      </c>
      <c r="C1180" s="3" t="s">
        <v>89</v>
      </c>
      <c r="D1180" s="3" t="s">
        <v>2876</v>
      </c>
      <c r="E1180" s="3"/>
      <c r="F1180" s="3"/>
      <c r="G1180" s="3" t="s">
        <v>2886</v>
      </c>
      <c r="H1180" s="3" t="s">
        <v>2878</v>
      </c>
      <c r="I1180" s="3"/>
      <c r="J1180" t="s">
        <v>2887</v>
      </c>
    </row>
    <row r="1181" spans="1:10">
      <c r="A1181" s="3" t="s">
        <v>907</v>
      </c>
      <c r="B1181" s="3" t="s">
        <v>913</v>
      </c>
      <c r="C1181" s="3" t="s">
        <v>89</v>
      </c>
      <c r="D1181" s="3" t="s">
        <v>2876</v>
      </c>
      <c r="E1181" s="3"/>
      <c r="F1181" s="3"/>
      <c r="G1181" s="3" t="s">
        <v>2886</v>
      </c>
      <c r="H1181" s="3" t="s">
        <v>2880</v>
      </c>
      <c r="I1181" s="3"/>
      <c r="J1181" t="s">
        <v>2888</v>
      </c>
    </row>
    <row r="1182" spans="1:10">
      <c r="A1182" s="3" t="s">
        <v>907</v>
      </c>
      <c r="B1182" s="3" t="s">
        <v>913</v>
      </c>
      <c r="C1182" s="3" t="s">
        <v>89</v>
      </c>
      <c r="D1182" s="3" t="s">
        <v>2876</v>
      </c>
      <c r="E1182" s="3"/>
      <c r="F1182" s="3"/>
      <c r="G1182" s="3" t="s">
        <v>2886</v>
      </c>
      <c r="H1182" s="3" t="s">
        <v>2882</v>
      </c>
      <c r="I1182" s="3"/>
      <c r="J1182" t="s">
        <v>2889</v>
      </c>
    </row>
    <row r="1183" spans="1:10">
      <c r="A1183" s="3" t="s">
        <v>907</v>
      </c>
      <c r="B1183" s="3" t="s">
        <v>913</v>
      </c>
      <c r="C1183" s="3" t="s">
        <v>89</v>
      </c>
      <c r="D1183" s="3" t="s">
        <v>2876</v>
      </c>
      <c r="E1183" s="3"/>
      <c r="F1183" s="3"/>
      <c r="G1183" s="3" t="s">
        <v>2886</v>
      </c>
      <c r="H1183" s="3" t="s">
        <v>2884</v>
      </c>
      <c r="I1183" s="3"/>
      <c r="J1183" t="s">
        <v>2890</v>
      </c>
    </row>
    <row r="1184" spans="1:10">
      <c r="A1184" s="3" t="s">
        <v>922</v>
      </c>
      <c r="B1184" s="3" t="s">
        <v>923</v>
      </c>
      <c r="C1184" s="3" t="s">
        <v>90</v>
      </c>
      <c r="D1184" s="3" t="s">
        <v>2891</v>
      </c>
      <c r="E1184" s="3"/>
      <c r="F1184" s="3"/>
      <c r="G1184" s="3"/>
      <c r="H1184" s="3" t="s">
        <v>2892</v>
      </c>
      <c r="I1184" s="3"/>
      <c r="J1184" t="s">
        <v>2893</v>
      </c>
    </row>
    <row r="1185" spans="1:10">
      <c r="A1185" s="3" t="s">
        <v>922</v>
      </c>
      <c r="B1185" s="3" t="s">
        <v>923</v>
      </c>
      <c r="C1185" s="3" t="s">
        <v>90</v>
      </c>
      <c r="D1185" s="3" t="s">
        <v>2891</v>
      </c>
      <c r="E1185" s="3"/>
      <c r="F1185" s="3"/>
      <c r="G1185" s="3"/>
      <c r="H1185" s="3" t="s">
        <v>2894</v>
      </c>
      <c r="I1185" s="3"/>
      <c r="J1185" t="s">
        <v>2895</v>
      </c>
    </row>
    <row r="1186" spans="1:10">
      <c r="A1186" s="3" t="s">
        <v>922</v>
      </c>
      <c r="B1186" s="3" t="s">
        <v>923</v>
      </c>
      <c r="C1186" s="3" t="s">
        <v>90</v>
      </c>
      <c r="D1186" s="3" t="s">
        <v>2891</v>
      </c>
      <c r="E1186" s="3"/>
      <c r="F1186" s="3"/>
      <c r="G1186" s="3"/>
      <c r="H1186" s="3" t="s">
        <v>2896</v>
      </c>
      <c r="I1186" s="3"/>
      <c r="J1186" t="s">
        <v>2897</v>
      </c>
    </row>
    <row r="1187" spans="1:10">
      <c r="A1187" s="3" t="s">
        <v>922</v>
      </c>
      <c r="B1187" s="3" t="s">
        <v>923</v>
      </c>
      <c r="C1187" s="3" t="s">
        <v>91</v>
      </c>
      <c r="D1187" s="3" t="s">
        <v>2898</v>
      </c>
      <c r="E1187" s="3"/>
      <c r="F1187" s="3"/>
      <c r="G1187" s="3" t="s">
        <v>2899</v>
      </c>
      <c r="H1187" s="3"/>
      <c r="I1187" s="3"/>
      <c r="J1187" t="s">
        <v>2900</v>
      </c>
    </row>
    <row r="1188" spans="1:10">
      <c r="A1188" s="3" t="s">
        <v>922</v>
      </c>
      <c r="B1188" s="3" t="s">
        <v>923</v>
      </c>
      <c r="C1188" s="3" t="s">
        <v>91</v>
      </c>
      <c r="D1188" s="3" t="s">
        <v>2898</v>
      </c>
      <c r="E1188" s="3"/>
      <c r="F1188" s="3"/>
      <c r="G1188" s="3" t="s">
        <v>2901</v>
      </c>
      <c r="H1188" s="3"/>
      <c r="I1188" s="3"/>
      <c r="J1188" t="s">
        <v>2902</v>
      </c>
    </row>
    <row r="1189" spans="1:10">
      <c r="A1189" s="3" t="s">
        <v>922</v>
      </c>
      <c r="B1189" s="3" t="s">
        <v>930</v>
      </c>
      <c r="C1189" s="3" t="s">
        <v>92</v>
      </c>
      <c r="D1189" s="3" t="s">
        <v>2903</v>
      </c>
      <c r="E1189" s="3"/>
      <c r="F1189" s="3"/>
      <c r="G1189" s="3" t="s">
        <v>2904</v>
      </c>
      <c r="H1189" s="3" t="s">
        <v>2905</v>
      </c>
      <c r="I1189" s="3"/>
      <c r="J1189" t="s">
        <v>2906</v>
      </c>
    </row>
    <row r="1190" spans="1:10">
      <c r="A1190" s="3" t="s">
        <v>922</v>
      </c>
      <c r="B1190" s="3" t="s">
        <v>930</v>
      </c>
      <c r="C1190" s="3" t="s">
        <v>92</v>
      </c>
      <c r="D1190" s="3" t="s">
        <v>2903</v>
      </c>
      <c r="E1190" s="3"/>
      <c r="F1190" s="3"/>
      <c r="G1190" s="3" t="s">
        <v>2904</v>
      </c>
      <c r="H1190" s="3" t="s">
        <v>2907</v>
      </c>
      <c r="I1190" s="3"/>
      <c r="J1190" t="s">
        <v>2908</v>
      </c>
    </row>
    <row r="1191" spans="1:10">
      <c r="A1191" s="3" t="s">
        <v>922</v>
      </c>
      <c r="B1191" s="3" t="s">
        <v>930</v>
      </c>
      <c r="C1191" s="3" t="s">
        <v>92</v>
      </c>
      <c r="D1191" s="3" t="s">
        <v>2903</v>
      </c>
      <c r="E1191" s="3"/>
      <c r="F1191" s="3"/>
      <c r="G1191" s="3" t="s">
        <v>2904</v>
      </c>
      <c r="H1191" s="3" t="s">
        <v>2909</v>
      </c>
      <c r="I1191" s="3"/>
      <c r="J1191" t="s">
        <v>2910</v>
      </c>
    </row>
    <row r="1192" spans="1:10">
      <c r="A1192" s="3" t="s">
        <v>922</v>
      </c>
      <c r="B1192" s="3" t="s">
        <v>930</v>
      </c>
      <c r="C1192" s="3" t="s">
        <v>92</v>
      </c>
      <c r="D1192" s="3" t="s">
        <v>2903</v>
      </c>
      <c r="E1192" s="3"/>
      <c r="F1192" s="3"/>
      <c r="G1192" s="3" t="s">
        <v>2904</v>
      </c>
      <c r="H1192" s="3" t="s">
        <v>2911</v>
      </c>
      <c r="I1192" s="3"/>
      <c r="J1192" t="s">
        <v>2912</v>
      </c>
    </row>
    <row r="1193" spans="1:10">
      <c r="A1193" s="3" t="s">
        <v>922</v>
      </c>
      <c r="B1193" s="3" t="s">
        <v>930</v>
      </c>
      <c r="C1193" s="3" t="s">
        <v>92</v>
      </c>
      <c r="D1193" s="3" t="s">
        <v>2903</v>
      </c>
      <c r="E1193" s="3"/>
      <c r="F1193" s="3"/>
      <c r="G1193" s="3" t="s">
        <v>2913</v>
      </c>
      <c r="H1193" s="3" t="s">
        <v>2905</v>
      </c>
      <c r="I1193" s="3"/>
      <c r="J1193" t="s">
        <v>2914</v>
      </c>
    </row>
    <row r="1194" spans="1:10">
      <c r="A1194" s="3" t="s">
        <v>922</v>
      </c>
      <c r="B1194" s="3" t="s">
        <v>930</v>
      </c>
      <c r="C1194" s="3" t="s">
        <v>92</v>
      </c>
      <c r="D1194" s="3" t="s">
        <v>2903</v>
      </c>
      <c r="E1194" s="3"/>
      <c r="F1194" s="3"/>
      <c r="G1194" s="3" t="s">
        <v>2913</v>
      </c>
      <c r="H1194" s="3" t="s">
        <v>2907</v>
      </c>
      <c r="I1194" s="3"/>
      <c r="J1194" t="s">
        <v>2915</v>
      </c>
    </row>
    <row r="1195" spans="1:10">
      <c r="A1195" s="3" t="s">
        <v>922</v>
      </c>
      <c r="B1195" s="3" t="s">
        <v>930</v>
      </c>
      <c r="C1195" s="3" t="s">
        <v>92</v>
      </c>
      <c r="D1195" s="3" t="s">
        <v>2903</v>
      </c>
      <c r="E1195" s="3"/>
      <c r="F1195" s="3"/>
      <c r="G1195" s="3" t="s">
        <v>2913</v>
      </c>
      <c r="H1195" s="3" t="s">
        <v>2909</v>
      </c>
      <c r="I1195" s="3"/>
      <c r="J1195" t="s">
        <v>2916</v>
      </c>
    </row>
    <row r="1196" spans="1:10">
      <c r="A1196" s="3" t="s">
        <v>922</v>
      </c>
      <c r="B1196" s="3" t="s">
        <v>930</v>
      </c>
      <c r="C1196" s="3" t="s">
        <v>92</v>
      </c>
      <c r="D1196" s="3" t="s">
        <v>2903</v>
      </c>
      <c r="E1196" s="3"/>
      <c r="F1196" s="3"/>
      <c r="G1196" s="3" t="s">
        <v>2913</v>
      </c>
      <c r="H1196" s="3" t="s">
        <v>2911</v>
      </c>
      <c r="I1196" s="3"/>
      <c r="J1196" t="s">
        <v>2917</v>
      </c>
    </row>
    <row r="1197" spans="1:10">
      <c r="A1197" s="3" t="s">
        <v>922</v>
      </c>
      <c r="B1197" s="3" t="s">
        <v>930</v>
      </c>
      <c r="C1197" s="3" t="s">
        <v>92</v>
      </c>
      <c r="D1197" s="3" t="s">
        <v>2918</v>
      </c>
      <c r="E1197" s="3"/>
      <c r="F1197" s="3"/>
      <c r="G1197" s="3" t="s">
        <v>2919</v>
      </c>
      <c r="H1197" s="3" t="s">
        <v>2920</v>
      </c>
      <c r="I1197" s="3"/>
      <c r="J1197" t="s">
        <v>2921</v>
      </c>
    </row>
    <row r="1198" spans="1:10">
      <c r="A1198" s="3" t="s">
        <v>922</v>
      </c>
      <c r="B1198" s="3" t="s">
        <v>930</v>
      </c>
      <c r="C1198" s="3" t="s">
        <v>92</v>
      </c>
      <c r="D1198" s="3" t="s">
        <v>2918</v>
      </c>
      <c r="E1198" s="3"/>
      <c r="F1198" s="3"/>
      <c r="G1198" s="3" t="s">
        <v>2919</v>
      </c>
      <c r="H1198" s="3" t="s">
        <v>2922</v>
      </c>
      <c r="I1198" s="3"/>
      <c r="J1198" t="s">
        <v>2923</v>
      </c>
    </row>
    <row r="1199" spans="1:10">
      <c r="A1199" s="3" t="s">
        <v>922</v>
      </c>
      <c r="B1199" s="3" t="s">
        <v>930</v>
      </c>
      <c r="C1199" s="3" t="s">
        <v>92</v>
      </c>
      <c r="D1199" s="3" t="s">
        <v>2918</v>
      </c>
      <c r="E1199" s="3"/>
      <c r="F1199" s="3"/>
      <c r="G1199" s="3" t="s">
        <v>2919</v>
      </c>
      <c r="H1199" s="3" t="s">
        <v>2924</v>
      </c>
      <c r="I1199" s="3"/>
      <c r="J1199" t="s">
        <v>2925</v>
      </c>
    </row>
    <row r="1200" spans="1:10">
      <c r="A1200" s="3" t="s">
        <v>922</v>
      </c>
      <c r="B1200" s="3" t="s">
        <v>930</v>
      </c>
      <c r="C1200" s="3" t="s">
        <v>92</v>
      </c>
      <c r="D1200" s="3" t="s">
        <v>2918</v>
      </c>
      <c r="E1200" s="3"/>
      <c r="F1200" s="3"/>
      <c r="G1200" s="3" t="s">
        <v>2919</v>
      </c>
      <c r="H1200" s="3" t="s">
        <v>2926</v>
      </c>
      <c r="I1200" s="3"/>
      <c r="J1200" t="s">
        <v>2927</v>
      </c>
    </row>
    <row r="1201" spans="1:10">
      <c r="A1201" s="3" t="s">
        <v>922</v>
      </c>
      <c r="B1201" s="3" t="s">
        <v>930</v>
      </c>
      <c r="C1201" s="3" t="s">
        <v>92</v>
      </c>
      <c r="D1201" s="3" t="s">
        <v>2918</v>
      </c>
      <c r="E1201" s="3"/>
      <c r="F1201" s="3"/>
      <c r="G1201" s="3" t="s">
        <v>2928</v>
      </c>
      <c r="H1201" s="3" t="s">
        <v>2920</v>
      </c>
      <c r="I1201" s="3"/>
      <c r="J1201" t="s">
        <v>2929</v>
      </c>
    </row>
    <row r="1202" spans="1:10">
      <c r="A1202" s="3" t="s">
        <v>922</v>
      </c>
      <c r="B1202" s="3" t="s">
        <v>930</v>
      </c>
      <c r="C1202" s="3" t="s">
        <v>92</v>
      </c>
      <c r="D1202" s="3" t="s">
        <v>2918</v>
      </c>
      <c r="E1202" s="3"/>
      <c r="F1202" s="3"/>
      <c r="G1202" s="3" t="s">
        <v>2928</v>
      </c>
      <c r="H1202" s="3" t="s">
        <v>2922</v>
      </c>
      <c r="I1202" s="3"/>
      <c r="J1202" t="s">
        <v>2930</v>
      </c>
    </row>
    <row r="1203" spans="1:10">
      <c r="A1203" s="3" t="s">
        <v>922</v>
      </c>
      <c r="B1203" s="3" t="s">
        <v>930</v>
      </c>
      <c r="C1203" s="3" t="s">
        <v>92</v>
      </c>
      <c r="D1203" s="3" t="s">
        <v>2918</v>
      </c>
      <c r="E1203" s="3"/>
      <c r="F1203" s="3"/>
      <c r="G1203" s="3" t="s">
        <v>2928</v>
      </c>
      <c r="H1203" s="3" t="s">
        <v>2924</v>
      </c>
      <c r="I1203" s="3"/>
      <c r="J1203" t="s">
        <v>2931</v>
      </c>
    </row>
    <row r="1204" spans="1:10">
      <c r="A1204" s="3" t="s">
        <v>922</v>
      </c>
      <c r="B1204" s="3" t="s">
        <v>930</v>
      </c>
      <c r="C1204" s="3" t="s">
        <v>92</v>
      </c>
      <c r="D1204" s="3" t="s">
        <v>2918</v>
      </c>
      <c r="E1204" s="3"/>
      <c r="F1204" s="3"/>
      <c r="G1204" s="3" t="s">
        <v>2928</v>
      </c>
      <c r="H1204" s="3" t="s">
        <v>2926</v>
      </c>
      <c r="I1204" s="3"/>
      <c r="J1204" t="s">
        <v>2932</v>
      </c>
    </row>
    <row r="1205" spans="1:10">
      <c r="A1205" s="3" t="s">
        <v>922</v>
      </c>
      <c r="B1205" s="3" t="s">
        <v>930</v>
      </c>
      <c r="C1205" s="3" t="s">
        <v>92</v>
      </c>
      <c r="D1205" s="3" t="s">
        <v>2918</v>
      </c>
      <c r="E1205" s="3"/>
      <c r="F1205" s="3"/>
      <c r="G1205" s="3"/>
      <c r="H1205" s="3"/>
      <c r="I1205" s="3" t="s">
        <v>2933</v>
      </c>
      <c r="J1205" t="s">
        <v>2934</v>
      </c>
    </row>
    <row r="1206" spans="1:10">
      <c r="A1206" s="3" t="s">
        <v>951</v>
      </c>
      <c r="B1206" s="3" t="s">
        <v>952</v>
      </c>
      <c r="C1206" s="3" t="s">
        <v>94</v>
      </c>
      <c r="D1206" s="3" t="s">
        <v>2935</v>
      </c>
      <c r="E1206" s="3"/>
      <c r="F1206" s="3"/>
      <c r="G1206" s="3" t="s">
        <v>2936</v>
      </c>
      <c r="H1206" s="3" t="s">
        <v>2937</v>
      </c>
      <c r="I1206" s="3"/>
      <c r="J1206" t="s">
        <v>2938</v>
      </c>
    </row>
    <row r="1207" spans="1:10">
      <c r="A1207" s="3" t="s">
        <v>951</v>
      </c>
      <c r="B1207" s="3" t="s">
        <v>952</v>
      </c>
      <c r="C1207" s="3" t="s">
        <v>94</v>
      </c>
      <c r="D1207" s="3" t="s">
        <v>2935</v>
      </c>
      <c r="E1207" s="3"/>
      <c r="F1207" s="3"/>
      <c r="G1207" s="3" t="s">
        <v>2936</v>
      </c>
      <c r="H1207" s="3" t="s">
        <v>2939</v>
      </c>
      <c r="I1207" s="3"/>
      <c r="J1207" t="s">
        <v>2940</v>
      </c>
    </row>
    <row r="1208" spans="1:10">
      <c r="A1208" s="3" t="s">
        <v>951</v>
      </c>
      <c r="B1208" s="3" t="s">
        <v>952</v>
      </c>
      <c r="C1208" s="3" t="s">
        <v>94</v>
      </c>
      <c r="D1208" s="3" t="s">
        <v>2935</v>
      </c>
      <c r="E1208" s="3"/>
      <c r="F1208" s="3"/>
      <c r="G1208" s="3" t="s">
        <v>2936</v>
      </c>
      <c r="H1208" s="3" t="s">
        <v>2941</v>
      </c>
      <c r="I1208" s="3"/>
      <c r="J1208" t="s">
        <v>2942</v>
      </c>
    </row>
    <row r="1209" spans="1:10">
      <c r="A1209" s="3" t="s">
        <v>951</v>
      </c>
      <c r="B1209" s="3" t="s">
        <v>952</v>
      </c>
      <c r="C1209" s="3" t="s">
        <v>94</v>
      </c>
      <c r="D1209" s="3" t="s">
        <v>2935</v>
      </c>
      <c r="E1209" s="3"/>
      <c r="F1209" s="3"/>
      <c r="G1209" s="3" t="s">
        <v>2936</v>
      </c>
      <c r="H1209" s="3" t="s">
        <v>2943</v>
      </c>
      <c r="I1209" s="3"/>
      <c r="J1209" t="s">
        <v>2944</v>
      </c>
    </row>
    <row r="1210" spans="1:10">
      <c r="A1210" s="3" t="s">
        <v>951</v>
      </c>
      <c r="B1210" s="3" t="s">
        <v>952</v>
      </c>
      <c r="C1210" s="3" t="s">
        <v>94</v>
      </c>
      <c r="D1210" s="3" t="s">
        <v>2935</v>
      </c>
      <c r="E1210" s="3"/>
      <c r="F1210" s="3"/>
      <c r="G1210" s="3" t="s">
        <v>2945</v>
      </c>
      <c r="H1210" s="3" t="s">
        <v>2937</v>
      </c>
      <c r="I1210" s="3"/>
      <c r="J1210" t="s">
        <v>2946</v>
      </c>
    </row>
    <row r="1211" spans="1:10">
      <c r="A1211" s="3" t="s">
        <v>951</v>
      </c>
      <c r="B1211" s="3" t="s">
        <v>952</v>
      </c>
      <c r="C1211" s="3" t="s">
        <v>94</v>
      </c>
      <c r="D1211" s="3" t="s">
        <v>2935</v>
      </c>
      <c r="E1211" s="3"/>
      <c r="F1211" s="3"/>
      <c r="G1211" s="3" t="s">
        <v>2945</v>
      </c>
      <c r="H1211" s="3" t="s">
        <v>2939</v>
      </c>
      <c r="I1211" s="3"/>
      <c r="J1211" t="s">
        <v>2947</v>
      </c>
    </row>
    <row r="1212" spans="1:10">
      <c r="A1212" s="3" t="s">
        <v>951</v>
      </c>
      <c r="B1212" s="3" t="s">
        <v>952</v>
      </c>
      <c r="C1212" s="3" t="s">
        <v>94</v>
      </c>
      <c r="D1212" s="3" t="s">
        <v>2935</v>
      </c>
      <c r="E1212" s="3"/>
      <c r="F1212" s="3"/>
      <c r="G1212" s="3" t="s">
        <v>2945</v>
      </c>
      <c r="H1212" s="3" t="s">
        <v>2941</v>
      </c>
      <c r="I1212" s="3"/>
      <c r="J1212" t="s">
        <v>2948</v>
      </c>
    </row>
    <row r="1213" spans="1:10">
      <c r="A1213" s="3" t="s">
        <v>951</v>
      </c>
      <c r="B1213" s="3" t="s">
        <v>952</v>
      </c>
      <c r="C1213" s="3" t="s">
        <v>94</v>
      </c>
      <c r="D1213" s="3" t="s">
        <v>2935</v>
      </c>
      <c r="E1213" s="3"/>
      <c r="F1213" s="3"/>
      <c r="G1213" s="3" t="s">
        <v>2945</v>
      </c>
      <c r="H1213" s="3" t="s">
        <v>2943</v>
      </c>
      <c r="I1213" s="3"/>
      <c r="J1213" t="s">
        <v>2949</v>
      </c>
    </row>
    <row r="1214" spans="1:10">
      <c r="A1214" s="3" t="s">
        <v>951</v>
      </c>
      <c r="B1214" s="3" t="s">
        <v>952</v>
      </c>
      <c r="C1214" s="3" t="s">
        <v>94</v>
      </c>
      <c r="D1214" s="3" t="s">
        <v>2935</v>
      </c>
      <c r="E1214" s="3"/>
      <c r="F1214" s="3"/>
      <c r="G1214" s="3"/>
      <c r="H1214" s="3"/>
      <c r="I1214" s="3" t="s">
        <v>2950</v>
      </c>
      <c r="J1214" t="s">
        <v>2951</v>
      </c>
    </row>
    <row r="1215" spans="1:10">
      <c r="A1215" s="3" t="s">
        <v>951</v>
      </c>
      <c r="B1215" s="3" t="s">
        <v>952</v>
      </c>
      <c r="C1215" s="3" t="s">
        <v>94</v>
      </c>
      <c r="D1215" s="3" t="s">
        <v>2935</v>
      </c>
      <c r="E1215" s="3"/>
      <c r="F1215" s="3"/>
      <c r="G1215" s="3"/>
      <c r="H1215" s="3"/>
      <c r="I1215" s="3" t="s">
        <v>2952</v>
      </c>
      <c r="J1215" t="s">
        <v>2953</v>
      </c>
    </row>
    <row r="1216" spans="1:10">
      <c r="A1216" s="3" t="s">
        <v>951</v>
      </c>
      <c r="B1216" s="3" t="s">
        <v>952</v>
      </c>
      <c r="C1216" s="3" t="s">
        <v>94</v>
      </c>
      <c r="D1216" s="3" t="s">
        <v>2935</v>
      </c>
      <c r="E1216" s="3"/>
      <c r="F1216" s="3"/>
      <c r="G1216" s="3"/>
      <c r="H1216" s="3"/>
      <c r="I1216" s="3" t="s">
        <v>2954</v>
      </c>
      <c r="J1216" t="s">
        <v>2955</v>
      </c>
    </row>
    <row r="1217" spans="1:10">
      <c r="A1217" s="3" t="s">
        <v>951</v>
      </c>
      <c r="B1217" s="3" t="s">
        <v>952</v>
      </c>
      <c r="C1217" s="3" t="s">
        <v>94</v>
      </c>
      <c r="D1217" s="3" t="s">
        <v>2935</v>
      </c>
      <c r="E1217" s="3"/>
      <c r="F1217" s="3"/>
      <c r="G1217" s="3"/>
      <c r="H1217" s="3"/>
      <c r="I1217" s="3" t="s">
        <v>2956</v>
      </c>
      <c r="J1217" t="s">
        <v>2957</v>
      </c>
    </row>
    <row r="1218" spans="1:10">
      <c r="A1218" s="3" t="s">
        <v>951</v>
      </c>
      <c r="B1218" s="3" t="s">
        <v>955</v>
      </c>
      <c r="C1218" s="3" t="s">
        <v>95</v>
      </c>
      <c r="D1218" s="3" t="s">
        <v>2958</v>
      </c>
      <c r="E1218" s="3"/>
      <c r="F1218" s="3"/>
      <c r="G1218" s="3" t="s">
        <v>2959</v>
      </c>
      <c r="H1218" s="3" t="s">
        <v>2960</v>
      </c>
      <c r="I1218" s="3"/>
      <c r="J1218" t="s">
        <v>2961</v>
      </c>
    </row>
    <row r="1219" spans="1:10">
      <c r="A1219" s="3" t="s">
        <v>951</v>
      </c>
      <c r="B1219" s="3" t="s">
        <v>955</v>
      </c>
      <c r="C1219" s="3" t="s">
        <v>95</v>
      </c>
      <c r="D1219" s="3" t="s">
        <v>2958</v>
      </c>
      <c r="E1219" s="3"/>
      <c r="F1219" s="3"/>
      <c r="G1219" s="3" t="s">
        <v>2959</v>
      </c>
      <c r="H1219" s="3" t="s">
        <v>2962</v>
      </c>
      <c r="I1219" s="3"/>
      <c r="J1219" t="s">
        <v>2963</v>
      </c>
    </row>
    <row r="1220" spans="1:10">
      <c r="A1220" s="3" t="s">
        <v>951</v>
      </c>
      <c r="B1220" s="3" t="s">
        <v>955</v>
      </c>
      <c r="C1220" s="3" t="s">
        <v>95</v>
      </c>
      <c r="D1220" s="3" t="s">
        <v>2958</v>
      </c>
      <c r="E1220" s="3"/>
      <c r="F1220" s="3"/>
      <c r="G1220" s="3" t="s">
        <v>2959</v>
      </c>
      <c r="H1220" s="3" t="s">
        <v>2964</v>
      </c>
      <c r="I1220" s="3"/>
      <c r="J1220" t="s">
        <v>2965</v>
      </c>
    </row>
    <row r="1221" spans="1:10">
      <c r="A1221" s="3" t="s">
        <v>951</v>
      </c>
      <c r="B1221" s="3" t="s">
        <v>955</v>
      </c>
      <c r="C1221" s="3" t="s">
        <v>95</v>
      </c>
      <c r="D1221" s="3" t="s">
        <v>2958</v>
      </c>
      <c r="E1221" s="3"/>
      <c r="F1221" s="3"/>
      <c r="G1221" s="3" t="s">
        <v>2959</v>
      </c>
      <c r="H1221" s="3" t="s">
        <v>2966</v>
      </c>
      <c r="I1221" s="3"/>
      <c r="J1221" t="s">
        <v>2967</v>
      </c>
    </row>
    <row r="1222" spans="1:10">
      <c r="A1222" s="3" t="s">
        <v>951</v>
      </c>
      <c r="B1222" s="3" t="s">
        <v>955</v>
      </c>
      <c r="C1222" s="3" t="s">
        <v>95</v>
      </c>
      <c r="D1222" s="3" t="s">
        <v>2958</v>
      </c>
      <c r="E1222" s="3"/>
      <c r="F1222" s="3"/>
      <c r="G1222" s="3" t="s">
        <v>2968</v>
      </c>
      <c r="H1222" s="3" t="s">
        <v>2960</v>
      </c>
      <c r="I1222" s="3"/>
      <c r="J1222" t="s">
        <v>2969</v>
      </c>
    </row>
    <row r="1223" spans="1:10">
      <c r="A1223" s="3" t="s">
        <v>951</v>
      </c>
      <c r="B1223" s="3" t="s">
        <v>955</v>
      </c>
      <c r="C1223" s="3" t="s">
        <v>95</v>
      </c>
      <c r="D1223" s="3" t="s">
        <v>2958</v>
      </c>
      <c r="E1223" s="3"/>
      <c r="F1223" s="3"/>
      <c r="G1223" s="3" t="s">
        <v>2968</v>
      </c>
      <c r="H1223" s="3" t="s">
        <v>2962</v>
      </c>
      <c r="I1223" s="3"/>
      <c r="J1223" t="s">
        <v>2970</v>
      </c>
    </row>
    <row r="1224" spans="1:10">
      <c r="A1224" s="3" t="s">
        <v>951</v>
      </c>
      <c r="B1224" s="3" t="s">
        <v>955</v>
      </c>
      <c r="C1224" s="3" t="s">
        <v>95</v>
      </c>
      <c r="D1224" s="3" t="s">
        <v>2958</v>
      </c>
      <c r="E1224" s="3"/>
      <c r="F1224" s="3"/>
      <c r="G1224" s="3" t="s">
        <v>2968</v>
      </c>
      <c r="H1224" s="3" t="s">
        <v>2964</v>
      </c>
      <c r="I1224" s="3"/>
      <c r="J1224" t="s">
        <v>2971</v>
      </c>
    </row>
    <row r="1225" spans="1:10">
      <c r="A1225" s="3" t="s">
        <v>951</v>
      </c>
      <c r="B1225" s="3" t="s">
        <v>955</v>
      </c>
      <c r="C1225" s="3" t="s">
        <v>95</v>
      </c>
      <c r="D1225" s="3" t="s">
        <v>2958</v>
      </c>
      <c r="E1225" s="3"/>
      <c r="F1225" s="3"/>
      <c r="G1225" s="3" t="s">
        <v>2968</v>
      </c>
      <c r="H1225" s="3" t="s">
        <v>2966</v>
      </c>
      <c r="I1225" s="3"/>
      <c r="J1225" t="s">
        <v>2972</v>
      </c>
    </row>
    <row r="1226" spans="1:10">
      <c r="A1226" s="3" t="s">
        <v>951</v>
      </c>
      <c r="B1226" s="3" t="s">
        <v>955</v>
      </c>
      <c r="C1226" s="3" t="s">
        <v>95</v>
      </c>
      <c r="D1226" s="3" t="s">
        <v>2958</v>
      </c>
      <c r="E1226" s="3"/>
      <c r="F1226" s="3"/>
      <c r="G1226" s="3"/>
      <c r="H1226" s="3"/>
      <c r="I1226" s="3" t="s">
        <v>2973</v>
      </c>
      <c r="J1226" t="s">
        <v>2974</v>
      </c>
    </row>
    <row r="1227" spans="1:10">
      <c r="A1227" s="3" t="s">
        <v>951</v>
      </c>
      <c r="B1227" s="3" t="s">
        <v>955</v>
      </c>
      <c r="C1227" s="3" t="s">
        <v>95</v>
      </c>
      <c r="D1227" s="3" t="s">
        <v>2958</v>
      </c>
      <c r="E1227" s="3"/>
      <c r="F1227" s="3"/>
      <c r="G1227" s="3"/>
      <c r="H1227" s="3"/>
      <c r="I1227" s="3" t="s">
        <v>2975</v>
      </c>
      <c r="J1227" t="s">
        <v>2976</v>
      </c>
    </row>
    <row r="1228" spans="1:10">
      <c r="A1228" s="3" t="s">
        <v>951</v>
      </c>
      <c r="B1228" s="3" t="s">
        <v>955</v>
      </c>
      <c r="C1228" s="3" t="s">
        <v>95</v>
      </c>
      <c r="D1228" s="3" t="s">
        <v>2958</v>
      </c>
      <c r="E1228" s="3"/>
      <c r="F1228" s="3"/>
      <c r="G1228" s="3"/>
      <c r="H1228" s="3"/>
      <c r="I1228" s="3" t="s">
        <v>2977</v>
      </c>
      <c r="J1228" t="s">
        <v>2978</v>
      </c>
    </row>
    <row r="1229" spans="1:10">
      <c r="A1229" s="3" t="s">
        <v>964</v>
      </c>
      <c r="B1229" s="3" t="s">
        <v>972</v>
      </c>
      <c r="C1229" s="3" t="s">
        <v>96</v>
      </c>
      <c r="D1229" s="3" t="s">
        <v>2979</v>
      </c>
      <c r="E1229" s="3"/>
      <c r="F1229" s="3"/>
      <c r="G1229" s="3" t="s">
        <v>2980</v>
      </c>
      <c r="H1229" s="3" t="s">
        <v>2981</v>
      </c>
      <c r="I1229" s="3"/>
      <c r="J1229" t="s">
        <v>2982</v>
      </c>
    </row>
    <row r="1230" spans="1:10">
      <c r="A1230" s="3" t="s">
        <v>964</v>
      </c>
      <c r="B1230" s="3" t="s">
        <v>972</v>
      </c>
      <c r="C1230" s="3" t="s">
        <v>96</v>
      </c>
      <c r="D1230" s="3" t="s">
        <v>2979</v>
      </c>
      <c r="E1230" s="3"/>
      <c r="F1230" s="3"/>
      <c r="G1230" s="3" t="s">
        <v>2980</v>
      </c>
      <c r="H1230" s="3" t="s">
        <v>2983</v>
      </c>
      <c r="I1230" s="3"/>
      <c r="J1230" t="s">
        <v>2984</v>
      </c>
    </row>
    <row r="1231" spans="1:10">
      <c r="A1231" s="3" t="s">
        <v>964</v>
      </c>
      <c r="B1231" s="3" t="s">
        <v>972</v>
      </c>
      <c r="C1231" s="3" t="s">
        <v>96</v>
      </c>
      <c r="D1231" s="3" t="s">
        <v>2979</v>
      </c>
      <c r="E1231" s="3"/>
      <c r="F1231" s="3"/>
      <c r="G1231" s="3" t="s">
        <v>2980</v>
      </c>
      <c r="H1231" s="3" t="s">
        <v>2985</v>
      </c>
      <c r="I1231" s="3"/>
      <c r="J1231" t="s">
        <v>2986</v>
      </c>
    </row>
    <row r="1232" spans="1:10">
      <c r="A1232" s="3" t="s">
        <v>964</v>
      </c>
      <c r="B1232" s="3" t="s">
        <v>972</v>
      </c>
      <c r="C1232" s="3" t="s">
        <v>96</v>
      </c>
      <c r="D1232" s="3" t="s">
        <v>2979</v>
      </c>
      <c r="E1232" s="3"/>
      <c r="F1232" s="3"/>
      <c r="G1232" s="3" t="s">
        <v>2987</v>
      </c>
      <c r="H1232" s="3" t="s">
        <v>2981</v>
      </c>
      <c r="I1232" s="3"/>
      <c r="J1232" t="s">
        <v>2988</v>
      </c>
    </row>
    <row r="1233" spans="1:10">
      <c r="A1233" s="3" t="s">
        <v>964</v>
      </c>
      <c r="B1233" s="3" t="s">
        <v>972</v>
      </c>
      <c r="C1233" s="3" t="s">
        <v>96</v>
      </c>
      <c r="D1233" s="3" t="s">
        <v>2979</v>
      </c>
      <c r="E1233" s="3"/>
      <c r="F1233" s="3"/>
      <c r="G1233" s="3" t="s">
        <v>2987</v>
      </c>
      <c r="H1233" s="3" t="s">
        <v>2983</v>
      </c>
      <c r="I1233" s="3"/>
      <c r="J1233" t="s">
        <v>2989</v>
      </c>
    </row>
    <row r="1234" spans="1:10">
      <c r="A1234" s="3" t="s">
        <v>964</v>
      </c>
      <c r="B1234" s="3" t="s">
        <v>972</v>
      </c>
      <c r="C1234" s="3" t="s">
        <v>96</v>
      </c>
      <c r="D1234" s="3" t="s">
        <v>2979</v>
      </c>
      <c r="E1234" s="3"/>
      <c r="F1234" s="3"/>
      <c r="G1234" s="3" t="s">
        <v>2987</v>
      </c>
      <c r="H1234" s="3" t="s">
        <v>2985</v>
      </c>
      <c r="I1234" s="3"/>
      <c r="J1234" t="s">
        <v>2990</v>
      </c>
    </row>
    <row r="1235" spans="1:10">
      <c r="A1235" s="3" t="s">
        <v>964</v>
      </c>
      <c r="B1235" s="3" t="s">
        <v>972</v>
      </c>
      <c r="C1235" s="3" t="s">
        <v>96</v>
      </c>
      <c r="D1235" s="3" t="s">
        <v>2991</v>
      </c>
      <c r="E1235" s="3"/>
      <c r="F1235" s="3"/>
      <c r="G1235" s="3"/>
      <c r="H1235" s="3" t="s">
        <v>2992</v>
      </c>
      <c r="I1235" s="3"/>
      <c r="J1235" t="s">
        <v>2993</v>
      </c>
    </row>
    <row r="1236" spans="1:10">
      <c r="A1236" s="3" t="s">
        <v>964</v>
      </c>
      <c r="B1236" s="3" t="s">
        <v>972</v>
      </c>
      <c r="C1236" s="3" t="s">
        <v>96</v>
      </c>
      <c r="D1236" s="3" t="s">
        <v>2991</v>
      </c>
      <c r="E1236" s="3"/>
      <c r="F1236" s="3"/>
      <c r="G1236" s="3"/>
      <c r="H1236" s="3" t="s">
        <v>2994</v>
      </c>
      <c r="I1236" s="3"/>
      <c r="J1236" t="s">
        <v>2995</v>
      </c>
    </row>
    <row r="1237" spans="1:10">
      <c r="A1237" s="3" t="s">
        <v>964</v>
      </c>
      <c r="B1237" s="3" t="s">
        <v>972</v>
      </c>
      <c r="C1237" s="3" t="s">
        <v>96</v>
      </c>
      <c r="D1237" s="3" t="s">
        <v>2991</v>
      </c>
      <c r="E1237" s="3"/>
      <c r="F1237" s="3"/>
      <c r="G1237" s="3"/>
      <c r="H1237" s="3" t="s">
        <v>2996</v>
      </c>
      <c r="I1237" s="3"/>
      <c r="J1237" t="s">
        <v>2997</v>
      </c>
    </row>
    <row r="1238" spans="1:10">
      <c r="A1238" s="3" t="s">
        <v>964</v>
      </c>
      <c r="B1238" s="3" t="s">
        <v>972</v>
      </c>
      <c r="C1238" s="3" t="s">
        <v>96</v>
      </c>
      <c r="D1238" s="3" t="s">
        <v>2991</v>
      </c>
      <c r="E1238" s="3"/>
      <c r="F1238" s="3"/>
      <c r="G1238" s="3"/>
      <c r="H1238" s="3" t="s">
        <v>2998</v>
      </c>
      <c r="I1238" s="3"/>
      <c r="J1238" t="s">
        <v>2999</v>
      </c>
    </row>
    <row r="1239" spans="1:10">
      <c r="A1239" s="3" t="s">
        <v>964</v>
      </c>
      <c r="B1239" s="3" t="s">
        <v>979</v>
      </c>
      <c r="C1239" s="3" t="s">
        <v>98</v>
      </c>
      <c r="D1239" s="3" t="s">
        <v>3000</v>
      </c>
      <c r="E1239" s="3"/>
      <c r="F1239" s="3"/>
      <c r="G1239" s="3"/>
      <c r="H1239" s="3"/>
      <c r="I1239" s="3"/>
      <c r="J1239" t="s">
        <v>3001</v>
      </c>
    </row>
    <row r="1240" spans="1:10">
      <c r="A1240" s="3" t="s">
        <v>984</v>
      </c>
      <c r="B1240" s="3" t="s">
        <v>985</v>
      </c>
      <c r="C1240" s="3" t="s">
        <v>99</v>
      </c>
      <c r="D1240" s="3" t="s">
        <v>3002</v>
      </c>
      <c r="E1240" s="3"/>
      <c r="F1240" s="3"/>
      <c r="G1240" s="3" t="s">
        <v>3003</v>
      </c>
      <c r="H1240" s="3" t="s">
        <v>3004</v>
      </c>
      <c r="I1240" s="3"/>
      <c r="J1240" t="s">
        <v>3005</v>
      </c>
    </row>
    <row r="1241" spans="1:10">
      <c r="A1241" s="3" t="s">
        <v>984</v>
      </c>
      <c r="B1241" s="3" t="s">
        <v>985</v>
      </c>
      <c r="C1241" s="3" t="s">
        <v>99</v>
      </c>
      <c r="D1241" s="3" t="s">
        <v>3002</v>
      </c>
      <c r="E1241" s="3"/>
      <c r="F1241" s="3"/>
      <c r="G1241" s="3" t="s">
        <v>3003</v>
      </c>
      <c r="H1241" s="3" t="s">
        <v>3006</v>
      </c>
      <c r="I1241" s="3"/>
      <c r="J1241" t="s">
        <v>3007</v>
      </c>
    </row>
    <row r="1242" spans="1:10">
      <c r="A1242" s="3" t="s">
        <v>984</v>
      </c>
      <c r="B1242" s="3" t="s">
        <v>985</v>
      </c>
      <c r="C1242" s="3" t="s">
        <v>99</v>
      </c>
      <c r="D1242" s="3" t="s">
        <v>3002</v>
      </c>
      <c r="E1242" s="3"/>
      <c r="F1242" s="3"/>
      <c r="G1242" s="3" t="s">
        <v>3003</v>
      </c>
      <c r="H1242" s="3" t="s">
        <v>3008</v>
      </c>
      <c r="I1242" s="3"/>
      <c r="J1242" t="s">
        <v>3009</v>
      </c>
    </row>
    <row r="1243" spans="1:10">
      <c r="A1243" s="3" t="s">
        <v>984</v>
      </c>
      <c r="B1243" s="3" t="s">
        <v>985</v>
      </c>
      <c r="C1243" s="3" t="s">
        <v>99</v>
      </c>
      <c r="D1243" s="3" t="s">
        <v>3002</v>
      </c>
      <c r="E1243" s="3"/>
      <c r="F1243" s="3"/>
      <c r="G1243" s="3" t="s">
        <v>3003</v>
      </c>
      <c r="H1243" s="3" t="s">
        <v>3010</v>
      </c>
      <c r="I1243" s="3"/>
      <c r="J1243" t="s">
        <v>3011</v>
      </c>
    </row>
    <row r="1244" spans="1:10">
      <c r="A1244" s="3" t="s">
        <v>984</v>
      </c>
      <c r="B1244" s="3" t="s">
        <v>985</v>
      </c>
      <c r="C1244" s="3" t="s">
        <v>99</v>
      </c>
      <c r="D1244" s="3" t="s">
        <v>3002</v>
      </c>
      <c r="E1244" s="3"/>
      <c r="F1244" s="3"/>
      <c r="G1244" s="3" t="s">
        <v>3003</v>
      </c>
      <c r="H1244" s="3" t="s">
        <v>3012</v>
      </c>
      <c r="I1244" s="3"/>
      <c r="J1244" t="s">
        <v>3013</v>
      </c>
    </row>
    <row r="1245" spans="1:10">
      <c r="A1245" s="3" t="s">
        <v>984</v>
      </c>
      <c r="B1245" s="3" t="s">
        <v>985</v>
      </c>
      <c r="C1245" s="3" t="s">
        <v>99</v>
      </c>
      <c r="D1245" s="3" t="s">
        <v>3002</v>
      </c>
      <c r="E1245" s="3"/>
      <c r="F1245" s="3"/>
      <c r="G1245" s="3" t="s">
        <v>3014</v>
      </c>
      <c r="H1245" s="3" t="s">
        <v>3004</v>
      </c>
      <c r="I1245" s="3"/>
      <c r="J1245" t="s">
        <v>3015</v>
      </c>
    </row>
    <row r="1246" spans="1:10">
      <c r="A1246" s="3" t="s">
        <v>984</v>
      </c>
      <c r="B1246" s="3" t="s">
        <v>985</v>
      </c>
      <c r="C1246" s="3" t="s">
        <v>99</v>
      </c>
      <c r="D1246" s="3" t="s">
        <v>3002</v>
      </c>
      <c r="E1246" s="3"/>
      <c r="F1246" s="3"/>
      <c r="G1246" s="3" t="s">
        <v>3014</v>
      </c>
      <c r="H1246" s="3" t="s">
        <v>3006</v>
      </c>
      <c r="I1246" s="3"/>
      <c r="J1246" t="s">
        <v>3016</v>
      </c>
    </row>
    <row r="1247" spans="1:10">
      <c r="A1247" s="3" t="s">
        <v>984</v>
      </c>
      <c r="B1247" s="3" t="s">
        <v>985</v>
      </c>
      <c r="C1247" s="3" t="s">
        <v>99</v>
      </c>
      <c r="D1247" s="3" t="s">
        <v>3002</v>
      </c>
      <c r="E1247" s="3"/>
      <c r="F1247" s="3"/>
      <c r="G1247" s="3" t="s">
        <v>3014</v>
      </c>
      <c r="H1247" s="3" t="s">
        <v>3008</v>
      </c>
      <c r="I1247" s="3"/>
      <c r="J1247" t="s">
        <v>3017</v>
      </c>
    </row>
    <row r="1248" spans="1:10">
      <c r="A1248" s="3" t="s">
        <v>984</v>
      </c>
      <c r="B1248" s="3" t="s">
        <v>985</v>
      </c>
      <c r="C1248" s="3" t="s">
        <v>99</v>
      </c>
      <c r="D1248" s="3" t="s">
        <v>3002</v>
      </c>
      <c r="E1248" s="3"/>
      <c r="F1248" s="3"/>
      <c r="G1248" s="3" t="s">
        <v>3014</v>
      </c>
      <c r="H1248" s="3" t="s">
        <v>3010</v>
      </c>
      <c r="I1248" s="3"/>
      <c r="J1248" t="s">
        <v>3018</v>
      </c>
    </row>
    <row r="1249" spans="1:10">
      <c r="A1249" s="3" t="s">
        <v>984</v>
      </c>
      <c r="B1249" s="3" t="s">
        <v>985</v>
      </c>
      <c r="C1249" s="3" t="s">
        <v>99</v>
      </c>
      <c r="D1249" s="3" t="s">
        <v>3002</v>
      </c>
      <c r="E1249" s="3"/>
      <c r="F1249" s="3"/>
      <c r="G1249" s="3" t="s">
        <v>3014</v>
      </c>
      <c r="H1249" s="3" t="s">
        <v>3012</v>
      </c>
      <c r="I1249" s="3"/>
      <c r="J1249" t="s">
        <v>3019</v>
      </c>
    </row>
    <row r="1250" spans="1:10">
      <c r="A1250" s="3" t="s">
        <v>984</v>
      </c>
      <c r="B1250" s="3" t="s">
        <v>985</v>
      </c>
      <c r="C1250" s="3" t="s">
        <v>99</v>
      </c>
      <c r="D1250" s="3" t="s">
        <v>3002</v>
      </c>
      <c r="E1250" s="3"/>
      <c r="F1250" s="3"/>
      <c r="G1250" s="3"/>
      <c r="H1250" s="3"/>
      <c r="I1250" s="3" t="s">
        <v>3020</v>
      </c>
      <c r="J1250" t="s">
        <v>3021</v>
      </c>
    </row>
    <row r="1251" spans="1:10">
      <c r="A1251" s="3" t="s">
        <v>984</v>
      </c>
      <c r="B1251" s="3" t="s">
        <v>985</v>
      </c>
      <c r="C1251" s="3" t="s">
        <v>99</v>
      </c>
      <c r="D1251" s="3" t="s">
        <v>3002</v>
      </c>
      <c r="E1251" s="3"/>
      <c r="F1251" s="3"/>
      <c r="G1251" s="3"/>
      <c r="H1251" s="3"/>
      <c r="I1251" s="3" t="s">
        <v>3022</v>
      </c>
      <c r="J1251" t="s">
        <v>3023</v>
      </c>
    </row>
    <row r="1252" spans="1:10">
      <c r="A1252" s="3" t="s">
        <v>984</v>
      </c>
      <c r="B1252" s="3" t="s">
        <v>985</v>
      </c>
      <c r="C1252" s="3" t="s">
        <v>99</v>
      </c>
      <c r="D1252" s="3" t="s">
        <v>3002</v>
      </c>
      <c r="E1252" s="3"/>
      <c r="F1252" s="3"/>
      <c r="G1252" s="3"/>
      <c r="H1252" s="3"/>
      <c r="I1252" s="3" t="s">
        <v>3024</v>
      </c>
      <c r="J1252" t="s">
        <v>3025</v>
      </c>
    </row>
    <row r="1253" spans="1:10">
      <c r="A1253" s="3" t="s">
        <v>984</v>
      </c>
      <c r="B1253" s="3" t="s">
        <v>985</v>
      </c>
      <c r="C1253" s="3" t="s">
        <v>99</v>
      </c>
      <c r="D1253" s="3" t="s">
        <v>3002</v>
      </c>
      <c r="E1253" s="3"/>
      <c r="F1253" s="3"/>
      <c r="G1253" s="3"/>
      <c r="H1253" s="3"/>
      <c r="I1253" s="3" t="s">
        <v>3026</v>
      </c>
      <c r="J1253" t="s">
        <v>3027</v>
      </c>
    </row>
    <row r="1254" spans="1:10">
      <c r="A1254" s="3" t="s">
        <v>984</v>
      </c>
      <c r="B1254" s="3" t="s">
        <v>985</v>
      </c>
      <c r="C1254" s="3" t="s">
        <v>99</v>
      </c>
      <c r="D1254" s="3" t="s">
        <v>3028</v>
      </c>
      <c r="E1254" s="3"/>
      <c r="F1254" s="3"/>
      <c r="G1254" s="3" t="s">
        <v>3029</v>
      </c>
      <c r="H1254" s="3" t="s">
        <v>3030</v>
      </c>
      <c r="I1254" s="3"/>
      <c r="J1254" t="s">
        <v>3031</v>
      </c>
    </row>
    <row r="1255" spans="1:10">
      <c r="A1255" s="3" t="s">
        <v>984</v>
      </c>
      <c r="B1255" s="3" t="s">
        <v>985</v>
      </c>
      <c r="C1255" s="3" t="s">
        <v>99</v>
      </c>
      <c r="D1255" s="3" t="s">
        <v>3028</v>
      </c>
      <c r="E1255" s="3"/>
      <c r="F1255" s="3"/>
      <c r="G1255" s="3" t="s">
        <v>3029</v>
      </c>
      <c r="H1255" s="3" t="s">
        <v>3032</v>
      </c>
      <c r="I1255" s="3"/>
      <c r="J1255" t="s">
        <v>3033</v>
      </c>
    </row>
    <row r="1256" spans="1:10">
      <c r="A1256" s="3" t="s">
        <v>984</v>
      </c>
      <c r="B1256" s="3" t="s">
        <v>985</v>
      </c>
      <c r="C1256" s="3" t="s">
        <v>99</v>
      </c>
      <c r="D1256" s="3" t="s">
        <v>3028</v>
      </c>
      <c r="E1256" s="3"/>
      <c r="F1256" s="3"/>
      <c r="G1256" s="3" t="s">
        <v>3029</v>
      </c>
      <c r="H1256" s="3" t="s">
        <v>3034</v>
      </c>
      <c r="I1256" s="3"/>
      <c r="J1256" t="s">
        <v>3035</v>
      </c>
    </row>
    <row r="1257" spans="1:10">
      <c r="A1257" s="3" t="s">
        <v>984</v>
      </c>
      <c r="B1257" s="3" t="s">
        <v>985</v>
      </c>
      <c r="C1257" s="3" t="s">
        <v>99</v>
      </c>
      <c r="D1257" s="3" t="s">
        <v>3028</v>
      </c>
      <c r="E1257" s="3"/>
      <c r="F1257" s="3"/>
      <c r="G1257" s="3" t="s">
        <v>3029</v>
      </c>
      <c r="H1257" s="3" t="s">
        <v>3036</v>
      </c>
      <c r="I1257" s="3"/>
      <c r="J1257" t="s">
        <v>3037</v>
      </c>
    </row>
    <row r="1258" spans="1:10">
      <c r="A1258" s="3" t="s">
        <v>984</v>
      </c>
      <c r="B1258" s="3" t="s">
        <v>985</v>
      </c>
      <c r="C1258" s="3" t="s">
        <v>99</v>
      </c>
      <c r="D1258" s="3" t="s">
        <v>3028</v>
      </c>
      <c r="E1258" s="3"/>
      <c r="F1258" s="3"/>
      <c r="G1258" s="3" t="s">
        <v>3038</v>
      </c>
      <c r="H1258" s="3" t="s">
        <v>3030</v>
      </c>
      <c r="I1258" s="3"/>
      <c r="J1258" t="s">
        <v>3039</v>
      </c>
    </row>
    <row r="1259" spans="1:10">
      <c r="A1259" s="3" t="s">
        <v>984</v>
      </c>
      <c r="B1259" s="3" t="s">
        <v>985</v>
      </c>
      <c r="C1259" s="3" t="s">
        <v>99</v>
      </c>
      <c r="D1259" s="3" t="s">
        <v>3028</v>
      </c>
      <c r="E1259" s="3"/>
      <c r="F1259" s="3"/>
      <c r="G1259" s="3" t="s">
        <v>3038</v>
      </c>
      <c r="H1259" s="3" t="s">
        <v>3032</v>
      </c>
      <c r="I1259" s="3"/>
      <c r="J1259" t="s">
        <v>3040</v>
      </c>
    </row>
    <row r="1260" spans="1:10">
      <c r="A1260" s="3" t="s">
        <v>984</v>
      </c>
      <c r="B1260" s="3" t="s">
        <v>985</v>
      </c>
      <c r="C1260" s="3" t="s">
        <v>99</v>
      </c>
      <c r="D1260" s="3" t="s">
        <v>3028</v>
      </c>
      <c r="E1260" s="3"/>
      <c r="F1260" s="3"/>
      <c r="G1260" s="3" t="s">
        <v>3038</v>
      </c>
      <c r="H1260" s="3" t="s">
        <v>3034</v>
      </c>
      <c r="I1260" s="3"/>
      <c r="J1260" t="s">
        <v>3041</v>
      </c>
    </row>
    <row r="1261" spans="1:10">
      <c r="A1261" s="3" t="s">
        <v>984</v>
      </c>
      <c r="B1261" s="3" t="s">
        <v>985</v>
      </c>
      <c r="C1261" s="3" t="s">
        <v>99</v>
      </c>
      <c r="D1261" s="3" t="s">
        <v>3028</v>
      </c>
      <c r="E1261" s="3"/>
      <c r="F1261" s="3"/>
      <c r="G1261" s="3" t="s">
        <v>3038</v>
      </c>
      <c r="H1261" s="3" t="s">
        <v>3036</v>
      </c>
      <c r="I1261" s="3"/>
      <c r="J1261" t="s">
        <v>3042</v>
      </c>
    </row>
    <row r="1262" spans="1:10">
      <c r="A1262" s="3" t="s">
        <v>984</v>
      </c>
      <c r="B1262" s="3" t="s">
        <v>985</v>
      </c>
      <c r="C1262" s="3" t="s">
        <v>99</v>
      </c>
      <c r="D1262" s="3" t="s">
        <v>3028</v>
      </c>
      <c r="E1262" s="3"/>
      <c r="F1262" s="3"/>
      <c r="G1262" s="3"/>
      <c r="H1262" s="3"/>
      <c r="I1262" s="3" t="s">
        <v>3043</v>
      </c>
      <c r="J1262" t="s">
        <v>3044</v>
      </c>
    </row>
    <row r="1263" spans="1:10">
      <c r="A1263" s="3" t="s">
        <v>984</v>
      </c>
      <c r="B1263" s="3" t="s">
        <v>985</v>
      </c>
      <c r="C1263" s="3" t="s">
        <v>99</v>
      </c>
      <c r="D1263" s="3" t="s">
        <v>3028</v>
      </c>
      <c r="E1263" s="3"/>
      <c r="F1263" s="3"/>
      <c r="G1263" s="3"/>
      <c r="H1263" s="3"/>
      <c r="I1263" s="3" t="s">
        <v>3045</v>
      </c>
      <c r="J1263" t="s">
        <v>3046</v>
      </c>
    </row>
    <row r="1264" spans="1:10">
      <c r="A1264" s="3" t="s">
        <v>984</v>
      </c>
      <c r="B1264" s="3" t="s">
        <v>985</v>
      </c>
      <c r="C1264" s="3" t="s">
        <v>99</v>
      </c>
      <c r="D1264" s="3" t="s">
        <v>3028</v>
      </c>
      <c r="E1264" s="3"/>
      <c r="F1264" s="3"/>
      <c r="G1264" s="3"/>
      <c r="H1264" s="3"/>
      <c r="I1264" s="3" t="s">
        <v>3047</v>
      </c>
      <c r="J1264" t="s">
        <v>3048</v>
      </c>
    </row>
    <row r="1265" spans="1:10">
      <c r="A1265" s="3" t="s">
        <v>984</v>
      </c>
      <c r="B1265" s="3" t="s">
        <v>985</v>
      </c>
      <c r="C1265" s="3" t="s">
        <v>99</v>
      </c>
      <c r="D1265" s="3" t="s">
        <v>3028</v>
      </c>
      <c r="E1265" s="3"/>
      <c r="F1265" s="3"/>
      <c r="G1265" s="3"/>
      <c r="H1265" s="3"/>
      <c r="I1265" s="3" t="s">
        <v>3049</v>
      </c>
      <c r="J1265" t="s">
        <v>3050</v>
      </c>
    </row>
    <row r="1266" spans="1:10">
      <c r="A1266" s="3" t="s">
        <v>984</v>
      </c>
      <c r="B1266" s="3" t="s">
        <v>994</v>
      </c>
      <c r="C1266" s="3" t="s">
        <v>100</v>
      </c>
      <c r="D1266" s="3" t="s">
        <v>3051</v>
      </c>
      <c r="E1266" s="3"/>
      <c r="F1266" s="3"/>
      <c r="G1266" s="3" t="s">
        <v>3052</v>
      </c>
      <c r="H1266" s="3" t="s">
        <v>3053</v>
      </c>
      <c r="I1266" s="3"/>
      <c r="J1266" t="s">
        <v>3054</v>
      </c>
    </row>
    <row r="1267" spans="1:10">
      <c r="A1267" s="3" t="s">
        <v>984</v>
      </c>
      <c r="B1267" s="3" t="s">
        <v>994</v>
      </c>
      <c r="C1267" s="3" t="s">
        <v>100</v>
      </c>
      <c r="D1267" s="3" t="s">
        <v>3051</v>
      </c>
      <c r="E1267" s="3"/>
      <c r="F1267" s="3"/>
      <c r="G1267" s="3" t="s">
        <v>3052</v>
      </c>
      <c r="H1267" s="3" t="s">
        <v>3055</v>
      </c>
      <c r="I1267" s="3"/>
      <c r="J1267" t="s">
        <v>3056</v>
      </c>
    </row>
    <row r="1268" spans="1:10">
      <c r="A1268" s="3" t="s">
        <v>984</v>
      </c>
      <c r="B1268" s="3" t="s">
        <v>994</v>
      </c>
      <c r="C1268" s="3" t="s">
        <v>100</v>
      </c>
      <c r="D1268" s="3" t="s">
        <v>3051</v>
      </c>
      <c r="E1268" s="3"/>
      <c r="F1268" s="3"/>
      <c r="G1268" s="3" t="s">
        <v>3052</v>
      </c>
      <c r="H1268" s="3" t="s">
        <v>3057</v>
      </c>
      <c r="I1268" s="3"/>
      <c r="J1268" t="s">
        <v>3058</v>
      </c>
    </row>
    <row r="1269" spans="1:10">
      <c r="A1269" s="3" t="s">
        <v>984</v>
      </c>
      <c r="B1269" s="3" t="s">
        <v>994</v>
      </c>
      <c r="C1269" s="3" t="s">
        <v>100</v>
      </c>
      <c r="D1269" s="3" t="s">
        <v>3051</v>
      </c>
      <c r="E1269" s="3"/>
      <c r="F1269" s="3"/>
      <c r="G1269" s="3" t="s">
        <v>3052</v>
      </c>
      <c r="H1269" s="3" t="s">
        <v>3059</v>
      </c>
      <c r="I1269" s="3"/>
      <c r="J1269" t="s">
        <v>3060</v>
      </c>
    </row>
    <row r="1270" spans="1:10">
      <c r="A1270" s="3" t="s">
        <v>984</v>
      </c>
      <c r="B1270" s="3" t="s">
        <v>994</v>
      </c>
      <c r="C1270" s="3" t="s">
        <v>100</v>
      </c>
      <c r="D1270" s="3" t="s">
        <v>3051</v>
      </c>
      <c r="E1270" s="3"/>
      <c r="F1270" s="3"/>
      <c r="G1270" s="3" t="s">
        <v>3061</v>
      </c>
      <c r="H1270" s="3" t="s">
        <v>3053</v>
      </c>
      <c r="I1270" s="3"/>
      <c r="J1270" t="s">
        <v>3062</v>
      </c>
    </row>
    <row r="1271" spans="1:10">
      <c r="A1271" s="3" t="s">
        <v>984</v>
      </c>
      <c r="B1271" s="3" t="s">
        <v>994</v>
      </c>
      <c r="C1271" s="3" t="s">
        <v>100</v>
      </c>
      <c r="D1271" s="3" t="s">
        <v>3051</v>
      </c>
      <c r="E1271" s="3"/>
      <c r="F1271" s="3"/>
      <c r="G1271" s="3" t="s">
        <v>3061</v>
      </c>
      <c r="H1271" s="3" t="s">
        <v>3055</v>
      </c>
      <c r="I1271" s="3"/>
      <c r="J1271" t="s">
        <v>3063</v>
      </c>
    </row>
    <row r="1272" spans="1:10">
      <c r="A1272" s="3" t="s">
        <v>984</v>
      </c>
      <c r="B1272" s="3" t="s">
        <v>994</v>
      </c>
      <c r="C1272" s="3" t="s">
        <v>100</v>
      </c>
      <c r="D1272" s="3" t="s">
        <v>3051</v>
      </c>
      <c r="E1272" s="3"/>
      <c r="F1272" s="3"/>
      <c r="G1272" s="3" t="s">
        <v>3061</v>
      </c>
      <c r="H1272" s="3" t="s">
        <v>3057</v>
      </c>
      <c r="I1272" s="3"/>
      <c r="J1272" t="s">
        <v>3064</v>
      </c>
    </row>
    <row r="1273" spans="1:10">
      <c r="A1273" s="3" t="s">
        <v>984</v>
      </c>
      <c r="B1273" s="3" t="s">
        <v>994</v>
      </c>
      <c r="C1273" s="3" t="s">
        <v>100</v>
      </c>
      <c r="D1273" s="3" t="s">
        <v>3051</v>
      </c>
      <c r="E1273" s="3"/>
      <c r="F1273" s="3"/>
      <c r="G1273" s="3" t="s">
        <v>3061</v>
      </c>
      <c r="H1273" s="3" t="s">
        <v>3059</v>
      </c>
      <c r="I1273" s="3"/>
      <c r="J1273" t="s">
        <v>3065</v>
      </c>
    </row>
    <row r="1274" spans="1:10">
      <c r="A1274" s="3" t="s">
        <v>1010</v>
      </c>
      <c r="B1274" s="3" t="s">
        <v>1011</v>
      </c>
      <c r="C1274" s="3" t="s">
        <v>102</v>
      </c>
      <c r="D1274" s="3" t="s">
        <v>3066</v>
      </c>
      <c r="E1274" s="3"/>
      <c r="F1274" s="3"/>
      <c r="G1274" s="3" t="s">
        <v>3067</v>
      </c>
      <c r="H1274" s="3" t="s">
        <v>3068</v>
      </c>
      <c r="I1274" s="3"/>
      <c r="J1274" t="s">
        <v>3069</v>
      </c>
    </row>
    <row r="1275" spans="1:10">
      <c r="A1275" s="3" t="s">
        <v>1010</v>
      </c>
      <c r="B1275" s="3" t="s">
        <v>1011</v>
      </c>
      <c r="C1275" s="3" t="s">
        <v>102</v>
      </c>
      <c r="D1275" s="3" t="s">
        <v>3066</v>
      </c>
      <c r="E1275" s="3"/>
      <c r="F1275" s="3"/>
      <c r="G1275" s="3" t="s">
        <v>3067</v>
      </c>
      <c r="H1275" s="3" t="s">
        <v>3070</v>
      </c>
      <c r="I1275" s="3"/>
      <c r="J1275" t="s">
        <v>3071</v>
      </c>
    </row>
    <row r="1276" spans="1:10">
      <c r="A1276" s="3" t="s">
        <v>1010</v>
      </c>
      <c r="B1276" s="3" t="s">
        <v>1011</v>
      </c>
      <c r="C1276" s="3" t="s">
        <v>102</v>
      </c>
      <c r="D1276" s="3" t="s">
        <v>3066</v>
      </c>
      <c r="E1276" s="3"/>
      <c r="F1276" s="3"/>
      <c r="G1276" s="3" t="s">
        <v>3067</v>
      </c>
      <c r="H1276" s="3" t="s">
        <v>3072</v>
      </c>
      <c r="I1276" s="3"/>
      <c r="J1276" t="s">
        <v>3073</v>
      </c>
    </row>
    <row r="1277" spans="1:10">
      <c r="A1277" s="3" t="s">
        <v>1010</v>
      </c>
      <c r="B1277" s="3" t="s">
        <v>1011</v>
      </c>
      <c r="C1277" s="3" t="s">
        <v>102</v>
      </c>
      <c r="D1277" s="3" t="s">
        <v>3066</v>
      </c>
      <c r="E1277" s="3"/>
      <c r="F1277" s="3"/>
      <c r="G1277" s="3" t="s">
        <v>3067</v>
      </c>
      <c r="H1277" s="3" t="s">
        <v>3074</v>
      </c>
      <c r="I1277" s="3"/>
      <c r="J1277" t="s">
        <v>3075</v>
      </c>
    </row>
    <row r="1278" spans="1:10">
      <c r="A1278" s="3" t="s">
        <v>1010</v>
      </c>
      <c r="B1278" s="3" t="s">
        <v>1011</v>
      </c>
      <c r="C1278" s="3" t="s">
        <v>102</v>
      </c>
      <c r="D1278" s="3" t="s">
        <v>3066</v>
      </c>
      <c r="E1278" s="3"/>
      <c r="F1278" s="3"/>
      <c r="G1278" s="3" t="s">
        <v>3076</v>
      </c>
      <c r="H1278" s="3" t="s">
        <v>3068</v>
      </c>
      <c r="I1278" s="3"/>
      <c r="J1278" t="s">
        <v>3077</v>
      </c>
    </row>
    <row r="1279" spans="1:10">
      <c r="A1279" s="3" t="s">
        <v>1010</v>
      </c>
      <c r="B1279" s="3" t="s">
        <v>1011</v>
      </c>
      <c r="C1279" s="3" t="s">
        <v>102</v>
      </c>
      <c r="D1279" s="3" t="s">
        <v>3066</v>
      </c>
      <c r="E1279" s="3"/>
      <c r="F1279" s="3"/>
      <c r="G1279" s="3" t="s">
        <v>3076</v>
      </c>
      <c r="H1279" s="3" t="s">
        <v>3070</v>
      </c>
      <c r="I1279" s="3"/>
      <c r="J1279" t="s">
        <v>3078</v>
      </c>
    </row>
    <row r="1280" spans="1:10">
      <c r="A1280" s="3" t="s">
        <v>1010</v>
      </c>
      <c r="B1280" s="3" t="s">
        <v>1011</v>
      </c>
      <c r="C1280" s="3" t="s">
        <v>102</v>
      </c>
      <c r="D1280" s="3" t="s">
        <v>3066</v>
      </c>
      <c r="E1280" s="3"/>
      <c r="F1280" s="3"/>
      <c r="G1280" s="3" t="s">
        <v>3076</v>
      </c>
      <c r="H1280" s="3" t="s">
        <v>3072</v>
      </c>
      <c r="I1280" s="3"/>
      <c r="J1280" t="s">
        <v>3079</v>
      </c>
    </row>
    <row r="1281" spans="1:10">
      <c r="A1281" s="3" t="s">
        <v>1010</v>
      </c>
      <c r="B1281" s="3" t="s">
        <v>1011</v>
      </c>
      <c r="C1281" s="3" t="s">
        <v>102</v>
      </c>
      <c r="D1281" s="3" t="s">
        <v>3066</v>
      </c>
      <c r="E1281" s="3"/>
      <c r="F1281" s="3"/>
      <c r="G1281" s="3" t="s">
        <v>3076</v>
      </c>
      <c r="H1281" s="3" t="s">
        <v>3074</v>
      </c>
      <c r="I1281" s="3"/>
      <c r="J1281" t="s">
        <v>3080</v>
      </c>
    </row>
    <row r="1282" spans="1:10">
      <c r="A1282" s="3" t="s">
        <v>1010</v>
      </c>
      <c r="B1282" s="3" t="s">
        <v>1011</v>
      </c>
      <c r="C1282" s="3" t="s">
        <v>102</v>
      </c>
      <c r="D1282" s="3" t="s">
        <v>3066</v>
      </c>
      <c r="E1282" s="3"/>
      <c r="F1282" s="3"/>
      <c r="G1282" s="3"/>
      <c r="H1282" s="3"/>
      <c r="I1282" s="3" t="s">
        <v>3081</v>
      </c>
      <c r="J1282" t="s">
        <v>3082</v>
      </c>
    </row>
    <row r="1283" spans="1:10">
      <c r="A1283" s="3" t="s">
        <v>1010</v>
      </c>
      <c r="B1283" s="3" t="s">
        <v>1011</v>
      </c>
      <c r="C1283" s="3" t="s">
        <v>102</v>
      </c>
      <c r="D1283" s="3" t="s">
        <v>3066</v>
      </c>
      <c r="E1283" s="3"/>
      <c r="F1283" s="3"/>
      <c r="G1283" s="3"/>
      <c r="H1283" s="3"/>
      <c r="I1283" s="3" t="s">
        <v>3083</v>
      </c>
      <c r="J1283" t="s">
        <v>3084</v>
      </c>
    </row>
    <row r="1284" spans="1:10">
      <c r="A1284" s="3" t="s">
        <v>1010</v>
      </c>
      <c r="B1284" s="3" t="s">
        <v>1011</v>
      </c>
      <c r="C1284" s="3" t="s">
        <v>102</v>
      </c>
      <c r="D1284" s="3" t="s">
        <v>3066</v>
      </c>
      <c r="E1284" s="3"/>
      <c r="F1284" s="3"/>
      <c r="G1284" s="3"/>
      <c r="H1284" s="3"/>
      <c r="I1284" s="3" t="s">
        <v>3085</v>
      </c>
      <c r="J1284" t="s">
        <v>3086</v>
      </c>
    </row>
    <row r="1285" spans="1:10">
      <c r="A1285" s="3" t="s">
        <v>1010</v>
      </c>
      <c r="B1285" s="3" t="s">
        <v>1024</v>
      </c>
      <c r="C1285" s="3" t="s">
        <v>103</v>
      </c>
      <c r="D1285" s="3" t="s">
        <v>3087</v>
      </c>
      <c r="E1285" s="3"/>
      <c r="F1285" s="3"/>
      <c r="G1285" s="3" t="s">
        <v>3088</v>
      </c>
      <c r="H1285" s="3" t="s">
        <v>3089</v>
      </c>
      <c r="I1285" s="3"/>
      <c r="J1285" t="s">
        <v>3090</v>
      </c>
    </row>
    <row r="1286" spans="1:10">
      <c r="A1286" s="3" t="s">
        <v>1010</v>
      </c>
      <c r="B1286" s="3" t="s">
        <v>1024</v>
      </c>
      <c r="C1286" s="3" t="s">
        <v>103</v>
      </c>
      <c r="D1286" s="3" t="s">
        <v>3087</v>
      </c>
      <c r="E1286" s="3"/>
      <c r="F1286" s="3"/>
      <c r="G1286" s="3" t="s">
        <v>3088</v>
      </c>
      <c r="H1286" s="3" t="s">
        <v>3091</v>
      </c>
      <c r="I1286" s="3"/>
      <c r="J1286" t="s">
        <v>3092</v>
      </c>
    </row>
    <row r="1287" spans="1:10">
      <c r="A1287" s="3" t="s">
        <v>1010</v>
      </c>
      <c r="B1287" s="3" t="s">
        <v>1024</v>
      </c>
      <c r="C1287" s="3" t="s">
        <v>103</v>
      </c>
      <c r="D1287" s="3" t="s">
        <v>3087</v>
      </c>
      <c r="E1287" s="3"/>
      <c r="F1287" s="3"/>
      <c r="G1287" s="3" t="s">
        <v>3088</v>
      </c>
      <c r="H1287" s="3" t="s">
        <v>3093</v>
      </c>
      <c r="I1287" s="3"/>
      <c r="J1287" t="s">
        <v>3094</v>
      </c>
    </row>
    <row r="1288" spans="1:10">
      <c r="A1288" s="3" t="s">
        <v>1010</v>
      </c>
      <c r="B1288" s="3" t="s">
        <v>1024</v>
      </c>
      <c r="C1288" s="3" t="s">
        <v>103</v>
      </c>
      <c r="D1288" s="3" t="s">
        <v>3087</v>
      </c>
      <c r="E1288" s="3"/>
      <c r="F1288" s="3"/>
      <c r="G1288" s="3" t="s">
        <v>3088</v>
      </c>
      <c r="H1288" s="3" t="s">
        <v>3095</v>
      </c>
      <c r="I1288" s="3"/>
      <c r="J1288" t="s">
        <v>3096</v>
      </c>
    </row>
    <row r="1289" spans="1:10">
      <c r="A1289" s="3" t="s">
        <v>1010</v>
      </c>
      <c r="B1289" s="3" t="s">
        <v>1024</v>
      </c>
      <c r="C1289" s="3" t="s">
        <v>103</v>
      </c>
      <c r="D1289" s="3" t="s">
        <v>3087</v>
      </c>
      <c r="E1289" s="3"/>
      <c r="F1289" s="3"/>
      <c r="G1289" s="3" t="s">
        <v>3097</v>
      </c>
      <c r="H1289" s="3" t="s">
        <v>3089</v>
      </c>
      <c r="I1289" s="3"/>
      <c r="J1289" t="s">
        <v>3098</v>
      </c>
    </row>
    <row r="1290" spans="1:10">
      <c r="A1290" s="3" t="s">
        <v>1010</v>
      </c>
      <c r="B1290" s="3" t="s">
        <v>1024</v>
      </c>
      <c r="C1290" s="3" t="s">
        <v>103</v>
      </c>
      <c r="D1290" s="3" t="s">
        <v>3087</v>
      </c>
      <c r="E1290" s="3"/>
      <c r="F1290" s="3"/>
      <c r="G1290" s="3" t="s">
        <v>3097</v>
      </c>
      <c r="H1290" s="3" t="s">
        <v>3091</v>
      </c>
      <c r="I1290" s="3"/>
      <c r="J1290" t="s">
        <v>3099</v>
      </c>
    </row>
    <row r="1291" spans="1:10">
      <c r="A1291" s="3" t="s">
        <v>1010</v>
      </c>
      <c r="B1291" s="3" t="s">
        <v>1024</v>
      </c>
      <c r="C1291" s="3" t="s">
        <v>103</v>
      </c>
      <c r="D1291" s="3" t="s">
        <v>3087</v>
      </c>
      <c r="E1291" s="3"/>
      <c r="F1291" s="3"/>
      <c r="G1291" s="3" t="s">
        <v>3097</v>
      </c>
      <c r="H1291" s="3" t="s">
        <v>3093</v>
      </c>
      <c r="I1291" s="3"/>
      <c r="J1291" t="s">
        <v>3100</v>
      </c>
    </row>
    <row r="1292" spans="1:10">
      <c r="A1292" s="3" t="s">
        <v>1010</v>
      </c>
      <c r="B1292" s="3" t="s">
        <v>1024</v>
      </c>
      <c r="C1292" s="3" t="s">
        <v>103</v>
      </c>
      <c r="D1292" s="3" t="s">
        <v>3087</v>
      </c>
      <c r="E1292" s="3"/>
      <c r="F1292" s="3"/>
      <c r="G1292" s="3" t="s">
        <v>3097</v>
      </c>
      <c r="H1292" s="3" t="s">
        <v>3095</v>
      </c>
      <c r="I1292" s="3"/>
      <c r="J1292" t="s">
        <v>3101</v>
      </c>
    </row>
    <row r="1293" spans="1:10">
      <c r="A1293" s="3" t="s">
        <v>1010</v>
      </c>
      <c r="B1293" s="3" t="s">
        <v>1024</v>
      </c>
      <c r="C1293" s="3" t="s">
        <v>104</v>
      </c>
      <c r="D1293" s="3" t="s">
        <v>3102</v>
      </c>
      <c r="E1293" s="3"/>
      <c r="F1293" s="3"/>
      <c r="G1293" s="3" t="s">
        <v>3103</v>
      </c>
      <c r="H1293" s="3" t="s">
        <v>3104</v>
      </c>
      <c r="I1293" s="3"/>
      <c r="J1293" t="s">
        <v>3105</v>
      </c>
    </row>
    <row r="1294" spans="1:10">
      <c r="A1294" s="3" t="s">
        <v>1010</v>
      </c>
      <c r="B1294" s="3" t="s">
        <v>1024</v>
      </c>
      <c r="C1294" s="3" t="s">
        <v>104</v>
      </c>
      <c r="D1294" s="3" t="s">
        <v>3102</v>
      </c>
      <c r="E1294" s="3"/>
      <c r="F1294" s="3"/>
      <c r="G1294" s="3" t="s">
        <v>3103</v>
      </c>
      <c r="H1294" s="3" t="s">
        <v>3106</v>
      </c>
      <c r="I1294" s="3"/>
      <c r="J1294" t="s">
        <v>3107</v>
      </c>
    </row>
    <row r="1295" spans="1:10">
      <c r="A1295" s="3" t="s">
        <v>1010</v>
      </c>
      <c r="B1295" s="3" t="s">
        <v>1024</v>
      </c>
      <c r="C1295" s="3" t="s">
        <v>104</v>
      </c>
      <c r="D1295" s="3" t="s">
        <v>3102</v>
      </c>
      <c r="E1295" s="3"/>
      <c r="F1295" s="3"/>
      <c r="G1295" s="3" t="s">
        <v>3103</v>
      </c>
      <c r="H1295" s="3" t="s">
        <v>3108</v>
      </c>
      <c r="I1295" s="3"/>
      <c r="J1295" t="s">
        <v>3109</v>
      </c>
    </row>
    <row r="1296" spans="1:10">
      <c r="A1296" s="3" t="s">
        <v>1010</v>
      </c>
      <c r="B1296" s="3" t="s">
        <v>1024</v>
      </c>
      <c r="C1296" s="3" t="s">
        <v>104</v>
      </c>
      <c r="D1296" s="3" t="s">
        <v>3102</v>
      </c>
      <c r="E1296" s="3"/>
      <c r="F1296" s="3"/>
      <c r="G1296" s="3" t="s">
        <v>3110</v>
      </c>
      <c r="H1296" s="3" t="s">
        <v>3104</v>
      </c>
      <c r="I1296" s="3"/>
      <c r="J1296" t="s">
        <v>3111</v>
      </c>
    </row>
    <row r="1297" spans="1:10">
      <c r="A1297" s="3" t="s">
        <v>1010</v>
      </c>
      <c r="B1297" s="3" t="s">
        <v>1024</v>
      </c>
      <c r="C1297" s="3" t="s">
        <v>104</v>
      </c>
      <c r="D1297" s="3" t="s">
        <v>3102</v>
      </c>
      <c r="E1297" s="3"/>
      <c r="F1297" s="3"/>
      <c r="G1297" s="3" t="s">
        <v>3110</v>
      </c>
      <c r="H1297" s="3" t="s">
        <v>3106</v>
      </c>
      <c r="I1297" s="3"/>
      <c r="J1297" t="s">
        <v>3112</v>
      </c>
    </row>
    <row r="1298" spans="1:10">
      <c r="A1298" s="3" t="s">
        <v>1010</v>
      </c>
      <c r="B1298" s="3" t="s">
        <v>1024</v>
      </c>
      <c r="C1298" s="3" t="s">
        <v>104</v>
      </c>
      <c r="D1298" s="3" t="s">
        <v>3102</v>
      </c>
      <c r="E1298" s="3"/>
      <c r="F1298" s="3"/>
      <c r="G1298" s="3" t="s">
        <v>3110</v>
      </c>
      <c r="H1298" s="3" t="s">
        <v>3108</v>
      </c>
      <c r="I1298" s="3"/>
      <c r="J1298" t="s">
        <v>3113</v>
      </c>
    </row>
    <row r="1299" spans="1:10">
      <c r="A1299" s="3" t="s">
        <v>1010</v>
      </c>
      <c r="B1299" s="3" t="s">
        <v>1024</v>
      </c>
      <c r="C1299" s="3" t="s">
        <v>104</v>
      </c>
      <c r="D1299" s="3" t="s">
        <v>3102</v>
      </c>
      <c r="E1299" s="3"/>
      <c r="F1299" s="3"/>
      <c r="G1299" s="3"/>
      <c r="H1299" s="3"/>
      <c r="I1299" s="3" t="s">
        <v>3114</v>
      </c>
      <c r="J1299" t="s">
        <v>3115</v>
      </c>
    </row>
    <row r="1300" spans="1:10">
      <c r="A1300" s="3" t="s">
        <v>1010</v>
      </c>
      <c r="B1300" s="3" t="s">
        <v>1024</v>
      </c>
      <c r="C1300" s="3" t="s">
        <v>104</v>
      </c>
      <c r="D1300" s="3" t="s">
        <v>3102</v>
      </c>
      <c r="E1300" s="3"/>
      <c r="F1300" s="3"/>
      <c r="G1300" s="3"/>
      <c r="H1300" s="3"/>
      <c r="I1300" s="3" t="s">
        <v>3116</v>
      </c>
      <c r="J1300" t="s">
        <v>3117</v>
      </c>
    </row>
    <row r="1301" spans="1:10">
      <c r="A1301" s="3" t="s">
        <v>1010</v>
      </c>
      <c r="B1301" s="3" t="s">
        <v>1024</v>
      </c>
      <c r="C1301" s="3" t="s">
        <v>104</v>
      </c>
      <c r="D1301" s="3" t="s">
        <v>3102</v>
      </c>
      <c r="E1301" s="3"/>
      <c r="F1301" s="3"/>
      <c r="G1301" s="3"/>
      <c r="H1301" s="3"/>
      <c r="I1301" s="3" t="s">
        <v>3118</v>
      </c>
      <c r="J1301" t="s">
        <v>3119</v>
      </c>
    </row>
    <row r="1302" spans="1:10">
      <c r="A1302" s="3" t="s">
        <v>1010</v>
      </c>
      <c r="B1302" s="3" t="s">
        <v>1024</v>
      </c>
      <c r="C1302" s="3" t="s">
        <v>104</v>
      </c>
      <c r="D1302" s="3" t="s">
        <v>3102</v>
      </c>
      <c r="E1302" s="3"/>
      <c r="F1302" s="3"/>
      <c r="G1302" s="3"/>
      <c r="H1302" s="3"/>
      <c r="I1302" s="3" t="s">
        <v>3120</v>
      </c>
      <c r="J1302" t="s">
        <v>3121</v>
      </c>
    </row>
    <row r="1303" spans="1:10">
      <c r="A1303" s="3" t="s">
        <v>1010</v>
      </c>
      <c r="B1303" s="3" t="s">
        <v>1035</v>
      </c>
      <c r="C1303" s="3" t="s">
        <v>105</v>
      </c>
      <c r="D1303" s="3" t="s">
        <v>3122</v>
      </c>
      <c r="E1303" s="3"/>
      <c r="F1303" s="3"/>
      <c r="G1303" s="3" t="s">
        <v>3123</v>
      </c>
      <c r="H1303" s="3" t="s">
        <v>3124</v>
      </c>
      <c r="I1303" s="3"/>
      <c r="J1303" t="s">
        <v>3125</v>
      </c>
    </row>
    <row r="1304" spans="1:10">
      <c r="A1304" s="3" t="s">
        <v>1010</v>
      </c>
      <c r="B1304" s="3" t="s">
        <v>1035</v>
      </c>
      <c r="C1304" s="3" t="s">
        <v>105</v>
      </c>
      <c r="D1304" s="3" t="s">
        <v>3122</v>
      </c>
      <c r="E1304" s="3"/>
      <c r="F1304" s="3"/>
      <c r="G1304" s="3" t="s">
        <v>3123</v>
      </c>
      <c r="H1304" s="3" t="s">
        <v>3126</v>
      </c>
      <c r="I1304" s="3"/>
      <c r="J1304" t="s">
        <v>3127</v>
      </c>
    </row>
    <row r="1305" spans="1:10">
      <c r="A1305" s="3" t="s">
        <v>1010</v>
      </c>
      <c r="B1305" s="3" t="s">
        <v>1035</v>
      </c>
      <c r="C1305" s="3" t="s">
        <v>105</v>
      </c>
      <c r="D1305" s="3" t="s">
        <v>3122</v>
      </c>
      <c r="E1305" s="3"/>
      <c r="F1305" s="3"/>
      <c r="G1305" s="3" t="s">
        <v>3123</v>
      </c>
      <c r="H1305" s="3" t="s">
        <v>3128</v>
      </c>
      <c r="I1305" s="3"/>
      <c r="J1305" t="s">
        <v>3129</v>
      </c>
    </row>
    <row r="1306" spans="1:10">
      <c r="A1306" s="3" t="s">
        <v>1010</v>
      </c>
      <c r="B1306" s="3" t="s">
        <v>1035</v>
      </c>
      <c r="C1306" s="3" t="s">
        <v>105</v>
      </c>
      <c r="D1306" s="3" t="s">
        <v>3122</v>
      </c>
      <c r="E1306" s="3"/>
      <c r="F1306" s="3"/>
      <c r="G1306" s="3" t="s">
        <v>3123</v>
      </c>
      <c r="H1306" s="3" t="s">
        <v>3130</v>
      </c>
      <c r="I1306" s="3"/>
      <c r="J1306" t="s">
        <v>3131</v>
      </c>
    </row>
    <row r="1307" spans="1:10">
      <c r="A1307" s="3" t="s">
        <v>1010</v>
      </c>
      <c r="B1307" s="3" t="s">
        <v>1035</v>
      </c>
      <c r="C1307" s="3" t="s">
        <v>105</v>
      </c>
      <c r="D1307" s="3" t="s">
        <v>3122</v>
      </c>
      <c r="E1307" s="3"/>
      <c r="F1307" s="3"/>
      <c r="G1307" s="3" t="s">
        <v>3132</v>
      </c>
      <c r="H1307" s="3" t="s">
        <v>3124</v>
      </c>
      <c r="I1307" s="3"/>
      <c r="J1307" t="s">
        <v>3133</v>
      </c>
    </row>
    <row r="1308" spans="1:10">
      <c r="A1308" s="3" t="s">
        <v>1010</v>
      </c>
      <c r="B1308" s="3" t="s">
        <v>1035</v>
      </c>
      <c r="C1308" s="3" t="s">
        <v>105</v>
      </c>
      <c r="D1308" s="3" t="s">
        <v>3122</v>
      </c>
      <c r="E1308" s="3"/>
      <c r="F1308" s="3"/>
      <c r="G1308" s="3" t="s">
        <v>3132</v>
      </c>
      <c r="H1308" s="3" t="s">
        <v>3126</v>
      </c>
      <c r="I1308" s="3"/>
      <c r="J1308" t="s">
        <v>3134</v>
      </c>
    </row>
    <row r="1309" spans="1:10">
      <c r="A1309" s="3" t="s">
        <v>1010</v>
      </c>
      <c r="B1309" s="3" t="s">
        <v>1035</v>
      </c>
      <c r="C1309" s="3" t="s">
        <v>105</v>
      </c>
      <c r="D1309" s="3" t="s">
        <v>3122</v>
      </c>
      <c r="E1309" s="3"/>
      <c r="F1309" s="3"/>
      <c r="G1309" s="3" t="s">
        <v>3132</v>
      </c>
      <c r="H1309" s="3" t="s">
        <v>3128</v>
      </c>
      <c r="I1309" s="3"/>
      <c r="J1309" t="s">
        <v>3135</v>
      </c>
    </row>
    <row r="1310" spans="1:10">
      <c r="A1310" s="3" t="s">
        <v>1010</v>
      </c>
      <c r="B1310" s="3" t="s">
        <v>1035</v>
      </c>
      <c r="C1310" s="3" t="s">
        <v>105</v>
      </c>
      <c r="D1310" s="3" t="s">
        <v>3122</v>
      </c>
      <c r="E1310" s="3"/>
      <c r="F1310" s="3"/>
      <c r="G1310" s="3" t="s">
        <v>3132</v>
      </c>
      <c r="H1310" s="3" t="s">
        <v>3130</v>
      </c>
      <c r="I1310" s="3"/>
      <c r="J1310" t="s">
        <v>3136</v>
      </c>
    </row>
    <row r="1311" spans="1:10">
      <c r="A1311" s="3" t="s">
        <v>1010</v>
      </c>
      <c r="B1311" s="3" t="s">
        <v>1035</v>
      </c>
      <c r="C1311" s="3" t="s">
        <v>105</v>
      </c>
      <c r="D1311" s="3" t="s">
        <v>3122</v>
      </c>
      <c r="E1311" s="3"/>
      <c r="F1311" s="3"/>
      <c r="G1311" s="3"/>
      <c r="H1311" s="3"/>
      <c r="I1311" s="3" t="s">
        <v>3137</v>
      </c>
      <c r="J1311" t="s">
        <v>3138</v>
      </c>
    </row>
    <row r="1312" spans="1:10">
      <c r="A1312" s="3" t="s">
        <v>1010</v>
      </c>
      <c r="B1312" s="3" t="s">
        <v>1035</v>
      </c>
      <c r="C1312" s="3" t="s">
        <v>105</v>
      </c>
      <c r="D1312" s="3" t="s">
        <v>3122</v>
      </c>
      <c r="E1312" s="3"/>
      <c r="F1312" s="3"/>
      <c r="G1312" s="3"/>
      <c r="H1312" s="3"/>
      <c r="I1312" s="3" t="s">
        <v>3139</v>
      </c>
      <c r="J1312" t="s">
        <v>3140</v>
      </c>
    </row>
    <row r="1313" spans="1:10">
      <c r="A1313" s="3" t="s">
        <v>1010</v>
      </c>
      <c r="B1313" s="3" t="s">
        <v>1035</v>
      </c>
      <c r="C1313" s="3" t="s">
        <v>105</v>
      </c>
      <c r="D1313" s="3" t="s">
        <v>3122</v>
      </c>
      <c r="E1313" s="3"/>
      <c r="F1313" s="3"/>
      <c r="G1313" s="3"/>
      <c r="H1313" s="3"/>
      <c r="I1313" s="3" t="s">
        <v>3141</v>
      </c>
      <c r="J1313" t="s">
        <v>3142</v>
      </c>
    </row>
    <row r="1314" spans="1:10">
      <c r="A1314" s="3" t="s">
        <v>1010</v>
      </c>
      <c r="B1314" s="3" t="s">
        <v>1035</v>
      </c>
      <c r="C1314" s="3" t="s">
        <v>105</v>
      </c>
      <c r="D1314" s="3" t="s">
        <v>3122</v>
      </c>
      <c r="E1314" s="3"/>
      <c r="F1314" s="3"/>
      <c r="G1314" s="3"/>
      <c r="H1314" s="3"/>
      <c r="I1314" s="3" t="s">
        <v>3143</v>
      </c>
      <c r="J1314" t="s">
        <v>3144</v>
      </c>
    </row>
    <row r="1315" spans="1:10">
      <c r="A1315" s="3" t="s">
        <v>1046</v>
      </c>
      <c r="B1315" s="3" t="s">
        <v>1047</v>
      </c>
      <c r="C1315" s="3" t="s">
        <v>106</v>
      </c>
      <c r="D1315" s="3" t="s">
        <v>3145</v>
      </c>
      <c r="E1315" s="3"/>
      <c r="F1315" s="3"/>
      <c r="G1315" s="3" t="s">
        <v>3146</v>
      </c>
      <c r="H1315" s="3" t="s">
        <v>3147</v>
      </c>
      <c r="I1315" s="3"/>
      <c r="J1315" t="s">
        <v>3148</v>
      </c>
    </row>
    <row r="1316" spans="1:10">
      <c r="A1316" s="3" t="s">
        <v>1046</v>
      </c>
      <c r="B1316" s="3" t="s">
        <v>1047</v>
      </c>
      <c r="C1316" s="3" t="s">
        <v>106</v>
      </c>
      <c r="D1316" s="3" t="s">
        <v>3145</v>
      </c>
      <c r="E1316" s="3"/>
      <c r="F1316" s="3"/>
      <c r="G1316" s="3" t="s">
        <v>3146</v>
      </c>
      <c r="H1316" s="3" t="s">
        <v>3149</v>
      </c>
      <c r="I1316" s="3"/>
      <c r="J1316" t="s">
        <v>3150</v>
      </c>
    </row>
    <row r="1317" spans="1:10">
      <c r="A1317" s="3" t="s">
        <v>1046</v>
      </c>
      <c r="B1317" s="3" t="s">
        <v>1047</v>
      </c>
      <c r="C1317" s="3" t="s">
        <v>106</v>
      </c>
      <c r="D1317" s="3" t="s">
        <v>3145</v>
      </c>
      <c r="E1317" s="3"/>
      <c r="F1317" s="3"/>
      <c r="G1317" s="3" t="s">
        <v>3146</v>
      </c>
      <c r="H1317" s="3" t="s">
        <v>3151</v>
      </c>
      <c r="I1317" s="3"/>
      <c r="J1317" t="s">
        <v>3152</v>
      </c>
    </row>
    <row r="1318" spans="1:10">
      <c r="A1318" s="3" t="s">
        <v>1046</v>
      </c>
      <c r="B1318" s="3" t="s">
        <v>1047</v>
      </c>
      <c r="C1318" s="3" t="s">
        <v>106</v>
      </c>
      <c r="D1318" s="3" t="s">
        <v>3145</v>
      </c>
      <c r="E1318" s="3"/>
      <c r="F1318" s="3"/>
      <c r="G1318" s="3" t="s">
        <v>3146</v>
      </c>
      <c r="H1318" s="3" t="s">
        <v>3153</v>
      </c>
      <c r="I1318" s="3"/>
      <c r="J1318" t="s">
        <v>3154</v>
      </c>
    </row>
    <row r="1319" spans="1:10">
      <c r="A1319" s="3" t="s">
        <v>1046</v>
      </c>
      <c r="B1319" s="3" t="s">
        <v>1047</v>
      </c>
      <c r="C1319" s="3" t="s">
        <v>106</v>
      </c>
      <c r="D1319" s="3" t="s">
        <v>3145</v>
      </c>
      <c r="E1319" s="3"/>
      <c r="F1319" s="3"/>
      <c r="G1319" s="3" t="s">
        <v>3155</v>
      </c>
      <c r="H1319" s="3" t="s">
        <v>3147</v>
      </c>
      <c r="I1319" s="3"/>
      <c r="J1319" t="s">
        <v>3156</v>
      </c>
    </row>
    <row r="1320" spans="1:10">
      <c r="A1320" s="3" t="s">
        <v>1046</v>
      </c>
      <c r="B1320" s="3" t="s">
        <v>1047</v>
      </c>
      <c r="C1320" s="3" t="s">
        <v>106</v>
      </c>
      <c r="D1320" s="3" t="s">
        <v>3145</v>
      </c>
      <c r="E1320" s="3"/>
      <c r="F1320" s="3"/>
      <c r="G1320" s="3" t="s">
        <v>3155</v>
      </c>
      <c r="H1320" s="3" t="s">
        <v>3149</v>
      </c>
      <c r="I1320" s="3"/>
      <c r="J1320" t="s">
        <v>3157</v>
      </c>
    </row>
    <row r="1321" spans="1:10">
      <c r="A1321" s="3" t="s">
        <v>1046</v>
      </c>
      <c r="B1321" s="3" t="s">
        <v>1047</v>
      </c>
      <c r="C1321" s="3" t="s">
        <v>106</v>
      </c>
      <c r="D1321" s="3" t="s">
        <v>3145</v>
      </c>
      <c r="E1321" s="3"/>
      <c r="F1321" s="3"/>
      <c r="G1321" s="3" t="s">
        <v>3155</v>
      </c>
      <c r="H1321" s="3" t="s">
        <v>3151</v>
      </c>
      <c r="I1321" s="3"/>
      <c r="J1321" t="s">
        <v>3158</v>
      </c>
    </row>
    <row r="1322" spans="1:10">
      <c r="A1322" s="3" t="s">
        <v>1046</v>
      </c>
      <c r="B1322" s="3" t="s">
        <v>1047</v>
      </c>
      <c r="C1322" s="3" t="s">
        <v>106</v>
      </c>
      <c r="D1322" s="3" t="s">
        <v>3145</v>
      </c>
      <c r="E1322" s="3"/>
      <c r="F1322" s="3"/>
      <c r="G1322" s="3" t="s">
        <v>3155</v>
      </c>
      <c r="H1322" s="3" t="s">
        <v>3153</v>
      </c>
      <c r="I1322" s="3"/>
      <c r="J1322" t="s">
        <v>3159</v>
      </c>
    </row>
    <row r="1323" spans="1:10">
      <c r="A1323" s="3" t="s">
        <v>1056</v>
      </c>
      <c r="B1323" s="3" t="s">
        <v>1064</v>
      </c>
      <c r="C1323" s="3" t="s">
        <v>107</v>
      </c>
      <c r="D1323" s="3" t="s">
        <v>3160</v>
      </c>
      <c r="E1323" s="3"/>
      <c r="F1323" s="3"/>
      <c r="G1323" s="3" t="s">
        <v>3161</v>
      </c>
      <c r="H1323" s="3" t="s">
        <v>3162</v>
      </c>
      <c r="I1323" s="3"/>
      <c r="J1323" t="s">
        <v>3163</v>
      </c>
    </row>
    <row r="1324" spans="1:10">
      <c r="A1324" s="3" t="s">
        <v>1056</v>
      </c>
      <c r="B1324" s="3" t="s">
        <v>1064</v>
      </c>
      <c r="C1324" s="3" t="s">
        <v>107</v>
      </c>
      <c r="D1324" s="3" t="s">
        <v>3160</v>
      </c>
      <c r="E1324" s="3"/>
      <c r="F1324" s="3"/>
      <c r="G1324" s="3" t="s">
        <v>3161</v>
      </c>
      <c r="H1324" s="3" t="s">
        <v>3164</v>
      </c>
      <c r="I1324" s="3"/>
      <c r="J1324" t="s">
        <v>3165</v>
      </c>
    </row>
    <row r="1325" spans="1:10">
      <c r="A1325" s="3" t="s">
        <v>1056</v>
      </c>
      <c r="B1325" s="3" t="s">
        <v>1064</v>
      </c>
      <c r="C1325" s="3" t="s">
        <v>107</v>
      </c>
      <c r="D1325" s="3" t="s">
        <v>3160</v>
      </c>
      <c r="E1325" s="3"/>
      <c r="F1325" s="3"/>
      <c r="G1325" s="3" t="s">
        <v>3161</v>
      </c>
      <c r="H1325" s="3" t="s">
        <v>3166</v>
      </c>
      <c r="I1325" s="3"/>
      <c r="J1325" t="s">
        <v>3167</v>
      </c>
    </row>
    <row r="1326" spans="1:10">
      <c r="A1326" s="3" t="s">
        <v>1056</v>
      </c>
      <c r="B1326" s="3" t="s">
        <v>1064</v>
      </c>
      <c r="C1326" s="3" t="s">
        <v>107</v>
      </c>
      <c r="D1326" s="3" t="s">
        <v>3160</v>
      </c>
      <c r="E1326" s="3"/>
      <c r="F1326" s="3"/>
      <c r="G1326" s="3" t="s">
        <v>3168</v>
      </c>
      <c r="H1326" s="3" t="s">
        <v>3162</v>
      </c>
      <c r="I1326" s="3"/>
      <c r="J1326" t="s">
        <v>3169</v>
      </c>
    </row>
    <row r="1327" spans="1:10">
      <c r="A1327" s="3" t="s">
        <v>1056</v>
      </c>
      <c r="B1327" s="3" t="s">
        <v>1064</v>
      </c>
      <c r="C1327" s="3" t="s">
        <v>107</v>
      </c>
      <c r="D1327" s="3" t="s">
        <v>3160</v>
      </c>
      <c r="E1327" s="3"/>
      <c r="F1327" s="3"/>
      <c r="G1327" s="3" t="s">
        <v>3168</v>
      </c>
      <c r="H1327" s="3" t="s">
        <v>3164</v>
      </c>
      <c r="I1327" s="3"/>
      <c r="J1327" t="s">
        <v>3170</v>
      </c>
    </row>
    <row r="1328" spans="1:10">
      <c r="A1328" s="3" t="s">
        <v>1056</v>
      </c>
      <c r="B1328" s="3" t="s">
        <v>1064</v>
      </c>
      <c r="C1328" s="3" t="s">
        <v>107</v>
      </c>
      <c r="D1328" s="3" t="s">
        <v>3160</v>
      </c>
      <c r="E1328" s="3"/>
      <c r="F1328" s="3"/>
      <c r="G1328" s="3" t="s">
        <v>3168</v>
      </c>
      <c r="H1328" s="3" t="s">
        <v>3166</v>
      </c>
      <c r="I1328" s="3"/>
      <c r="J1328" t="s">
        <v>3171</v>
      </c>
    </row>
    <row r="1329" spans="1:10">
      <c r="A1329" s="3" t="s">
        <v>1066</v>
      </c>
      <c r="B1329" s="3" t="s">
        <v>1067</v>
      </c>
      <c r="C1329" s="3"/>
      <c r="D1329" s="3" t="s">
        <v>3172</v>
      </c>
      <c r="E1329" s="3"/>
      <c r="F1329" s="3"/>
      <c r="G1329" s="3" t="s">
        <v>3173</v>
      </c>
      <c r="H1329" s="3" t="s">
        <v>3174</v>
      </c>
      <c r="I1329" s="3"/>
      <c r="J1329" t="s">
        <v>3175</v>
      </c>
    </row>
    <row r="1330" spans="1:10">
      <c r="A1330" s="3" t="s">
        <v>1066</v>
      </c>
      <c r="B1330" s="3" t="s">
        <v>1067</v>
      </c>
      <c r="C1330" s="3"/>
      <c r="D1330" s="3" t="s">
        <v>3172</v>
      </c>
      <c r="E1330" s="3"/>
      <c r="F1330" s="3"/>
      <c r="G1330" s="3" t="s">
        <v>3173</v>
      </c>
      <c r="H1330" s="3" t="s">
        <v>3176</v>
      </c>
      <c r="I1330" s="3"/>
      <c r="J1330" t="s">
        <v>3177</v>
      </c>
    </row>
    <row r="1331" spans="1:10">
      <c r="A1331" s="3" t="s">
        <v>1066</v>
      </c>
      <c r="B1331" s="3" t="s">
        <v>1067</v>
      </c>
      <c r="C1331" s="3"/>
      <c r="D1331" s="3" t="s">
        <v>3172</v>
      </c>
      <c r="E1331" s="3"/>
      <c r="F1331" s="3"/>
      <c r="G1331" s="3" t="s">
        <v>3173</v>
      </c>
      <c r="H1331" s="3" t="s">
        <v>3178</v>
      </c>
      <c r="I1331" s="3"/>
      <c r="J1331" t="s">
        <v>3179</v>
      </c>
    </row>
    <row r="1332" spans="1:10">
      <c r="A1332" s="3" t="s">
        <v>1066</v>
      </c>
      <c r="B1332" s="3" t="s">
        <v>1067</v>
      </c>
      <c r="C1332" s="3"/>
      <c r="D1332" s="3" t="s">
        <v>3172</v>
      </c>
      <c r="E1332" s="3"/>
      <c r="F1332" s="3"/>
      <c r="G1332" s="3" t="s">
        <v>3173</v>
      </c>
      <c r="H1332" s="3" t="s">
        <v>3180</v>
      </c>
      <c r="I1332" s="3"/>
      <c r="J1332" t="s">
        <v>3181</v>
      </c>
    </row>
    <row r="1333" spans="1:10">
      <c r="A1333" s="3" t="s">
        <v>1066</v>
      </c>
      <c r="B1333" s="3" t="s">
        <v>1067</v>
      </c>
      <c r="C1333" s="3"/>
      <c r="D1333" s="3" t="s">
        <v>3172</v>
      </c>
      <c r="E1333" s="3"/>
      <c r="F1333" s="3"/>
      <c r="G1333" s="3" t="s">
        <v>3173</v>
      </c>
      <c r="H1333" s="3" t="s">
        <v>3182</v>
      </c>
      <c r="I1333" s="3"/>
      <c r="J1333" t="s">
        <v>3183</v>
      </c>
    </row>
    <row r="1334" spans="1:10">
      <c r="A1334" s="3" t="s">
        <v>1066</v>
      </c>
      <c r="B1334" s="3" t="s">
        <v>1067</v>
      </c>
      <c r="C1334" s="3"/>
      <c r="D1334" s="3" t="s">
        <v>3172</v>
      </c>
      <c r="E1334" s="3"/>
      <c r="F1334" s="3"/>
      <c r="G1334" s="3" t="s">
        <v>3184</v>
      </c>
      <c r="H1334" s="3" t="s">
        <v>3174</v>
      </c>
      <c r="I1334" s="3"/>
      <c r="J1334" t="s">
        <v>3185</v>
      </c>
    </row>
    <row r="1335" spans="1:10">
      <c r="A1335" s="3" t="s">
        <v>1066</v>
      </c>
      <c r="B1335" s="3" t="s">
        <v>1067</v>
      </c>
      <c r="C1335" s="3"/>
      <c r="D1335" s="3" t="s">
        <v>3172</v>
      </c>
      <c r="E1335" s="3"/>
      <c r="F1335" s="3"/>
      <c r="G1335" s="3" t="s">
        <v>3184</v>
      </c>
      <c r="H1335" s="3" t="s">
        <v>3176</v>
      </c>
      <c r="I1335" s="3"/>
      <c r="J1335" t="s">
        <v>3186</v>
      </c>
    </row>
    <row r="1336" spans="1:10">
      <c r="A1336" s="3" t="s">
        <v>1066</v>
      </c>
      <c r="B1336" s="3" t="s">
        <v>1067</v>
      </c>
      <c r="C1336" s="3"/>
      <c r="D1336" s="3" t="s">
        <v>3172</v>
      </c>
      <c r="E1336" s="3"/>
      <c r="F1336" s="3"/>
      <c r="G1336" s="3" t="s">
        <v>3184</v>
      </c>
      <c r="H1336" s="3" t="s">
        <v>3178</v>
      </c>
      <c r="I1336" s="3"/>
      <c r="J1336" t="s">
        <v>3187</v>
      </c>
    </row>
    <row r="1337" spans="1:10">
      <c r="A1337" s="3" t="s">
        <v>1066</v>
      </c>
      <c r="B1337" s="3" t="s">
        <v>1067</v>
      </c>
      <c r="C1337" s="3"/>
      <c r="D1337" s="3" t="s">
        <v>3172</v>
      </c>
      <c r="E1337" s="3"/>
      <c r="F1337" s="3"/>
      <c r="G1337" s="3" t="s">
        <v>3184</v>
      </c>
      <c r="H1337" s="3" t="s">
        <v>3180</v>
      </c>
      <c r="I1337" s="3"/>
      <c r="J1337" t="s">
        <v>3188</v>
      </c>
    </row>
    <row r="1338" spans="1:10">
      <c r="A1338" s="3" t="s">
        <v>1066</v>
      </c>
      <c r="B1338" s="3" t="s">
        <v>1067</v>
      </c>
      <c r="C1338" s="3"/>
      <c r="D1338" s="3" t="s">
        <v>3172</v>
      </c>
      <c r="E1338" s="3"/>
      <c r="F1338" s="3"/>
      <c r="G1338" s="3" t="s">
        <v>3184</v>
      </c>
      <c r="H1338" s="3" t="s">
        <v>3182</v>
      </c>
      <c r="I1338" s="3"/>
      <c r="J1338" t="s">
        <v>3189</v>
      </c>
    </row>
    <row r="1339" spans="1:10">
      <c r="A1339" s="3" t="s">
        <v>1066</v>
      </c>
      <c r="B1339" s="3" t="s">
        <v>1067</v>
      </c>
      <c r="C1339" s="3"/>
      <c r="D1339" s="3" t="s">
        <v>3172</v>
      </c>
      <c r="E1339" s="3"/>
      <c r="F1339" s="3"/>
      <c r="G1339" s="3" t="s">
        <v>3190</v>
      </c>
      <c r="H1339" s="3" t="s">
        <v>3174</v>
      </c>
      <c r="I1339" s="3"/>
      <c r="J1339" t="s">
        <v>3191</v>
      </c>
    </row>
    <row r="1340" spans="1:10">
      <c r="A1340" s="3" t="s">
        <v>1066</v>
      </c>
      <c r="B1340" s="3" t="s">
        <v>1067</v>
      </c>
      <c r="C1340" s="3"/>
      <c r="D1340" s="3" t="s">
        <v>3172</v>
      </c>
      <c r="E1340" s="3"/>
      <c r="F1340" s="3"/>
      <c r="G1340" s="3" t="s">
        <v>3190</v>
      </c>
      <c r="H1340" s="3" t="s">
        <v>3176</v>
      </c>
      <c r="I1340" s="3"/>
      <c r="J1340" t="s">
        <v>3192</v>
      </c>
    </row>
    <row r="1341" spans="1:10">
      <c r="A1341" s="3" t="s">
        <v>1066</v>
      </c>
      <c r="B1341" s="3" t="s">
        <v>1067</v>
      </c>
      <c r="C1341" s="3"/>
      <c r="D1341" s="3" t="s">
        <v>3172</v>
      </c>
      <c r="E1341" s="3"/>
      <c r="F1341" s="3"/>
      <c r="G1341" s="3" t="s">
        <v>3190</v>
      </c>
      <c r="H1341" s="3" t="s">
        <v>3178</v>
      </c>
      <c r="I1341" s="3"/>
      <c r="J1341" t="s">
        <v>3193</v>
      </c>
    </row>
    <row r="1342" spans="1:10">
      <c r="A1342" s="3" t="s">
        <v>1066</v>
      </c>
      <c r="B1342" s="3" t="s">
        <v>1067</v>
      </c>
      <c r="C1342" s="3"/>
      <c r="D1342" s="3" t="s">
        <v>3172</v>
      </c>
      <c r="E1342" s="3"/>
      <c r="F1342" s="3"/>
      <c r="G1342" s="3" t="s">
        <v>3190</v>
      </c>
      <c r="H1342" s="3" t="s">
        <v>3180</v>
      </c>
      <c r="I1342" s="3"/>
      <c r="J1342" t="s">
        <v>3194</v>
      </c>
    </row>
    <row r="1343" spans="1:10">
      <c r="A1343" s="3" t="s">
        <v>1066</v>
      </c>
      <c r="B1343" s="3" t="s">
        <v>1067</v>
      </c>
      <c r="C1343" s="3"/>
      <c r="D1343" s="3" t="s">
        <v>3172</v>
      </c>
      <c r="E1343" s="3"/>
      <c r="F1343" s="3"/>
      <c r="G1343" s="3" t="s">
        <v>3190</v>
      </c>
      <c r="H1343" s="3" t="s">
        <v>3182</v>
      </c>
      <c r="I1343" s="3"/>
      <c r="J1343" t="s">
        <v>3195</v>
      </c>
    </row>
    <row r="1344" spans="1:10">
      <c r="A1344" s="3" t="s">
        <v>1076</v>
      </c>
      <c r="B1344" s="3" t="s">
        <v>1077</v>
      </c>
      <c r="C1344" s="3" t="s">
        <v>108</v>
      </c>
      <c r="D1344" s="3" t="s">
        <v>3196</v>
      </c>
      <c r="E1344" s="3"/>
      <c r="F1344" s="3"/>
      <c r="G1344" s="3" t="s">
        <v>3197</v>
      </c>
      <c r="H1344" s="3" t="s">
        <v>3198</v>
      </c>
      <c r="I1344" s="3"/>
      <c r="J1344" t="s">
        <v>3199</v>
      </c>
    </row>
    <row r="1345" spans="1:10">
      <c r="A1345" s="3" t="s">
        <v>1076</v>
      </c>
      <c r="B1345" s="3" t="s">
        <v>1077</v>
      </c>
      <c r="C1345" s="3" t="s">
        <v>108</v>
      </c>
      <c r="D1345" s="3" t="s">
        <v>3196</v>
      </c>
      <c r="E1345" s="3"/>
      <c r="F1345" s="3"/>
      <c r="G1345" s="3" t="s">
        <v>3197</v>
      </c>
      <c r="H1345" s="3" t="s">
        <v>3200</v>
      </c>
      <c r="I1345" s="3"/>
      <c r="J1345" t="s">
        <v>3201</v>
      </c>
    </row>
    <row r="1346" spans="1:10">
      <c r="A1346" s="3" t="s">
        <v>1076</v>
      </c>
      <c r="B1346" s="3" t="s">
        <v>1077</v>
      </c>
      <c r="C1346" s="3" t="s">
        <v>108</v>
      </c>
      <c r="D1346" s="3" t="s">
        <v>3196</v>
      </c>
      <c r="E1346" s="3"/>
      <c r="F1346" s="3"/>
      <c r="G1346" s="3" t="s">
        <v>3197</v>
      </c>
      <c r="H1346" s="3" t="s">
        <v>3202</v>
      </c>
      <c r="I1346" s="3"/>
      <c r="J1346" t="s">
        <v>3203</v>
      </c>
    </row>
    <row r="1347" spans="1:10">
      <c r="A1347" s="3" t="s">
        <v>1076</v>
      </c>
      <c r="B1347" s="3" t="s">
        <v>1077</v>
      </c>
      <c r="C1347" s="3" t="s">
        <v>108</v>
      </c>
      <c r="D1347" s="3" t="s">
        <v>3196</v>
      </c>
      <c r="E1347" s="3"/>
      <c r="F1347" s="3"/>
      <c r="G1347" s="3" t="s">
        <v>3197</v>
      </c>
      <c r="H1347" s="3" t="s">
        <v>3204</v>
      </c>
      <c r="I1347" s="3"/>
      <c r="J1347" t="s">
        <v>3205</v>
      </c>
    </row>
    <row r="1348" spans="1:10">
      <c r="A1348" s="3" t="s">
        <v>1076</v>
      </c>
      <c r="B1348" s="3" t="s">
        <v>1077</v>
      </c>
      <c r="C1348" s="3" t="s">
        <v>108</v>
      </c>
      <c r="D1348" s="3" t="s">
        <v>3196</v>
      </c>
      <c r="E1348" s="3"/>
      <c r="F1348" s="3"/>
      <c r="G1348" s="3" t="s">
        <v>3206</v>
      </c>
      <c r="H1348" s="3" t="s">
        <v>3198</v>
      </c>
      <c r="I1348" s="3"/>
      <c r="J1348" t="s">
        <v>3207</v>
      </c>
    </row>
    <row r="1349" spans="1:10">
      <c r="A1349" s="3" t="s">
        <v>1076</v>
      </c>
      <c r="B1349" s="3" t="s">
        <v>1077</v>
      </c>
      <c r="C1349" s="3" t="s">
        <v>108</v>
      </c>
      <c r="D1349" s="3" t="s">
        <v>3196</v>
      </c>
      <c r="E1349" s="3"/>
      <c r="F1349" s="3"/>
      <c r="G1349" s="3" t="s">
        <v>3206</v>
      </c>
      <c r="H1349" s="3" t="s">
        <v>3200</v>
      </c>
      <c r="I1349" s="3"/>
      <c r="J1349" t="s">
        <v>3208</v>
      </c>
    </row>
    <row r="1350" spans="1:10">
      <c r="A1350" s="3" t="s">
        <v>1076</v>
      </c>
      <c r="B1350" s="3" t="s">
        <v>1077</v>
      </c>
      <c r="C1350" s="3" t="s">
        <v>108</v>
      </c>
      <c r="D1350" s="3" t="s">
        <v>3196</v>
      </c>
      <c r="E1350" s="3"/>
      <c r="F1350" s="3"/>
      <c r="G1350" s="3" t="s">
        <v>3206</v>
      </c>
      <c r="H1350" s="3" t="s">
        <v>3202</v>
      </c>
      <c r="I1350" s="3"/>
      <c r="J1350" t="s">
        <v>3209</v>
      </c>
    </row>
    <row r="1351" spans="1:10">
      <c r="A1351" s="3" t="s">
        <v>1076</v>
      </c>
      <c r="B1351" s="3" t="s">
        <v>1077</v>
      </c>
      <c r="C1351" s="3" t="s">
        <v>108</v>
      </c>
      <c r="D1351" s="3" t="s">
        <v>3196</v>
      </c>
      <c r="E1351" s="3"/>
      <c r="F1351" s="3"/>
      <c r="G1351" s="3" t="s">
        <v>3206</v>
      </c>
      <c r="H1351" s="3" t="s">
        <v>3204</v>
      </c>
      <c r="I1351" s="3"/>
      <c r="J1351" t="s">
        <v>3210</v>
      </c>
    </row>
    <row r="1352" spans="1:10">
      <c r="A1352" s="3" t="s">
        <v>1076</v>
      </c>
      <c r="B1352" s="3" t="s">
        <v>1086</v>
      </c>
      <c r="C1352" s="3" t="s">
        <v>109</v>
      </c>
      <c r="D1352" s="3" t="s">
        <v>3211</v>
      </c>
      <c r="E1352" s="3"/>
      <c r="F1352" s="3"/>
      <c r="G1352" s="3" t="s">
        <v>3212</v>
      </c>
      <c r="H1352" s="3" t="s">
        <v>3213</v>
      </c>
      <c r="I1352" s="3"/>
      <c r="J1352" t="s">
        <v>3214</v>
      </c>
    </row>
    <row r="1353" spans="1:10">
      <c r="A1353" s="3" t="s">
        <v>1076</v>
      </c>
      <c r="B1353" s="3" t="s">
        <v>1086</v>
      </c>
      <c r="C1353" s="3" t="s">
        <v>109</v>
      </c>
      <c r="D1353" s="3" t="s">
        <v>3211</v>
      </c>
      <c r="E1353" s="3"/>
      <c r="F1353" s="3"/>
      <c r="G1353" s="3" t="s">
        <v>3212</v>
      </c>
      <c r="H1353" s="3" t="s">
        <v>3215</v>
      </c>
      <c r="I1353" s="3"/>
      <c r="J1353" t="s">
        <v>3216</v>
      </c>
    </row>
    <row r="1354" spans="1:10">
      <c r="A1354" s="3" t="s">
        <v>1076</v>
      </c>
      <c r="B1354" s="3" t="s">
        <v>1086</v>
      </c>
      <c r="C1354" s="3" t="s">
        <v>109</v>
      </c>
      <c r="D1354" s="3" t="s">
        <v>3211</v>
      </c>
      <c r="E1354" s="3"/>
      <c r="F1354" s="3"/>
      <c r="G1354" s="3" t="s">
        <v>3212</v>
      </c>
      <c r="H1354" s="3" t="s">
        <v>3217</v>
      </c>
      <c r="I1354" s="3"/>
      <c r="J1354" t="s">
        <v>3218</v>
      </c>
    </row>
    <row r="1355" spans="1:10">
      <c r="A1355" s="3" t="s">
        <v>1076</v>
      </c>
      <c r="B1355" s="3" t="s">
        <v>1086</v>
      </c>
      <c r="C1355" s="3" t="s">
        <v>109</v>
      </c>
      <c r="D1355" s="3" t="s">
        <v>3211</v>
      </c>
      <c r="E1355" s="3"/>
      <c r="F1355" s="3"/>
      <c r="G1355" s="3" t="s">
        <v>3212</v>
      </c>
      <c r="H1355" s="3" t="s">
        <v>3219</v>
      </c>
      <c r="I1355" s="3"/>
      <c r="J1355" t="s">
        <v>3220</v>
      </c>
    </row>
    <row r="1356" spans="1:10">
      <c r="A1356" s="3" t="s">
        <v>1076</v>
      </c>
      <c r="B1356" s="3" t="s">
        <v>1086</v>
      </c>
      <c r="C1356" s="3" t="s">
        <v>109</v>
      </c>
      <c r="D1356" s="3" t="s">
        <v>3211</v>
      </c>
      <c r="E1356" s="3"/>
      <c r="F1356" s="3"/>
      <c r="G1356" s="3" t="s">
        <v>3221</v>
      </c>
      <c r="H1356" s="3" t="s">
        <v>3213</v>
      </c>
      <c r="I1356" s="3"/>
      <c r="J1356" t="s">
        <v>3222</v>
      </c>
    </row>
    <row r="1357" spans="1:10">
      <c r="A1357" s="3" t="s">
        <v>1076</v>
      </c>
      <c r="B1357" s="3" t="s">
        <v>1086</v>
      </c>
      <c r="C1357" s="3" t="s">
        <v>109</v>
      </c>
      <c r="D1357" s="3" t="s">
        <v>3211</v>
      </c>
      <c r="E1357" s="3"/>
      <c r="F1357" s="3"/>
      <c r="G1357" s="3" t="s">
        <v>3221</v>
      </c>
      <c r="H1357" s="3" t="s">
        <v>3215</v>
      </c>
      <c r="I1357" s="3"/>
      <c r="J1357" t="s">
        <v>3223</v>
      </c>
    </row>
    <row r="1358" spans="1:10">
      <c r="A1358" s="3" t="s">
        <v>1076</v>
      </c>
      <c r="B1358" s="3" t="s">
        <v>1086</v>
      </c>
      <c r="C1358" s="3" t="s">
        <v>109</v>
      </c>
      <c r="D1358" s="3" t="s">
        <v>3211</v>
      </c>
      <c r="E1358" s="3"/>
      <c r="F1358" s="3"/>
      <c r="G1358" s="3" t="s">
        <v>3221</v>
      </c>
      <c r="H1358" s="3" t="s">
        <v>3217</v>
      </c>
      <c r="I1358" s="3"/>
      <c r="J1358" t="s">
        <v>3224</v>
      </c>
    </row>
    <row r="1359" spans="1:10">
      <c r="A1359" s="3" t="s">
        <v>1076</v>
      </c>
      <c r="B1359" s="3" t="s">
        <v>1086</v>
      </c>
      <c r="C1359" s="3" t="s">
        <v>109</v>
      </c>
      <c r="D1359" s="3" t="s">
        <v>3211</v>
      </c>
      <c r="E1359" s="3"/>
      <c r="F1359" s="3"/>
      <c r="G1359" s="3" t="s">
        <v>3221</v>
      </c>
      <c r="H1359" s="3" t="s">
        <v>3219</v>
      </c>
      <c r="I1359" s="3"/>
      <c r="J1359" t="s">
        <v>3225</v>
      </c>
    </row>
    <row r="1360" spans="1:10">
      <c r="A1360" s="3" t="s">
        <v>1076</v>
      </c>
      <c r="B1360" s="3" t="s">
        <v>1086</v>
      </c>
      <c r="C1360" s="3" t="s">
        <v>109</v>
      </c>
      <c r="D1360" s="3" t="s">
        <v>3211</v>
      </c>
      <c r="E1360" s="3"/>
      <c r="F1360" s="3"/>
      <c r="G1360" s="3"/>
      <c r="H1360" s="3"/>
      <c r="I1360" s="3" t="s">
        <v>3226</v>
      </c>
      <c r="J1360" t="s">
        <v>3227</v>
      </c>
    </row>
    <row r="1361" spans="1:10">
      <c r="A1361" s="3" t="s">
        <v>1076</v>
      </c>
      <c r="B1361" s="3" t="s">
        <v>1086</v>
      </c>
      <c r="C1361" s="3" t="s">
        <v>109</v>
      </c>
      <c r="D1361" s="3" t="s">
        <v>3211</v>
      </c>
      <c r="E1361" s="3"/>
      <c r="F1361" s="3"/>
      <c r="G1361" s="3"/>
      <c r="H1361" s="3"/>
      <c r="I1361" s="3" t="s">
        <v>3228</v>
      </c>
      <c r="J1361" t="s">
        <v>3229</v>
      </c>
    </row>
    <row r="1362" spans="1:10">
      <c r="A1362" s="3" t="s">
        <v>1076</v>
      </c>
      <c r="B1362" s="3" t="s">
        <v>1086</v>
      </c>
      <c r="C1362" s="3" t="s">
        <v>109</v>
      </c>
      <c r="D1362" s="3" t="s">
        <v>3211</v>
      </c>
      <c r="E1362" s="3"/>
      <c r="F1362" s="3"/>
      <c r="G1362" s="3"/>
      <c r="H1362" s="3"/>
      <c r="I1362" s="3" t="s">
        <v>3230</v>
      </c>
      <c r="J1362" t="s">
        <v>3231</v>
      </c>
    </row>
    <row r="1363" spans="1:10">
      <c r="A1363" s="3" t="s">
        <v>1076</v>
      </c>
      <c r="B1363" s="3" t="s">
        <v>1086</v>
      </c>
      <c r="C1363" s="3" t="s">
        <v>109</v>
      </c>
      <c r="D1363" s="3" t="s">
        <v>3211</v>
      </c>
      <c r="E1363" s="3"/>
      <c r="F1363" s="3"/>
      <c r="G1363" s="3"/>
      <c r="H1363" s="3"/>
      <c r="I1363" s="3" t="s">
        <v>3232</v>
      </c>
      <c r="J1363" t="s">
        <v>3233</v>
      </c>
    </row>
    <row r="1364" spans="1:10">
      <c r="A1364" s="3" t="s">
        <v>1076</v>
      </c>
      <c r="B1364" s="3" t="s">
        <v>1099</v>
      </c>
      <c r="C1364" s="3" t="s">
        <v>110</v>
      </c>
      <c r="D1364" s="3" t="s">
        <v>3234</v>
      </c>
      <c r="E1364" s="3"/>
      <c r="F1364" s="3"/>
      <c r="G1364" s="3"/>
      <c r="H1364" s="3" t="s">
        <v>3235</v>
      </c>
      <c r="I1364" s="3"/>
      <c r="J1364" t="s">
        <v>3236</v>
      </c>
    </row>
    <row r="1365" spans="1:10">
      <c r="A1365" s="3" t="s">
        <v>1076</v>
      </c>
      <c r="B1365" s="3" t="s">
        <v>1099</v>
      </c>
      <c r="C1365" s="3" t="s">
        <v>110</v>
      </c>
      <c r="D1365" s="3" t="s">
        <v>3234</v>
      </c>
      <c r="E1365" s="3"/>
      <c r="F1365" s="3"/>
      <c r="G1365" s="3"/>
      <c r="H1365" s="3" t="s">
        <v>3237</v>
      </c>
      <c r="I1365" s="3"/>
      <c r="J1365" t="s">
        <v>3238</v>
      </c>
    </row>
    <row r="1366" spans="1:10">
      <c r="A1366" s="3" t="s">
        <v>1076</v>
      </c>
      <c r="B1366" s="3" t="s">
        <v>1099</v>
      </c>
      <c r="C1366" s="3" t="s">
        <v>110</v>
      </c>
      <c r="D1366" s="3" t="s">
        <v>3234</v>
      </c>
      <c r="E1366" s="3"/>
      <c r="F1366" s="3"/>
      <c r="G1366" s="3"/>
      <c r="H1366" s="3" t="s">
        <v>3239</v>
      </c>
      <c r="I1366" s="3"/>
      <c r="J1366" t="s">
        <v>3240</v>
      </c>
    </row>
    <row r="1367" spans="1:10">
      <c r="A1367" s="3" t="s">
        <v>1076</v>
      </c>
      <c r="B1367" s="3" t="s">
        <v>1099</v>
      </c>
      <c r="C1367" s="3" t="s">
        <v>110</v>
      </c>
      <c r="D1367" s="3" t="s">
        <v>3234</v>
      </c>
      <c r="E1367" s="3"/>
      <c r="F1367" s="3"/>
      <c r="G1367" s="3"/>
      <c r="H1367" s="3" t="s">
        <v>3241</v>
      </c>
      <c r="I1367" s="3"/>
      <c r="J1367" t="s">
        <v>3242</v>
      </c>
    </row>
    <row r="1368" spans="1:10">
      <c r="A1368" s="3" t="s">
        <v>1076</v>
      </c>
      <c r="B1368" s="3" t="s">
        <v>1099</v>
      </c>
      <c r="C1368" s="3" t="s">
        <v>110</v>
      </c>
      <c r="D1368" s="3" t="s">
        <v>3243</v>
      </c>
      <c r="E1368" s="3"/>
      <c r="F1368" s="3"/>
      <c r="G1368" s="3" t="s">
        <v>3244</v>
      </c>
      <c r="H1368" s="3" t="s">
        <v>3245</v>
      </c>
      <c r="I1368" s="3"/>
      <c r="J1368" t="s">
        <v>3246</v>
      </c>
    </row>
    <row r="1369" spans="1:10">
      <c r="A1369" s="3" t="s">
        <v>1076</v>
      </c>
      <c r="B1369" s="3" t="s">
        <v>1099</v>
      </c>
      <c r="C1369" s="3" t="s">
        <v>110</v>
      </c>
      <c r="D1369" s="3" t="s">
        <v>3243</v>
      </c>
      <c r="E1369" s="3"/>
      <c r="F1369" s="3"/>
      <c r="G1369" s="3" t="s">
        <v>3244</v>
      </c>
      <c r="H1369" s="3" t="s">
        <v>3247</v>
      </c>
      <c r="I1369" s="3"/>
      <c r="J1369" t="s">
        <v>3248</v>
      </c>
    </row>
    <row r="1370" spans="1:10">
      <c r="A1370" s="3" t="s">
        <v>1076</v>
      </c>
      <c r="B1370" s="3" t="s">
        <v>1099</v>
      </c>
      <c r="C1370" s="3" t="s">
        <v>110</v>
      </c>
      <c r="D1370" s="3" t="s">
        <v>3243</v>
      </c>
      <c r="E1370" s="3"/>
      <c r="F1370" s="3"/>
      <c r="G1370" s="3" t="s">
        <v>3244</v>
      </c>
      <c r="H1370" s="3" t="s">
        <v>3249</v>
      </c>
      <c r="I1370" s="3"/>
      <c r="J1370" t="s">
        <v>3250</v>
      </c>
    </row>
    <row r="1371" spans="1:10">
      <c r="A1371" s="3" t="s">
        <v>1076</v>
      </c>
      <c r="B1371" s="3" t="s">
        <v>1099</v>
      </c>
      <c r="C1371" s="3" t="s">
        <v>110</v>
      </c>
      <c r="D1371" s="3" t="s">
        <v>3243</v>
      </c>
      <c r="E1371" s="3"/>
      <c r="F1371" s="3"/>
      <c r="G1371" s="3" t="s">
        <v>3244</v>
      </c>
      <c r="H1371" s="3" t="s">
        <v>3251</v>
      </c>
      <c r="I1371" s="3"/>
      <c r="J1371" t="s">
        <v>3252</v>
      </c>
    </row>
    <row r="1372" spans="1:10">
      <c r="A1372" s="3" t="s">
        <v>1104</v>
      </c>
      <c r="B1372" s="3" t="s">
        <v>1105</v>
      </c>
      <c r="C1372" s="3" t="s">
        <v>111</v>
      </c>
      <c r="D1372" s="3" t="s">
        <v>3253</v>
      </c>
      <c r="E1372" s="3"/>
      <c r="F1372" s="3"/>
      <c r="G1372" s="3"/>
      <c r="H1372" s="3" t="s">
        <v>3254</v>
      </c>
      <c r="I1372" s="3"/>
      <c r="J1372" t="s">
        <v>3255</v>
      </c>
    </row>
    <row r="1373" spans="1:10">
      <c r="A1373" s="3" t="s">
        <v>1104</v>
      </c>
      <c r="B1373" s="3" t="s">
        <v>1105</v>
      </c>
      <c r="C1373" s="3" t="s">
        <v>111</v>
      </c>
      <c r="D1373" s="3" t="s">
        <v>3253</v>
      </c>
      <c r="E1373" s="3"/>
      <c r="F1373" s="3"/>
      <c r="G1373" s="3"/>
      <c r="H1373" s="3" t="s">
        <v>3256</v>
      </c>
      <c r="I1373" s="3"/>
      <c r="J1373" t="s">
        <v>3257</v>
      </c>
    </row>
    <row r="1374" spans="1:10">
      <c r="A1374" s="3" t="s">
        <v>1104</v>
      </c>
      <c r="B1374" s="3" t="s">
        <v>1105</v>
      </c>
      <c r="C1374" s="3" t="s">
        <v>111</v>
      </c>
      <c r="D1374" s="3" t="s">
        <v>3253</v>
      </c>
      <c r="E1374" s="3"/>
      <c r="F1374" s="3"/>
      <c r="G1374" s="3"/>
      <c r="H1374" s="3" t="s">
        <v>3258</v>
      </c>
      <c r="I1374" s="3"/>
      <c r="J1374" t="s">
        <v>3259</v>
      </c>
    </row>
    <row r="1375" spans="1:10">
      <c r="A1375" s="3" t="s">
        <v>1104</v>
      </c>
      <c r="B1375" s="3" t="s">
        <v>1105</v>
      </c>
      <c r="C1375" s="3" t="s">
        <v>111</v>
      </c>
      <c r="D1375" s="3" t="s">
        <v>3253</v>
      </c>
      <c r="E1375" s="3"/>
      <c r="F1375" s="3"/>
      <c r="G1375" s="3"/>
      <c r="H1375" s="3" t="s">
        <v>3260</v>
      </c>
      <c r="I1375" s="3"/>
      <c r="J1375" t="s">
        <v>3261</v>
      </c>
    </row>
    <row r="1376" spans="1:10">
      <c r="A1376" s="3" t="s">
        <v>1104</v>
      </c>
      <c r="B1376" s="3" t="s">
        <v>1105</v>
      </c>
      <c r="C1376" s="3" t="s">
        <v>111</v>
      </c>
      <c r="D1376" s="3" t="s">
        <v>3253</v>
      </c>
      <c r="E1376" s="3"/>
      <c r="F1376" s="3"/>
      <c r="G1376" s="3"/>
      <c r="H1376" s="3" t="s">
        <v>3262</v>
      </c>
      <c r="I1376" s="3"/>
      <c r="J1376" t="s">
        <v>3263</v>
      </c>
    </row>
    <row r="1377" spans="1:10">
      <c r="A1377" s="3" t="s">
        <v>1104</v>
      </c>
      <c r="B1377" s="3" t="s">
        <v>1116</v>
      </c>
      <c r="C1377" s="3" t="s">
        <v>112</v>
      </c>
      <c r="D1377" s="3" t="s">
        <v>3264</v>
      </c>
      <c r="E1377" s="3"/>
      <c r="F1377" s="3"/>
      <c r="G1377" s="3" t="s">
        <v>3265</v>
      </c>
      <c r="H1377" s="3"/>
      <c r="I1377" s="3"/>
      <c r="J1377" t="s">
        <v>3266</v>
      </c>
    </row>
    <row r="1378" spans="1:10">
      <c r="A1378" s="3" t="s">
        <v>1104</v>
      </c>
      <c r="B1378" s="3" t="s">
        <v>1116</v>
      </c>
      <c r="C1378" s="3" t="s">
        <v>112</v>
      </c>
      <c r="D1378" s="3" t="s">
        <v>3264</v>
      </c>
      <c r="E1378" s="3"/>
      <c r="F1378" s="3"/>
      <c r="G1378" s="3" t="s">
        <v>3267</v>
      </c>
      <c r="H1378" s="3"/>
      <c r="I1378" s="3"/>
      <c r="J1378" t="s">
        <v>3268</v>
      </c>
    </row>
    <row r="1379" spans="1:10">
      <c r="A1379" s="3" t="s">
        <v>1121</v>
      </c>
      <c r="B1379" s="3" t="s">
        <v>1122</v>
      </c>
      <c r="C1379" s="3" t="s">
        <v>113</v>
      </c>
      <c r="D1379" s="3" t="s">
        <v>3269</v>
      </c>
      <c r="E1379" s="3"/>
      <c r="F1379" s="3"/>
      <c r="G1379" s="3" t="s">
        <v>3270</v>
      </c>
      <c r="H1379" s="3" t="s">
        <v>3271</v>
      </c>
      <c r="I1379" s="3"/>
      <c r="J1379" t="s">
        <v>3272</v>
      </c>
    </row>
    <row r="1380" spans="1:10">
      <c r="A1380" s="3" t="s">
        <v>1121</v>
      </c>
      <c r="B1380" s="3" t="s">
        <v>1122</v>
      </c>
      <c r="C1380" s="3" t="s">
        <v>113</v>
      </c>
      <c r="D1380" s="3" t="s">
        <v>3269</v>
      </c>
      <c r="E1380" s="3"/>
      <c r="F1380" s="3"/>
      <c r="G1380" s="3" t="s">
        <v>3270</v>
      </c>
      <c r="H1380" s="3" t="s">
        <v>3273</v>
      </c>
      <c r="I1380" s="3"/>
      <c r="J1380" t="s">
        <v>3274</v>
      </c>
    </row>
    <row r="1381" spans="1:10">
      <c r="A1381" s="3" t="s">
        <v>1121</v>
      </c>
      <c r="B1381" s="3" t="s">
        <v>1122</v>
      </c>
      <c r="C1381" s="3" t="s">
        <v>113</v>
      </c>
      <c r="D1381" s="3" t="s">
        <v>3269</v>
      </c>
      <c r="E1381" s="3"/>
      <c r="F1381" s="3"/>
      <c r="G1381" s="3" t="s">
        <v>3270</v>
      </c>
      <c r="H1381" s="3" t="s">
        <v>3275</v>
      </c>
      <c r="I1381" s="3"/>
      <c r="J1381" t="s">
        <v>3276</v>
      </c>
    </row>
    <row r="1382" spans="1:10">
      <c r="A1382" s="3" t="s">
        <v>1121</v>
      </c>
      <c r="B1382" s="3" t="s">
        <v>1122</v>
      </c>
      <c r="C1382" s="3" t="s">
        <v>113</v>
      </c>
      <c r="D1382" s="3" t="s">
        <v>3269</v>
      </c>
      <c r="E1382" s="3"/>
      <c r="F1382" s="3"/>
      <c r="G1382" s="3" t="s">
        <v>3270</v>
      </c>
      <c r="H1382" s="3" t="s">
        <v>3277</v>
      </c>
      <c r="I1382" s="3"/>
      <c r="J1382" t="s">
        <v>3278</v>
      </c>
    </row>
    <row r="1383" spans="1:10">
      <c r="A1383" s="3" t="s">
        <v>1121</v>
      </c>
      <c r="B1383" s="3" t="s">
        <v>1122</v>
      </c>
      <c r="C1383" s="3" t="s">
        <v>113</v>
      </c>
      <c r="D1383" s="3" t="s">
        <v>3269</v>
      </c>
      <c r="E1383" s="3"/>
      <c r="F1383" s="3"/>
      <c r="G1383" s="3" t="s">
        <v>3279</v>
      </c>
      <c r="H1383" s="3" t="s">
        <v>3271</v>
      </c>
      <c r="I1383" s="3"/>
      <c r="J1383" t="s">
        <v>3280</v>
      </c>
    </row>
    <row r="1384" spans="1:10">
      <c r="A1384" s="3" t="s">
        <v>1121</v>
      </c>
      <c r="B1384" s="3" t="s">
        <v>1122</v>
      </c>
      <c r="C1384" s="3" t="s">
        <v>113</v>
      </c>
      <c r="D1384" s="3" t="s">
        <v>3269</v>
      </c>
      <c r="E1384" s="3"/>
      <c r="F1384" s="3"/>
      <c r="G1384" s="3" t="s">
        <v>3279</v>
      </c>
      <c r="H1384" s="3" t="s">
        <v>3273</v>
      </c>
      <c r="I1384" s="3"/>
      <c r="J1384" t="s">
        <v>3281</v>
      </c>
    </row>
    <row r="1385" spans="1:10">
      <c r="A1385" s="3" t="s">
        <v>1121</v>
      </c>
      <c r="B1385" s="3" t="s">
        <v>1122</v>
      </c>
      <c r="C1385" s="3" t="s">
        <v>113</v>
      </c>
      <c r="D1385" s="3" t="s">
        <v>3269</v>
      </c>
      <c r="E1385" s="3"/>
      <c r="F1385" s="3"/>
      <c r="G1385" s="3" t="s">
        <v>3279</v>
      </c>
      <c r="H1385" s="3" t="s">
        <v>3275</v>
      </c>
      <c r="I1385" s="3"/>
      <c r="J1385" t="s">
        <v>3282</v>
      </c>
    </row>
    <row r="1386" spans="1:10">
      <c r="A1386" s="3" t="s">
        <v>1121</v>
      </c>
      <c r="B1386" s="3" t="s">
        <v>1122</v>
      </c>
      <c r="C1386" s="3" t="s">
        <v>113</v>
      </c>
      <c r="D1386" s="3" t="s">
        <v>3269</v>
      </c>
      <c r="E1386" s="3"/>
      <c r="F1386" s="3"/>
      <c r="G1386" s="3" t="s">
        <v>3279</v>
      </c>
      <c r="H1386" s="3" t="s">
        <v>3277</v>
      </c>
      <c r="I1386" s="3"/>
      <c r="J1386" t="s">
        <v>3283</v>
      </c>
    </row>
    <row r="1387" spans="1:10">
      <c r="A1387" s="3" t="s">
        <v>1121</v>
      </c>
      <c r="B1387" s="3" t="s">
        <v>1122</v>
      </c>
      <c r="C1387" s="3" t="s">
        <v>113</v>
      </c>
      <c r="D1387" s="3" t="s">
        <v>3269</v>
      </c>
      <c r="E1387" s="3"/>
      <c r="F1387" s="3"/>
      <c r="G1387" s="3"/>
      <c r="H1387" s="3"/>
      <c r="I1387" s="3" t="s">
        <v>3284</v>
      </c>
      <c r="J1387" t="s">
        <v>3285</v>
      </c>
    </row>
    <row r="1388" spans="1:10">
      <c r="A1388" s="3" t="s">
        <v>1121</v>
      </c>
      <c r="B1388" s="3" t="s">
        <v>1122</v>
      </c>
      <c r="C1388" s="3" t="s">
        <v>113</v>
      </c>
      <c r="D1388" s="3" t="s">
        <v>3269</v>
      </c>
      <c r="E1388" s="3"/>
      <c r="F1388" s="3"/>
      <c r="G1388" s="3"/>
      <c r="H1388" s="3"/>
      <c r="I1388" s="3" t="s">
        <v>3286</v>
      </c>
      <c r="J1388" t="s">
        <v>3287</v>
      </c>
    </row>
    <row r="1389" spans="1:10">
      <c r="A1389" s="3" t="s">
        <v>1121</v>
      </c>
      <c r="B1389" s="3" t="s">
        <v>1131</v>
      </c>
      <c r="C1389" s="3" t="s">
        <v>114</v>
      </c>
      <c r="D1389" s="3" t="s">
        <v>3288</v>
      </c>
      <c r="E1389" s="3"/>
      <c r="F1389" s="3"/>
      <c r="G1389" s="3" t="s">
        <v>3289</v>
      </c>
      <c r="H1389" s="3" t="s">
        <v>3290</v>
      </c>
      <c r="I1389" s="3"/>
      <c r="J1389" t="s">
        <v>3291</v>
      </c>
    </row>
    <row r="1390" spans="1:10">
      <c r="A1390" s="3" t="s">
        <v>1121</v>
      </c>
      <c r="B1390" s="3" t="s">
        <v>1131</v>
      </c>
      <c r="C1390" s="3" t="s">
        <v>114</v>
      </c>
      <c r="D1390" s="3" t="s">
        <v>3288</v>
      </c>
      <c r="E1390" s="3"/>
      <c r="F1390" s="3"/>
      <c r="G1390" s="3" t="s">
        <v>3289</v>
      </c>
      <c r="H1390" s="3" t="s">
        <v>3292</v>
      </c>
      <c r="I1390" s="3"/>
      <c r="J1390" t="s">
        <v>3293</v>
      </c>
    </row>
    <row r="1391" spans="1:10">
      <c r="A1391" s="3" t="s">
        <v>1121</v>
      </c>
      <c r="B1391" s="3" t="s">
        <v>1131</v>
      </c>
      <c r="C1391" s="3" t="s">
        <v>114</v>
      </c>
      <c r="D1391" s="3" t="s">
        <v>3288</v>
      </c>
      <c r="E1391" s="3"/>
      <c r="F1391" s="3"/>
      <c r="G1391" s="3" t="s">
        <v>3289</v>
      </c>
      <c r="H1391" s="3" t="s">
        <v>3294</v>
      </c>
      <c r="I1391" s="3"/>
      <c r="J1391" t="s">
        <v>3295</v>
      </c>
    </row>
    <row r="1392" spans="1:10">
      <c r="A1392" s="3" t="s">
        <v>1121</v>
      </c>
      <c r="B1392" s="3" t="s">
        <v>1131</v>
      </c>
      <c r="C1392" s="3" t="s">
        <v>114</v>
      </c>
      <c r="D1392" s="3" t="s">
        <v>3288</v>
      </c>
      <c r="E1392" s="3"/>
      <c r="F1392" s="3"/>
      <c r="G1392" s="3" t="s">
        <v>3289</v>
      </c>
      <c r="H1392" s="3" t="s">
        <v>3296</v>
      </c>
      <c r="I1392" s="3"/>
      <c r="J1392" t="s">
        <v>3297</v>
      </c>
    </row>
    <row r="1393" spans="1:10">
      <c r="A1393" s="3" t="s">
        <v>1121</v>
      </c>
      <c r="B1393" s="3" t="s">
        <v>1131</v>
      </c>
      <c r="C1393" s="3" t="s">
        <v>114</v>
      </c>
      <c r="D1393" s="3" t="s">
        <v>3288</v>
      </c>
      <c r="E1393" s="3"/>
      <c r="F1393" s="3"/>
      <c r="G1393" s="3" t="s">
        <v>3298</v>
      </c>
      <c r="H1393" s="3" t="s">
        <v>3290</v>
      </c>
      <c r="I1393" s="3"/>
      <c r="J1393" t="s">
        <v>3299</v>
      </c>
    </row>
    <row r="1394" spans="1:10">
      <c r="A1394" s="3" t="s">
        <v>1121</v>
      </c>
      <c r="B1394" s="3" t="s">
        <v>1131</v>
      </c>
      <c r="C1394" s="3" t="s">
        <v>114</v>
      </c>
      <c r="D1394" s="3" t="s">
        <v>3288</v>
      </c>
      <c r="E1394" s="3"/>
      <c r="F1394" s="3"/>
      <c r="G1394" s="3" t="s">
        <v>3298</v>
      </c>
      <c r="H1394" s="3" t="s">
        <v>3292</v>
      </c>
      <c r="I1394" s="3"/>
      <c r="J1394" t="s">
        <v>3300</v>
      </c>
    </row>
    <row r="1395" spans="1:10">
      <c r="A1395" s="3" t="s">
        <v>1121</v>
      </c>
      <c r="B1395" s="3" t="s">
        <v>1131</v>
      </c>
      <c r="C1395" s="3" t="s">
        <v>114</v>
      </c>
      <c r="D1395" s="3" t="s">
        <v>3288</v>
      </c>
      <c r="E1395" s="3"/>
      <c r="F1395" s="3"/>
      <c r="G1395" s="3" t="s">
        <v>3298</v>
      </c>
      <c r="H1395" s="3" t="s">
        <v>3294</v>
      </c>
      <c r="I1395" s="3"/>
      <c r="J1395" t="s">
        <v>3301</v>
      </c>
    </row>
    <row r="1396" spans="1:10">
      <c r="A1396" s="3" t="s">
        <v>1121</v>
      </c>
      <c r="B1396" s="3" t="s">
        <v>1131</v>
      </c>
      <c r="C1396" s="3" t="s">
        <v>114</v>
      </c>
      <c r="D1396" s="3" t="s">
        <v>3288</v>
      </c>
      <c r="E1396" s="3"/>
      <c r="F1396" s="3"/>
      <c r="G1396" s="3" t="s">
        <v>3298</v>
      </c>
      <c r="H1396" s="3" t="s">
        <v>3296</v>
      </c>
      <c r="I1396" s="3"/>
      <c r="J1396" t="s">
        <v>3302</v>
      </c>
    </row>
    <row r="1397" spans="1:10">
      <c r="A1397" s="3" t="s">
        <v>1121</v>
      </c>
      <c r="B1397" s="3" t="s">
        <v>1131</v>
      </c>
      <c r="C1397" s="3" t="s">
        <v>114</v>
      </c>
      <c r="D1397" s="3" t="s">
        <v>3288</v>
      </c>
      <c r="E1397" s="3"/>
      <c r="F1397" s="3"/>
      <c r="G1397" s="3"/>
      <c r="H1397" s="3"/>
      <c r="I1397" s="3" t="s">
        <v>3303</v>
      </c>
      <c r="J1397" t="s">
        <v>3304</v>
      </c>
    </row>
    <row r="1398" spans="1:10">
      <c r="A1398" s="3" t="s">
        <v>1134</v>
      </c>
      <c r="B1398" s="3" t="s">
        <v>1135</v>
      </c>
      <c r="C1398" s="3" t="s">
        <v>115</v>
      </c>
      <c r="D1398" s="3" t="s">
        <v>3305</v>
      </c>
      <c r="E1398" s="3"/>
      <c r="F1398" s="3"/>
      <c r="G1398" s="3" t="s">
        <v>3306</v>
      </c>
      <c r="H1398" s="3"/>
      <c r="I1398" s="3"/>
      <c r="J1398" t="s">
        <v>3307</v>
      </c>
    </row>
    <row r="1399" spans="1:10">
      <c r="A1399" s="3" t="s">
        <v>1134</v>
      </c>
      <c r="B1399" s="3" t="s">
        <v>1135</v>
      </c>
      <c r="C1399" s="3" t="s">
        <v>115</v>
      </c>
      <c r="D1399" s="3" t="s">
        <v>3305</v>
      </c>
      <c r="E1399" s="3"/>
      <c r="F1399" s="3"/>
      <c r="G1399" s="3" t="s">
        <v>3308</v>
      </c>
      <c r="H1399" s="3"/>
      <c r="I1399" s="3"/>
      <c r="J1399" t="s">
        <v>3309</v>
      </c>
    </row>
    <row r="1400" spans="1:10">
      <c r="A1400" s="3" t="s">
        <v>1134</v>
      </c>
      <c r="B1400" s="3" t="s">
        <v>1144</v>
      </c>
      <c r="C1400" s="3" t="s">
        <v>116</v>
      </c>
      <c r="D1400" s="3" t="s">
        <v>3310</v>
      </c>
      <c r="E1400" s="3"/>
      <c r="F1400" s="3"/>
      <c r="G1400" s="3"/>
      <c r="H1400" s="3" t="s">
        <v>3311</v>
      </c>
      <c r="I1400" s="3"/>
      <c r="J1400" t="s">
        <v>3312</v>
      </c>
    </row>
    <row r="1401" spans="1:10">
      <c r="A1401" s="3" t="s">
        <v>1134</v>
      </c>
      <c r="B1401" s="3" t="s">
        <v>1144</v>
      </c>
      <c r="C1401" s="3" t="s">
        <v>116</v>
      </c>
      <c r="D1401" s="3" t="s">
        <v>3310</v>
      </c>
      <c r="E1401" s="3"/>
      <c r="F1401" s="3"/>
      <c r="G1401" s="3"/>
      <c r="H1401" s="3" t="s">
        <v>3313</v>
      </c>
      <c r="I1401" s="3"/>
      <c r="J1401" t="s">
        <v>3314</v>
      </c>
    </row>
    <row r="1402" spans="1:10">
      <c r="A1402" s="3" t="s">
        <v>1134</v>
      </c>
      <c r="B1402" s="3" t="s">
        <v>1144</v>
      </c>
      <c r="C1402" s="3" t="s">
        <v>116</v>
      </c>
      <c r="D1402" s="3" t="s">
        <v>3310</v>
      </c>
      <c r="E1402" s="3"/>
      <c r="F1402" s="3"/>
      <c r="G1402" s="3"/>
      <c r="H1402" s="3" t="s">
        <v>3315</v>
      </c>
      <c r="I1402" s="3"/>
      <c r="J1402" t="s">
        <v>3316</v>
      </c>
    </row>
    <row r="1403" spans="1:10">
      <c r="A1403" s="3" t="s">
        <v>1134</v>
      </c>
      <c r="B1403" s="3" t="s">
        <v>1144</v>
      </c>
      <c r="C1403" s="3" t="s">
        <v>116</v>
      </c>
      <c r="D1403" s="3" t="s">
        <v>3310</v>
      </c>
      <c r="E1403" s="3"/>
      <c r="F1403" s="3"/>
      <c r="G1403" s="3"/>
      <c r="H1403" s="3" t="s">
        <v>3317</v>
      </c>
      <c r="I1403" s="3"/>
      <c r="J1403" t="s">
        <v>3318</v>
      </c>
    </row>
    <row r="1404" spans="1:10">
      <c r="A1404" s="3" t="s">
        <v>1149</v>
      </c>
      <c r="B1404" s="3" t="s">
        <v>1150</v>
      </c>
      <c r="C1404" s="3"/>
      <c r="D1404" s="3" t="s">
        <v>3319</v>
      </c>
      <c r="E1404" s="3"/>
      <c r="F1404" s="3"/>
      <c r="G1404" s="3"/>
      <c r="H1404" s="3" t="s">
        <v>3320</v>
      </c>
      <c r="I1404" s="3"/>
      <c r="J1404" t="s">
        <v>3321</v>
      </c>
    </row>
    <row r="1405" spans="1:10">
      <c r="A1405" s="3" t="s">
        <v>1149</v>
      </c>
      <c r="B1405" s="3" t="s">
        <v>1150</v>
      </c>
      <c r="C1405" s="3"/>
      <c r="D1405" s="3" t="s">
        <v>3319</v>
      </c>
      <c r="E1405" s="3"/>
      <c r="F1405" s="3"/>
      <c r="G1405" s="3"/>
      <c r="H1405" s="3" t="s">
        <v>3322</v>
      </c>
      <c r="I1405" s="3"/>
      <c r="J1405" t="s">
        <v>3323</v>
      </c>
    </row>
    <row r="1406" spans="1:10">
      <c r="A1406" s="3" t="s">
        <v>1149</v>
      </c>
      <c r="B1406" s="3" t="s">
        <v>1150</v>
      </c>
      <c r="C1406" s="3"/>
      <c r="D1406" s="3" t="s">
        <v>3319</v>
      </c>
      <c r="E1406" s="3"/>
      <c r="F1406" s="3"/>
      <c r="G1406" s="3"/>
      <c r="H1406" s="3" t="s">
        <v>3324</v>
      </c>
      <c r="I1406" s="3"/>
      <c r="J1406" t="s">
        <v>3325</v>
      </c>
    </row>
    <row r="1407" spans="1:10">
      <c r="A1407" s="3" t="s">
        <v>1149</v>
      </c>
      <c r="B1407" s="3" t="s">
        <v>1150</v>
      </c>
      <c r="C1407" s="3"/>
      <c r="D1407" s="3" t="s">
        <v>3319</v>
      </c>
      <c r="E1407" s="3"/>
      <c r="F1407" s="3"/>
      <c r="G1407" s="3"/>
      <c r="H1407" s="3" t="s">
        <v>3326</v>
      </c>
      <c r="I1407" s="3"/>
      <c r="J1407" t="s">
        <v>3327</v>
      </c>
    </row>
    <row r="1408" spans="1:10">
      <c r="A1408" s="3" t="s">
        <v>1149</v>
      </c>
      <c r="B1408" s="3" t="s">
        <v>1150</v>
      </c>
      <c r="C1408" s="3"/>
      <c r="D1408" s="3" t="s">
        <v>3328</v>
      </c>
      <c r="E1408" s="3"/>
      <c r="F1408" s="3"/>
      <c r="G1408" s="3" t="s">
        <v>3329</v>
      </c>
      <c r="H1408" s="3" t="s">
        <v>3330</v>
      </c>
      <c r="I1408" s="3"/>
      <c r="J1408" t="s">
        <v>3331</v>
      </c>
    </row>
    <row r="1409" spans="1:10">
      <c r="A1409" s="3" t="s">
        <v>1149</v>
      </c>
      <c r="B1409" s="3" t="s">
        <v>1150</v>
      </c>
      <c r="C1409" s="3"/>
      <c r="D1409" s="3" t="s">
        <v>3328</v>
      </c>
      <c r="E1409" s="3"/>
      <c r="F1409" s="3"/>
      <c r="G1409" s="3" t="s">
        <v>3329</v>
      </c>
      <c r="H1409" s="3" t="s">
        <v>3332</v>
      </c>
      <c r="I1409" s="3"/>
      <c r="J1409" t="s">
        <v>3333</v>
      </c>
    </row>
    <row r="1410" spans="1:10">
      <c r="A1410" s="3" t="s">
        <v>1149</v>
      </c>
      <c r="B1410" s="3" t="s">
        <v>1150</v>
      </c>
      <c r="C1410" s="3"/>
      <c r="D1410" s="3" t="s">
        <v>3328</v>
      </c>
      <c r="E1410" s="3"/>
      <c r="F1410" s="3"/>
      <c r="G1410" s="3" t="s">
        <v>3329</v>
      </c>
      <c r="H1410" s="3" t="s">
        <v>3334</v>
      </c>
      <c r="I1410" s="3"/>
      <c r="J1410" t="s">
        <v>3335</v>
      </c>
    </row>
    <row r="1411" spans="1:10">
      <c r="A1411" s="3" t="s">
        <v>1149</v>
      </c>
      <c r="B1411" s="3" t="s">
        <v>1150</v>
      </c>
      <c r="C1411" s="3"/>
      <c r="D1411" s="3" t="s">
        <v>3328</v>
      </c>
      <c r="E1411" s="3"/>
      <c r="F1411" s="3"/>
      <c r="G1411" s="3" t="s">
        <v>3336</v>
      </c>
      <c r="H1411" s="3" t="s">
        <v>3330</v>
      </c>
      <c r="I1411" s="3"/>
      <c r="J1411" t="s">
        <v>3337</v>
      </c>
    </row>
    <row r="1412" spans="1:10">
      <c r="A1412" s="3" t="s">
        <v>1149</v>
      </c>
      <c r="B1412" s="3" t="s">
        <v>1150</v>
      </c>
      <c r="C1412" s="3"/>
      <c r="D1412" s="3" t="s">
        <v>3328</v>
      </c>
      <c r="E1412" s="3"/>
      <c r="F1412" s="3"/>
      <c r="G1412" s="3" t="s">
        <v>3336</v>
      </c>
      <c r="H1412" s="3" t="s">
        <v>3332</v>
      </c>
      <c r="I1412" s="3"/>
      <c r="J1412" t="s">
        <v>3338</v>
      </c>
    </row>
    <row r="1413" spans="1:10">
      <c r="A1413" s="3" t="s">
        <v>1149</v>
      </c>
      <c r="B1413" s="3" t="s">
        <v>1150</v>
      </c>
      <c r="C1413" s="3"/>
      <c r="D1413" s="3" t="s">
        <v>3328</v>
      </c>
      <c r="E1413" s="3"/>
      <c r="F1413" s="3"/>
      <c r="G1413" s="3" t="s">
        <v>3336</v>
      </c>
      <c r="H1413" s="3" t="s">
        <v>3334</v>
      </c>
      <c r="I1413" s="3"/>
      <c r="J1413" t="s">
        <v>3339</v>
      </c>
    </row>
    <row r="1414" spans="1:10">
      <c r="A1414" s="3" t="s">
        <v>1149</v>
      </c>
      <c r="B1414" s="3" t="s">
        <v>1155</v>
      </c>
      <c r="C1414" s="3"/>
      <c r="D1414" s="3" t="s">
        <v>3340</v>
      </c>
      <c r="E1414" s="3"/>
      <c r="F1414" s="3"/>
      <c r="G1414" s="3" t="s">
        <v>3341</v>
      </c>
      <c r="H1414" s="3" t="s">
        <v>3342</v>
      </c>
      <c r="I1414" s="3"/>
      <c r="J1414" t="s">
        <v>3343</v>
      </c>
    </row>
    <row r="1415" spans="1:10">
      <c r="A1415" s="3" t="s">
        <v>1149</v>
      </c>
      <c r="B1415" s="3" t="s">
        <v>1155</v>
      </c>
      <c r="C1415" s="3"/>
      <c r="D1415" s="3" t="s">
        <v>3340</v>
      </c>
      <c r="E1415" s="3"/>
      <c r="F1415" s="3"/>
      <c r="G1415" s="3" t="s">
        <v>3341</v>
      </c>
      <c r="H1415" s="3" t="s">
        <v>3344</v>
      </c>
      <c r="I1415" s="3"/>
      <c r="J1415" t="s">
        <v>3345</v>
      </c>
    </row>
    <row r="1416" spans="1:10">
      <c r="A1416" s="3" t="s">
        <v>1149</v>
      </c>
      <c r="B1416" s="3" t="s">
        <v>1155</v>
      </c>
      <c r="C1416" s="3"/>
      <c r="D1416" s="3" t="s">
        <v>3340</v>
      </c>
      <c r="E1416" s="3"/>
      <c r="F1416" s="3"/>
      <c r="G1416" s="3" t="s">
        <v>3341</v>
      </c>
      <c r="H1416" s="3" t="s">
        <v>3346</v>
      </c>
      <c r="I1416" s="3"/>
      <c r="J1416" t="s">
        <v>3347</v>
      </c>
    </row>
    <row r="1417" spans="1:10">
      <c r="A1417" s="3" t="s">
        <v>1149</v>
      </c>
      <c r="B1417" s="3" t="s">
        <v>1155</v>
      </c>
      <c r="C1417" s="3"/>
      <c r="D1417" s="3" t="s">
        <v>3340</v>
      </c>
      <c r="E1417" s="3"/>
      <c r="F1417" s="3"/>
      <c r="G1417" s="3" t="s">
        <v>3341</v>
      </c>
      <c r="H1417" s="3" t="s">
        <v>3348</v>
      </c>
      <c r="I1417" s="3"/>
      <c r="J1417" t="s">
        <v>3349</v>
      </c>
    </row>
    <row r="1418" spans="1:10">
      <c r="A1418" s="3" t="s">
        <v>1149</v>
      </c>
      <c r="B1418" s="3" t="s">
        <v>1155</v>
      </c>
      <c r="C1418" s="3"/>
      <c r="D1418" s="3" t="s">
        <v>3340</v>
      </c>
      <c r="E1418" s="3"/>
      <c r="F1418" s="3"/>
      <c r="G1418" s="3" t="s">
        <v>3341</v>
      </c>
      <c r="H1418" s="3" t="s">
        <v>3350</v>
      </c>
      <c r="I1418" s="3"/>
      <c r="J1418" t="s">
        <v>3351</v>
      </c>
    </row>
    <row r="1419" spans="1:10">
      <c r="A1419" s="3" t="s">
        <v>1149</v>
      </c>
      <c r="B1419" s="3" t="s">
        <v>1155</v>
      </c>
      <c r="C1419" s="3"/>
      <c r="D1419" s="3" t="s">
        <v>3340</v>
      </c>
      <c r="E1419" s="3"/>
      <c r="F1419" s="3"/>
      <c r="G1419" s="3" t="s">
        <v>3352</v>
      </c>
      <c r="H1419" s="3" t="s">
        <v>3342</v>
      </c>
      <c r="I1419" s="3"/>
      <c r="J1419" t="s">
        <v>3353</v>
      </c>
    </row>
    <row r="1420" spans="1:10">
      <c r="A1420" s="3" t="s">
        <v>1149</v>
      </c>
      <c r="B1420" s="3" t="s">
        <v>1155</v>
      </c>
      <c r="C1420" s="3"/>
      <c r="D1420" s="3" t="s">
        <v>3340</v>
      </c>
      <c r="E1420" s="3"/>
      <c r="F1420" s="3"/>
      <c r="G1420" s="3" t="s">
        <v>3352</v>
      </c>
      <c r="H1420" s="3" t="s">
        <v>3344</v>
      </c>
      <c r="I1420" s="3"/>
      <c r="J1420" t="s">
        <v>3354</v>
      </c>
    </row>
    <row r="1421" spans="1:10">
      <c r="A1421" s="3" t="s">
        <v>1149</v>
      </c>
      <c r="B1421" s="3" t="s">
        <v>1155</v>
      </c>
      <c r="C1421" s="3"/>
      <c r="D1421" s="3" t="s">
        <v>3340</v>
      </c>
      <c r="E1421" s="3"/>
      <c r="F1421" s="3"/>
      <c r="G1421" s="3" t="s">
        <v>3352</v>
      </c>
      <c r="H1421" s="3" t="s">
        <v>3346</v>
      </c>
      <c r="I1421" s="3"/>
      <c r="J1421" t="s">
        <v>3355</v>
      </c>
    </row>
    <row r="1422" spans="1:10">
      <c r="A1422" s="3" t="s">
        <v>1149</v>
      </c>
      <c r="B1422" s="3" t="s">
        <v>1155</v>
      </c>
      <c r="C1422" s="3"/>
      <c r="D1422" s="3" t="s">
        <v>3340</v>
      </c>
      <c r="E1422" s="3"/>
      <c r="F1422" s="3"/>
      <c r="G1422" s="3" t="s">
        <v>3352</v>
      </c>
      <c r="H1422" s="3" t="s">
        <v>3348</v>
      </c>
      <c r="I1422" s="3"/>
      <c r="J1422" t="s">
        <v>3356</v>
      </c>
    </row>
    <row r="1423" spans="1:10">
      <c r="A1423" s="3" t="s">
        <v>1149</v>
      </c>
      <c r="B1423" s="3" t="s">
        <v>1155</v>
      </c>
      <c r="C1423" s="3"/>
      <c r="D1423" s="3" t="s">
        <v>3340</v>
      </c>
      <c r="E1423" s="3"/>
      <c r="F1423" s="3"/>
      <c r="G1423" s="3" t="s">
        <v>3352</v>
      </c>
      <c r="H1423" s="3" t="s">
        <v>3350</v>
      </c>
      <c r="I1423" s="3"/>
      <c r="J1423" t="s">
        <v>3357</v>
      </c>
    </row>
    <row r="1424" spans="1:10">
      <c r="A1424" s="3" t="s">
        <v>1149</v>
      </c>
      <c r="B1424" s="3" t="s">
        <v>1155</v>
      </c>
      <c r="C1424" s="3"/>
      <c r="D1424" s="3" t="s">
        <v>3340</v>
      </c>
      <c r="E1424" s="3"/>
      <c r="F1424" s="3"/>
      <c r="G1424" s="3"/>
      <c r="H1424" s="3"/>
      <c r="I1424" s="3" t="s">
        <v>3358</v>
      </c>
      <c r="J1424" t="s">
        <v>3359</v>
      </c>
    </row>
    <row r="1425" spans="1:10">
      <c r="A1425" s="3" t="s">
        <v>1149</v>
      </c>
      <c r="B1425" s="3" t="s">
        <v>1155</v>
      </c>
      <c r="C1425" s="3"/>
      <c r="D1425" s="3" t="s">
        <v>3340</v>
      </c>
      <c r="E1425" s="3"/>
      <c r="F1425" s="3"/>
      <c r="G1425" s="3"/>
      <c r="H1425" s="3"/>
      <c r="I1425" s="3" t="s">
        <v>3360</v>
      </c>
      <c r="J1425" t="s">
        <v>3361</v>
      </c>
    </row>
    <row r="1426" spans="1:10">
      <c r="A1426" s="3" t="s">
        <v>1149</v>
      </c>
      <c r="B1426" s="3" t="s">
        <v>1166</v>
      </c>
      <c r="C1426" s="3" t="s">
        <v>117</v>
      </c>
      <c r="D1426" s="3" t="s">
        <v>3362</v>
      </c>
      <c r="E1426" s="3"/>
      <c r="F1426" s="3"/>
      <c r="G1426" s="3"/>
      <c r="H1426" s="3" t="s">
        <v>3363</v>
      </c>
      <c r="I1426" s="3"/>
      <c r="J1426" t="s">
        <v>3364</v>
      </c>
    </row>
    <row r="1427" spans="1:10">
      <c r="A1427" s="3" t="s">
        <v>1149</v>
      </c>
      <c r="B1427" s="3" t="s">
        <v>1166</v>
      </c>
      <c r="C1427" s="3" t="s">
        <v>117</v>
      </c>
      <c r="D1427" s="3" t="s">
        <v>3362</v>
      </c>
      <c r="E1427" s="3"/>
      <c r="F1427" s="3"/>
      <c r="G1427" s="3"/>
      <c r="H1427" s="3" t="s">
        <v>3365</v>
      </c>
      <c r="I1427" s="3"/>
      <c r="J1427" t="s">
        <v>3366</v>
      </c>
    </row>
    <row r="1428" spans="1:10">
      <c r="A1428" s="3" t="s">
        <v>1149</v>
      </c>
      <c r="B1428" s="3" t="s">
        <v>1166</v>
      </c>
      <c r="C1428" s="3" t="s">
        <v>117</v>
      </c>
      <c r="D1428" s="3" t="s">
        <v>3362</v>
      </c>
      <c r="E1428" s="3"/>
      <c r="F1428" s="3"/>
      <c r="G1428" s="3"/>
      <c r="H1428" s="3" t="s">
        <v>3367</v>
      </c>
      <c r="I1428" s="3"/>
      <c r="J1428" t="s">
        <v>3368</v>
      </c>
    </row>
    <row r="1429" spans="1:10">
      <c r="A1429" s="3" t="s">
        <v>1149</v>
      </c>
      <c r="B1429" s="3" t="s">
        <v>1166</v>
      </c>
      <c r="C1429" s="3" t="s">
        <v>117</v>
      </c>
      <c r="D1429" s="3" t="s">
        <v>3362</v>
      </c>
      <c r="E1429" s="3"/>
      <c r="F1429" s="3"/>
      <c r="G1429" s="3"/>
      <c r="H1429" s="3" t="s">
        <v>3369</v>
      </c>
      <c r="I1429" s="3"/>
      <c r="J1429" t="s">
        <v>3370</v>
      </c>
    </row>
    <row r="1430" spans="1:10">
      <c r="A1430" s="3" t="s">
        <v>1149</v>
      </c>
      <c r="B1430" s="3" t="s">
        <v>1166</v>
      </c>
      <c r="C1430" s="3" t="s">
        <v>117</v>
      </c>
      <c r="D1430" s="3" t="s">
        <v>3362</v>
      </c>
      <c r="E1430" s="3"/>
      <c r="F1430" s="3"/>
      <c r="G1430" s="3"/>
      <c r="H1430" s="3"/>
      <c r="I1430" s="3" t="s">
        <v>3371</v>
      </c>
      <c r="J1430" t="s">
        <v>3372</v>
      </c>
    </row>
    <row r="1431" spans="1:10">
      <c r="A1431" s="3" t="s">
        <v>1149</v>
      </c>
      <c r="B1431" s="3" t="s">
        <v>1166</v>
      </c>
      <c r="C1431" s="3" t="s">
        <v>117</v>
      </c>
      <c r="D1431" s="3" t="s">
        <v>3362</v>
      </c>
      <c r="E1431" s="3"/>
      <c r="F1431" s="3"/>
      <c r="G1431" s="3"/>
      <c r="H1431" s="3"/>
      <c r="I1431" s="3" t="s">
        <v>3373</v>
      </c>
      <c r="J1431" t="s">
        <v>3374</v>
      </c>
    </row>
    <row r="1432" spans="1:10">
      <c r="A1432" s="3" t="s">
        <v>1149</v>
      </c>
      <c r="B1432" s="3" t="s">
        <v>1166</v>
      </c>
      <c r="C1432" s="3" t="s">
        <v>117</v>
      </c>
      <c r="D1432" s="3" t="s">
        <v>3362</v>
      </c>
      <c r="E1432" s="3"/>
      <c r="F1432" s="3"/>
      <c r="G1432" s="3"/>
      <c r="H1432" s="3"/>
      <c r="I1432" s="3" t="s">
        <v>3375</v>
      </c>
      <c r="J1432" t="s">
        <v>3376</v>
      </c>
    </row>
    <row r="1433" spans="1:10">
      <c r="A1433" s="3" t="s">
        <v>1168</v>
      </c>
      <c r="B1433" s="3" t="s">
        <v>1169</v>
      </c>
      <c r="C1433" s="3" t="s">
        <v>118</v>
      </c>
      <c r="D1433" s="3" t="s">
        <v>3377</v>
      </c>
      <c r="E1433" s="3"/>
      <c r="F1433" s="3"/>
      <c r="G1433" s="3"/>
      <c r="H1433" s="3" t="s">
        <v>3378</v>
      </c>
      <c r="I1433" s="3"/>
      <c r="J1433" t="s">
        <v>3379</v>
      </c>
    </row>
    <row r="1434" spans="1:10">
      <c r="A1434" s="3" t="s">
        <v>1168</v>
      </c>
      <c r="B1434" s="3" t="s">
        <v>1169</v>
      </c>
      <c r="C1434" s="3" t="s">
        <v>118</v>
      </c>
      <c r="D1434" s="3" t="s">
        <v>3377</v>
      </c>
      <c r="E1434" s="3"/>
      <c r="F1434" s="3"/>
      <c r="G1434" s="3"/>
      <c r="H1434" s="3" t="s">
        <v>3380</v>
      </c>
      <c r="I1434" s="3"/>
      <c r="J1434" t="s">
        <v>3381</v>
      </c>
    </row>
    <row r="1435" spans="1:10">
      <c r="A1435" s="3" t="s">
        <v>1168</v>
      </c>
      <c r="B1435" s="3" t="s">
        <v>1169</v>
      </c>
      <c r="C1435" s="3" t="s">
        <v>118</v>
      </c>
      <c r="D1435" s="3" t="s">
        <v>3377</v>
      </c>
      <c r="E1435" s="3"/>
      <c r="F1435" s="3"/>
      <c r="G1435" s="3"/>
      <c r="H1435" s="3" t="s">
        <v>3382</v>
      </c>
      <c r="I1435" s="3"/>
      <c r="J1435" t="s">
        <v>3383</v>
      </c>
    </row>
    <row r="1436" spans="1:10">
      <c r="A1436" s="3" t="s">
        <v>1168</v>
      </c>
      <c r="B1436" s="3" t="s">
        <v>1169</v>
      </c>
      <c r="C1436" s="3" t="s">
        <v>118</v>
      </c>
      <c r="D1436" s="3" t="s">
        <v>3377</v>
      </c>
      <c r="E1436" s="3"/>
      <c r="F1436" s="3"/>
      <c r="G1436" s="3"/>
      <c r="H1436" s="3" t="s">
        <v>3384</v>
      </c>
      <c r="I1436" s="3"/>
      <c r="J1436" t="s">
        <v>3385</v>
      </c>
    </row>
    <row r="1437" spans="1:10">
      <c r="A1437" s="3" t="s">
        <v>1168</v>
      </c>
      <c r="B1437" s="3" t="s">
        <v>1174</v>
      </c>
      <c r="C1437" s="3" t="s">
        <v>119</v>
      </c>
      <c r="D1437" s="3" t="s">
        <v>3386</v>
      </c>
      <c r="E1437" s="3"/>
      <c r="F1437" s="3"/>
      <c r="G1437" s="3" t="s">
        <v>3387</v>
      </c>
      <c r="H1437" s="3" t="s">
        <v>3388</v>
      </c>
      <c r="I1437" s="3"/>
      <c r="J1437" t="s">
        <v>3389</v>
      </c>
    </row>
    <row r="1438" spans="1:10">
      <c r="A1438" s="3" t="s">
        <v>1168</v>
      </c>
      <c r="B1438" s="3" t="s">
        <v>1174</v>
      </c>
      <c r="C1438" s="3" t="s">
        <v>119</v>
      </c>
      <c r="D1438" s="3" t="s">
        <v>3386</v>
      </c>
      <c r="E1438" s="3"/>
      <c r="F1438" s="3"/>
      <c r="G1438" s="3" t="s">
        <v>3387</v>
      </c>
      <c r="H1438" s="3" t="s">
        <v>3390</v>
      </c>
      <c r="I1438" s="3"/>
      <c r="J1438" t="s">
        <v>3391</v>
      </c>
    </row>
    <row r="1439" spans="1:10">
      <c r="A1439" s="3" t="s">
        <v>1168</v>
      </c>
      <c r="B1439" s="3" t="s">
        <v>1174</v>
      </c>
      <c r="C1439" s="3" t="s">
        <v>119</v>
      </c>
      <c r="D1439" s="3" t="s">
        <v>3386</v>
      </c>
      <c r="E1439" s="3"/>
      <c r="F1439" s="3"/>
      <c r="G1439" s="3" t="s">
        <v>3387</v>
      </c>
      <c r="H1439" s="3" t="s">
        <v>3392</v>
      </c>
      <c r="I1439" s="3"/>
      <c r="J1439" t="s">
        <v>3393</v>
      </c>
    </row>
    <row r="1440" spans="1:10">
      <c r="A1440" s="3" t="s">
        <v>1168</v>
      </c>
      <c r="B1440" s="3" t="s">
        <v>1174</v>
      </c>
      <c r="C1440" s="3" t="s">
        <v>119</v>
      </c>
      <c r="D1440" s="3" t="s">
        <v>3386</v>
      </c>
      <c r="E1440" s="3"/>
      <c r="F1440" s="3"/>
      <c r="G1440" s="3" t="s">
        <v>3387</v>
      </c>
      <c r="H1440" s="3" t="s">
        <v>3394</v>
      </c>
      <c r="I1440" s="3"/>
      <c r="J1440" t="s">
        <v>3395</v>
      </c>
    </row>
    <row r="1441" spans="1:10">
      <c r="A1441" s="3" t="s">
        <v>1168</v>
      </c>
      <c r="B1441" s="3" t="s">
        <v>1174</v>
      </c>
      <c r="C1441" s="3" t="s">
        <v>119</v>
      </c>
      <c r="D1441" s="3" t="s">
        <v>3386</v>
      </c>
      <c r="E1441" s="3"/>
      <c r="F1441" s="3"/>
      <c r="G1441" s="3"/>
      <c r="H1441" s="3"/>
      <c r="I1441" s="3" t="s">
        <v>3396</v>
      </c>
      <c r="J1441" t="s">
        <v>3397</v>
      </c>
    </row>
    <row r="1442" spans="1:10">
      <c r="A1442" s="3" t="s">
        <v>1168</v>
      </c>
      <c r="B1442" s="3" t="s">
        <v>1174</v>
      </c>
      <c r="C1442" s="3" t="s">
        <v>119</v>
      </c>
      <c r="D1442" s="3" t="s">
        <v>3386</v>
      </c>
      <c r="E1442" s="3"/>
      <c r="F1442" s="3"/>
      <c r="G1442" s="3"/>
      <c r="H1442" s="3"/>
      <c r="I1442" s="3" t="s">
        <v>3398</v>
      </c>
      <c r="J1442" t="s">
        <v>3399</v>
      </c>
    </row>
    <row r="1443" spans="1:10">
      <c r="A1443" s="3" t="s">
        <v>1168</v>
      </c>
      <c r="B1443" s="3" t="s">
        <v>1181</v>
      </c>
      <c r="C1443" s="3" t="s">
        <v>120</v>
      </c>
      <c r="D1443" s="3" t="s">
        <v>3400</v>
      </c>
      <c r="E1443" s="3"/>
      <c r="F1443" s="3"/>
      <c r="G1443" s="3"/>
      <c r="H1443" s="3" t="s">
        <v>3401</v>
      </c>
      <c r="I1443" s="3"/>
      <c r="J1443" t="s">
        <v>3402</v>
      </c>
    </row>
    <row r="1444" spans="1:10">
      <c r="A1444" s="3" t="s">
        <v>1168</v>
      </c>
      <c r="B1444" s="3" t="s">
        <v>1181</v>
      </c>
      <c r="C1444" s="3" t="s">
        <v>120</v>
      </c>
      <c r="D1444" s="3" t="s">
        <v>3400</v>
      </c>
      <c r="E1444" s="3"/>
      <c r="F1444" s="3"/>
      <c r="G1444" s="3"/>
      <c r="H1444" s="3" t="s">
        <v>3403</v>
      </c>
      <c r="I1444" s="3"/>
      <c r="J1444" t="s">
        <v>3404</v>
      </c>
    </row>
    <row r="1445" spans="1:10">
      <c r="A1445" s="3" t="s">
        <v>1168</v>
      </c>
      <c r="B1445" s="3" t="s">
        <v>1181</v>
      </c>
      <c r="C1445" s="3" t="s">
        <v>120</v>
      </c>
      <c r="D1445" s="3" t="s">
        <v>3400</v>
      </c>
      <c r="E1445" s="3"/>
      <c r="F1445" s="3"/>
      <c r="G1445" s="3"/>
      <c r="H1445" s="3" t="s">
        <v>3405</v>
      </c>
      <c r="I1445" s="3"/>
      <c r="J1445" t="s">
        <v>3406</v>
      </c>
    </row>
    <row r="1446" spans="1:10">
      <c r="A1446" s="3" t="s">
        <v>1168</v>
      </c>
      <c r="B1446" s="3" t="s">
        <v>1181</v>
      </c>
      <c r="C1446" s="3" t="s">
        <v>120</v>
      </c>
      <c r="D1446" s="3" t="s">
        <v>3400</v>
      </c>
      <c r="E1446" s="3"/>
      <c r="F1446" s="3"/>
      <c r="G1446" s="3"/>
      <c r="H1446" s="3" t="s">
        <v>3407</v>
      </c>
      <c r="I1446" s="3"/>
      <c r="J1446" t="s">
        <v>3408</v>
      </c>
    </row>
    <row r="1447" spans="1:10">
      <c r="A1447" s="3" t="s">
        <v>1168</v>
      </c>
      <c r="B1447" s="3" t="s">
        <v>1181</v>
      </c>
      <c r="C1447" s="3" t="s">
        <v>120</v>
      </c>
      <c r="D1447" s="3" t="s">
        <v>3400</v>
      </c>
      <c r="E1447" s="3"/>
      <c r="F1447" s="3"/>
      <c r="G1447" s="3"/>
      <c r="H1447" s="3" t="s">
        <v>3409</v>
      </c>
      <c r="I1447" s="3"/>
      <c r="J1447" t="s">
        <v>3410</v>
      </c>
    </row>
    <row r="1448" spans="1:10">
      <c r="A1448" s="3" t="s">
        <v>1186</v>
      </c>
      <c r="B1448" s="3" t="s">
        <v>1187</v>
      </c>
      <c r="C1448" s="3" t="s">
        <v>121</v>
      </c>
      <c r="D1448" s="3" t="s">
        <v>3411</v>
      </c>
      <c r="E1448" s="3"/>
      <c r="F1448" s="3"/>
      <c r="G1448" s="3" t="s">
        <v>3412</v>
      </c>
      <c r="H1448" s="3"/>
      <c r="I1448" s="3"/>
      <c r="J1448" t="s">
        <v>3413</v>
      </c>
    </row>
    <row r="1449" spans="1:10">
      <c r="A1449" s="3" t="s">
        <v>1186</v>
      </c>
      <c r="B1449" s="3" t="s">
        <v>1187</v>
      </c>
      <c r="C1449" s="3" t="s">
        <v>121</v>
      </c>
      <c r="D1449" s="3" t="s">
        <v>3411</v>
      </c>
      <c r="E1449" s="3"/>
      <c r="F1449" s="3"/>
      <c r="G1449" s="3" t="s">
        <v>3414</v>
      </c>
      <c r="H1449" s="3"/>
      <c r="I1449" s="3"/>
      <c r="J1449" t="s">
        <v>3415</v>
      </c>
    </row>
    <row r="1450" spans="1:10">
      <c r="A1450" s="3" t="s">
        <v>1186</v>
      </c>
      <c r="B1450" s="3" t="s">
        <v>1187</v>
      </c>
      <c r="C1450" s="3" t="s">
        <v>121</v>
      </c>
      <c r="D1450" s="3" t="s">
        <v>3416</v>
      </c>
      <c r="E1450" s="3"/>
      <c r="F1450" s="3"/>
      <c r="G1450" s="3" t="s">
        <v>3417</v>
      </c>
      <c r="H1450" s="3" t="s">
        <v>3418</v>
      </c>
      <c r="I1450" s="3"/>
      <c r="J1450" t="s">
        <v>3419</v>
      </c>
    </row>
    <row r="1451" spans="1:10">
      <c r="A1451" s="3" t="s">
        <v>1186</v>
      </c>
      <c r="B1451" s="3" t="s">
        <v>1187</v>
      </c>
      <c r="C1451" s="3" t="s">
        <v>121</v>
      </c>
      <c r="D1451" s="3" t="s">
        <v>3416</v>
      </c>
      <c r="E1451" s="3"/>
      <c r="F1451" s="3"/>
      <c r="G1451" s="3" t="s">
        <v>3417</v>
      </c>
      <c r="H1451" s="3" t="s">
        <v>3420</v>
      </c>
      <c r="I1451" s="3"/>
      <c r="J1451" t="s">
        <v>3421</v>
      </c>
    </row>
    <row r="1452" spans="1:10">
      <c r="A1452" s="3" t="s">
        <v>1186</v>
      </c>
      <c r="B1452" s="3" t="s">
        <v>1187</v>
      </c>
      <c r="C1452" s="3" t="s">
        <v>121</v>
      </c>
      <c r="D1452" s="3" t="s">
        <v>3416</v>
      </c>
      <c r="E1452" s="3"/>
      <c r="F1452" s="3"/>
      <c r="G1452" s="3" t="s">
        <v>3417</v>
      </c>
      <c r="H1452" s="3" t="s">
        <v>3422</v>
      </c>
      <c r="I1452" s="3"/>
      <c r="J1452" t="s">
        <v>3423</v>
      </c>
    </row>
    <row r="1453" spans="1:10">
      <c r="A1453" s="3" t="s">
        <v>1186</v>
      </c>
      <c r="B1453" s="3" t="s">
        <v>1187</v>
      </c>
      <c r="C1453" s="3" t="s">
        <v>121</v>
      </c>
      <c r="D1453" s="3" t="s">
        <v>3416</v>
      </c>
      <c r="E1453" s="3"/>
      <c r="F1453" s="3"/>
      <c r="G1453" s="3" t="s">
        <v>3417</v>
      </c>
      <c r="H1453" s="3" t="s">
        <v>3424</v>
      </c>
      <c r="I1453" s="3"/>
      <c r="J1453" t="s">
        <v>3425</v>
      </c>
    </row>
    <row r="1454" spans="1:10">
      <c r="A1454" s="3" t="s">
        <v>1186</v>
      </c>
      <c r="B1454" s="3" t="s">
        <v>1187</v>
      </c>
      <c r="C1454" s="3" t="s">
        <v>121</v>
      </c>
      <c r="D1454" s="3" t="s">
        <v>3416</v>
      </c>
      <c r="E1454" s="3"/>
      <c r="F1454" s="3"/>
      <c r="G1454" s="3" t="s">
        <v>3417</v>
      </c>
      <c r="H1454" s="3" t="s">
        <v>3426</v>
      </c>
      <c r="I1454" s="3"/>
      <c r="J1454" t="s">
        <v>3427</v>
      </c>
    </row>
    <row r="1455" spans="1:10">
      <c r="A1455" s="3" t="s">
        <v>1186</v>
      </c>
      <c r="B1455" s="3" t="s">
        <v>1187</v>
      </c>
      <c r="C1455" s="3" t="s">
        <v>121</v>
      </c>
      <c r="D1455" s="3" t="s">
        <v>3416</v>
      </c>
      <c r="E1455" s="3"/>
      <c r="F1455" s="3"/>
      <c r="G1455" s="3" t="s">
        <v>3428</v>
      </c>
      <c r="H1455" s="3" t="s">
        <v>3418</v>
      </c>
      <c r="I1455" s="3"/>
      <c r="J1455" t="s">
        <v>3429</v>
      </c>
    </row>
    <row r="1456" spans="1:10">
      <c r="A1456" s="3" t="s">
        <v>1186</v>
      </c>
      <c r="B1456" s="3" t="s">
        <v>1187</v>
      </c>
      <c r="C1456" s="3" t="s">
        <v>121</v>
      </c>
      <c r="D1456" s="3" t="s">
        <v>3416</v>
      </c>
      <c r="E1456" s="3"/>
      <c r="F1456" s="3"/>
      <c r="G1456" s="3" t="s">
        <v>3428</v>
      </c>
      <c r="H1456" s="3" t="s">
        <v>3420</v>
      </c>
      <c r="I1456" s="3"/>
      <c r="J1456" t="s">
        <v>3430</v>
      </c>
    </row>
    <row r="1457" spans="1:10">
      <c r="A1457" s="3" t="s">
        <v>1186</v>
      </c>
      <c r="B1457" s="3" t="s">
        <v>1187</v>
      </c>
      <c r="C1457" s="3" t="s">
        <v>121</v>
      </c>
      <c r="D1457" s="3" t="s">
        <v>3416</v>
      </c>
      <c r="E1457" s="3"/>
      <c r="F1457" s="3"/>
      <c r="G1457" s="3" t="s">
        <v>3428</v>
      </c>
      <c r="H1457" s="3" t="s">
        <v>3422</v>
      </c>
      <c r="I1457" s="3"/>
      <c r="J1457" t="s">
        <v>3431</v>
      </c>
    </row>
    <row r="1458" spans="1:10">
      <c r="A1458" s="3" t="s">
        <v>1186</v>
      </c>
      <c r="B1458" s="3" t="s">
        <v>1187</v>
      </c>
      <c r="C1458" s="3" t="s">
        <v>121</v>
      </c>
      <c r="D1458" s="3" t="s">
        <v>3416</v>
      </c>
      <c r="E1458" s="3"/>
      <c r="F1458" s="3"/>
      <c r="G1458" s="3" t="s">
        <v>3428</v>
      </c>
      <c r="H1458" s="3" t="s">
        <v>3424</v>
      </c>
      <c r="I1458" s="3"/>
      <c r="J1458" t="s">
        <v>3432</v>
      </c>
    </row>
    <row r="1459" spans="1:10">
      <c r="A1459" s="3" t="s">
        <v>1186</v>
      </c>
      <c r="B1459" s="3" t="s">
        <v>1187</v>
      </c>
      <c r="C1459" s="3" t="s">
        <v>121</v>
      </c>
      <c r="D1459" s="3" t="s">
        <v>3416</v>
      </c>
      <c r="E1459" s="3"/>
      <c r="F1459" s="3"/>
      <c r="G1459" s="3" t="s">
        <v>3428</v>
      </c>
      <c r="H1459" s="3" t="s">
        <v>3426</v>
      </c>
      <c r="I1459" s="3"/>
      <c r="J1459" t="s">
        <v>3433</v>
      </c>
    </row>
    <row r="1460" spans="1:10">
      <c r="A1460" s="3" t="s">
        <v>1186</v>
      </c>
      <c r="B1460" s="3" t="s">
        <v>1187</v>
      </c>
      <c r="C1460" s="3" t="s">
        <v>121</v>
      </c>
      <c r="D1460" s="3" t="s">
        <v>3416</v>
      </c>
      <c r="E1460" s="3"/>
      <c r="F1460" s="3"/>
      <c r="G1460" s="3"/>
      <c r="H1460" s="3"/>
      <c r="I1460" s="3" t="s">
        <v>3434</v>
      </c>
      <c r="J1460" t="s">
        <v>3435</v>
      </c>
    </row>
    <row r="1461" spans="1:10">
      <c r="A1461" s="3" t="s">
        <v>1186</v>
      </c>
      <c r="B1461" s="3" t="s">
        <v>1187</v>
      </c>
      <c r="C1461" s="3" t="s">
        <v>121</v>
      </c>
      <c r="D1461" s="3" t="s">
        <v>3416</v>
      </c>
      <c r="E1461" s="3"/>
      <c r="F1461" s="3"/>
      <c r="G1461" s="3"/>
      <c r="H1461" s="3"/>
      <c r="I1461" s="3" t="s">
        <v>3436</v>
      </c>
      <c r="J1461" t="s">
        <v>3437</v>
      </c>
    </row>
    <row r="1462" spans="1:10">
      <c r="A1462" s="3" t="s">
        <v>1186</v>
      </c>
      <c r="B1462" s="3" t="s">
        <v>1187</v>
      </c>
      <c r="C1462" s="3" t="s">
        <v>121</v>
      </c>
      <c r="D1462" s="3" t="s">
        <v>3416</v>
      </c>
      <c r="E1462" s="3"/>
      <c r="F1462" s="3"/>
      <c r="G1462" s="3"/>
      <c r="H1462" s="3"/>
      <c r="I1462" s="3" t="s">
        <v>3438</v>
      </c>
      <c r="J1462" t="s">
        <v>3439</v>
      </c>
    </row>
    <row r="1463" spans="1:10">
      <c r="A1463" s="3" t="s">
        <v>1186</v>
      </c>
      <c r="B1463" s="3" t="s">
        <v>1187</v>
      </c>
      <c r="C1463" s="3" t="s">
        <v>121</v>
      </c>
      <c r="D1463" s="3" t="s">
        <v>3416</v>
      </c>
      <c r="E1463" s="3"/>
      <c r="F1463" s="3"/>
      <c r="G1463" s="3"/>
      <c r="H1463" s="3"/>
      <c r="I1463" s="3" t="s">
        <v>3440</v>
      </c>
      <c r="J1463" t="s">
        <v>3441</v>
      </c>
    </row>
    <row r="1464" spans="1:10">
      <c r="A1464" s="3" t="s">
        <v>1186</v>
      </c>
      <c r="B1464" s="3" t="s">
        <v>1187</v>
      </c>
      <c r="C1464" s="3" t="s">
        <v>122</v>
      </c>
      <c r="D1464" s="3" t="s">
        <v>3442</v>
      </c>
      <c r="E1464" s="3"/>
      <c r="F1464" s="3"/>
      <c r="G1464" s="3"/>
      <c r="H1464" s="3" t="s">
        <v>3443</v>
      </c>
      <c r="I1464" s="3"/>
      <c r="J1464" t="s">
        <v>3444</v>
      </c>
    </row>
    <row r="1465" spans="1:10">
      <c r="A1465" s="3" t="s">
        <v>1186</v>
      </c>
      <c r="B1465" s="3" t="s">
        <v>1187</v>
      </c>
      <c r="C1465" s="3" t="s">
        <v>122</v>
      </c>
      <c r="D1465" s="3" t="s">
        <v>3442</v>
      </c>
      <c r="E1465" s="3"/>
      <c r="F1465" s="3"/>
      <c r="G1465" s="3"/>
      <c r="H1465" s="3" t="s">
        <v>3445</v>
      </c>
      <c r="I1465" s="3"/>
      <c r="J1465" t="s">
        <v>3446</v>
      </c>
    </row>
    <row r="1466" spans="1:10">
      <c r="A1466" s="3" t="s">
        <v>1186</v>
      </c>
      <c r="B1466" s="3" t="s">
        <v>1187</v>
      </c>
      <c r="C1466" s="3" t="s">
        <v>122</v>
      </c>
      <c r="D1466" s="3" t="s">
        <v>3442</v>
      </c>
      <c r="E1466" s="3"/>
      <c r="F1466" s="3"/>
      <c r="G1466" s="3"/>
      <c r="H1466" s="3" t="s">
        <v>3447</v>
      </c>
      <c r="I1466" s="3"/>
      <c r="J1466" t="s">
        <v>3448</v>
      </c>
    </row>
    <row r="1467" spans="1:10">
      <c r="A1467" s="3" t="s">
        <v>1186</v>
      </c>
      <c r="B1467" s="3" t="s">
        <v>1187</v>
      </c>
      <c r="C1467" s="3" t="s">
        <v>122</v>
      </c>
      <c r="D1467" s="3" t="s">
        <v>3449</v>
      </c>
      <c r="E1467" s="3"/>
      <c r="F1467" s="3"/>
      <c r="G1467" s="3"/>
      <c r="H1467" s="3" t="s">
        <v>3450</v>
      </c>
      <c r="I1467" s="3"/>
      <c r="J1467" t="s">
        <v>3451</v>
      </c>
    </row>
    <row r="1468" spans="1:10">
      <c r="A1468" s="3" t="s">
        <v>1186</v>
      </c>
      <c r="B1468" s="3" t="s">
        <v>1187</v>
      </c>
      <c r="C1468" s="3" t="s">
        <v>122</v>
      </c>
      <c r="D1468" s="3" t="s">
        <v>3449</v>
      </c>
      <c r="E1468" s="3"/>
      <c r="F1468" s="3"/>
      <c r="G1468" s="3"/>
      <c r="H1468" s="3" t="s">
        <v>3452</v>
      </c>
      <c r="I1468" s="3"/>
      <c r="J1468" t="s">
        <v>3453</v>
      </c>
    </row>
    <row r="1469" spans="1:10">
      <c r="A1469" s="3" t="s">
        <v>1186</v>
      </c>
      <c r="B1469" s="3" t="s">
        <v>1187</v>
      </c>
      <c r="C1469" s="3" t="s">
        <v>122</v>
      </c>
      <c r="D1469" s="3" t="s">
        <v>3449</v>
      </c>
      <c r="E1469" s="3"/>
      <c r="F1469" s="3"/>
      <c r="G1469" s="3"/>
      <c r="H1469" s="3" t="s">
        <v>3454</v>
      </c>
      <c r="I1469" s="3"/>
      <c r="J1469" t="s">
        <v>3455</v>
      </c>
    </row>
    <row r="1470" spans="1:10">
      <c r="A1470" s="3" t="s">
        <v>1186</v>
      </c>
      <c r="B1470" s="3" t="s">
        <v>1187</v>
      </c>
      <c r="C1470" s="3" t="s">
        <v>122</v>
      </c>
      <c r="D1470" s="3" t="s">
        <v>3449</v>
      </c>
      <c r="E1470" s="3"/>
      <c r="F1470" s="3"/>
      <c r="G1470" s="3"/>
      <c r="H1470" s="3" t="s">
        <v>3456</v>
      </c>
      <c r="I1470" s="3"/>
      <c r="J1470" t="s">
        <v>3457</v>
      </c>
    </row>
    <row r="1471" spans="1:10">
      <c r="A1471" s="3" t="s">
        <v>1186</v>
      </c>
      <c r="B1471" s="3" t="s">
        <v>1187</v>
      </c>
      <c r="C1471" s="3" t="s">
        <v>122</v>
      </c>
      <c r="D1471" s="3" t="s">
        <v>3449</v>
      </c>
      <c r="E1471" s="3"/>
      <c r="F1471" s="3"/>
      <c r="G1471" s="3"/>
      <c r="H1471" s="3" t="s">
        <v>3458</v>
      </c>
      <c r="I1471" s="3"/>
      <c r="J1471" t="s">
        <v>3459</v>
      </c>
    </row>
    <row r="1472" spans="1:10">
      <c r="A1472" s="3" t="s">
        <v>1186</v>
      </c>
      <c r="B1472" s="3" t="s">
        <v>1187</v>
      </c>
      <c r="C1472" s="3" t="s">
        <v>122</v>
      </c>
      <c r="D1472" s="3" t="s">
        <v>3449</v>
      </c>
      <c r="E1472" s="3"/>
      <c r="F1472" s="3"/>
      <c r="G1472" s="3"/>
      <c r="H1472" s="3"/>
      <c r="I1472" s="3" t="s">
        <v>3460</v>
      </c>
      <c r="J1472" t="s">
        <v>3461</v>
      </c>
    </row>
    <row r="1473" spans="1:10">
      <c r="A1473" s="3" t="s">
        <v>1186</v>
      </c>
      <c r="B1473" s="3" t="s">
        <v>1187</v>
      </c>
      <c r="C1473" s="3" t="s">
        <v>122</v>
      </c>
      <c r="D1473" s="3" t="s">
        <v>3449</v>
      </c>
      <c r="E1473" s="3"/>
      <c r="F1473" s="3"/>
      <c r="G1473" s="3"/>
      <c r="H1473" s="3"/>
      <c r="I1473" s="3" t="s">
        <v>3462</v>
      </c>
      <c r="J1473" t="s">
        <v>3463</v>
      </c>
    </row>
    <row r="1474" spans="1:10">
      <c r="A1474" s="3" t="s">
        <v>1186</v>
      </c>
      <c r="B1474" s="3" t="s">
        <v>1187</v>
      </c>
      <c r="C1474" s="3" t="s">
        <v>122</v>
      </c>
      <c r="D1474" s="3" t="s">
        <v>3449</v>
      </c>
      <c r="E1474" s="3"/>
      <c r="F1474" s="3"/>
      <c r="G1474" s="3"/>
      <c r="H1474" s="3"/>
      <c r="I1474" s="3" t="s">
        <v>3464</v>
      </c>
      <c r="J1474" t="s">
        <v>3465</v>
      </c>
    </row>
    <row r="1475" spans="1:10">
      <c r="A1475" s="3" t="s">
        <v>1186</v>
      </c>
      <c r="B1475" s="3" t="s">
        <v>1187</v>
      </c>
      <c r="C1475" s="3" t="s">
        <v>122</v>
      </c>
      <c r="D1475" s="3" t="s">
        <v>3449</v>
      </c>
      <c r="E1475" s="3"/>
      <c r="F1475" s="3"/>
      <c r="G1475" s="3"/>
      <c r="H1475" s="3"/>
      <c r="I1475" s="3" t="s">
        <v>3466</v>
      </c>
      <c r="J1475" t="s">
        <v>3467</v>
      </c>
    </row>
    <row r="1476" spans="1:10">
      <c r="A1476" s="3" t="s">
        <v>1234</v>
      </c>
      <c r="B1476" s="3" t="s">
        <v>1235</v>
      </c>
      <c r="C1476" s="3" t="s">
        <v>127</v>
      </c>
      <c r="D1476" s="3" t="s">
        <v>3468</v>
      </c>
      <c r="E1476" s="3"/>
      <c r="F1476" s="3"/>
      <c r="G1476" s="3" t="s">
        <v>3469</v>
      </c>
      <c r="H1476" s="3" t="s">
        <v>3470</v>
      </c>
      <c r="I1476" s="3"/>
      <c r="J1476" t="s">
        <v>3471</v>
      </c>
    </row>
    <row r="1477" spans="1:10">
      <c r="A1477" s="3" t="s">
        <v>1234</v>
      </c>
      <c r="B1477" s="3" t="s">
        <v>1235</v>
      </c>
      <c r="C1477" s="3" t="s">
        <v>127</v>
      </c>
      <c r="D1477" s="3" t="s">
        <v>3468</v>
      </c>
      <c r="E1477" s="3"/>
      <c r="F1477" s="3"/>
      <c r="G1477" s="3" t="s">
        <v>3469</v>
      </c>
      <c r="H1477" s="3" t="s">
        <v>3472</v>
      </c>
      <c r="I1477" s="3"/>
      <c r="J1477" t="s">
        <v>3473</v>
      </c>
    </row>
    <row r="1478" spans="1:10">
      <c r="A1478" s="3" t="s">
        <v>1234</v>
      </c>
      <c r="B1478" s="3" t="s">
        <v>1235</v>
      </c>
      <c r="C1478" s="3" t="s">
        <v>127</v>
      </c>
      <c r="D1478" s="3" t="s">
        <v>3468</v>
      </c>
      <c r="E1478" s="3"/>
      <c r="F1478" s="3"/>
      <c r="G1478" s="3" t="s">
        <v>3469</v>
      </c>
      <c r="H1478" s="3" t="s">
        <v>3474</v>
      </c>
      <c r="I1478" s="3"/>
      <c r="J1478" t="s">
        <v>3475</v>
      </c>
    </row>
    <row r="1479" spans="1:10">
      <c r="A1479" s="3" t="s">
        <v>1234</v>
      </c>
      <c r="B1479" s="3" t="s">
        <v>1235</v>
      </c>
      <c r="C1479" s="3" t="s">
        <v>127</v>
      </c>
      <c r="D1479" s="3" t="s">
        <v>3468</v>
      </c>
      <c r="E1479" s="3"/>
      <c r="F1479" s="3"/>
      <c r="G1479" s="3" t="s">
        <v>3476</v>
      </c>
      <c r="H1479" s="3" t="s">
        <v>3470</v>
      </c>
      <c r="I1479" s="3"/>
      <c r="J1479" t="s">
        <v>3477</v>
      </c>
    </row>
    <row r="1480" spans="1:10">
      <c r="A1480" s="3" t="s">
        <v>1234</v>
      </c>
      <c r="B1480" s="3" t="s">
        <v>1235</v>
      </c>
      <c r="C1480" s="3" t="s">
        <v>127</v>
      </c>
      <c r="D1480" s="3" t="s">
        <v>3468</v>
      </c>
      <c r="E1480" s="3"/>
      <c r="F1480" s="3"/>
      <c r="G1480" s="3" t="s">
        <v>3476</v>
      </c>
      <c r="H1480" s="3" t="s">
        <v>3472</v>
      </c>
      <c r="I1480" s="3"/>
      <c r="J1480" t="s">
        <v>3478</v>
      </c>
    </row>
    <row r="1481" spans="1:10">
      <c r="A1481" s="3" t="s">
        <v>1234</v>
      </c>
      <c r="B1481" s="3" t="s">
        <v>1235</v>
      </c>
      <c r="C1481" s="3" t="s">
        <v>127</v>
      </c>
      <c r="D1481" s="3" t="s">
        <v>3468</v>
      </c>
      <c r="E1481" s="3"/>
      <c r="F1481" s="3"/>
      <c r="G1481" s="3" t="s">
        <v>3476</v>
      </c>
      <c r="H1481" s="3" t="s">
        <v>3474</v>
      </c>
      <c r="I1481" s="3"/>
      <c r="J1481" t="s">
        <v>3479</v>
      </c>
    </row>
    <row r="1482" spans="1:10">
      <c r="A1482" s="3" t="s">
        <v>1246</v>
      </c>
      <c r="B1482" s="3" t="s">
        <v>1247</v>
      </c>
      <c r="C1482" s="3" t="s">
        <v>128</v>
      </c>
      <c r="D1482" s="3" t="s">
        <v>3480</v>
      </c>
      <c r="E1482" s="3"/>
      <c r="F1482" s="3"/>
      <c r="G1482" s="3" t="s">
        <v>3481</v>
      </c>
      <c r="H1482" s="3" t="s">
        <v>3482</v>
      </c>
      <c r="I1482" s="3"/>
      <c r="J1482" t="s">
        <v>3483</v>
      </c>
    </row>
    <row r="1483" spans="1:10">
      <c r="A1483" s="3" t="s">
        <v>1246</v>
      </c>
      <c r="B1483" s="3" t="s">
        <v>1247</v>
      </c>
      <c r="C1483" s="3" t="s">
        <v>128</v>
      </c>
      <c r="D1483" s="3" t="s">
        <v>3480</v>
      </c>
      <c r="E1483" s="3"/>
      <c r="F1483" s="3"/>
      <c r="G1483" s="3" t="s">
        <v>3481</v>
      </c>
      <c r="H1483" s="3" t="s">
        <v>3484</v>
      </c>
      <c r="I1483" s="3"/>
      <c r="J1483" t="s">
        <v>3485</v>
      </c>
    </row>
    <row r="1484" spans="1:10">
      <c r="A1484" s="3" t="s">
        <v>1246</v>
      </c>
      <c r="B1484" s="3" t="s">
        <v>1247</v>
      </c>
      <c r="C1484" s="3" t="s">
        <v>128</v>
      </c>
      <c r="D1484" s="3" t="s">
        <v>3480</v>
      </c>
      <c r="E1484" s="3"/>
      <c r="F1484" s="3"/>
      <c r="G1484" s="3" t="s">
        <v>3481</v>
      </c>
      <c r="H1484" s="3" t="s">
        <v>3486</v>
      </c>
      <c r="I1484" s="3"/>
      <c r="J1484" t="s">
        <v>3487</v>
      </c>
    </row>
    <row r="1485" spans="1:10">
      <c r="A1485" s="3" t="s">
        <v>1246</v>
      </c>
      <c r="B1485" s="3" t="s">
        <v>1247</v>
      </c>
      <c r="C1485" s="3" t="s">
        <v>128</v>
      </c>
      <c r="D1485" s="3" t="s">
        <v>3480</v>
      </c>
      <c r="E1485" s="3"/>
      <c r="F1485" s="3"/>
      <c r="G1485" s="3" t="s">
        <v>3481</v>
      </c>
      <c r="H1485" s="3" t="s">
        <v>3488</v>
      </c>
      <c r="I1485" s="3"/>
      <c r="J1485" t="s">
        <v>3489</v>
      </c>
    </row>
    <row r="1486" spans="1:10">
      <c r="A1486" s="3" t="s">
        <v>1246</v>
      </c>
      <c r="B1486" s="3" t="s">
        <v>1247</v>
      </c>
      <c r="C1486" s="3" t="s">
        <v>128</v>
      </c>
      <c r="D1486" s="3" t="s">
        <v>3480</v>
      </c>
      <c r="E1486" s="3"/>
      <c r="F1486" s="3"/>
      <c r="G1486" s="3" t="s">
        <v>3490</v>
      </c>
      <c r="H1486" s="3" t="s">
        <v>3482</v>
      </c>
      <c r="I1486" s="3"/>
      <c r="J1486" t="s">
        <v>3491</v>
      </c>
    </row>
    <row r="1487" spans="1:10">
      <c r="A1487" s="3" t="s">
        <v>1246</v>
      </c>
      <c r="B1487" s="3" t="s">
        <v>1247</v>
      </c>
      <c r="C1487" s="3" t="s">
        <v>128</v>
      </c>
      <c r="D1487" s="3" t="s">
        <v>3480</v>
      </c>
      <c r="E1487" s="3"/>
      <c r="F1487" s="3"/>
      <c r="G1487" s="3" t="s">
        <v>3490</v>
      </c>
      <c r="H1487" s="3" t="s">
        <v>3484</v>
      </c>
      <c r="I1487" s="3"/>
      <c r="J1487" t="s">
        <v>3492</v>
      </c>
    </row>
    <row r="1488" spans="1:10">
      <c r="A1488" s="3" t="s">
        <v>1246</v>
      </c>
      <c r="B1488" s="3" t="s">
        <v>1247</v>
      </c>
      <c r="C1488" s="3" t="s">
        <v>128</v>
      </c>
      <c r="D1488" s="3" t="s">
        <v>3480</v>
      </c>
      <c r="E1488" s="3"/>
      <c r="F1488" s="3"/>
      <c r="G1488" s="3" t="s">
        <v>3490</v>
      </c>
      <c r="H1488" s="3" t="s">
        <v>3486</v>
      </c>
      <c r="I1488" s="3"/>
    </row>
    <row r="1489" spans="1:9">
      <c r="A1489" s="3" t="s">
        <v>1246</v>
      </c>
      <c r="B1489" s="3" t="s">
        <v>1247</v>
      </c>
      <c r="C1489" s="3" t="s">
        <v>128</v>
      </c>
      <c r="D1489" s="3" t="s">
        <v>3480</v>
      </c>
      <c r="E1489" s="3"/>
      <c r="F1489" s="3"/>
      <c r="G1489" s="3" t="s">
        <v>3490</v>
      </c>
      <c r="H1489" s="3" t="s">
        <v>3488</v>
      </c>
      <c r="I1489" s="3"/>
    </row>
    <row r="1490" spans="1:9">
      <c r="A1490" s="3" t="s">
        <v>1246</v>
      </c>
      <c r="B1490" s="3" t="s">
        <v>1247</v>
      </c>
      <c r="C1490" s="3" t="s">
        <v>128</v>
      </c>
      <c r="D1490" s="3" t="s">
        <v>3480</v>
      </c>
      <c r="E1490" s="3"/>
      <c r="F1490" s="3"/>
      <c r="G1490" s="3"/>
      <c r="H1490" s="3"/>
      <c r="I1490" s="3" t="s">
        <v>3493</v>
      </c>
    </row>
    <row r="1491" spans="1:9">
      <c r="A1491" s="3" t="s">
        <v>1246</v>
      </c>
      <c r="B1491" s="3" t="s">
        <v>1247</v>
      </c>
      <c r="C1491" s="3" t="s">
        <v>128</v>
      </c>
      <c r="D1491" s="3" t="s">
        <v>3480</v>
      </c>
      <c r="E1491" s="3"/>
      <c r="F1491" s="3"/>
      <c r="G1491" s="3"/>
      <c r="H1491" s="3"/>
      <c r="I1491" s="3" t="s">
        <v>3494</v>
      </c>
    </row>
    <row r="1492" spans="1:9">
      <c r="A1492" s="3" t="s">
        <v>1246</v>
      </c>
      <c r="B1492" s="3" t="s">
        <v>1247</v>
      </c>
      <c r="C1492" s="3" t="s">
        <v>128</v>
      </c>
      <c r="D1492" s="3" t="s">
        <v>3480</v>
      </c>
      <c r="E1492" s="3"/>
      <c r="F1492" s="3"/>
      <c r="G1492" s="3"/>
      <c r="H1492" s="3"/>
      <c r="I1492" s="3" t="s">
        <v>3495</v>
      </c>
    </row>
    <row r="1493" spans="1:9">
      <c r="A1493" s="3" t="s">
        <v>1258</v>
      </c>
      <c r="B1493" s="3" t="s">
        <v>1259</v>
      </c>
      <c r="C1493" s="3" t="s">
        <v>131</v>
      </c>
      <c r="D1493" s="3" t="s">
        <v>3496</v>
      </c>
      <c r="E1493" s="3"/>
      <c r="F1493" s="3"/>
      <c r="G1493" s="3"/>
      <c r="H1493" s="3"/>
      <c r="I1493" s="3"/>
    </row>
    <row r="1494" spans="1:9">
      <c r="A1494" s="3" t="s">
        <v>1258</v>
      </c>
      <c r="B1494" s="3" t="s">
        <v>1259</v>
      </c>
      <c r="C1494" s="3" t="s">
        <v>131</v>
      </c>
      <c r="D1494" s="3" t="s">
        <v>3496</v>
      </c>
      <c r="E1494" s="3"/>
      <c r="F1494" s="3"/>
      <c r="G1494" s="3"/>
      <c r="H1494" s="3"/>
      <c r="I1494" s="3" t="s">
        <v>3497</v>
      </c>
    </row>
    <row r="1495" spans="1:9">
      <c r="A1495" s="3" t="s">
        <v>1258</v>
      </c>
      <c r="B1495" s="3" t="s">
        <v>1266</v>
      </c>
      <c r="C1495" s="3"/>
      <c r="D1495" s="3" t="s">
        <v>3498</v>
      </c>
      <c r="E1495" s="3"/>
      <c r="F1495" s="3"/>
      <c r="G1495" s="3"/>
      <c r="H1495" s="3" t="s">
        <v>3499</v>
      </c>
      <c r="I1495" s="3"/>
    </row>
    <row r="1496" spans="1:9">
      <c r="A1496" s="3" t="s">
        <v>1258</v>
      </c>
      <c r="B1496" s="3" t="s">
        <v>1266</v>
      </c>
      <c r="C1496" s="3"/>
      <c r="D1496" s="3" t="s">
        <v>3498</v>
      </c>
      <c r="E1496" s="3"/>
      <c r="F1496" s="3"/>
      <c r="G1496" s="3"/>
      <c r="H1496" s="3" t="s">
        <v>3500</v>
      </c>
      <c r="I1496" s="3"/>
    </row>
    <row r="1497" spans="1:9">
      <c r="A1497" s="3" t="s">
        <v>1258</v>
      </c>
      <c r="B1497" s="3" t="s">
        <v>1266</v>
      </c>
      <c r="C1497" s="3"/>
      <c r="D1497" s="3" t="s">
        <v>3498</v>
      </c>
      <c r="E1497" s="3"/>
      <c r="F1497" s="3"/>
      <c r="G1497" s="3"/>
      <c r="H1497" s="3" t="s">
        <v>3501</v>
      </c>
      <c r="I1497" s="3"/>
    </row>
    <row r="1498" spans="1:9">
      <c r="A1498" s="3" t="s">
        <v>1258</v>
      </c>
      <c r="B1498" s="3" t="s">
        <v>1266</v>
      </c>
      <c r="C1498" s="3"/>
      <c r="D1498" s="3" t="s">
        <v>3498</v>
      </c>
      <c r="E1498" s="3"/>
      <c r="F1498" s="3"/>
      <c r="G1498" s="3"/>
      <c r="H1498" s="3" t="s">
        <v>3502</v>
      </c>
      <c r="I1498" s="3"/>
    </row>
    <row r="1499" spans="1:9">
      <c r="A1499" s="3" t="s">
        <v>1258</v>
      </c>
      <c r="B1499" s="3" t="s">
        <v>1266</v>
      </c>
      <c r="C1499" s="3"/>
      <c r="D1499" s="3" t="s">
        <v>3503</v>
      </c>
      <c r="E1499" s="3"/>
      <c r="F1499" s="3"/>
      <c r="G1499" s="3" t="s">
        <v>3504</v>
      </c>
      <c r="H1499" s="3"/>
      <c r="I1499" s="3"/>
    </row>
    <row r="1500" spans="1:9">
      <c r="A1500" s="3" t="s">
        <v>1258</v>
      </c>
      <c r="B1500" s="3" t="s">
        <v>1266</v>
      </c>
      <c r="C1500" s="3"/>
      <c r="D1500" s="3" t="s">
        <v>3503</v>
      </c>
      <c r="E1500" s="3"/>
      <c r="F1500" s="3"/>
      <c r="G1500" s="3" t="s">
        <v>3505</v>
      </c>
      <c r="H1500" s="3"/>
      <c r="I1500" s="3"/>
    </row>
    <row r="1501" spans="1:9">
      <c r="A1501" s="3" t="s">
        <v>1280</v>
      </c>
      <c r="B1501" s="3" t="s">
        <v>1281</v>
      </c>
      <c r="C1501" s="3" t="s">
        <v>132</v>
      </c>
      <c r="D1501" s="3" t="s">
        <v>3506</v>
      </c>
      <c r="E1501" s="3"/>
      <c r="F1501" s="3"/>
      <c r="G1501" s="3" t="s">
        <v>3507</v>
      </c>
      <c r="H1501" s="3" t="s">
        <v>3508</v>
      </c>
      <c r="I1501" s="3"/>
    </row>
    <row r="1502" spans="1:9">
      <c r="A1502" s="3" t="s">
        <v>1280</v>
      </c>
      <c r="B1502" s="3" t="s">
        <v>1281</v>
      </c>
      <c r="C1502" s="3" t="s">
        <v>132</v>
      </c>
      <c r="D1502" s="3" t="s">
        <v>3506</v>
      </c>
      <c r="E1502" s="3"/>
      <c r="F1502" s="3"/>
      <c r="G1502" s="3" t="s">
        <v>3507</v>
      </c>
      <c r="H1502" s="3" t="s">
        <v>3509</v>
      </c>
      <c r="I1502" s="3"/>
    </row>
    <row r="1503" spans="1:9">
      <c r="A1503" s="3" t="s">
        <v>1280</v>
      </c>
      <c r="B1503" s="3" t="s">
        <v>1281</v>
      </c>
      <c r="C1503" s="3" t="s">
        <v>132</v>
      </c>
      <c r="D1503" s="3" t="s">
        <v>3506</v>
      </c>
      <c r="E1503" s="3"/>
      <c r="F1503" s="3"/>
      <c r="G1503" s="3" t="s">
        <v>3507</v>
      </c>
      <c r="H1503" s="3" t="s">
        <v>3510</v>
      </c>
      <c r="I1503" s="3"/>
    </row>
    <row r="1504" spans="1:9">
      <c r="A1504" s="3" t="s">
        <v>1280</v>
      </c>
      <c r="B1504" s="3" t="s">
        <v>1281</v>
      </c>
      <c r="C1504" s="3" t="s">
        <v>132</v>
      </c>
      <c r="D1504" s="3" t="s">
        <v>3506</v>
      </c>
      <c r="E1504" s="3"/>
      <c r="F1504" s="3"/>
      <c r="G1504" s="3" t="s">
        <v>3507</v>
      </c>
      <c r="H1504" s="3" t="s">
        <v>3511</v>
      </c>
      <c r="I1504" s="3"/>
    </row>
    <row r="1505" spans="1:9">
      <c r="A1505" s="3" t="s">
        <v>1280</v>
      </c>
      <c r="B1505" s="3" t="s">
        <v>1281</v>
      </c>
      <c r="C1505" s="3" t="s">
        <v>132</v>
      </c>
      <c r="D1505" s="3" t="s">
        <v>3506</v>
      </c>
      <c r="E1505" s="3"/>
      <c r="F1505" s="3"/>
      <c r="G1505" s="3" t="s">
        <v>3512</v>
      </c>
      <c r="H1505" s="3" t="s">
        <v>3508</v>
      </c>
      <c r="I1505" s="3"/>
    </row>
    <row r="1506" spans="1:9">
      <c r="A1506" s="3" t="s">
        <v>1280</v>
      </c>
      <c r="B1506" s="3" t="s">
        <v>1281</v>
      </c>
      <c r="C1506" s="3" t="s">
        <v>132</v>
      </c>
      <c r="D1506" s="3" t="s">
        <v>3506</v>
      </c>
      <c r="E1506" s="3"/>
      <c r="F1506" s="3"/>
      <c r="G1506" s="3" t="s">
        <v>3512</v>
      </c>
      <c r="H1506" s="3" t="s">
        <v>3509</v>
      </c>
      <c r="I1506" s="3"/>
    </row>
    <row r="1507" spans="1:9">
      <c r="A1507" s="3" t="s">
        <v>1280</v>
      </c>
      <c r="B1507" s="3" t="s">
        <v>1281</v>
      </c>
      <c r="C1507" s="3" t="s">
        <v>132</v>
      </c>
      <c r="D1507" s="3" t="s">
        <v>3506</v>
      </c>
      <c r="E1507" s="3"/>
      <c r="F1507" s="3"/>
      <c r="G1507" s="3" t="s">
        <v>3512</v>
      </c>
      <c r="H1507" s="3" t="s">
        <v>3510</v>
      </c>
      <c r="I1507" s="3"/>
    </row>
    <row r="1508" spans="1:9">
      <c r="A1508" s="3" t="s">
        <v>1280</v>
      </c>
      <c r="B1508" s="3" t="s">
        <v>1281</v>
      </c>
      <c r="C1508" s="3" t="s">
        <v>132</v>
      </c>
      <c r="D1508" s="3" t="s">
        <v>3506</v>
      </c>
      <c r="E1508" s="3"/>
      <c r="F1508" s="3"/>
      <c r="G1508" s="3" t="s">
        <v>3512</v>
      </c>
      <c r="H1508" s="3" t="s">
        <v>3511</v>
      </c>
      <c r="I1508" s="3"/>
    </row>
    <row r="1509" spans="1:9">
      <c r="A1509" s="3" t="s">
        <v>1280</v>
      </c>
      <c r="B1509" s="3" t="s">
        <v>1281</v>
      </c>
      <c r="C1509" s="3" t="s">
        <v>132</v>
      </c>
      <c r="D1509" s="3" t="s">
        <v>3513</v>
      </c>
      <c r="E1509" s="3"/>
      <c r="F1509" s="3"/>
      <c r="G1509" s="3" t="s">
        <v>3514</v>
      </c>
      <c r="H1509" s="3"/>
      <c r="I1509" s="3"/>
    </row>
    <row r="1510" spans="1:9">
      <c r="A1510" s="3" t="s">
        <v>1280</v>
      </c>
      <c r="B1510" s="3" t="s">
        <v>1286</v>
      </c>
      <c r="C1510" s="3" t="s">
        <v>134</v>
      </c>
      <c r="D1510" s="3" t="s">
        <v>3515</v>
      </c>
      <c r="E1510" s="3"/>
      <c r="F1510" s="3"/>
      <c r="G1510" s="3" t="s">
        <v>3516</v>
      </c>
      <c r="H1510" s="3" t="s">
        <v>3517</v>
      </c>
      <c r="I1510" s="3"/>
    </row>
    <row r="1511" spans="1:9">
      <c r="A1511" s="3" t="s">
        <v>1280</v>
      </c>
      <c r="B1511" s="3" t="s">
        <v>1286</v>
      </c>
      <c r="C1511" s="3" t="s">
        <v>134</v>
      </c>
      <c r="D1511" s="3" t="s">
        <v>3515</v>
      </c>
      <c r="E1511" s="3"/>
      <c r="F1511" s="3"/>
      <c r="G1511" s="3" t="s">
        <v>3516</v>
      </c>
      <c r="H1511" s="3" t="s">
        <v>3518</v>
      </c>
      <c r="I1511" s="3"/>
    </row>
    <row r="1512" spans="1:9">
      <c r="A1512" s="3" t="s">
        <v>1280</v>
      </c>
      <c r="B1512" s="3" t="s">
        <v>1286</v>
      </c>
      <c r="C1512" s="3" t="s">
        <v>134</v>
      </c>
      <c r="D1512" s="3" t="s">
        <v>3515</v>
      </c>
      <c r="E1512" s="3"/>
      <c r="F1512" s="3"/>
      <c r="G1512" s="3" t="s">
        <v>3516</v>
      </c>
      <c r="H1512" s="3" t="s">
        <v>3519</v>
      </c>
      <c r="I1512" s="3"/>
    </row>
    <row r="1513" spans="1:9">
      <c r="A1513" s="3" t="s">
        <v>1280</v>
      </c>
      <c r="B1513" s="3" t="s">
        <v>1286</v>
      </c>
      <c r="C1513" s="3" t="s">
        <v>134</v>
      </c>
      <c r="D1513" s="3" t="s">
        <v>3515</v>
      </c>
      <c r="E1513" s="3"/>
      <c r="F1513" s="3"/>
      <c r="G1513" s="3" t="s">
        <v>3516</v>
      </c>
      <c r="H1513" s="3" t="s">
        <v>3520</v>
      </c>
      <c r="I1513" s="3"/>
    </row>
    <row r="1514" spans="1:9">
      <c r="A1514" s="3" t="s">
        <v>1280</v>
      </c>
      <c r="B1514" s="3" t="s">
        <v>1286</v>
      </c>
      <c r="C1514" s="3" t="s">
        <v>134</v>
      </c>
      <c r="D1514" s="3" t="s">
        <v>3515</v>
      </c>
      <c r="E1514" s="3"/>
      <c r="F1514" s="3"/>
      <c r="G1514" s="3" t="s">
        <v>3516</v>
      </c>
      <c r="H1514" s="3" t="s">
        <v>3521</v>
      </c>
      <c r="I1514" s="3"/>
    </row>
    <row r="1515" spans="1:9">
      <c r="A1515" s="3" t="s">
        <v>1280</v>
      </c>
      <c r="B1515" s="3" t="s">
        <v>1286</v>
      </c>
      <c r="C1515" s="3" t="s">
        <v>134</v>
      </c>
      <c r="D1515" s="3" t="s">
        <v>3515</v>
      </c>
      <c r="E1515" s="3"/>
      <c r="F1515" s="3"/>
      <c r="G1515" s="3" t="s">
        <v>3522</v>
      </c>
      <c r="H1515" s="3" t="s">
        <v>3517</v>
      </c>
      <c r="I1515" s="3"/>
    </row>
    <row r="1516" spans="1:9">
      <c r="A1516" s="3" t="s">
        <v>1280</v>
      </c>
      <c r="B1516" s="3" t="s">
        <v>1286</v>
      </c>
      <c r="C1516" s="3" t="s">
        <v>134</v>
      </c>
      <c r="D1516" s="3" t="s">
        <v>3515</v>
      </c>
      <c r="E1516" s="3"/>
      <c r="F1516" s="3"/>
      <c r="G1516" s="3" t="s">
        <v>3522</v>
      </c>
      <c r="H1516" s="3" t="s">
        <v>3518</v>
      </c>
      <c r="I1516" s="3"/>
    </row>
    <row r="1517" spans="1:9">
      <c r="A1517" s="3" t="s">
        <v>1280</v>
      </c>
      <c r="B1517" s="3" t="s">
        <v>1286</v>
      </c>
      <c r="C1517" s="3" t="s">
        <v>134</v>
      </c>
      <c r="D1517" s="3" t="s">
        <v>3515</v>
      </c>
      <c r="E1517" s="3"/>
      <c r="F1517" s="3"/>
      <c r="G1517" s="3" t="s">
        <v>3522</v>
      </c>
      <c r="H1517" s="3" t="s">
        <v>3519</v>
      </c>
      <c r="I1517" s="3"/>
    </row>
    <row r="1518" spans="1:9">
      <c r="A1518" s="3" t="s">
        <v>1280</v>
      </c>
      <c r="B1518" s="3" t="s">
        <v>1286</v>
      </c>
      <c r="C1518" s="3" t="s">
        <v>134</v>
      </c>
      <c r="D1518" s="3" t="s">
        <v>3515</v>
      </c>
      <c r="E1518" s="3"/>
      <c r="F1518" s="3"/>
      <c r="G1518" s="3" t="s">
        <v>3522</v>
      </c>
      <c r="H1518" s="3" t="s">
        <v>3520</v>
      </c>
      <c r="I1518" s="3"/>
    </row>
    <row r="1519" spans="1:9">
      <c r="A1519" s="3" t="s">
        <v>1280</v>
      </c>
      <c r="B1519" s="3" t="s">
        <v>1286</v>
      </c>
      <c r="C1519" s="3" t="s">
        <v>134</v>
      </c>
      <c r="D1519" s="3" t="s">
        <v>3515</v>
      </c>
      <c r="E1519" s="3"/>
      <c r="F1519" s="3"/>
      <c r="G1519" s="3" t="s">
        <v>3522</v>
      </c>
      <c r="H1519" s="3" t="s">
        <v>3521</v>
      </c>
      <c r="I1519" s="3"/>
    </row>
    <row r="1520" spans="1:9">
      <c r="A1520" s="3" t="s">
        <v>1280</v>
      </c>
      <c r="B1520" s="3" t="s">
        <v>1286</v>
      </c>
      <c r="C1520" s="3" t="s">
        <v>134</v>
      </c>
      <c r="D1520" s="3" t="s">
        <v>3515</v>
      </c>
      <c r="E1520" s="3"/>
      <c r="F1520" s="3"/>
      <c r="G1520" s="3"/>
      <c r="H1520" s="3"/>
      <c r="I1520" s="3" t="s">
        <v>3523</v>
      </c>
    </row>
    <row r="1521" spans="1:9">
      <c r="A1521" s="3" t="s">
        <v>1280</v>
      </c>
      <c r="B1521" s="3" t="s">
        <v>1286</v>
      </c>
      <c r="C1521" s="3" t="s">
        <v>134</v>
      </c>
      <c r="D1521" s="3" t="s">
        <v>3515</v>
      </c>
      <c r="E1521" s="3"/>
      <c r="F1521" s="3"/>
      <c r="G1521" s="3"/>
      <c r="H1521" s="3"/>
      <c r="I1521" s="3" t="s">
        <v>3524</v>
      </c>
    </row>
    <row r="1522" spans="1:9">
      <c r="A1522" s="3" t="s">
        <v>1280</v>
      </c>
      <c r="B1522" s="3" t="s">
        <v>1286</v>
      </c>
      <c r="C1522" s="3" t="s">
        <v>134</v>
      </c>
      <c r="D1522" s="3" t="s">
        <v>3525</v>
      </c>
      <c r="E1522" s="3"/>
      <c r="F1522" s="3"/>
      <c r="G1522" s="3" t="s">
        <v>3526</v>
      </c>
      <c r="H1522" s="3"/>
      <c r="I1522" s="3"/>
    </row>
    <row r="1523" spans="1:9">
      <c r="A1523" s="3" t="s">
        <v>1280</v>
      </c>
      <c r="B1523" s="3" t="s">
        <v>1286</v>
      </c>
      <c r="C1523" s="3" t="s">
        <v>134</v>
      </c>
      <c r="D1523" s="3" t="s">
        <v>3525</v>
      </c>
      <c r="E1523" s="3"/>
      <c r="F1523" s="3"/>
      <c r="G1523" s="3" t="s">
        <v>3527</v>
      </c>
      <c r="H1523" s="3"/>
      <c r="I1523" s="3"/>
    </row>
    <row r="1524" spans="1:9">
      <c r="A1524" s="3" t="s">
        <v>1280</v>
      </c>
      <c r="B1524" s="3" t="s">
        <v>1295</v>
      </c>
      <c r="C1524" s="3" t="s">
        <v>135</v>
      </c>
      <c r="D1524" s="3" t="s">
        <v>3528</v>
      </c>
      <c r="E1524" s="3"/>
      <c r="F1524" s="3"/>
      <c r="G1524" s="3"/>
      <c r="H1524" s="3" t="s">
        <v>3529</v>
      </c>
      <c r="I1524" s="3"/>
    </row>
    <row r="1525" spans="1:9">
      <c r="A1525" s="3" t="s">
        <v>1280</v>
      </c>
      <c r="B1525" s="3" t="s">
        <v>1295</v>
      </c>
      <c r="C1525" s="3" t="s">
        <v>135</v>
      </c>
      <c r="D1525" s="3" t="s">
        <v>3528</v>
      </c>
      <c r="E1525" s="3"/>
      <c r="F1525" s="3"/>
      <c r="G1525" s="3"/>
      <c r="H1525" s="3" t="s">
        <v>3530</v>
      </c>
      <c r="I1525" s="3"/>
    </row>
    <row r="1526" spans="1:9">
      <c r="A1526" s="3" t="s">
        <v>1280</v>
      </c>
      <c r="B1526" s="3" t="s">
        <v>1295</v>
      </c>
      <c r="C1526" s="3" t="s">
        <v>135</v>
      </c>
      <c r="D1526" s="3" t="s">
        <v>3528</v>
      </c>
      <c r="E1526" s="3"/>
      <c r="F1526" s="3"/>
      <c r="G1526" s="3"/>
      <c r="H1526" s="3" t="s">
        <v>3531</v>
      </c>
      <c r="I1526" s="3"/>
    </row>
    <row r="1527" spans="1:9">
      <c r="A1527" s="3" t="s">
        <v>1280</v>
      </c>
      <c r="B1527" s="3" t="s">
        <v>1295</v>
      </c>
      <c r="C1527" s="3" t="s">
        <v>135</v>
      </c>
      <c r="D1527" s="3" t="s">
        <v>3528</v>
      </c>
      <c r="E1527" s="3"/>
      <c r="F1527" s="3"/>
      <c r="G1527" s="3"/>
      <c r="H1527" s="3"/>
      <c r="I1527" s="3" t="s">
        <v>3532</v>
      </c>
    </row>
    <row r="1528" spans="1:9">
      <c r="A1528" s="3" t="s">
        <v>1280</v>
      </c>
      <c r="B1528" s="3" t="s">
        <v>1295</v>
      </c>
      <c r="C1528" s="3" t="s">
        <v>135</v>
      </c>
      <c r="D1528" s="3" t="s">
        <v>3528</v>
      </c>
      <c r="E1528" s="3"/>
      <c r="F1528" s="3"/>
      <c r="G1528" s="3"/>
      <c r="H1528" s="3"/>
      <c r="I1528" s="3" t="s">
        <v>3533</v>
      </c>
    </row>
    <row r="1529" spans="1:9">
      <c r="A1529" s="3" t="s">
        <v>1280</v>
      </c>
      <c r="B1529" s="3" t="s">
        <v>1295</v>
      </c>
      <c r="C1529" s="3" t="s">
        <v>136</v>
      </c>
      <c r="D1529" s="3" t="s">
        <v>3534</v>
      </c>
      <c r="E1529" s="3"/>
      <c r="F1529" s="3"/>
      <c r="G1529" s="3" t="s">
        <v>3535</v>
      </c>
      <c r="H1529" s="3"/>
      <c r="I1529" s="3"/>
    </row>
    <row r="1530" spans="1:9">
      <c r="A1530" s="3" t="s">
        <v>1280</v>
      </c>
      <c r="B1530" s="3" t="s">
        <v>1295</v>
      </c>
      <c r="C1530" s="3" t="s">
        <v>136</v>
      </c>
      <c r="D1530" s="3" t="s">
        <v>3534</v>
      </c>
      <c r="E1530" s="3"/>
      <c r="F1530" s="3"/>
      <c r="G1530" s="3" t="s">
        <v>3536</v>
      </c>
      <c r="H1530" s="3"/>
      <c r="I1530" s="3"/>
    </row>
    <row r="1531" spans="1:9">
      <c r="A1531" s="3" t="s">
        <v>1300</v>
      </c>
      <c r="B1531" s="3" t="s">
        <v>1301</v>
      </c>
      <c r="C1531" s="3" t="s">
        <v>137</v>
      </c>
      <c r="D1531" s="3" t="s">
        <v>3537</v>
      </c>
      <c r="E1531" s="3"/>
      <c r="F1531" s="3"/>
      <c r="G1531" s="3" t="s">
        <v>3538</v>
      </c>
      <c r="H1531" s="3"/>
      <c r="I1531" s="3"/>
    </row>
    <row r="1532" spans="1:9">
      <c r="A1532" s="3" t="s">
        <v>1300</v>
      </c>
      <c r="B1532" s="3" t="s">
        <v>1301</v>
      </c>
      <c r="C1532" s="3" t="s">
        <v>137</v>
      </c>
      <c r="D1532" s="3" t="s">
        <v>3537</v>
      </c>
      <c r="E1532" s="3"/>
      <c r="F1532" s="3"/>
      <c r="G1532" s="3" t="s">
        <v>3539</v>
      </c>
      <c r="H1532" s="3"/>
      <c r="I1532" s="3"/>
    </row>
    <row r="1533" spans="1:9">
      <c r="A1533" s="3" t="s">
        <v>1300</v>
      </c>
      <c r="B1533" s="3" t="s">
        <v>1306</v>
      </c>
      <c r="C1533" s="3" t="s">
        <v>138</v>
      </c>
      <c r="D1533" s="3" t="s">
        <v>3540</v>
      </c>
      <c r="E1533" s="3"/>
      <c r="F1533" s="3"/>
      <c r="G1533" s="3" t="s">
        <v>3541</v>
      </c>
      <c r="H1533" s="3"/>
      <c r="I1533" s="3"/>
    </row>
    <row r="1534" spans="1:9">
      <c r="A1534" s="3" t="s">
        <v>1300</v>
      </c>
      <c r="B1534" s="3" t="s">
        <v>1306</v>
      </c>
      <c r="C1534" s="3" t="s">
        <v>138</v>
      </c>
      <c r="D1534" s="3" t="s">
        <v>3540</v>
      </c>
      <c r="E1534" s="3"/>
      <c r="F1534" s="3"/>
      <c r="G1534" s="3" t="s">
        <v>3542</v>
      </c>
      <c r="H1534" s="3"/>
      <c r="I1534" s="3"/>
    </row>
    <row r="1535" spans="1:9">
      <c r="A1535" s="3" t="s">
        <v>1300</v>
      </c>
      <c r="B1535" s="3" t="s">
        <v>1306</v>
      </c>
      <c r="C1535" s="3" t="s">
        <v>138</v>
      </c>
      <c r="D1535" s="3" t="s">
        <v>3543</v>
      </c>
      <c r="E1535" s="3"/>
      <c r="F1535" s="3"/>
      <c r="G1535" s="3" t="s">
        <v>3544</v>
      </c>
      <c r="H1535" s="3" t="s">
        <v>3545</v>
      </c>
      <c r="I1535" s="3"/>
    </row>
    <row r="1536" spans="1:9">
      <c r="A1536" s="3" t="s">
        <v>1300</v>
      </c>
      <c r="B1536" s="3" t="s">
        <v>1306</v>
      </c>
      <c r="C1536" s="3" t="s">
        <v>138</v>
      </c>
      <c r="D1536" s="3" t="s">
        <v>3543</v>
      </c>
      <c r="E1536" s="3"/>
      <c r="F1536" s="3"/>
      <c r="G1536" s="3" t="s">
        <v>3544</v>
      </c>
      <c r="H1536" s="3" t="s">
        <v>3546</v>
      </c>
      <c r="I1536" s="3"/>
    </row>
    <row r="1537" spans="1:9">
      <c r="A1537" s="3" t="s">
        <v>1300</v>
      </c>
      <c r="B1537" s="3" t="s">
        <v>1306</v>
      </c>
      <c r="C1537" s="3" t="s">
        <v>138</v>
      </c>
      <c r="D1537" s="3" t="s">
        <v>3543</v>
      </c>
      <c r="E1537" s="3"/>
      <c r="F1537" s="3"/>
      <c r="G1537" s="3" t="s">
        <v>3544</v>
      </c>
      <c r="H1537" s="3" t="s">
        <v>3547</v>
      </c>
      <c r="I1537" s="3"/>
    </row>
    <row r="1538" spans="1:9">
      <c r="A1538" s="3" t="s">
        <v>1300</v>
      </c>
      <c r="B1538" s="3" t="s">
        <v>1306</v>
      </c>
      <c r="C1538" s="3" t="s">
        <v>138</v>
      </c>
      <c r="D1538" s="3" t="s">
        <v>3543</v>
      </c>
      <c r="E1538" s="3"/>
      <c r="F1538" s="3"/>
      <c r="G1538" s="3" t="s">
        <v>3544</v>
      </c>
      <c r="H1538" s="3" t="s">
        <v>3548</v>
      </c>
      <c r="I1538" s="3"/>
    </row>
    <row r="1539" spans="1:9">
      <c r="A1539" s="3" t="s">
        <v>1300</v>
      </c>
      <c r="B1539" s="3" t="s">
        <v>1306</v>
      </c>
      <c r="C1539" s="3" t="s">
        <v>138</v>
      </c>
      <c r="D1539" s="3" t="s">
        <v>3543</v>
      </c>
      <c r="E1539" s="3"/>
      <c r="F1539" s="3"/>
      <c r="G1539" s="3" t="s">
        <v>3549</v>
      </c>
      <c r="H1539" s="3" t="s">
        <v>3545</v>
      </c>
      <c r="I1539" s="3"/>
    </row>
    <row r="1540" spans="1:9">
      <c r="A1540" s="3" t="s">
        <v>1300</v>
      </c>
      <c r="B1540" s="3" t="s">
        <v>1306</v>
      </c>
      <c r="C1540" s="3" t="s">
        <v>138</v>
      </c>
      <c r="D1540" s="3" t="s">
        <v>3543</v>
      </c>
      <c r="E1540" s="3"/>
      <c r="F1540" s="3"/>
      <c r="G1540" s="3" t="s">
        <v>3549</v>
      </c>
      <c r="H1540" s="3" t="s">
        <v>3546</v>
      </c>
      <c r="I1540" s="3"/>
    </row>
    <row r="1541" spans="1:9">
      <c r="A1541" s="3" t="s">
        <v>1300</v>
      </c>
      <c r="B1541" s="3" t="s">
        <v>1306</v>
      </c>
      <c r="C1541" s="3" t="s">
        <v>138</v>
      </c>
      <c r="D1541" s="3" t="s">
        <v>3543</v>
      </c>
      <c r="E1541" s="3"/>
      <c r="F1541" s="3"/>
      <c r="G1541" s="3" t="s">
        <v>3549</v>
      </c>
      <c r="H1541" s="3" t="s">
        <v>3547</v>
      </c>
      <c r="I1541" s="3"/>
    </row>
    <row r="1542" spans="1:9">
      <c r="A1542" s="3" t="s">
        <v>1300</v>
      </c>
      <c r="B1542" s="3" t="s">
        <v>1306</v>
      </c>
      <c r="C1542" s="3" t="s">
        <v>138</v>
      </c>
      <c r="D1542" s="3" t="s">
        <v>3543</v>
      </c>
      <c r="E1542" s="3"/>
      <c r="F1542" s="3"/>
      <c r="G1542" s="3" t="s">
        <v>3549</v>
      </c>
      <c r="H1542" s="3" t="s">
        <v>3548</v>
      </c>
      <c r="I1542" s="3"/>
    </row>
    <row r="1543" spans="1:9">
      <c r="A1543" s="3" t="s">
        <v>1300</v>
      </c>
      <c r="B1543" s="3" t="s">
        <v>1306</v>
      </c>
      <c r="C1543" s="3" t="s">
        <v>139</v>
      </c>
      <c r="D1543" s="3" t="s">
        <v>3550</v>
      </c>
      <c r="E1543" s="3"/>
      <c r="F1543" s="3"/>
      <c r="G1543" s="3" t="s">
        <v>3551</v>
      </c>
      <c r="H1543" s="3"/>
      <c r="I1543" s="3"/>
    </row>
    <row r="1544" spans="1:9">
      <c r="A1544" s="3" t="s">
        <v>1300</v>
      </c>
      <c r="B1544" s="3" t="s">
        <v>1306</v>
      </c>
      <c r="C1544" s="3" t="s">
        <v>139</v>
      </c>
      <c r="D1544" s="3" t="s">
        <v>3550</v>
      </c>
      <c r="E1544" s="3"/>
      <c r="F1544" s="3"/>
      <c r="G1544" s="3" t="s">
        <v>3552</v>
      </c>
      <c r="H1544" s="3"/>
      <c r="I1544" s="3"/>
    </row>
    <row r="1545" spans="1:9">
      <c r="A1545" s="3" t="s">
        <v>1300</v>
      </c>
      <c r="B1545" s="3" t="s">
        <v>1306</v>
      </c>
      <c r="C1545" s="3" t="s">
        <v>139</v>
      </c>
      <c r="D1545" s="3" t="s">
        <v>3550</v>
      </c>
      <c r="E1545" s="3"/>
      <c r="F1545" s="3"/>
      <c r="G1545" s="3"/>
      <c r="H1545" s="3"/>
      <c r="I1545" s="3" t="s">
        <v>3553</v>
      </c>
    </row>
    <row r="1546" spans="1:9">
      <c r="A1546" s="3" t="s">
        <v>1300</v>
      </c>
      <c r="B1546" s="3" t="s">
        <v>1306</v>
      </c>
      <c r="C1546" s="3" t="s">
        <v>139</v>
      </c>
      <c r="D1546" s="3" t="s">
        <v>3550</v>
      </c>
      <c r="E1546" s="3"/>
      <c r="F1546" s="3"/>
      <c r="G1546" s="3"/>
      <c r="H1546" s="3"/>
      <c r="I1546" s="3" t="s">
        <v>3554</v>
      </c>
    </row>
    <row r="1547" spans="1:9">
      <c r="A1547" s="3" t="s">
        <v>1300</v>
      </c>
      <c r="B1547" s="3" t="s">
        <v>1306</v>
      </c>
      <c r="C1547" s="3" t="s">
        <v>139</v>
      </c>
      <c r="D1547" s="3" t="s">
        <v>3550</v>
      </c>
      <c r="E1547" s="3"/>
      <c r="F1547" s="3"/>
      <c r="G1547" s="3"/>
      <c r="H1547" s="3"/>
      <c r="I1547" s="3" t="s">
        <v>3555</v>
      </c>
    </row>
    <row r="1548" spans="1:9">
      <c r="A1548" s="3" t="s">
        <v>1315</v>
      </c>
      <c r="B1548" s="3" t="s">
        <v>1323</v>
      </c>
      <c r="C1548" s="3"/>
      <c r="D1548" s="3" t="s">
        <v>3556</v>
      </c>
      <c r="E1548" s="3"/>
      <c r="F1548" s="3"/>
      <c r="G1548" s="3" t="s">
        <v>3557</v>
      </c>
      <c r="H1548" s="3" t="s">
        <v>3558</v>
      </c>
      <c r="I1548" s="3"/>
    </row>
    <row r="1549" spans="1:9">
      <c r="A1549" s="3" t="s">
        <v>1315</v>
      </c>
      <c r="B1549" s="3" t="s">
        <v>1323</v>
      </c>
      <c r="C1549" s="3"/>
      <c r="D1549" s="3" t="s">
        <v>3556</v>
      </c>
      <c r="E1549" s="3"/>
      <c r="F1549" s="3"/>
      <c r="G1549" s="3" t="s">
        <v>3557</v>
      </c>
      <c r="H1549" s="3" t="s">
        <v>3559</v>
      </c>
      <c r="I1549" s="3"/>
    </row>
    <row r="1550" spans="1:9">
      <c r="A1550" s="3" t="s">
        <v>1315</v>
      </c>
      <c r="B1550" s="3" t="s">
        <v>1323</v>
      </c>
      <c r="C1550" s="3"/>
      <c r="D1550" s="3" t="s">
        <v>3556</v>
      </c>
      <c r="E1550" s="3"/>
      <c r="F1550" s="3"/>
      <c r="G1550" s="3" t="s">
        <v>3557</v>
      </c>
      <c r="H1550" s="3" t="s">
        <v>3560</v>
      </c>
      <c r="I1550" s="3"/>
    </row>
    <row r="1551" spans="1:9">
      <c r="A1551" s="3" t="s">
        <v>1315</v>
      </c>
      <c r="B1551" s="3" t="s">
        <v>1323</v>
      </c>
      <c r="C1551" s="3"/>
      <c r="D1551" s="3" t="s">
        <v>3556</v>
      </c>
      <c r="E1551" s="3"/>
      <c r="F1551" s="3"/>
      <c r="G1551" s="3" t="s">
        <v>3557</v>
      </c>
      <c r="H1551" s="3" t="s">
        <v>3561</v>
      </c>
      <c r="I1551" s="3"/>
    </row>
    <row r="1552" spans="1:9">
      <c r="A1552" s="3" t="s">
        <v>1315</v>
      </c>
      <c r="B1552" s="3" t="s">
        <v>1323</v>
      </c>
      <c r="C1552" s="3"/>
      <c r="D1552" s="3" t="s">
        <v>3556</v>
      </c>
      <c r="E1552" s="3"/>
      <c r="F1552" s="3"/>
      <c r="G1552" s="3" t="s">
        <v>3562</v>
      </c>
      <c r="H1552" s="3" t="s">
        <v>3558</v>
      </c>
      <c r="I1552" s="3"/>
    </row>
    <row r="1553" spans="1:9">
      <c r="A1553" s="3" t="s">
        <v>1315</v>
      </c>
      <c r="B1553" s="3" t="s">
        <v>1323</v>
      </c>
      <c r="C1553" s="3"/>
      <c r="D1553" s="3" t="s">
        <v>3556</v>
      </c>
      <c r="E1553" s="3"/>
      <c r="F1553" s="3"/>
      <c r="G1553" s="3" t="s">
        <v>3562</v>
      </c>
      <c r="H1553" s="3" t="s">
        <v>3559</v>
      </c>
      <c r="I1553" s="3"/>
    </row>
    <row r="1554" spans="1:9">
      <c r="A1554" s="3" t="s">
        <v>1315</v>
      </c>
      <c r="B1554" s="3" t="s">
        <v>1323</v>
      </c>
      <c r="C1554" s="3"/>
      <c r="D1554" s="3" t="s">
        <v>3556</v>
      </c>
      <c r="E1554" s="3"/>
      <c r="F1554" s="3"/>
      <c r="G1554" s="3" t="s">
        <v>3562</v>
      </c>
      <c r="H1554" s="3" t="s">
        <v>3560</v>
      </c>
      <c r="I1554" s="3"/>
    </row>
    <row r="1555" spans="1:9">
      <c r="A1555" s="3" t="s">
        <v>1315</v>
      </c>
      <c r="B1555" s="3" t="s">
        <v>1323</v>
      </c>
      <c r="C1555" s="3"/>
      <c r="D1555" s="3" t="s">
        <v>3556</v>
      </c>
      <c r="E1555" s="3"/>
      <c r="F1555" s="3"/>
      <c r="G1555" s="3" t="s">
        <v>3562</v>
      </c>
      <c r="H1555" s="3" t="s">
        <v>3561</v>
      </c>
      <c r="I1555" s="3"/>
    </row>
    <row r="1556" spans="1:9">
      <c r="A1556" s="3" t="s">
        <v>1315</v>
      </c>
      <c r="B1556" s="3" t="s">
        <v>1323</v>
      </c>
      <c r="C1556" s="3"/>
      <c r="D1556" s="3" t="s">
        <v>3556</v>
      </c>
      <c r="E1556" s="3"/>
      <c r="F1556" s="3"/>
      <c r="G1556" s="3"/>
      <c r="H1556" s="3"/>
      <c r="I1556" s="3" t="s">
        <v>3563</v>
      </c>
    </row>
    <row r="1557" spans="1:9">
      <c r="A1557" s="3" t="s">
        <v>1315</v>
      </c>
      <c r="B1557" s="3" t="s">
        <v>1323</v>
      </c>
      <c r="C1557" s="3"/>
      <c r="D1557" s="3" t="s">
        <v>3556</v>
      </c>
      <c r="E1557" s="3"/>
      <c r="F1557" s="3"/>
      <c r="G1557" s="3"/>
      <c r="H1557" s="3"/>
      <c r="I1557" s="3" t="s">
        <v>3564</v>
      </c>
    </row>
    <row r="1558" spans="1:9">
      <c r="A1558" s="3" t="s">
        <v>1315</v>
      </c>
      <c r="B1558" s="3" t="s">
        <v>1328</v>
      </c>
      <c r="C1558" s="3" t="s">
        <v>141</v>
      </c>
      <c r="D1558" s="3" t="s">
        <v>3565</v>
      </c>
      <c r="E1558" s="3"/>
      <c r="F1558" s="3"/>
      <c r="G1558" s="3" t="s">
        <v>3566</v>
      </c>
      <c r="H1558" s="3" t="s">
        <v>3567</v>
      </c>
      <c r="I1558" s="3"/>
    </row>
    <row r="1559" spans="1:9">
      <c r="A1559" s="3" t="s">
        <v>1315</v>
      </c>
      <c r="B1559" s="3" t="s">
        <v>1328</v>
      </c>
      <c r="C1559" s="3" t="s">
        <v>141</v>
      </c>
      <c r="D1559" s="3" t="s">
        <v>3565</v>
      </c>
      <c r="E1559" s="3"/>
      <c r="F1559" s="3"/>
      <c r="G1559" s="3" t="s">
        <v>3566</v>
      </c>
      <c r="H1559" s="3" t="s">
        <v>3568</v>
      </c>
      <c r="I1559" s="3"/>
    </row>
    <row r="1560" spans="1:9">
      <c r="A1560" s="3" t="s">
        <v>1315</v>
      </c>
      <c r="B1560" s="3" t="s">
        <v>1328</v>
      </c>
      <c r="C1560" s="3" t="s">
        <v>141</v>
      </c>
      <c r="D1560" s="3" t="s">
        <v>3565</v>
      </c>
      <c r="E1560" s="3"/>
      <c r="F1560" s="3"/>
      <c r="G1560" s="3" t="s">
        <v>3566</v>
      </c>
      <c r="H1560" s="3" t="s">
        <v>3569</v>
      </c>
      <c r="I1560" s="3"/>
    </row>
    <row r="1561" spans="1:9">
      <c r="A1561" s="3" t="s">
        <v>1315</v>
      </c>
      <c r="B1561" s="3" t="s">
        <v>1328</v>
      </c>
      <c r="C1561" s="3" t="s">
        <v>141</v>
      </c>
      <c r="D1561" s="3" t="s">
        <v>3565</v>
      </c>
      <c r="E1561" s="3"/>
      <c r="F1561" s="3"/>
      <c r="G1561" s="3" t="s">
        <v>3566</v>
      </c>
      <c r="H1561" s="3" t="s">
        <v>3570</v>
      </c>
      <c r="I1561" s="3"/>
    </row>
    <row r="1562" spans="1:9">
      <c r="A1562" s="3" t="s">
        <v>1315</v>
      </c>
      <c r="B1562" s="3" t="s">
        <v>1328</v>
      </c>
      <c r="C1562" s="3" t="s">
        <v>141</v>
      </c>
      <c r="D1562" s="3" t="s">
        <v>3565</v>
      </c>
      <c r="E1562" s="3"/>
      <c r="F1562" s="3"/>
      <c r="G1562" s="3"/>
      <c r="H1562" s="3"/>
      <c r="I1562" s="3" t="s">
        <v>3571</v>
      </c>
    </row>
    <row r="1563" spans="1:9">
      <c r="A1563" s="3" t="s">
        <v>1315</v>
      </c>
      <c r="B1563" s="3" t="s">
        <v>1328</v>
      </c>
      <c r="C1563" s="3" t="s">
        <v>141</v>
      </c>
      <c r="D1563" s="3" t="s">
        <v>3565</v>
      </c>
      <c r="E1563" s="3"/>
      <c r="F1563" s="3"/>
      <c r="G1563" s="3"/>
      <c r="H1563" s="3"/>
      <c r="I1563" s="3" t="s">
        <v>3572</v>
      </c>
    </row>
    <row r="1564" spans="1:9">
      <c r="A1564" s="3" t="s">
        <v>1315</v>
      </c>
      <c r="B1564" s="3" t="s">
        <v>1328</v>
      </c>
      <c r="C1564" s="3" t="s">
        <v>141</v>
      </c>
      <c r="D1564" s="3" t="s">
        <v>3565</v>
      </c>
      <c r="E1564" s="3"/>
      <c r="F1564" s="3"/>
      <c r="G1564" s="3"/>
      <c r="H1564" s="3"/>
      <c r="I1564" s="3" t="s">
        <v>3573</v>
      </c>
    </row>
    <row r="1565" spans="1:9">
      <c r="A1565" s="3" t="s">
        <v>1315</v>
      </c>
      <c r="B1565" s="3" t="s">
        <v>1328</v>
      </c>
      <c r="C1565" s="3" t="s">
        <v>141</v>
      </c>
      <c r="D1565" s="3" t="s">
        <v>3565</v>
      </c>
      <c r="E1565" s="3"/>
      <c r="F1565" s="3"/>
      <c r="G1565" s="3"/>
      <c r="H1565" s="3"/>
      <c r="I1565" s="3" t="s">
        <v>3574</v>
      </c>
    </row>
    <row r="1566" spans="1:9">
      <c r="A1566" s="3" t="s">
        <v>1315</v>
      </c>
      <c r="B1566" s="3" t="s">
        <v>1328</v>
      </c>
      <c r="C1566" s="3" t="s">
        <v>141</v>
      </c>
      <c r="D1566" s="3" t="s">
        <v>3575</v>
      </c>
      <c r="E1566" s="3"/>
      <c r="F1566" s="3"/>
      <c r="G1566" s="3"/>
      <c r="H1566" s="3" t="s">
        <v>3576</v>
      </c>
      <c r="I1566" s="3"/>
    </row>
    <row r="1567" spans="1:9">
      <c r="A1567" s="3" t="s">
        <v>1315</v>
      </c>
      <c r="B1567" s="3" t="s">
        <v>1328</v>
      </c>
      <c r="C1567" s="3" t="s">
        <v>141</v>
      </c>
      <c r="D1567" s="3" t="s">
        <v>3575</v>
      </c>
      <c r="E1567" s="3"/>
      <c r="F1567" s="3"/>
      <c r="G1567" s="3"/>
      <c r="H1567" s="3" t="s">
        <v>3577</v>
      </c>
      <c r="I1567" s="3"/>
    </row>
    <row r="1568" spans="1:9">
      <c r="A1568" s="3" t="s">
        <v>1315</v>
      </c>
      <c r="B1568" s="3" t="s">
        <v>1328</v>
      </c>
      <c r="C1568" s="3" t="s">
        <v>141</v>
      </c>
      <c r="D1568" s="3" t="s">
        <v>3575</v>
      </c>
      <c r="E1568" s="3"/>
      <c r="F1568" s="3"/>
      <c r="G1568" s="3"/>
      <c r="H1568" s="3" t="s">
        <v>3578</v>
      </c>
      <c r="I1568" s="3"/>
    </row>
    <row r="1569" spans="1:9">
      <c r="A1569" s="3" t="s">
        <v>1315</v>
      </c>
      <c r="B1569" s="3" t="s">
        <v>1328</v>
      </c>
      <c r="C1569" s="3" t="s">
        <v>141</v>
      </c>
      <c r="D1569" s="3" t="s">
        <v>3575</v>
      </c>
      <c r="E1569" s="3"/>
      <c r="F1569" s="3"/>
      <c r="G1569" s="3"/>
      <c r="H1569" s="3"/>
      <c r="I1569" s="3" t="s">
        <v>3579</v>
      </c>
    </row>
    <row r="1570" spans="1:9">
      <c r="A1570" s="3" t="s">
        <v>1333</v>
      </c>
      <c r="B1570" s="3" t="s">
        <v>1343</v>
      </c>
      <c r="C1570" s="3"/>
      <c r="D1570" s="3" t="s">
        <v>3580</v>
      </c>
      <c r="E1570" s="3"/>
      <c r="F1570" s="3"/>
      <c r="G1570" s="3"/>
      <c r="H1570" s="3" t="s">
        <v>3581</v>
      </c>
      <c r="I1570" s="3"/>
    </row>
    <row r="1571" spans="1:9">
      <c r="A1571" s="3" t="s">
        <v>1333</v>
      </c>
      <c r="B1571" s="3" t="s">
        <v>1343</v>
      </c>
      <c r="C1571" s="3"/>
      <c r="D1571" s="3" t="s">
        <v>3580</v>
      </c>
      <c r="E1571" s="3"/>
      <c r="F1571" s="3"/>
      <c r="G1571" s="3"/>
      <c r="H1571" s="3" t="s">
        <v>3582</v>
      </c>
      <c r="I1571" s="3"/>
    </row>
    <row r="1572" spans="1:9">
      <c r="A1572" s="3" t="s">
        <v>1333</v>
      </c>
      <c r="B1572" s="3" t="s">
        <v>1343</v>
      </c>
      <c r="C1572" s="3"/>
      <c r="D1572" s="3" t="s">
        <v>3580</v>
      </c>
      <c r="E1572" s="3"/>
      <c r="F1572" s="3"/>
      <c r="G1572" s="3"/>
      <c r="H1572" s="3" t="s">
        <v>3583</v>
      </c>
      <c r="I1572" s="3"/>
    </row>
    <row r="1573" spans="1:9">
      <c r="A1573" s="3" t="s">
        <v>1333</v>
      </c>
      <c r="B1573" s="3" t="s">
        <v>1343</v>
      </c>
      <c r="C1573" s="3"/>
      <c r="D1573" s="3" t="s">
        <v>3580</v>
      </c>
      <c r="E1573" s="3"/>
      <c r="F1573" s="3"/>
      <c r="G1573" s="3"/>
      <c r="H1573" s="3" t="s">
        <v>3584</v>
      </c>
      <c r="I1573" s="3"/>
    </row>
    <row r="1574" spans="1:9">
      <c r="A1574" s="3" t="s">
        <v>1333</v>
      </c>
      <c r="B1574" s="3" t="s">
        <v>1343</v>
      </c>
      <c r="C1574" s="3"/>
      <c r="D1574" s="3" t="s">
        <v>3580</v>
      </c>
      <c r="E1574" s="3"/>
      <c r="F1574" s="3"/>
      <c r="G1574" s="3"/>
      <c r="H1574" s="3" t="s">
        <v>3585</v>
      </c>
      <c r="I1574" s="3"/>
    </row>
    <row r="1575" spans="1:9">
      <c r="A1575" s="3" t="s">
        <v>1333</v>
      </c>
      <c r="B1575" s="3" t="s">
        <v>1343</v>
      </c>
      <c r="C1575" s="3"/>
      <c r="D1575" s="3" t="s">
        <v>3580</v>
      </c>
      <c r="E1575" s="3"/>
      <c r="F1575" s="3"/>
      <c r="G1575" s="3"/>
      <c r="H1575" s="3"/>
      <c r="I1575" s="3" t="s">
        <v>3586</v>
      </c>
    </row>
    <row r="1576" spans="1:9">
      <c r="A1576" s="3" t="s">
        <v>1333</v>
      </c>
      <c r="B1576" s="3" t="s">
        <v>1343</v>
      </c>
      <c r="C1576" s="3"/>
      <c r="D1576" s="3" t="s">
        <v>3580</v>
      </c>
      <c r="E1576" s="3"/>
      <c r="F1576" s="3"/>
      <c r="G1576" s="3"/>
      <c r="H1576" s="3"/>
      <c r="I1576" s="3" t="s">
        <v>3587</v>
      </c>
    </row>
    <row r="1577" spans="1:9">
      <c r="A1577" s="3" t="s">
        <v>1333</v>
      </c>
      <c r="B1577" s="3" t="s">
        <v>1343</v>
      </c>
      <c r="C1577" s="3"/>
      <c r="D1577" s="3" t="s">
        <v>3580</v>
      </c>
      <c r="E1577" s="3"/>
      <c r="F1577" s="3"/>
      <c r="G1577" s="3"/>
      <c r="H1577" s="3"/>
      <c r="I1577" s="3" t="s">
        <v>3588</v>
      </c>
    </row>
    <row r="1578" spans="1:9">
      <c r="A1578" s="3" t="s">
        <v>1333</v>
      </c>
      <c r="B1578" s="3" t="s">
        <v>1343</v>
      </c>
      <c r="C1578" s="3"/>
      <c r="D1578" s="3" t="s">
        <v>3589</v>
      </c>
      <c r="E1578" s="3"/>
      <c r="F1578" s="3"/>
      <c r="G1578" s="3"/>
      <c r="H1578" s="3" t="s">
        <v>3590</v>
      </c>
      <c r="I1578" s="3"/>
    </row>
    <row r="1579" spans="1:9">
      <c r="A1579" s="3" t="s">
        <v>1333</v>
      </c>
      <c r="B1579" s="3" t="s">
        <v>1343</v>
      </c>
      <c r="C1579" s="3"/>
      <c r="D1579" s="3" t="s">
        <v>3589</v>
      </c>
      <c r="E1579" s="3"/>
      <c r="F1579" s="3"/>
      <c r="G1579" s="3"/>
      <c r="H1579" s="3" t="s">
        <v>3591</v>
      </c>
      <c r="I1579" s="3"/>
    </row>
    <row r="1580" spans="1:9">
      <c r="A1580" s="3" t="s">
        <v>1333</v>
      </c>
      <c r="B1580" s="3" t="s">
        <v>1343</v>
      </c>
      <c r="C1580" s="3"/>
      <c r="D1580" s="3" t="s">
        <v>3589</v>
      </c>
      <c r="E1580" s="3"/>
      <c r="F1580" s="3"/>
      <c r="G1580" s="3"/>
      <c r="H1580" s="3" t="s">
        <v>3592</v>
      </c>
      <c r="I1580" s="3"/>
    </row>
    <row r="1581" spans="1:9">
      <c r="A1581" s="3" t="s">
        <v>1333</v>
      </c>
      <c r="B1581" s="3" t="s">
        <v>1343</v>
      </c>
      <c r="C1581" s="3"/>
      <c r="D1581" s="3" t="s">
        <v>3589</v>
      </c>
      <c r="E1581" s="3"/>
      <c r="F1581" s="3"/>
      <c r="G1581" s="3"/>
      <c r="H1581" s="3" t="s">
        <v>3593</v>
      </c>
      <c r="I1581" s="3"/>
    </row>
    <row r="1582" spans="1:9">
      <c r="A1582" s="3" t="s">
        <v>1333</v>
      </c>
      <c r="B1582" s="3" t="s">
        <v>1343</v>
      </c>
      <c r="C1582" s="3"/>
      <c r="D1582" s="3" t="s">
        <v>3589</v>
      </c>
      <c r="E1582" s="3"/>
      <c r="F1582" s="3"/>
      <c r="G1582" s="3"/>
      <c r="H1582" s="3" t="s">
        <v>3594</v>
      </c>
      <c r="I1582" s="3"/>
    </row>
    <row r="1583" spans="1:9">
      <c r="A1583" s="3" t="s">
        <v>1346</v>
      </c>
      <c r="B1583" s="3" t="s">
        <v>1347</v>
      </c>
      <c r="C1583" s="3" t="s">
        <v>142</v>
      </c>
      <c r="D1583" s="3" t="s">
        <v>3595</v>
      </c>
      <c r="E1583" s="3"/>
      <c r="F1583" s="3"/>
      <c r="G1583" s="3"/>
      <c r="H1583" s="3" t="s">
        <v>3596</v>
      </c>
      <c r="I1583" s="3"/>
    </row>
    <row r="1584" spans="1:9">
      <c r="A1584" s="3" t="s">
        <v>1346</v>
      </c>
      <c r="B1584" s="3" t="s">
        <v>1347</v>
      </c>
      <c r="C1584" s="3" t="s">
        <v>142</v>
      </c>
      <c r="D1584" s="3" t="s">
        <v>3595</v>
      </c>
      <c r="E1584" s="3"/>
      <c r="F1584" s="3"/>
      <c r="G1584" s="3"/>
      <c r="H1584" s="3" t="s">
        <v>3597</v>
      </c>
      <c r="I1584" s="3"/>
    </row>
    <row r="1585" spans="1:9">
      <c r="A1585" s="3" t="s">
        <v>1346</v>
      </c>
      <c r="B1585" s="3" t="s">
        <v>1347</v>
      </c>
      <c r="C1585" s="3" t="s">
        <v>142</v>
      </c>
      <c r="D1585" s="3" t="s">
        <v>3595</v>
      </c>
      <c r="E1585" s="3"/>
      <c r="F1585" s="3"/>
      <c r="G1585" s="3"/>
      <c r="H1585" s="3" t="s">
        <v>3598</v>
      </c>
      <c r="I1585" s="3"/>
    </row>
    <row r="1586" spans="1:9">
      <c r="A1586" s="3" t="s">
        <v>1346</v>
      </c>
      <c r="B1586" s="3" t="s">
        <v>1347</v>
      </c>
      <c r="C1586" s="3" t="s">
        <v>142</v>
      </c>
      <c r="D1586" s="3" t="s">
        <v>3595</v>
      </c>
      <c r="E1586" s="3"/>
      <c r="F1586" s="3"/>
      <c r="G1586" s="3"/>
      <c r="H1586" s="3" t="s">
        <v>3599</v>
      </c>
      <c r="I1586" s="3"/>
    </row>
    <row r="1587" spans="1:9">
      <c r="A1587" s="3" t="s">
        <v>1346</v>
      </c>
      <c r="B1587" s="3" t="s">
        <v>1356</v>
      </c>
      <c r="C1587" s="3" t="s">
        <v>143</v>
      </c>
      <c r="D1587" s="3" t="s">
        <v>3600</v>
      </c>
      <c r="E1587" s="3"/>
      <c r="F1587" s="3"/>
      <c r="G1587" s="3" t="s">
        <v>3601</v>
      </c>
      <c r="H1587" s="3"/>
      <c r="I1587" s="3"/>
    </row>
    <row r="1588" spans="1:9">
      <c r="A1588" s="3" t="s">
        <v>1346</v>
      </c>
      <c r="B1588" s="3" t="s">
        <v>1356</v>
      </c>
      <c r="C1588" s="3" t="s">
        <v>143</v>
      </c>
      <c r="D1588" s="3" t="s">
        <v>3600</v>
      </c>
      <c r="E1588" s="3"/>
      <c r="F1588" s="3"/>
      <c r="G1588" s="3" t="s">
        <v>3602</v>
      </c>
      <c r="H1588" s="3"/>
      <c r="I1588" s="3"/>
    </row>
    <row r="1589" spans="1:9">
      <c r="A1589" s="3" t="s">
        <v>1346</v>
      </c>
      <c r="B1589" s="3" t="s">
        <v>1356</v>
      </c>
      <c r="C1589" s="3" t="s">
        <v>143</v>
      </c>
      <c r="D1589" s="3" t="s">
        <v>3600</v>
      </c>
      <c r="E1589" s="3"/>
      <c r="F1589" s="3"/>
      <c r="G1589" s="3"/>
      <c r="H1589" s="3"/>
      <c r="I1589" s="3" t="s">
        <v>3603</v>
      </c>
    </row>
    <row r="1590" spans="1:9">
      <c r="A1590" s="3" t="s">
        <v>1346</v>
      </c>
      <c r="B1590" s="3" t="s">
        <v>1356</v>
      </c>
      <c r="C1590" s="3" t="s">
        <v>143</v>
      </c>
      <c r="D1590" s="3" t="s">
        <v>3600</v>
      </c>
      <c r="E1590" s="3"/>
      <c r="F1590" s="3"/>
      <c r="G1590" s="3"/>
      <c r="H1590" s="3"/>
      <c r="I1590" s="3" t="s">
        <v>3604</v>
      </c>
    </row>
    <row r="1591" spans="1:9">
      <c r="A1591" s="3" t="s">
        <v>1346</v>
      </c>
      <c r="B1591" s="3" t="s">
        <v>1356</v>
      </c>
      <c r="C1591" s="3" t="s">
        <v>143</v>
      </c>
      <c r="D1591" s="3" t="s">
        <v>3600</v>
      </c>
      <c r="E1591" s="3"/>
      <c r="F1591" s="3"/>
      <c r="G1591" s="3"/>
      <c r="H1591" s="3"/>
      <c r="I1591" s="3" t="s">
        <v>3605</v>
      </c>
    </row>
    <row r="1592" spans="1:9">
      <c r="A1592" s="3" t="s">
        <v>1346</v>
      </c>
      <c r="B1592" s="3" t="s">
        <v>1356</v>
      </c>
      <c r="C1592" s="3" t="s">
        <v>143</v>
      </c>
      <c r="D1592" s="3" t="s">
        <v>3600</v>
      </c>
      <c r="E1592" s="3"/>
      <c r="F1592" s="3"/>
      <c r="G1592" s="3"/>
      <c r="H1592" s="3"/>
      <c r="I1592" s="3" t="s">
        <v>3606</v>
      </c>
    </row>
    <row r="1593" spans="1:9">
      <c r="A1593" s="3" t="s">
        <v>1373</v>
      </c>
      <c r="B1593" s="3" t="s">
        <v>1374</v>
      </c>
      <c r="C1593" s="3" t="s">
        <v>144</v>
      </c>
      <c r="D1593" s="3" t="s">
        <v>3607</v>
      </c>
      <c r="E1593" s="3"/>
      <c r="F1593" s="3"/>
      <c r="G1593" s="3" t="s">
        <v>3608</v>
      </c>
      <c r="H1593" s="3" t="s">
        <v>3609</v>
      </c>
      <c r="I1593" s="3"/>
    </row>
    <row r="1594" spans="1:9">
      <c r="A1594" s="3" t="s">
        <v>1373</v>
      </c>
      <c r="B1594" s="3" t="s">
        <v>1374</v>
      </c>
      <c r="C1594" s="3" t="s">
        <v>144</v>
      </c>
      <c r="D1594" s="3" t="s">
        <v>3607</v>
      </c>
      <c r="E1594" s="3"/>
      <c r="F1594" s="3"/>
      <c r="G1594" s="3" t="s">
        <v>3608</v>
      </c>
      <c r="H1594" s="3" t="s">
        <v>3610</v>
      </c>
      <c r="I1594" s="3"/>
    </row>
    <row r="1595" spans="1:9">
      <c r="A1595" s="3" t="s">
        <v>1373</v>
      </c>
      <c r="B1595" s="3" t="s">
        <v>1374</v>
      </c>
      <c r="C1595" s="3" t="s">
        <v>144</v>
      </c>
      <c r="D1595" s="3" t="s">
        <v>3607</v>
      </c>
      <c r="E1595" s="3"/>
      <c r="F1595" s="3"/>
      <c r="G1595" s="3" t="s">
        <v>3608</v>
      </c>
      <c r="H1595" s="3" t="s">
        <v>3611</v>
      </c>
      <c r="I1595" s="3"/>
    </row>
    <row r="1596" spans="1:9">
      <c r="A1596" s="3" t="s">
        <v>1373</v>
      </c>
      <c r="B1596" s="3" t="s">
        <v>1374</v>
      </c>
      <c r="C1596" s="3" t="s">
        <v>144</v>
      </c>
      <c r="D1596" s="3" t="s">
        <v>3607</v>
      </c>
      <c r="E1596" s="3"/>
      <c r="F1596" s="3"/>
      <c r="G1596" s="3" t="s">
        <v>3608</v>
      </c>
      <c r="H1596" s="3" t="s">
        <v>3612</v>
      </c>
      <c r="I1596" s="3"/>
    </row>
    <row r="1597" spans="1:9">
      <c r="A1597" s="3" t="s">
        <v>1384</v>
      </c>
      <c r="B1597" s="3" t="s">
        <v>1385</v>
      </c>
      <c r="C1597" s="3" t="s">
        <v>145</v>
      </c>
      <c r="D1597" s="3" t="s">
        <v>3613</v>
      </c>
      <c r="E1597" s="3"/>
      <c r="F1597" s="3"/>
      <c r="G1597" s="3"/>
      <c r="H1597" s="3" t="s">
        <v>3614</v>
      </c>
      <c r="I1597" s="3"/>
    </row>
    <row r="1598" spans="1:9">
      <c r="A1598" s="3" t="s">
        <v>1384</v>
      </c>
      <c r="B1598" s="3" t="s">
        <v>1385</v>
      </c>
      <c r="C1598" s="3" t="s">
        <v>145</v>
      </c>
      <c r="D1598" s="3" t="s">
        <v>3613</v>
      </c>
      <c r="E1598" s="3"/>
      <c r="F1598" s="3"/>
      <c r="G1598" s="3"/>
      <c r="H1598" s="3" t="s">
        <v>3615</v>
      </c>
      <c r="I1598" s="3"/>
    </row>
    <row r="1599" spans="1:9">
      <c r="A1599" s="3" t="s">
        <v>1384</v>
      </c>
      <c r="B1599" s="3" t="s">
        <v>1385</v>
      </c>
      <c r="C1599" s="3" t="s">
        <v>145</v>
      </c>
      <c r="D1599" s="3" t="s">
        <v>3613</v>
      </c>
      <c r="E1599" s="3"/>
      <c r="F1599" s="3"/>
      <c r="G1599" s="3"/>
      <c r="H1599" s="3" t="s">
        <v>3616</v>
      </c>
      <c r="I1599" s="3"/>
    </row>
    <row r="1600" spans="1:9">
      <c r="A1600" s="3" t="s">
        <v>1384</v>
      </c>
      <c r="B1600" s="3" t="s">
        <v>1385</v>
      </c>
      <c r="C1600" s="3" t="s">
        <v>145</v>
      </c>
      <c r="D1600" s="3" t="s">
        <v>3613</v>
      </c>
      <c r="E1600" s="3"/>
      <c r="F1600" s="3"/>
      <c r="G1600" s="3"/>
      <c r="H1600" s="3" t="s">
        <v>3617</v>
      </c>
      <c r="I1600" s="3"/>
    </row>
    <row r="1601" spans="1:9">
      <c r="A1601" s="3" t="s">
        <v>1384</v>
      </c>
      <c r="B1601" s="3" t="s">
        <v>1394</v>
      </c>
      <c r="C1601" s="3" t="s">
        <v>146</v>
      </c>
      <c r="D1601" s="3" t="s">
        <v>3618</v>
      </c>
      <c r="E1601" s="3"/>
      <c r="F1601" s="3"/>
      <c r="G1601" s="3" t="s">
        <v>3619</v>
      </c>
      <c r="H1601" s="3"/>
      <c r="I1601" s="3"/>
    </row>
    <row r="1602" spans="1:9">
      <c r="A1602" s="3" t="s">
        <v>1384</v>
      </c>
      <c r="B1602" s="3" t="s">
        <v>1394</v>
      </c>
      <c r="C1602" s="3" t="s">
        <v>146</v>
      </c>
      <c r="D1602" s="3" t="s">
        <v>3618</v>
      </c>
      <c r="E1602" s="3"/>
      <c r="F1602" s="3"/>
      <c r="G1602" s="3" t="s">
        <v>3620</v>
      </c>
      <c r="H1602" s="3"/>
      <c r="I1602" s="3"/>
    </row>
    <row r="1603" spans="1:9">
      <c r="A1603" s="3" t="s">
        <v>1396</v>
      </c>
      <c r="B1603" s="3" t="s">
        <v>1397</v>
      </c>
      <c r="C1603" s="3" t="s">
        <v>148</v>
      </c>
      <c r="D1603" s="3" t="s">
        <v>3621</v>
      </c>
      <c r="E1603" s="3"/>
      <c r="F1603" s="3"/>
      <c r="G1603" s="3" t="s">
        <v>3622</v>
      </c>
      <c r="H1603" s="3"/>
      <c r="I1603" s="3"/>
    </row>
    <row r="1604" spans="1:9">
      <c r="A1604" s="3" t="s">
        <v>1396</v>
      </c>
      <c r="B1604" s="3" t="s">
        <v>1397</v>
      </c>
      <c r="C1604" s="3" t="s">
        <v>148</v>
      </c>
      <c r="D1604" s="3" t="s">
        <v>3621</v>
      </c>
      <c r="E1604" s="3"/>
      <c r="F1604" s="3"/>
      <c r="G1604" s="3" t="s">
        <v>3623</v>
      </c>
      <c r="H1604" s="3"/>
      <c r="I1604" s="3"/>
    </row>
    <row r="1605" spans="1:9">
      <c r="A1605" s="3" t="s">
        <v>1396</v>
      </c>
      <c r="B1605" s="3" t="s">
        <v>1397</v>
      </c>
      <c r="C1605" s="3" t="s">
        <v>148</v>
      </c>
      <c r="D1605" s="3" t="s">
        <v>3621</v>
      </c>
      <c r="E1605" s="3"/>
      <c r="F1605" s="3"/>
      <c r="G1605" s="3"/>
      <c r="H1605" s="3"/>
      <c r="I1605" s="3" t="s">
        <v>3624</v>
      </c>
    </row>
    <row r="1606" spans="1:9">
      <c r="A1606" s="3" t="s">
        <v>1396</v>
      </c>
      <c r="B1606" s="3" t="s">
        <v>1397</v>
      </c>
      <c r="C1606" s="3" t="s">
        <v>148</v>
      </c>
      <c r="D1606" s="3" t="s">
        <v>3621</v>
      </c>
      <c r="E1606" s="3"/>
      <c r="F1606" s="3"/>
      <c r="G1606" s="3"/>
      <c r="H1606" s="3"/>
      <c r="I1606" s="3" t="s">
        <v>3625</v>
      </c>
    </row>
    <row r="1607" spans="1:9">
      <c r="A1607" s="3" t="s">
        <v>1396</v>
      </c>
      <c r="B1607" s="3" t="s">
        <v>1404</v>
      </c>
      <c r="C1607" s="3" t="s">
        <v>149</v>
      </c>
      <c r="D1607" s="3" t="s">
        <v>3626</v>
      </c>
      <c r="E1607" s="3"/>
      <c r="F1607" s="3"/>
      <c r="G1607" s="3" t="s">
        <v>3627</v>
      </c>
      <c r="H1607" s="3"/>
      <c r="I1607" s="3"/>
    </row>
    <row r="1608" spans="1:9">
      <c r="A1608" s="3" t="s">
        <v>1396</v>
      </c>
      <c r="B1608" s="3" t="s">
        <v>1404</v>
      </c>
      <c r="C1608" s="3" t="s">
        <v>149</v>
      </c>
      <c r="D1608" s="3" t="s">
        <v>3626</v>
      </c>
      <c r="E1608" s="3"/>
      <c r="F1608" s="3"/>
      <c r="G1608" s="3" t="s">
        <v>3628</v>
      </c>
      <c r="H1608" s="3"/>
      <c r="I1608" s="3"/>
    </row>
    <row r="1609" spans="1:9">
      <c r="A1609" s="3" t="s">
        <v>1415</v>
      </c>
      <c r="B1609" s="3" t="s">
        <v>1416</v>
      </c>
      <c r="C1609" s="3" t="s">
        <v>150</v>
      </c>
      <c r="D1609" s="3" t="s">
        <v>3629</v>
      </c>
      <c r="E1609" s="3"/>
      <c r="F1609" s="3"/>
      <c r="G1609" s="3" t="s">
        <v>3630</v>
      </c>
      <c r="H1609" s="3"/>
      <c r="I1609" s="3"/>
    </row>
    <row r="1610" spans="1:9">
      <c r="A1610" s="3" t="s">
        <v>1415</v>
      </c>
      <c r="B1610" s="3" t="s">
        <v>1416</v>
      </c>
      <c r="C1610" s="3" t="s">
        <v>150</v>
      </c>
      <c r="D1610" s="3" t="s">
        <v>3629</v>
      </c>
      <c r="E1610" s="3"/>
      <c r="F1610" s="3"/>
      <c r="G1610" s="3" t="s">
        <v>3631</v>
      </c>
      <c r="H1610" s="3"/>
      <c r="I1610" s="3"/>
    </row>
    <row r="1611" spans="1:9">
      <c r="A1611" s="3" t="s">
        <v>1415</v>
      </c>
      <c r="B1611" s="3" t="s">
        <v>1416</v>
      </c>
      <c r="C1611" s="3" t="s">
        <v>150</v>
      </c>
      <c r="D1611" s="3" t="s">
        <v>3629</v>
      </c>
      <c r="E1611" s="3"/>
      <c r="F1611" s="3"/>
      <c r="G1611" s="3"/>
      <c r="H1611" s="3"/>
      <c r="I1611" s="3" t="s">
        <v>3632</v>
      </c>
    </row>
    <row r="1612" spans="1:9">
      <c r="A1612" s="3" t="s">
        <v>1415</v>
      </c>
      <c r="B1612" s="3" t="s">
        <v>1416</v>
      </c>
      <c r="C1612" s="3" t="s">
        <v>150</v>
      </c>
      <c r="D1612" s="3" t="s">
        <v>3629</v>
      </c>
      <c r="E1612" s="3"/>
      <c r="F1612" s="3"/>
      <c r="G1612" s="3"/>
      <c r="H1612" s="3"/>
      <c r="I1612" s="3" t="s">
        <v>3633</v>
      </c>
    </row>
    <row r="1613" spans="1:9">
      <c r="A1613" s="3" t="s">
        <v>1415</v>
      </c>
      <c r="B1613" s="3" t="s">
        <v>1416</v>
      </c>
      <c r="C1613" s="3" t="s">
        <v>150</v>
      </c>
      <c r="D1613" s="3" t="s">
        <v>3629</v>
      </c>
      <c r="E1613" s="3"/>
      <c r="F1613" s="3"/>
      <c r="G1613" s="3"/>
      <c r="H1613" s="3"/>
      <c r="I1613" s="3" t="s">
        <v>3634</v>
      </c>
    </row>
    <row r="1614" spans="1:9">
      <c r="A1614" s="3" t="s">
        <v>1415</v>
      </c>
      <c r="B1614" s="3" t="s">
        <v>1416</v>
      </c>
      <c r="C1614" s="3" t="s">
        <v>150</v>
      </c>
      <c r="D1614" s="3" t="s">
        <v>3629</v>
      </c>
      <c r="E1614" s="3"/>
      <c r="F1614" s="3"/>
      <c r="G1614" s="3"/>
      <c r="H1614" s="3"/>
      <c r="I1614" s="3" t="s">
        <v>3635</v>
      </c>
    </row>
    <row r="1615" spans="1:9">
      <c r="A1615" s="3" t="s">
        <v>1415</v>
      </c>
      <c r="B1615" s="3" t="s">
        <v>1430</v>
      </c>
      <c r="C1615" s="3" t="s">
        <v>152</v>
      </c>
      <c r="D1615" s="3" t="s">
        <v>3636</v>
      </c>
      <c r="E1615" s="3"/>
      <c r="F1615" s="3"/>
      <c r="G1615" s="3" t="s">
        <v>3637</v>
      </c>
      <c r="H1615" s="3" t="s">
        <v>3638</v>
      </c>
      <c r="I1615" s="3"/>
    </row>
    <row r="1616" spans="1:9">
      <c r="A1616" s="3" t="s">
        <v>1415</v>
      </c>
      <c r="B1616" s="3" t="s">
        <v>1430</v>
      </c>
      <c r="C1616" s="3" t="s">
        <v>152</v>
      </c>
      <c r="D1616" s="3" t="s">
        <v>3636</v>
      </c>
      <c r="E1616" s="3"/>
      <c r="F1616" s="3"/>
      <c r="G1616" s="3" t="s">
        <v>3637</v>
      </c>
      <c r="H1616" s="3" t="s">
        <v>3639</v>
      </c>
      <c r="I1616" s="3"/>
    </row>
    <row r="1617" spans="1:9">
      <c r="A1617" s="3" t="s">
        <v>1415</v>
      </c>
      <c r="B1617" s="3" t="s">
        <v>1430</v>
      </c>
      <c r="C1617" s="3" t="s">
        <v>152</v>
      </c>
      <c r="D1617" s="3" t="s">
        <v>3636</v>
      </c>
      <c r="E1617" s="3"/>
      <c r="F1617" s="3"/>
      <c r="G1617" s="3" t="s">
        <v>3637</v>
      </c>
      <c r="H1617" s="3" t="s">
        <v>3640</v>
      </c>
      <c r="I1617" s="3"/>
    </row>
    <row r="1618" spans="1:9">
      <c r="A1618" s="3" t="s">
        <v>1415</v>
      </c>
      <c r="B1618" s="3" t="s">
        <v>1430</v>
      </c>
      <c r="C1618" s="3" t="s">
        <v>152</v>
      </c>
      <c r="D1618" s="3" t="s">
        <v>3636</v>
      </c>
      <c r="E1618" s="3"/>
      <c r="F1618" s="3"/>
      <c r="G1618" s="3" t="s">
        <v>3641</v>
      </c>
      <c r="H1618" s="3" t="s">
        <v>3638</v>
      </c>
      <c r="I1618" s="3"/>
    </row>
    <row r="1619" spans="1:9">
      <c r="A1619" s="3" t="s">
        <v>1415</v>
      </c>
      <c r="B1619" s="3" t="s">
        <v>1430</v>
      </c>
      <c r="C1619" s="3" t="s">
        <v>152</v>
      </c>
      <c r="D1619" s="3" t="s">
        <v>3636</v>
      </c>
      <c r="E1619" s="3"/>
      <c r="F1619" s="3"/>
      <c r="G1619" s="3" t="s">
        <v>3641</v>
      </c>
      <c r="H1619" s="3" t="s">
        <v>3639</v>
      </c>
      <c r="I1619" s="3"/>
    </row>
    <row r="1620" spans="1:9">
      <c r="A1620" s="3" t="s">
        <v>1415</v>
      </c>
      <c r="B1620" s="3" t="s">
        <v>1430</v>
      </c>
      <c r="C1620" s="3" t="s">
        <v>152</v>
      </c>
      <c r="D1620" s="3" t="s">
        <v>3636</v>
      </c>
      <c r="E1620" s="3"/>
      <c r="F1620" s="3"/>
      <c r="G1620" s="3" t="s">
        <v>3641</v>
      </c>
      <c r="H1620" s="3" t="s">
        <v>3640</v>
      </c>
      <c r="I1620" s="3"/>
    </row>
    <row r="1621" spans="1:9">
      <c r="A1621" s="3" t="s">
        <v>1415</v>
      </c>
      <c r="B1621" s="3" t="s">
        <v>1430</v>
      </c>
      <c r="C1621" s="3" t="s">
        <v>152</v>
      </c>
      <c r="D1621" s="3" t="s">
        <v>3636</v>
      </c>
      <c r="E1621" s="3"/>
      <c r="F1621" s="3"/>
      <c r="G1621" s="3" t="s">
        <v>3642</v>
      </c>
      <c r="H1621" s="3" t="s">
        <v>3638</v>
      </c>
      <c r="I1621" s="3"/>
    </row>
    <row r="1622" spans="1:9">
      <c r="A1622" s="3" t="s">
        <v>1415</v>
      </c>
      <c r="B1622" s="3" t="s">
        <v>1430</v>
      </c>
      <c r="C1622" s="3" t="s">
        <v>152</v>
      </c>
      <c r="D1622" s="3" t="s">
        <v>3636</v>
      </c>
      <c r="E1622" s="3"/>
      <c r="F1622" s="3"/>
      <c r="G1622" s="3" t="s">
        <v>3642</v>
      </c>
      <c r="H1622" s="3" t="s">
        <v>3639</v>
      </c>
      <c r="I1622" s="3"/>
    </row>
    <row r="1623" spans="1:9">
      <c r="A1623" s="3" t="s">
        <v>1415</v>
      </c>
      <c r="B1623" s="3" t="s">
        <v>1430</v>
      </c>
      <c r="C1623" s="3" t="s">
        <v>152</v>
      </c>
      <c r="D1623" s="3" t="s">
        <v>3636</v>
      </c>
      <c r="E1623" s="3"/>
      <c r="F1623" s="3"/>
      <c r="G1623" s="3" t="s">
        <v>3642</v>
      </c>
      <c r="H1623" s="3" t="s">
        <v>3640</v>
      </c>
      <c r="I1623" s="3"/>
    </row>
    <row r="1624" spans="1:9">
      <c r="A1624" s="3" t="s">
        <v>1435</v>
      </c>
      <c r="B1624" s="3" t="s">
        <v>1436</v>
      </c>
      <c r="C1624" s="3" t="s">
        <v>153</v>
      </c>
      <c r="D1624" s="3" t="s">
        <v>3643</v>
      </c>
      <c r="E1624" s="3"/>
      <c r="F1624" s="3"/>
      <c r="G1624" s="3"/>
      <c r="H1624" s="3" t="s">
        <v>3644</v>
      </c>
      <c r="I1624" s="3"/>
    </row>
    <row r="1625" spans="1:9">
      <c r="A1625" s="3" t="s">
        <v>1435</v>
      </c>
      <c r="B1625" s="3" t="s">
        <v>1436</v>
      </c>
      <c r="C1625" s="3" t="s">
        <v>153</v>
      </c>
      <c r="D1625" s="3" t="s">
        <v>3643</v>
      </c>
      <c r="E1625" s="3"/>
      <c r="F1625" s="3"/>
      <c r="G1625" s="3"/>
      <c r="H1625" s="3" t="s">
        <v>3645</v>
      </c>
      <c r="I1625" s="3"/>
    </row>
    <row r="1626" spans="1:9">
      <c r="A1626" s="3" t="s">
        <v>1435</v>
      </c>
      <c r="B1626" s="3" t="s">
        <v>1436</v>
      </c>
      <c r="C1626" s="3" t="s">
        <v>153</v>
      </c>
      <c r="D1626" s="3" t="s">
        <v>3643</v>
      </c>
      <c r="E1626" s="3"/>
      <c r="F1626" s="3"/>
      <c r="G1626" s="3"/>
      <c r="H1626" s="3" t="s">
        <v>3646</v>
      </c>
      <c r="I1626" s="3"/>
    </row>
    <row r="1627" spans="1:9">
      <c r="A1627" s="3" t="s">
        <v>1435</v>
      </c>
      <c r="B1627" s="3" t="s">
        <v>1436</v>
      </c>
      <c r="C1627" s="3" t="s">
        <v>153</v>
      </c>
      <c r="D1627" s="3" t="s">
        <v>3643</v>
      </c>
      <c r="E1627" s="3"/>
      <c r="F1627" s="3"/>
      <c r="G1627" s="3"/>
      <c r="H1627" s="3" t="s">
        <v>3647</v>
      </c>
      <c r="I1627" s="3"/>
    </row>
    <row r="1628" spans="1:9">
      <c r="A1628" s="3" t="s">
        <v>1435</v>
      </c>
      <c r="B1628" s="3" t="s">
        <v>1436</v>
      </c>
      <c r="C1628" s="3" t="s">
        <v>153</v>
      </c>
      <c r="D1628" s="3" t="s">
        <v>3648</v>
      </c>
      <c r="E1628" s="3"/>
      <c r="F1628" s="3"/>
      <c r="G1628" s="3"/>
      <c r="H1628" s="3"/>
      <c r="I1628" s="3"/>
    </row>
    <row r="1629" spans="1:9">
      <c r="A1629" s="3" t="s">
        <v>1450</v>
      </c>
      <c r="B1629" s="3" t="s">
        <v>1451</v>
      </c>
      <c r="C1629" s="3" t="s">
        <v>154</v>
      </c>
      <c r="D1629" s="3" t="s">
        <v>3649</v>
      </c>
      <c r="E1629" s="3"/>
      <c r="F1629" s="3"/>
      <c r="G1629" s="3" t="s">
        <v>3650</v>
      </c>
      <c r="H1629" s="3" t="s">
        <v>3651</v>
      </c>
      <c r="I1629" s="3"/>
    </row>
    <row r="1630" spans="1:9">
      <c r="A1630" s="3" t="s">
        <v>1450</v>
      </c>
      <c r="B1630" s="3" t="s">
        <v>1451</v>
      </c>
      <c r="C1630" s="3" t="s">
        <v>154</v>
      </c>
      <c r="D1630" s="3" t="s">
        <v>3649</v>
      </c>
      <c r="E1630" s="3"/>
      <c r="F1630" s="3"/>
      <c r="G1630" s="3" t="s">
        <v>3650</v>
      </c>
      <c r="H1630" s="3" t="s">
        <v>3652</v>
      </c>
      <c r="I1630" s="3"/>
    </row>
    <row r="1631" spans="1:9">
      <c r="A1631" s="3" t="s">
        <v>1450</v>
      </c>
      <c r="B1631" s="3" t="s">
        <v>1451</v>
      </c>
      <c r="C1631" s="3" t="s">
        <v>154</v>
      </c>
      <c r="D1631" s="3" t="s">
        <v>3649</v>
      </c>
      <c r="E1631" s="3"/>
      <c r="F1631" s="3"/>
      <c r="G1631" s="3" t="s">
        <v>3650</v>
      </c>
      <c r="H1631" s="3" t="s">
        <v>3653</v>
      </c>
      <c r="I1631" s="3"/>
    </row>
    <row r="1632" spans="1:9">
      <c r="A1632" s="3" t="s">
        <v>1450</v>
      </c>
      <c r="B1632" s="3" t="s">
        <v>1451</v>
      </c>
      <c r="C1632" s="3" t="s">
        <v>154</v>
      </c>
      <c r="D1632" s="3" t="s">
        <v>3649</v>
      </c>
      <c r="E1632" s="3"/>
      <c r="F1632" s="3"/>
      <c r="G1632" s="3" t="s">
        <v>3650</v>
      </c>
      <c r="H1632" s="3" t="s">
        <v>3654</v>
      </c>
      <c r="I1632" s="3"/>
    </row>
    <row r="1633" spans="1:9">
      <c r="A1633" s="3" t="s">
        <v>1450</v>
      </c>
      <c r="B1633" s="3" t="s">
        <v>1451</v>
      </c>
      <c r="C1633" s="3" t="s">
        <v>154</v>
      </c>
      <c r="D1633" s="3" t="s">
        <v>3649</v>
      </c>
      <c r="E1633" s="3"/>
      <c r="F1633" s="3"/>
      <c r="G1633" s="3" t="s">
        <v>3655</v>
      </c>
      <c r="H1633" s="3" t="s">
        <v>3651</v>
      </c>
      <c r="I1633" s="3"/>
    </row>
    <row r="1634" spans="1:9">
      <c r="A1634" s="3" t="s">
        <v>1450</v>
      </c>
      <c r="B1634" s="3" t="s">
        <v>1451</v>
      </c>
      <c r="C1634" s="3" t="s">
        <v>154</v>
      </c>
      <c r="D1634" s="3" t="s">
        <v>3649</v>
      </c>
      <c r="E1634" s="3"/>
      <c r="F1634" s="3"/>
      <c r="G1634" s="3" t="s">
        <v>3655</v>
      </c>
      <c r="H1634" s="3" t="s">
        <v>3652</v>
      </c>
      <c r="I1634" s="3"/>
    </row>
    <row r="1635" spans="1:9">
      <c r="A1635" s="3" t="s">
        <v>1450</v>
      </c>
      <c r="B1635" s="3" t="s">
        <v>1451</v>
      </c>
      <c r="C1635" s="3" t="s">
        <v>154</v>
      </c>
      <c r="D1635" s="3" t="s">
        <v>3649</v>
      </c>
      <c r="E1635" s="3"/>
      <c r="F1635" s="3"/>
      <c r="G1635" s="3" t="s">
        <v>3655</v>
      </c>
      <c r="H1635" s="3" t="s">
        <v>3653</v>
      </c>
      <c r="I1635" s="3"/>
    </row>
    <row r="1636" spans="1:9">
      <c r="A1636" s="3" t="s">
        <v>1450</v>
      </c>
      <c r="B1636" s="3" t="s">
        <v>1451</v>
      </c>
      <c r="C1636" s="3" t="s">
        <v>154</v>
      </c>
      <c r="D1636" s="3" t="s">
        <v>3649</v>
      </c>
      <c r="E1636" s="3"/>
      <c r="F1636" s="3"/>
      <c r="G1636" s="3" t="s">
        <v>3655</v>
      </c>
      <c r="H1636" s="3" t="s">
        <v>3654</v>
      </c>
      <c r="I1636" s="3"/>
    </row>
    <row r="1637" spans="1:9">
      <c r="A1637" s="3" t="s">
        <v>1456</v>
      </c>
      <c r="B1637" s="3" t="s">
        <v>1457</v>
      </c>
      <c r="C1637" s="3" t="s">
        <v>155</v>
      </c>
      <c r="D1637" s="3" t="s">
        <v>3656</v>
      </c>
      <c r="E1637" s="3"/>
      <c r="F1637" s="3"/>
      <c r="G1637" s="3" t="s">
        <v>3657</v>
      </c>
      <c r="H1637" s="3" t="s">
        <v>3658</v>
      </c>
      <c r="I1637" s="3"/>
    </row>
    <row r="1638" spans="1:9">
      <c r="A1638" s="3" t="s">
        <v>1456</v>
      </c>
      <c r="B1638" s="3" t="s">
        <v>1457</v>
      </c>
      <c r="C1638" s="3" t="s">
        <v>155</v>
      </c>
      <c r="D1638" s="3" t="s">
        <v>3656</v>
      </c>
      <c r="E1638" s="3"/>
      <c r="F1638" s="3"/>
      <c r="G1638" s="3" t="s">
        <v>3657</v>
      </c>
      <c r="H1638" s="3" t="s">
        <v>3659</v>
      </c>
      <c r="I1638" s="3"/>
    </row>
    <row r="1639" spans="1:9">
      <c r="A1639" s="3" t="s">
        <v>1456</v>
      </c>
      <c r="B1639" s="3" t="s">
        <v>1457</v>
      </c>
      <c r="C1639" s="3" t="s">
        <v>155</v>
      </c>
      <c r="D1639" s="3" t="s">
        <v>3656</v>
      </c>
      <c r="E1639" s="3"/>
      <c r="F1639" s="3"/>
      <c r="G1639" s="3" t="s">
        <v>3657</v>
      </c>
      <c r="H1639" s="3" t="s">
        <v>3660</v>
      </c>
      <c r="I1639" s="3"/>
    </row>
    <row r="1640" spans="1:9">
      <c r="A1640" s="3" t="s">
        <v>1456</v>
      </c>
      <c r="B1640" s="3" t="s">
        <v>1457</v>
      </c>
      <c r="C1640" s="3" t="s">
        <v>155</v>
      </c>
      <c r="D1640" s="3" t="s">
        <v>3656</v>
      </c>
      <c r="E1640" s="3"/>
      <c r="F1640" s="3"/>
      <c r="G1640" s="3" t="s">
        <v>3657</v>
      </c>
      <c r="H1640" s="3" t="s">
        <v>3661</v>
      </c>
      <c r="I1640" s="3"/>
    </row>
    <row r="1641" spans="1:9">
      <c r="A1641" s="3" t="s">
        <v>1456</v>
      </c>
      <c r="B1641" s="3" t="s">
        <v>1457</v>
      </c>
      <c r="C1641" s="3" t="s">
        <v>155</v>
      </c>
      <c r="D1641" s="3" t="s">
        <v>3656</v>
      </c>
      <c r="E1641" s="3"/>
      <c r="F1641" s="3"/>
      <c r="G1641" s="3" t="s">
        <v>3662</v>
      </c>
      <c r="H1641" s="3" t="s">
        <v>3658</v>
      </c>
      <c r="I1641" s="3"/>
    </row>
    <row r="1642" spans="1:9">
      <c r="A1642" s="3" t="s">
        <v>1456</v>
      </c>
      <c r="B1642" s="3" t="s">
        <v>1457</v>
      </c>
      <c r="C1642" s="3" t="s">
        <v>155</v>
      </c>
      <c r="D1642" s="3" t="s">
        <v>3656</v>
      </c>
      <c r="E1642" s="3"/>
      <c r="F1642" s="3"/>
      <c r="G1642" s="3" t="s">
        <v>3662</v>
      </c>
      <c r="H1642" s="3" t="s">
        <v>3659</v>
      </c>
      <c r="I1642" s="3"/>
    </row>
    <row r="1643" spans="1:9">
      <c r="A1643" s="3" t="s">
        <v>1456</v>
      </c>
      <c r="B1643" s="3" t="s">
        <v>1457</v>
      </c>
      <c r="C1643" s="3" t="s">
        <v>155</v>
      </c>
      <c r="D1643" s="3" t="s">
        <v>3656</v>
      </c>
      <c r="E1643" s="3"/>
      <c r="F1643" s="3"/>
      <c r="G1643" s="3" t="s">
        <v>3662</v>
      </c>
      <c r="H1643" s="3" t="s">
        <v>3660</v>
      </c>
      <c r="I1643" s="3"/>
    </row>
    <row r="1644" spans="1:9">
      <c r="A1644" s="3" t="s">
        <v>1456</v>
      </c>
      <c r="B1644" s="3" t="s">
        <v>1457</v>
      </c>
      <c r="C1644" s="3" t="s">
        <v>155</v>
      </c>
      <c r="D1644" s="3" t="s">
        <v>3656</v>
      </c>
      <c r="E1644" s="3"/>
      <c r="F1644" s="3"/>
      <c r="G1644" s="3" t="s">
        <v>3662</v>
      </c>
      <c r="H1644" s="3" t="s">
        <v>3661</v>
      </c>
      <c r="I1644" s="3"/>
    </row>
    <row r="1645" spans="1:9">
      <c r="A1645" s="3" t="s">
        <v>1456</v>
      </c>
      <c r="B1645" s="3" t="s">
        <v>1457</v>
      </c>
      <c r="C1645" s="3" t="s">
        <v>156</v>
      </c>
      <c r="D1645" s="3" t="s">
        <v>3663</v>
      </c>
      <c r="E1645" s="3"/>
      <c r="F1645" s="3"/>
      <c r="G1645" s="3" t="s">
        <v>3664</v>
      </c>
      <c r="H1645" s="3" t="s">
        <v>3665</v>
      </c>
      <c r="I1645" s="3"/>
    </row>
    <row r="1646" spans="1:9">
      <c r="A1646" s="3" t="s">
        <v>1456</v>
      </c>
      <c r="B1646" s="3" t="s">
        <v>1457</v>
      </c>
      <c r="C1646" s="3" t="s">
        <v>156</v>
      </c>
      <c r="D1646" s="3" t="s">
        <v>3663</v>
      </c>
      <c r="E1646" s="3"/>
      <c r="F1646" s="3"/>
      <c r="G1646" s="3" t="s">
        <v>3664</v>
      </c>
      <c r="H1646" s="3" t="s">
        <v>3666</v>
      </c>
      <c r="I1646" s="3"/>
    </row>
    <row r="1647" spans="1:9">
      <c r="A1647" s="3" t="s">
        <v>1456</v>
      </c>
      <c r="B1647" s="3" t="s">
        <v>1457</v>
      </c>
      <c r="C1647" s="3" t="s">
        <v>156</v>
      </c>
      <c r="D1647" s="3" t="s">
        <v>3663</v>
      </c>
      <c r="E1647" s="3"/>
      <c r="F1647" s="3"/>
      <c r="G1647" s="3" t="s">
        <v>3664</v>
      </c>
      <c r="H1647" s="3" t="s">
        <v>3667</v>
      </c>
      <c r="I1647" s="3"/>
    </row>
    <row r="1648" spans="1:9">
      <c r="A1648" s="3" t="s">
        <v>1456</v>
      </c>
      <c r="B1648" s="3" t="s">
        <v>1457</v>
      </c>
      <c r="C1648" s="3" t="s">
        <v>156</v>
      </c>
      <c r="D1648" s="3" t="s">
        <v>3663</v>
      </c>
      <c r="E1648" s="3"/>
      <c r="F1648" s="3"/>
      <c r="G1648" s="3" t="s">
        <v>3664</v>
      </c>
      <c r="H1648" s="3" t="s">
        <v>3668</v>
      </c>
      <c r="I1648" s="3"/>
    </row>
    <row r="1649" spans="1:9">
      <c r="A1649" s="3" t="s">
        <v>1456</v>
      </c>
      <c r="B1649" s="3" t="s">
        <v>1457</v>
      </c>
      <c r="C1649" s="3" t="s">
        <v>156</v>
      </c>
      <c r="D1649" s="3" t="s">
        <v>3663</v>
      </c>
      <c r="E1649" s="3"/>
      <c r="F1649" s="3"/>
      <c r="G1649" s="3" t="s">
        <v>3669</v>
      </c>
      <c r="H1649" s="3" t="s">
        <v>3665</v>
      </c>
      <c r="I1649" s="3"/>
    </row>
    <row r="1650" spans="1:9">
      <c r="A1650" s="3" t="s">
        <v>1456</v>
      </c>
      <c r="B1650" s="3" t="s">
        <v>1457</v>
      </c>
      <c r="C1650" s="3" t="s">
        <v>156</v>
      </c>
      <c r="D1650" s="3" t="s">
        <v>3663</v>
      </c>
      <c r="E1650" s="3"/>
      <c r="F1650" s="3"/>
      <c r="G1650" s="3" t="s">
        <v>3669</v>
      </c>
      <c r="H1650" s="3" t="s">
        <v>3666</v>
      </c>
      <c r="I1650" s="3"/>
    </row>
    <row r="1651" spans="1:9">
      <c r="A1651" s="3" t="s">
        <v>1456</v>
      </c>
      <c r="B1651" s="3" t="s">
        <v>1457</v>
      </c>
      <c r="C1651" s="3" t="s">
        <v>156</v>
      </c>
      <c r="D1651" s="3" t="s">
        <v>3663</v>
      </c>
      <c r="E1651" s="3"/>
      <c r="F1651" s="3"/>
      <c r="G1651" s="3" t="s">
        <v>3669</v>
      </c>
      <c r="H1651" s="3" t="s">
        <v>3667</v>
      </c>
      <c r="I1651" s="3"/>
    </row>
    <row r="1652" spans="1:9">
      <c r="A1652" s="3" t="s">
        <v>1456</v>
      </c>
      <c r="B1652" s="3" t="s">
        <v>1457</v>
      </c>
      <c r="C1652" s="3" t="s">
        <v>156</v>
      </c>
      <c r="D1652" s="3" t="s">
        <v>3663</v>
      </c>
      <c r="E1652" s="3"/>
      <c r="F1652" s="3"/>
      <c r="G1652" s="3" t="s">
        <v>3669</v>
      </c>
      <c r="H1652" s="3" t="s">
        <v>3668</v>
      </c>
      <c r="I1652" s="3"/>
    </row>
    <row r="1653" spans="1:9">
      <c r="A1653" s="3" t="s">
        <v>1468</v>
      </c>
      <c r="B1653" s="3" t="s">
        <v>1469</v>
      </c>
      <c r="C1653" s="3" t="s">
        <v>157</v>
      </c>
      <c r="D1653" s="3" t="s">
        <v>3670</v>
      </c>
      <c r="E1653" s="3"/>
      <c r="F1653" s="3"/>
      <c r="G1653" s="3"/>
      <c r="H1653" s="3" t="s">
        <v>3671</v>
      </c>
      <c r="I1653" s="3"/>
    </row>
    <row r="1654" spans="1:9">
      <c r="A1654" s="3" t="s">
        <v>1468</v>
      </c>
      <c r="B1654" s="3" t="s">
        <v>1469</v>
      </c>
      <c r="C1654" s="3" t="s">
        <v>157</v>
      </c>
      <c r="D1654" s="3" t="s">
        <v>3670</v>
      </c>
      <c r="E1654" s="3"/>
      <c r="F1654" s="3"/>
      <c r="G1654" s="3"/>
      <c r="H1654" s="3" t="s">
        <v>3672</v>
      </c>
      <c r="I1654" s="3"/>
    </row>
    <row r="1655" spans="1:9">
      <c r="A1655" s="3" t="s">
        <v>1468</v>
      </c>
      <c r="B1655" s="3" t="s">
        <v>1469</v>
      </c>
      <c r="C1655" s="3" t="s">
        <v>157</v>
      </c>
      <c r="D1655" s="3" t="s">
        <v>3670</v>
      </c>
      <c r="E1655" s="3"/>
      <c r="F1655" s="3"/>
      <c r="G1655" s="3"/>
      <c r="H1655" s="3" t="s">
        <v>3673</v>
      </c>
      <c r="I1655" s="3"/>
    </row>
    <row r="1656" spans="1:9">
      <c r="A1656" s="3" t="s">
        <v>1468</v>
      </c>
      <c r="B1656" s="3" t="s">
        <v>1469</v>
      </c>
      <c r="C1656" s="3" t="s">
        <v>157</v>
      </c>
      <c r="D1656" s="3" t="s">
        <v>3670</v>
      </c>
      <c r="E1656" s="3"/>
      <c r="F1656" s="3"/>
      <c r="G1656" s="3"/>
      <c r="H1656" s="3" t="s">
        <v>3674</v>
      </c>
      <c r="I1656" s="3"/>
    </row>
    <row r="1657" spans="1:9">
      <c r="A1657" s="3" t="s">
        <v>1468</v>
      </c>
      <c r="B1657" s="3" t="s">
        <v>1469</v>
      </c>
      <c r="C1657" s="3" t="s">
        <v>157</v>
      </c>
      <c r="D1657" s="3" t="s">
        <v>3670</v>
      </c>
      <c r="E1657" s="3"/>
      <c r="F1657" s="3"/>
      <c r="G1657" s="3"/>
      <c r="H1657" s="3"/>
      <c r="I1657" s="3" t="s">
        <v>3675</v>
      </c>
    </row>
    <row r="1658" spans="1:9">
      <c r="A1658" s="3" t="s">
        <v>1468</v>
      </c>
      <c r="B1658" s="3" t="s">
        <v>1476</v>
      </c>
      <c r="C1658" s="3" t="s">
        <v>158</v>
      </c>
      <c r="D1658" s="3" t="s">
        <v>3676</v>
      </c>
      <c r="E1658" s="3"/>
      <c r="F1658" s="3"/>
      <c r="G1658" s="3" t="s">
        <v>3677</v>
      </c>
      <c r="H1658" s="3" t="s">
        <v>3678</v>
      </c>
      <c r="I1658" s="3"/>
    </row>
    <row r="1659" spans="1:9">
      <c r="A1659" s="3" t="s">
        <v>1468</v>
      </c>
      <c r="B1659" s="3" t="s">
        <v>1476</v>
      </c>
      <c r="C1659" s="3" t="s">
        <v>158</v>
      </c>
      <c r="D1659" s="3" t="s">
        <v>3676</v>
      </c>
      <c r="E1659" s="3"/>
      <c r="F1659" s="3"/>
      <c r="G1659" s="3" t="s">
        <v>3677</v>
      </c>
      <c r="H1659" s="3" t="s">
        <v>3679</v>
      </c>
      <c r="I1659" s="3"/>
    </row>
    <row r="1660" spans="1:9">
      <c r="A1660" s="3" t="s">
        <v>1468</v>
      </c>
      <c r="B1660" s="3" t="s">
        <v>1476</v>
      </c>
      <c r="C1660" s="3" t="s">
        <v>158</v>
      </c>
      <c r="D1660" s="3" t="s">
        <v>3676</v>
      </c>
      <c r="E1660" s="3"/>
      <c r="F1660" s="3"/>
      <c r="G1660" s="3" t="s">
        <v>3677</v>
      </c>
      <c r="H1660" s="3" t="s">
        <v>3680</v>
      </c>
      <c r="I1660" s="3"/>
    </row>
    <row r="1661" spans="1:9">
      <c r="A1661" s="3" t="s">
        <v>1468</v>
      </c>
      <c r="B1661" s="3" t="s">
        <v>1476</v>
      </c>
      <c r="C1661" s="3" t="s">
        <v>158</v>
      </c>
      <c r="D1661" s="3" t="s">
        <v>3676</v>
      </c>
      <c r="E1661" s="3"/>
      <c r="F1661" s="3"/>
      <c r="G1661" s="3" t="s">
        <v>3681</v>
      </c>
      <c r="H1661" s="3" t="s">
        <v>3678</v>
      </c>
      <c r="I1661" s="3"/>
    </row>
    <row r="1662" spans="1:9">
      <c r="A1662" s="3" t="s">
        <v>1468</v>
      </c>
      <c r="B1662" s="3" t="s">
        <v>1476</v>
      </c>
      <c r="C1662" s="3" t="s">
        <v>158</v>
      </c>
      <c r="D1662" s="3" t="s">
        <v>3676</v>
      </c>
      <c r="E1662" s="3"/>
      <c r="F1662" s="3"/>
      <c r="G1662" s="3" t="s">
        <v>3681</v>
      </c>
      <c r="H1662" s="3" t="s">
        <v>3679</v>
      </c>
      <c r="I1662" s="3"/>
    </row>
    <row r="1663" spans="1:9">
      <c r="A1663" s="3" t="s">
        <v>1468</v>
      </c>
      <c r="B1663" s="3" t="s">
        <v>1476</v>
      </c>
      <c r="C1663" s="3" t="s">
        <v>158</v>
      </c>
      <c r="D1663" s="3" t="s">
        <v>3676</v>
      </c>
      <c r="E1663" s="3"/>
      <c r="F1663" s="3"/>
      <c r="G1663" s="3" t="s">
        <v>3681</v>
      </c>
      <c r="H1663" s="3" t="s">
        <v>3680</v>
      </c>
      <c r="I1663" s="3"/>
    </row>
    <row r="1664" spans="1:9">
      <c r="A1664" s="3" t="s">
        <v>1468</v>
      </c>
      <c r="B1664" s="3" t="s">
        <v>1476</v>
      </c>
      <c r="C1664" s="3" t="s">
        <v>158</v>
      </c>
      <c r="D1664" s="3" t="s">
        <v>3676</v>
      </c>
      <c r="E1664" s="3"/>
      <c r="F1664" s="3"/>
      <c r="G1664" s="3" t="s">
        <v>3682</v>
      </c>
      <c r="H1664" s="3" t="s">
        <v>3678</v>
      </c>
      <c r="I1664" s="3"/>
    </row>
    <row r="1665" spans="1:9">
      <c r="A1665" s="3" t="s">
        <v>1468</v>
      </c>
      <c r="B1665" s="3" t="s">
        <v>1476</v>
      </c>
      <c r="C1665" s="3" t="s">
        <v>158</v>
      </c>
      <c r="D1665" s="3" t="s">
        <v>3676</v>
      </c>
      <c r="E1665" s="3"/>
      <c r="F1665" s="3"/>
      <c r="G1665" s="3" t="s">
        <v>3682</v>
      </c>
      <c r="H1665" s="3" t="s">
        <v>3679</v>
      </c>
      <c r="I1665" s="3"/>
    </row>
    <row r="1666" spans="1:9">
      <c r="A1666" s="3" t="s">
        <v>1468</v>
      </c>
      <c r="B1666" s="3" t="s">
        <v>1476</v>
      </c>
      <c r="C1666" s="3" t="s">
        <v>158</v>
      </c>
      <c r="D1666" s="3" t="s">
        <v>3676</v>
      </c>
      <c r="E1666" s="3"/>
      <c r="F1666" s="3"/>
      <c r="G1666" s="3" t="s">
        <v>3682</v>
      </c>
      <c r="H1666" s="3" t="s">
        <v>3680</v>
      </c>
      <c r="I1666" s="3"/>
    </row>
    <row r="1667" spans="1:9">
      <c r="A1667" s="3" t="s">
        <v>1483</v>
      </c>
      <c r="B1667" s="3" t="s">
        <v>1484</v>
      </c>
      <c r="C1667" s="3" t="s">
        <v>159</v>
      </c>
      <c r="D1667" s="3" t="s">
        <v>3683</v>
      </c>
      <c r="E1667" s="3"/>
      <c r="F1667" s="3"/>
      <c r="G1667" s="3" t="s">
        <v>3684</v>
      </c>
      <c r="H1667" s="3" t="s">
        <v>3685</v>
      </c>
      <c r="I1667" s="3"/>
    </row>
    <row r="1668" spans="1:9">
      <c r="A1668" s="3" t="s">
        <v>1483</v>
      </c>
      <c r="B1668" s="3" t="s">
        <v>1484</v>
      </c>
      <c r="C1668" s="3" t="s">
        <v>159</v>
      </c>
      <c r="D1668" s="3" t="s">
        <v>3683</v>
      </c>
      <c r="E1668" s="3"/>
      <c r="F1668" s="3"/>
      <c r="G1668" s="3" t="s">
        <v>3684</v>
      </c>
      <c r="H1668" s="3" t="s">
        <v>3686</v>
      </c>
      <c r="I1668" s="3"/>
    </row>
    <row r="1669" spans="1:9">
      <c r="A1669" s="3" t="s">
        <v>1483</v>
      </c>
      <c r="B1669" s="3" t="s">
        <v>1484</v>
      </c>
      <c r="C1669" s="3" t="s">
        <v>159</v>
      </c>
      <c r="D1669" s="3" t="s">
        <v>3683</v>
      </c>
      <c r="E1669" s="3"/>
      <c r="F1669" s="3"/>
      <c r="G1669" s="3" t="s">
        <v>3684</v>
      </c>
      <c r="H1669" s="3" t="s">
        <v>3687</v>
      </c>
      <c r="I1669" s="3"/>
    </row>
    <row r="1670" spans="1:9">
      <c r="A1670" s="3" t="s">
        <v>1483</v>
      </c>
      <c r="B1670" s="3" t="s">
        <v>1484</v>
      </c>
      <c r="C1670" s="3" t="s">
        <v>159</v>
      </c>
      <c r="D1670" s="3" t="s">
        <v>3683</v>
      </c>
      <c r="E1670" s="3"/>
      <c r="F1670" s="3"/>
      <c r="G1670" s="3" t="s">
        <v>3684</v>
      </c>
      <c r="H1670" s="3" t="s">
        <v>3688</v>
      </c>
      <c r="I1670" s="3"/>
    </row>
    <row r="1671" spans="1:9">
      <c r="A1671" s="3" t="s">
        <v>1483</v>
      </c>
      <c r="B1671" s="3" t="s">
        <v>1484</v>
      </c>
      <c r="C1671" s="3" t="s">
        <v>159</v>
      </c>
      <c r="D1671" s="3" t="s">
        <v>3683</v>
      </c>
      <c r="E1671" s="3"/>
      <c r="F1671" s="3"/>
      <c r="G1671" s="3" t="s">
        <v>3689</v>
      </c>
      <c r="H1671" s="3" t="s">
        <v>3685</v>
      </c>
      <c r="I1671" s="3"/>
    </row>
    <row r="1672" spans="1:9">
      <c r="A1672" s="3" t="s">
        <v>1483</v>
      </c>
      <c r="B1672" s="3" t="s">
        <v>1484</v>
      </c>
      <c r="C1672" s="3" t="s">
        <v>159</v>
      </c>
      <c r="D1672" s="3" t="s">
        <v>3683</v>
      </c>
      <c r="E1672" s="3"/>
      <c r="F1672" s="3"/>
      <c r="G1672" s="3" t="s">
        <v>3689</v>
      </c>
      <c r="H1672" s="3" t="s">
        <v>3686</v>
      </c>
      <c r="I1672" s="3"/>
    </row>
    <row r="1673" spans="1:9">
      <c r="A1673" s="3" t="s">
        <v>1483</v>
      </c>
      <c r="B1673" s="3" t="s">
        <v>1484</v>
      </c>
      <c r="C1673" s="3" t="s">
        <v>159</v>
      </c>
      <c r="D1673" s="3" t="s">
        <v>3683</v>
      </c>
      <c r="E1673" s="3"/>
      <c r="F1673" s="3"/>
      <c r="G1673" s="3" t="s">
        <v>3689</v>
      </c>
      <c r="H1673" s="3" t="s">
        <v>3687</v>
      </c>
      <c r="I1673" s="3"/>
    </row>
    <row r="1674" spans="1:9">
      <c r="A1674" s="3" t="s">
        <v>1483</v>
      </c>
      <c r="B1674" s="3" t="s">
        <v>1484</v>
      </c>
      <c r="C1674" s="3" t="s">
        <v>159</v>
      </c>
      <c r="D1674" s="3" t="s">
        <v>3683</v>
      </c>
      <c r="E1674" s="3"/>
      <c r="F1674" s="3"/>
      <c r="G1674" s="3" t="s">
        <v>3689</v>
      </c>
      <c r="H1674" s="3" t="s">
        <v>3688</v>
      </c>
      <c r="I1674" s="3"/>
    </row>
    <row r="1675" spans="1:9">
      <c r="A1675" s="3" t="s">
        <v>1483</v>
      </c>
      <c r="B1675" s="3" t="s">
        <v>1489</v>
      </c>
      <c r="C1675" s="3" t="s">
        <v>160</v>
      </c>
      <c r="D1675" s="3" t="s">
        <v>3690</v>
      </c>
      <c r="E1675" s="3"/>
      <c r="F1675" s="3"/>
      <c r="G1675" s="3" t="s">
        <v>3691</v>
      </c>
      <c r="H1675" s="3"/>
      <c r="I1675" s="3"/>
    </row>
    <row r="1676" spans="1:9">
      <c r="A1676" s="3" t="s">
        <v>1483</v>
      </c>
      <c r="B1676" s="3" t="s">
        <v>1489</v>
      </c>
      <c r="C1676" s="3" t="s">
        <v>160</v>
      </c>
      <c r="D1676" s="3" t="s">
        <v>3690</v>
      </c>
      <c r="E1676" s="3"/>
      <c r="F1676" s="3"/>
      <c r="G1676" s="3" t="s">
        <v>3692</v>
      </c>
      <c r="H1676" s="3"/>
      <c r="I1676" s="3"/>
    </row>
    <row r="1677" spans="1:9">
      <c r="A1677" s="3" t="s">
        <v>1483</v>
      </c>
      <c r="B1677" s="3" t="s">
        <v>1489</v>
      </c>
      <c r="C1677" s="3" t="s">
        <v>160</v>
      </c>
      <c r="D1677" s="3" t="s">
        <v>3690</v>
      </c>
      <c r="E1677" s="3"/>
      <c r="F1677" s="3"/>
      <c r="G1677" s="3"/>
      <c r="H1677" s="3"/>
      <c r="I1677" s="3" t="s">
        <v>3693</v>
      </c>
    </row>
    <row r="1678" spans="1:9">
      <c r="A1678" s="3" t="s">
        <v>1483</v>
      </c>
      <c r="B1678" s="3" t="s">
        <v>1489</v>
      </c>
      <c r="C1678" s="3" t="s">
        <v>160</v>
      </c>
      <c r="D1678" s="3" t="s">
        <v>3690</v>
      </c>
      <c r="E1678" s="3"/>
      <c r="F1678" s="3"/>
      <c r="G1678" s="3"/>
      <c r="H1678" s="3"/>
      <c r="I1678" s="3" t="s">
        <v>3694</v>
      </c>
    </row>
    <row r="1679" spans="1:9">
      <c r="A1679" s="3" t="s">
        <v>1483</v>
      </c>
      <c r="B1679" s="3" t="s">
        <v>1489</v>
      </c>
      <c r="C1679" s="3" t="s">
        <v>160</v>
      </c>
      <c r="D1679" s="3" t="s">
        <v>3690</v>
      </c>
      <c r="E1679" s="3"/>
      <c r="F1679" s="3"/>
      <c r="G1679" s="3"/>
      <c r="H1679" s="3"/>
      <c r="I1679" s="3" t="s">
        <v>3695</v>
      </c>
    </row>
    <row r="1680" spans="1:9">
      <c r="A1680" s="3" t="s">
        <v>1483</v>
      </c>
      <c r="B1680" s="3" t="s">
        <v>1489</v>
      </c>
      <c r="C1680" s="3" t="s">
        <v>160</v>
      </c>
      <c r="D1680" s="3" t="s">
        <v>3690</v>
      </c>
      <c r="E1680" s="3"/>
      <c r="F1680" s="3"/>
      <c r="G1680" s="3"/>
      <c r="H1680" s="3"/>
      <c r="I1680" s="3" t="s">
        <v>3696</v>
      </c>
    </row>
    <row r="1681" spans="1:10">
      <c r="A1681" s="3" t="s">
        <v>1496</v>
      </c>
      <c r="B1681" s="3" t="s">
        <v>1497</v>
      </c>
      <c r="C1681" s="3" t="s">
        <v>161</v>
      </c>
      <c r="D1681" s="3" t="s">
        <v>3697</v>
      </c>
      <c r="E1681" s="3"/>
      <c r="F1681" s="3"/>
      <c r="G1681" s="3" t="s">
        <v>3698</v>
      </c>
      <c r="H1681" s="3" t="s">
        <v>3699</v>
      </c>
      <c r="I1681" s="3"/>
    </row>
    <row r="1682" spans="1:10">
      <c r="A1682" s="3" t="s">
        <v>1496</v>
      </c>
      <c r="B1682" s="3" t="s">
        <v>1497</v>
      </c>
      <c r="C1682" s="3" t="s">
        <v>161</v>
      </c>
      <c r="D1682" s="3" t="s">
        <v>3697</v>
      </c>
      <c r="E1682" s="3"/>
      <c r="F1682" s="3"/>
      <c r="G1682" s="3" t="s">
        <v>3698</v>
      </c>
      <c r="H1682" s="3" t="s">
        <v>3700</v>
      </c>
      <c r="I1682" s="3"/>
    </row>
    <row r="1683" spans="1:10">
      <c r="A1683" s="3" t="s">
        <v>1496</v>
      </c>
      <c r="B1683" s="3" t="s">
        <v>1497</v>
      </c>
      <c r="C1683" s="3" t="s">
        <v>161</v>
      </c>
      <c r="D1683" s="3" t="s">
        <v>3697</v>
      </c>
      <c r="E1683" s="3"/>
      <c r="F1683" s="3"/>
      <c r="G1683" s="3" t="s">
        <v>3698</v>
      </c>
      <c r="H1683" s="3" t="s">
        <v>3701</v>
      </c>
      <c r="I1683" s="3"/>
      <c r="J1683" t="s">
        <v>3702</v>
      </c>
    </row>
    <row r="1684" spans="1:10">
      <c r="A1684" s="3" t="s">
        <v>1496</v>
      </c>
      <c r="B1684" s="3" t="s">
        <v>1497</v>
      </c>
      <c r="C1684" s="3" t="s">
        <v>161</v>
      </c>
      <c r="D1684" s="3" t="s">
        <v>3697</v>
      </c>
      <c r="E1684" s="3"/>
      <c r="F1684" s="3"/>
      <c r="G1684" s="3" t="s">
        <v>3698</v>
      </c>
      <c r="H1684" s="3" t="s">
        <v>3703</v>
      </c>
      <c r="I1684" s="3"/>
      <c r="J1684" t="s">
        <v>3704</v>
      </c>
    </row>
    <row r="1685" spans="1:10">
      <c r="A1685" s="3" t="s">
        <v>1496</v>
      </c>
      <c r="B1685" s="3" t="s">
        <v>1497</v>
      </c>
      <c r="C1685" s="3" t="s">
        <v>161</v>
      </c>
      <c r="D1685" s="3" t="s">
        <v>3697</v>
      </c>
      <c r="E1685" s="3"/>
      <c r="F1685" s="3"/>
      <c r="G1685" s="3" t="s">
        <v>3705</v>
      </c>
      <c r="H1685" s="3" t="s">
        <v>3699</v>
      </c>
      <c r="I1685" s="3"/>
      <c r="J1685" t="s">
        <v>3706</v>
      </c>
    </row>
    <row r="1686" spans="1:10">
      <c r="A1686" s="3" t="s">
        <v>1496</v>
      </c>
      <c r="B1686" s="3" t="s">
        <v>1497</v>
      </c>
      <c r="C1686" s="3" t="s">
        <v>161</v>
      </c>
      <c r="D1686" s="3" t="s">
        <v>3697</v>
      </c>
      <c r="E1686" s="3"/>
      <c r="F1686" s="3"/>
      <c r="G1686" s="3" t="s">
        <v>3705</v>
      </c>
      <c r="H1686" s="3" t="s">
        <v>3700</v>
      </c>
      <c r="I1686" s="3"/>
      <c r="J1686" t="s">
        <v>3707</v>
      </c>
    </row>
    <row r="1687" spans="1:10">
      <c r="A1687" s="3" t="s">
        <v>1496</v>
      </c>
      <c r="B1687" s="3" t="s">
        <v>1497</v>
      </c>
      <c r="C1687" s="3" t="s">
        <v>161</v>
      </c>
      <c r="D1687" s="3" t="s">
        <v>3697</v>
      </c>
      <c r="E1687" s="3"/>
      <c r="F1687" s="3"/>
      <c r="G1687" s="3" t="s">
        <v>3705</v>
      </c>
      <c r="H1687" s="3" t="s">
        <v>3701</v>
      </c>
      <c r="I1687" s="3"/>
      <c r="J1687" t="s">
        <v>3708</v>
      </c>
    </row>
    <row r="1688" spans="1:10">
      <c r="A1688" s="3" t="s">
        <v>1496</v>
      </c>
      <c r="B1688" s="3" t="s">
        <v>1497</v>
      </c>
      <c r="C1688" s="3" t="s">
        <v>161</v>
      </c>
      <c r="D1688" s="3" t="s">
        <v>3697</v>
      </c>
      <c r="E1688" s="3"/>
      <c r="F1688" s="3"/>
      <c r="G1688" s="3" t="s">
        <v>3705</v>
      </c>
      <c r="H1688" s="3" t="s">
        <v>3703</v>
      </c>
      <c r="I1688" s="3"/>
      <c r="J1688" t="s">
        <v>3709</v>
      </c>
    </row>
    <row r="1689" spans="1:10">
      <c r="A1689" s="3" t="s">
        <v>1496</v>
      </c>
      <c r="B1689" s="3" t="s">
        <v>1497</v>
      </c>
      <c r="C1689" s="3" t="s">
        <v>161</v>
      </c>
      <c r="D1689" s="3" t="s">
        <v>3697</v>
      </c>
      <c r="E1689" s="3"/>
      <c r="F1689" s="3"/>
      <c r="G1689" s="3" t="s">
        <v>3710</v>
      </c>
      <c r="H1689" s="3" t="s">
        <v>3699</v>
      </c>
      <c r="I1689" s="3"/>
      <c r="J1689" t="s">
        <v>3711</v>
      </c>
    </row>
    <row r="1690" spans="1:10">
      <c r="A1690" s="3" t="s">
        <v>1496</v>
      </c>
      <c r="B1690" s="3" t="s">
        <v>1497</v>
      </c>
      <c r="C1690" s="3" t="s">
        <v>161</v>
      </c>
      <c r="D1690" s="3" t="s">
        <v>3697</v>
      </c>
      <c r="E1690" s="3"/>
      <c r="F1690" s="3"/>
      <c r="G1690" s="3" t="s">
        <v>3710</v>
      </c>
      <c r="H1690" s="3" t="s">
        <v>3700</v>
      </c>
      <c r="I1690" s="3"/>
      <c r="J1690" t="s">
        <v>3712</v>
      </c>
    </row>
    <row r="1691" spans="1:10">
      <c r="A1691" s="3" t="s">
        <v>1496</v>
      </c>
      <c r="B1691" s="3" t="s">
        <v>1497</v>
      </c>
      <c r="C1691" s="3" t="s">
        <v>161</v>
      </c>
      <c r="D1691" s="3" t="s">
        <v>3697</v>
      </c>
      <c r="E1691" s="3"/>
      <c r="F1691" s="3"/>
      <c r="G1691" s="3" t="s">
        <v>3710</v>
      </c>
      <c r="H1691" s="3" t="s">
        <v>3701</v>
      </c>
      <c r="I1691" s="3"/>
      <c r="J1691" t="s">
        <v>3713</v>
      </c>
    </row>
    <row r="1692" spans="1:10">
      <c r="A1692" s="3" t="s">
        <v>1496</v>
      </c>
      <c r="B1692" s="3" t="s">
        <v>1497</v>
      </c>
      <c r="C1692" s="3" t="s">
        <v>161</v>
      </c>
      <c r="D1692" s="3" t="s">
        <v>3697</v>
      </c>
      <c r="E1692" s="3"/>
      <c r="F1692" s="3"/>
      <c r="G1692" s="3" t="s">
        <v>3710</v>
      </c>
      <c r="H1692" s="3" t="s">
        <v>3703</v>
      </c>
      <c r="I1692" s="3"/>
      <c r="J1692" t="s">
        <v>3714</v>
      </c>
    </row>
    <row r="1693" spans="1:10">
      <c r="A1693" s="3" t="s">
        <v>1496</v>
      </c>
      <c r="B1693" s="3" t="s">
        <v>1497</v>
      </c>
      <c r="C1693" s="3" t="s">
        <v>161</v>
      </c>
      <c r="D1693" s="3" t="s">
        <v>3697</v>
      </c>
      <c r="E1693" s="3"/>
      <c r="F1693" s="3"/>
      <c r="G1693" s="3"/>
      <c r="H1693" s="3"/>
      <c r="I1693" s="3" t="s">
        <v>3715</v>
      </c>
      <c r="J1693" t="s">
        <v>3716</v>
      </c>
    </row>
    <row r="1694" spans="1:10">
      <c r="A1694" s="3" t="s">
        <v>1511</v>
      </c>
      <c r="B1694" s="3" t="s">
        <v>1517</v>
      </c>
      <c r="C1694" s="3" t="s">
        <v>163</v>
      </c>
      <c r="D1694" s="3" t="s">
        <v>3717</v>
      </c>
      <c r="E1694" s="3"/>
      <c r="F1694" s="3"/>
      <c r="G1694" s="3" t="s">
        <v>3718</v>
      </c>
      <c r="H1694" s="3" t="s">
        <v>3719</v>
      </c>
      <c r="I1694" s="3"/>
      <c r="J1694" t="s">
        <v>3720</v>
      </c>
    </row>
    <row r="1695" spans="1:10">
      <c r="A1695" s="3" t="s">
        <v>1511</v>
      </c>
      <c r="B1695" s="3" t="s">
        <v>1517</v>
      </c>
      <c r="C1695" s="3" t="s">
        <v>163</v>
      </c>
      <c r="D1695" s="3" t="s">
        <v>3717</v>
      </c>
      <c r="E1695" s="3"/>
      <c r="F1695" s="3"/>
      <c r="G1695" s="3" t="s">
        <v>3718</v>
      </c>
      <c r="H1695" s="3" t="s">
        <v>3721</v>
      </c>
      <c r="I1695" s="3"/>
      <c r="J1695" t="s">
        <v>3722</v>
      </c>
    </row>
    <row r="1696" spans="1:10">
      <c r="A1696" s="3" t="s">
        <v>1511</v>
      </c>
      <c r="B1696" s="3" t="s">
        <v>1517</v>
      </c>
      <c r="C1696" s="3" t="s">
        <v>163</v>
      </c>
      <c r="D1696" s="3" t="s">
        <v>3717</v>
      </c>
      <c r="E1696" s="3"/>
      <c r="F1696" s="3"/>
      <c r="G1696" s="3" t="s">
        <v>3718</v>
      </c>
      <c r="H1696" s="3" t="s">
        <v>3723</v>
      </c>
      <c r="I1696" s="3"/>
      <c r="J1696" t="s">
        <v>3724</v>
      </c>
    </row>
    <row r="1697" spans="1:10">
      <c r="A1697" s="3" t="s">
        <v>1511</v>
      </c>
      <c r="B1697" s="3" t="s">
        <v>1517</v>
      </c>
      <c r="C1697" s="3" t="s">
        <v>163</v>
      </c>
      <c r="D1697" s="3" t="s">
        <v>3717</v>
      </c>
      <c r="E1697" s="3"/>
      <c r="F1697" s="3"/>
      <c r="G1697" s="3" t="s">
        <v>3718</v>
      </c>
      <c r="H1697" s="3" t="s">
        <v>3725</v>
      </c>
      <c r="I1697" s="3"/>
      <c r="J1697" t="s">
        <v>3726</v>
      </c>
    </row>
    <row r="1698" spans="1:10">
      <c r="A1698" s="3" t="s">
        <v>1511</v>
      </c>
      <c r="B1698" s="3" t="s">
        <v>1517</v>
      </c>
      <c r="C1698" s="3" t="s">
        <v>163</v>
      </c>
      <c r="D1698" s="3" t="s">
        <v>3717</v>
      </c>
      <c r="E1698" s="3"/>
      <c r="F1698" s="3"/>
      <c r="G1698" s="3" t="s">
        <v>3727</v>
      </c>
      <c r="H1698" s="3" t="s">
        <v>3719</v>
      </c>
      <c r="I1698" s="3"/>
      <c r="J1698" t="s">
        <v>3728</v>
      </c>
    </row>
    <row r="1699" spans="1:10">
      <c r="A1699" s="3" t="s">
        <v>1511</v>
      </c>
      <c r="B1699" s="3" t="s">
        <v>1517</v>
      </c>
      <c r="C1699" s="3" t="s">
        <v>163</v>
      </c>
      <c r="D1699" s="3" t="s">
        <v>3717</v>
      </c>
      <c r="E1699" s="3"/>
      <c r="F1699" s="3"/>
      <c r="G1699" s="3" t="s">
        <v>3727</v>
      </c>
      <c r="H1699" s="3" t="s">
        <v>3721</v>
      </c>
      <c r="I1699" s="3"/>
      <c r="J1699" t="s">
        <v>3729</v>
      </c>
    </row>
    <row r="1700" spans="1:10">
      <c r="A1700" s="3" t="s">
        <v>1511</v>
      </c>
      <c r="B1700" s="3" t="s">
        <v>1517</v>
      </c>
      <c r="C1700" s="3" t="s">
        <v>163</v>
      </c>
      <c r="D1700" s="3" t="s">
        <v>3717</v>
      </c>
      <c r="E1700" s="3"/>
      <c r="F1700" s="3"/>
      <c r="G1700" s="3" t="s">
        <v>3727</v>
      </c>
      <c r="H1700" s="3" t="s">
        <v>3723</v>
      </c>
      <c r="I1700" s="3"/>
      <c r="J1700" t="s">
        <v>3730</v>
      </c>
    </row>
    <row r="1701" spans="1:10">
      <c r="A1701" s="3" t="s">
        <v>1511</v>
      </c>
      <c r="B1701" s="3" t="s">
        <v>1517</v>
      </c>
      <c r="C1701" s="3" t="s">
        <v>163</v>
      </c>
      <c r="D1701" s="3" t="s">
        <v>3717</v>
      </c>
      <c r="E1701" s="3"/>
      <c r="F1701" s="3"/>
      <c r="G1701" s="3" t="s">
        <v>3727</v>
      </c>
      <c r="H1701" s="3" t="s">
        <v>3725</v>
      </c>
      <c r="I1701" s="3"/>
      <c r="J1701" t="s">
        <v>3731</v>
      </c>
    </row>
    <row r="1702" spans="1:10">
      <c r="A1702" s="3" t="s">
        <v>1511</v>
      </c>
      <c r="B1702" s="3" t="s">
        <v>1517</v>
      </c>
      <c r="C1702" s="3" t="s">
        <v>163</v>
      </c>
      <c r="D1702" s="3" t="s">
        <v>3717</v>
      </c>
      <c r="E1702" s="3"/>
      <c r="F1702" s="3"/>
      <c r="G1702" s="3"/>
      <c r="H1702" s="3"/>
      <c r="I1702" s="3" t="s">
        <v>3732</v>
      </c>
      <c r="J1702" t="s">
        <v>3733</v>
      </c>
    </row>
    <row r="1703" spans="1:10">
      <c r="A1703" s="3" t="s">
        <v>1511</v>
      </c>
      <c r="B1703" s="3" t="s">
        <v>1517</v>
      </c>
      <c r="C1703" s="3" t="s">
        <v>163</v>
      </c>
      <c r="D1703" s="3" t="s">
        <v>3717</v>
      </c>
      <c r="E1703" s="3"/>
      <c r="F1703" s="3"/>
      <c r="G1703" s="3"/>
      <c r="H1703" s="3"/>
      <c r="I1703" s="3" t="s">
        <v>3734</v>
      </c>
      <c r="J1703" t="s">
        <v>3735</v>
      </c>
    </row>
    <row r="1704" spans="1:10">
      <c r="A1704" s="3" t="s">
        <v>1522</v>
      </c>
      <c r="B1704" s="3" t="s">
        <v>1523</v>
      </c>
      <c r="C1704" s="3" t="s">
        <v>164</v>
      </c>
      <c r="D1704" s="3" t="s">
        <v>3736</v>
      </c>
      <c r="E1704" s="3"/>
      <c r="F1704" s="3"/>
      <c r="G1704" s="3" t="s">
        <v>3737</v>
      </c>
      <c r="H1704" s="3" t="s">
        <v>3738</v>
      </c>
      <c r="I1704" s="3"/>
      <c r="J1704" t="s">
        <v>3739</v>
      </c>
    </row>
    <row r="1705" spans="1:10">
      <c r="A1705" s="3" t="s">
        <v>1522</v>
      </c>
      <c r="B1705" s="3" t="s">
        <v>1523</v>
      </c>
      <c r="C1705" s="3" t="s">
        <v>164</v>
      </c>
      <c r="D1705" s="3" t="s">
        <v>3736</v>
      </c>
      <c r="E1705" s="3"/>
      <c r="F1705" s="3"/>
      <c r="G1705" s="3" t="s">
        <v>3737</v>
      </c>
      <c r="H1705" s="3" t="s">
        <v>3740</v>
      </c>
      <c r="I1705" s="3"/>
      <c r="J1705" t="s">
        <v>3741</v>
      </c>
    </row>
    <row r="1706" spans="1:10">
      <c r="A1706" s="3" t="s">
        <v>1522</v>
      </c>
      <c r="B1706" s="3" t="s">
        <v>1523</v>
      </c>
      <c r="C1706" s="3" t="s">
        <v>164</v>
      </c>
      <c r="D1706" s="3" t="s">
        <v>3736</v>
      </c>
      <c r="E1706" s="3"/>
      <c r="F1706" s="3"/>
      <c r="G1706" s="3" t="s">
        <v>3737</v>
      </c>
      <c r="H1706" s="3" t="s">
        <v>3742</v>
      </c>
      <c r="I1706" s="3"/>
      <c r="J1706" t="s">
        <v>3743</v>
      </c>
    </row>
    <row r="1707" spans="1:10">
      <c r="A1707" s="3" t="s">
        <v>1522</v>
      </c>
      <c r="B1707" s="3" t="s">
        <v>1523</v>
      </c>
      <c r="C1707" s="3" t="s">
        <v>164</v>
      </c>
      <c r="D1707" s="3" t="s">
        <v>3736</v>
      </c>
      <c r="E1707" s="3"/>
      <c r="F1707" s="3"/>
      <c r="G1707" s="3" t="s">
        <v>3737</v>
      </c>
      <c r="H1707" s="3" t="s">
        <v>3744</v>
      </c>
      <c r="I1707" s="3"/>
      <c r="J1707" t="s">
        <v>3745</v>
      </c>
    </row>
    <row r="1708" spans="1:10">
      <c r="A1708" s="3" t="s">
        <v>1522</v>
      </c>
      <c r="B1708" s="3" t="s">
        <v>1523</v>
      </c>
      <c r="C1708" s="3" t="s">
        <v>164</v>
      </c>
      <c r="D1708" s="3" t="s">
        <v>3736</v>
      </c>
      <c r="E1708" s="3"/>
      <c r="F1708" s="3"/>
      <c r="G1708" s="3" t="s">
        <v>3746</v>
      </c>
      <c r="H1708" s="3" t="s">
        <v>3738</v>
      </c>
      <c r="I1708" s="3"/>
      <c r="J1708" t="s">
        <v>3747</v>
      </c>
    </row>
    <row r="1709" spans="1:10">
      <c r="A1709" s="3" t="s">
        <v>1522</v>
      </c>
      <c r="B1709" s="3" t="s">
        <v>1523</v>
      </c>
      <c r="C1709" s="3" t="s">
        <v>164</v>
      </c>
      <c r="D1709" s="3" t="s">
        <v>3736</v>
      </c>
      <c r="E1709" s="3"/>
      <c r="F1709" s="3"/>
      <c r="G1709" s="3" t="s">
        <v>3746</v>
      </c>
      <c r="H1709" s="3" t="s">
        <v>3740</v>
      </c>
      <c r="I1709" s="3"/>
      <c r="J1709" t="s">
        <v>3748</v>
      </c>
    </row>
    <row r="1710" spans="1:10">
      <c r="A1710" s="3" t="s">
        <v>1522</v>
      </c>
      <c r="B1710" s="3" t="s">
        <v>1523</v>
      </c>
      <c r="C1710" s="3" t="s">
        <v>164</v>
      </c>
      <c r="D1710" s="3" t="s">
        <v>3736</v>
      </c>
      <c r="E1710" s="3"/>
      <c r="F1710" s="3"/>
      <c r="G1710" s="3" t="s">
        <v>3746</v>
      </c>
      <c r="H1710" s="3" t="s">
        <v>3742</v>
      </c>
      <c r="I1710" s="3"/>
      <c r="J1710" t="s">
        <v>3749</v>
      </c>
    </row>
    <row r="1711" spans="1:10">
      <c r="A1711" s="3" t="s">
        <v>1522</v>
      </c>
      <c r="B1711" s="3" t="s">
        <v>1523</v>
      </c>
      <c r="C1711" s="3" t="s">
        <v>164</v>
      </c>
      <c r="D1711" s="3" t="s">
        <v>3736</v>
      </c>
      <c r="E1711" s="3"/>
      <c r="F1711" s="3"/>
      <c r="G1711" s="3" t="s">
        <v>3746</v>
      </c>
      <c r="H1711" s="3" t="s">
        <v>3744</v>
      </c>
      <c r="I1711" s="3"/>
      <c r="J1711" t="s">
        <v>3750</v>
      </c>
    </row>
    <row r="1712" spans="1:10">
      <c r="A1712" s="3" t="s">
        <v>1522</v>
      </c>
      <c r="B1712" s="3" t="s">
        <v>1523</v>
      </c>
      <c r="C1712" s="3" t="s">
        <v>164</v>
      </c>
      <c r="D1712" s="3" t="s">
        <v>3736</v>
      </c>
      <c r="E1712" s="3"/>
      <c r="F1712" s="3"/>
      <c r="G1712" s="3"/>
      <c r="H1712" s="3"/>
      <c r="I1712" s="3" t="s">
        <v>3751</v>
      </c>
      <c r="J1712" t="s">
        <v>3752</v>
      </c>
    </row>
    <row r="1713" spans="1:10">
      <c r="A1713" s="3" t="s">
        <v>1522</v>
      </c>
      <c r="B1713" s="3" t="s">
        <v>1523</v>
      </c>
      <c r="C1713" s="3" t="s">
        <v>164</v>
      </c>
      <c r="D1713" s="3" t="s">
        <v>3736</v>
      </c>
      <c r="E1713" s="3"/>
      <c r="F1713" s="3"/>
      <c r="G1713" s="3"/>
      <c r="H1713" s="3"/>
      <c r="I1713" s="3" t="s">
        <v>3753</v>
      </c>
      <c r="J1713" t="s">
        <v>3754</v>
      </c>
    </row>
    <row r="1714" spans="1:10">
      <c r="A1714" s="3" t="s">
        <v>1522</v>
      </c>
      <c r="B1714" s="3" t="s">
        <v>1523</v>
      </c>
      <c r="C1714" s="3" t="s">
        <v>164</v>
      </c>
      <c r="D1714" s="3" t="s">
        <v>3736</v>
      </c>
      <c r="E1714" s="3"/>
      <c r="F1714" s="3"/>
      <c r="G1714" s="3"/>
      <c r="H1714" s="3"/>
      <c r="I1714" s="3" t="s">
        <v>3755</v>
      </c>
      <c r="J1714" t="s">
        <v>3756</v>
      </c>
    </row>
    <row r="1715" spans="1:10">
      <c r="A1715" s="3" t="s">
        <v>1530</v>
      </c>
      <c r="B1715" s="3" t="s">
        <v>1538</v>
      </c>
      <c r="C1715" s="3" t="s">
        <v>165</v>
      </c>
      <c r="D1715" s="3" t="s">
        <v>3757</v>
      </c>
      <c r="E1715" s="3"/>
      <c r="F1715" s="3"/>
      <c r="G1715" s="3"/>
      <c r="H1715" s="3" t="s">
        <v>3758</v>
      </c>
      <c r="I1715" s="3"/>
      <c r="J1715" t="s">
        <v>3759</v>
      </c>
    </row>
    <row r="1716" spans="1:10">
      <c r="A1716" s="3" t="s">
        <v>1530</v>
      </c>
      <c r="B1716" s="3" t="s">
        <v>1538</v>
      </c>
      <c r="C1716" s="3" t="s">
        <v>165</v>
      </c>
      <c r="D1716" s="3" t="s">
        <v>3757</v>
      </c>
      <c r="E1716" s="3"/>
      <c r="F1716" s="3"/>
      <c r="G1716" s="3"/>
      <c r="H1716" s="3" t="s">
        <v>3760</v>
      </c>
      <c r="I1716" s="3"/>
      <c r="J1716" t="s">
        <v>3761</v>
      </c>
    </row>
    <row r="1717" spans="1:10">
      <c r="A1717" s="3" t="s">
        <v>1530</v>
      </c>
      <c r="B1717" s="3" t="s">
        <v>1538</v>
      </c>
      <c r="C1717" s="3" t="s">
        <v>165</v>
      </c>
      <c r="D1717" s="3" t="s">
        <v>3757</v>
      </c>
      <c r="E1717" s="3"/>
      <c r="F1717" s="3"/>
      <c r="G1717" s="3"/>
      <c r="H1717" s="3" t="s">
        <v>3762</v>
      </c>
      <c r="I1717" s="3"/>
      <c r="J1717" t="s">
        <v>3763</v>
      </c>
    </row>
    <row r="1718" spans="1:10">
      <c r="A1718" s="3" t="s">
        <v>1530</v>
      </c>
      <c r="B1718" s="3" t="s">
        <v>1538</v>
      </c>
      <c r="C1718" s="3" t="s">
        <v>165</v>
      </c>
      <c r="D1718" s="3" t="s">
        <v>3757</v>
      </c>
      <c r="E1718" s="3"/>
      <c r="F1718" s="3"/>
      <c r="G1718" s="3"/>
      <c r="H1718" s="3" t="s">
        <v>3764</v>
      </c>
      <c r="I1718" s="3"/>
      <c r="J1718" t="s">
        <v>3765</v>
      </c>
    </row>
    <row r="1719" spans="1:10">
      <c r="A1719" s="3" t="s">
        <v>1530</v>
      </c>
      <c r="B1719" s="3" t="s">
        <v>1538</v>
      </c>
      <c r="C1719" s="3" t="s">
        <v>165</v>
      </c>
      <c r="D1719" s="3" t="s">
        <v>3766</v>
      </c>
      <c r="E1719" s="3"/>
      <c r="F1719" s="3"/>
      <c r="G1719" s="3" t="s">
        <v>3767</v>
      </c>
      <c r="H1719" s="3" t="s">
        <v>3768</v>
      </c>
      <c r="I1719" s="3"/>
      <c r="J1719" t="s">
        <v>3769</v>
      </c>
    </row>
    <row r="1720" spans="1:10">
      <c r="A1720" s="3" t="s">
        <v>1530</v>
      </c>
      <c r="B1720" s="3" t="s">
        <v>1538</v>
      </c>
      <c r="C1720" s="3" t="s">
        <v>165</v>
      </c>
      <c r="D1720" s="3" t="s">
        <v>3766</v>
      </c>
      <c r="E1720" s="3"/>
      <c r="F1720" s="3"/>
      <c r="G1720" s="3" t="s">
        <v>3767</v>
      </c>
      <c r="H1720" s="3" t="s">
        <v>3770</v>
      </c>
      <c r="I1720" s="3"/>
      <c r="J1720" t="s">
        <v>3771</v>
      </c>
    </row>
    <row r="1721" spans="1:10">
      <c r="A1721" s="3" t="s">
        <v>1530</v>
      </c>
      <c r="B1721" s="3" t="s">
        <v>1538</v>
      </c>
      <c r="C1721" s="3" t="s">
        <v>165</v>
      </c>
      <c r="D1721" s="3" t="s">
        <v>3766</v>
      </c>
      <c r="E1721" s="3"/>
      <c r="F1721" s="3"/>
      <c r="G1721" s="3" t="s">
        <v>3767</v>
      </c>
      <c r="H1721" s="3" t="s">
        <v>3772</v>
      </c>
      <c r="I1721" s="3"/>
      <c r="J1721" t="s">
        <v>3773</v>
      </c>
    </row>
    <row r="1722" spans="1:10">
      <c r="A1722" s="3" t="s">
        <v>1530</v>
      </c>
      <c r="B1722" s="3" t="s">
        <v>1538</v>
      </c>
      <c r="C1722" s="3" t="s">
        <v>165</v>
      </c>
      <c r="D1722" s="3" t="s">
        <v>3766</v>
      </c>
      <c r="E1722" s="3"/>
      <c r="F1722" s="3"/>
      <c r="G1722" s="3" t="s">
        <v>3774</v>
      </c>
      <c r="H1722" s="3" t="s">
        <v>3768</v>
      </c>
      <c r="I1722" s="3"/>
      <c r="J1722" t="s">
        <v>3775</v>
      </c>
    </row>
    <row r="1723" spans="1:10">
      <c r="A1723" s="3" t="s">
        <v>1530</v>
      </c>
      <c r="B1723" s="3" t="s">
        <v>1538</v>
      </c>
      <c r="C1723" s="3" t="s">
        <v>165</v>
      </c>
      <c r="D1723" s="3" t="s">
        <v>3766</v>
      </c>
      <c r="E1723" s="3"/>
      <c r="F1723" s="3"/>
      <c r="G1723" s="3" t="s">
        <v>3774</v>
      </c>
      <c r="H1723" s="3" t="s">
        <v>3770</v>
      </c>
      <c r="I1723" s="3"/>
      <c r="J1723" t="s">
        <v>3776</v>
      </c>
    </row>
    <row r="1724" spans="1:10">
      <c r="A1724" s="3" t="s">
        <v>1530</v>
      </c>
      <c r="B1724" s="3" t="s">
        <v>1538</v>
      </c>
      <c r="C1724" s="3" t="s">
        <v>165</v>
      </c>
      <c r="D1724" s="3" t="s">
        <v>3766</v>
      </c>
      <c r="E1724" s="3"/>
      <c r="F1724" s="3"/>
      <c r="G1724" s="3" t="s">
        <v>3774</v>
      </c>
      <c r="H1724" s="3" t="s">
        <v>3772</v>
      </c>
      <c r="I1724" s="3"/>
      <c r="J1724" t="s">
        <v>3777</v>
      </c>
    </row>
    <row r="1725" spans="1:10">
      <c r="A1725" s="3" t="s">
        <v>1562</v>
      </c>
      <c r="B1725" s="3" t="s">
        <v>1568</v>
      </c>
      <c r="C1725" s="3" t="s">
        <v>169</v>
      </c>
      <c r="D1725" s="3" t="s">
        <v>3778</v>
      </c>
      <c r="E1725" s="3"/>
      <c r="F1725" s="3"/>
      <c r="G1725" s="3"/>
      <c r="H1725" s="3" t="s">
        <v>3779</v>
      </c>
      <c r="I1725" s="3"/>
      <c r="J1725" t="s">
        <v>3780</v>
      </c>
    </row>
    <row r="1726" spans="1:10">
      <c r="A1726" s="3" t="s">
        <v>1562</v>
      </c>
      <c r="B1726" s="3" t="s">
        <v>1568</v>
      </c>
      <c r="C1726" s="3" t="s">
        <v>169</v>
      </c>
      <c r="D1726" s="3" t="s">
        <v>3778</v>
      </c>
      <c r="E1726" s="3"/>
      <c r="F1726" s="3"/>
      <c r="G1726" s="3"/>
      <c r="H1726" s="3" t="s">
        <v>3781</v>
      </c>
      <c r="I1726" s="3"/>
      <c r="J1726" t="s">
        <v>3782</v>
      </c>
    </row>
    <row r="1727" spans="1:10">
      <c r="A1727" s="3" t="s">
        <v>1562</v>
      </c>
      <c r="B1727" s="3" t="s">
        <v>1568</v>
      </c>
      <c r="C1727" s="3" t="s">
        <v>169</v>
      </c>
      <c r="D1727" s="3" t="s">
        <v>3778</v>
      </c>
      <c r="E1727" s="3"/>
      <c r="F1727" s="3"/>
      <c r="G1727" s="3"/>
      <c r="H1727" s="3" t="s">
        <v>3783</v>
      </c>
      <c r="I1727" s="3"/>
      <c r="J1727" t="s">
        <v>3784</v>
      </c>
    </row>
    <row r="1728" spans="1:10">
      <c r="A1728" s="3" t="s">
        <v>1562</v>
      </c>
      <c r="B1728" s="3" t="s">
        <v>1568</v>
      </c>
      <c r="C1728" s="3" t="s">
        <v>169</v>
      </c>
      <c r="D1728" s="3" t="s">
        <v>3778</v>
      </c>
      <c r="E1728" s="3"/>
      <c r="F1728" s="3"/>
      <c r="G1728" s="3"/>
      <c r="H1728" s="3" t="s">
        <v>3785</v>
      </c>
      <c r="I1728" s="3"/>
      <c r="J1728" t="s">
        <v>3786</v>
      </c>
    </row>
    <row r="1729" spans="1:10">
      <c r="A1729" s="3" t="s">
        <v>1562</v>
      </c>
      <c r="B1729" s="3" t="s">
        <v>1568</v>
      </c>
      <c r="C1729" s="3" t="s">
        <v>169</v>
      </c>
      <c r="D1729" s="3" t="s">
        <v>3778</v>
      </c>
      <c r="E1729" s="3"/>
      <c r="F1729" s="3"/>
      <c r="G1729" s="3"/>
      <c r="H1729" s="3" t="s">
        <v>3787</v>
      </c>
      <c r="I1729" s="3"/>
      <c r="J1729" t="s">
        <v>3788</v>
      </c>
    </row>
    <row r="1730" spans="1:10">
      <c r="A1730" s="3" t="s">
        <v>1562</v>
      </c>
      <c r="B1730" s="3" t="s">
        <v>1568</v>
      </c>
      <c r="C1730" s="3" t="s">
        <v>169</v>
      </c>
      <c r="D1730" s="3" t="s">
        <v>3778</v>
      </c>
      <c r="E1730" s="3"/>
      <c r="F1730" s="3"/>
      <c r="G1730" s="3"/>
      <c r="H1730" s="3"/>
      <c r="I1730" s="3" t="s">
        <v>3789</v>
      </c>
      <c r="J1730" t="s">
        <v>3790</v>
      </c>
    </row>
    <row r="1731" spans="1:10">
      <c r="A1731" s="3" t="s">
        <v>1562</v>
      </c>
      <c r="B1731" s="3" t="s">
        <v>1568</v>
      </c>
      <c r="C1731" s="3" t="s">
        <v>169</v>
      </c>
      <c r="D1731" s="3" t="s">
        <v>3778</v>
      </c>
      <c r="E1731" s="3"/>
      <c r="F1731" s="3"/>
      <c r="G1731" s="3"/>
      <c r="H1731" s="3"/>
      <c r="I1731" s="3" t="s">
        <v>3791</v>
      </c>
      <c r="J1731" t="s">
        <v>3792</v>
      </c>
    </row>
    <row r="1732" spans="1:10">
      <c r="A1732" s="3" t="s">
        <v>1562</v>
      </c>
      <c r="B1732" s="3" t="s">
        <v>1568</v>
      </c>
      <c r="C1732" s="3" t="s">
        <v>169</v>
      </c>
      <c r="D1732" s="3" t="s">
        <v>3778</v>
      </c>
      <c r="E1732" s="3"/>
      <c r="F1732" s="3"/>
      <c r="G1732" s="3"/>
      <c r="H1732" s="3"/>
      <c r="I1732" s="3" t="s">
        <v>3793</v>
      </c>
      <c r="J1732" t="s">
        <v>3794</v>
      </c>
    </row>
    <row r="1733" spans="1:10">
      <c r="A1733" s="3" t="s">
        <v>1562</v>
      </c>
      <c r="B1733" s="3" t="s">
        <v>1568</v>
      </c>
      <c r="C1733" s="3" t="s">
        <v>169</v>
      </c>
      <c r="D1733" s="3" t="s">
        <v>3778</v>
      </c>
      <c r="E1733" s="3"/>
      <c r="F1733" s="3"/>
      <c r="G1733" s="3"/>
      <c r="H1733" s="3"/>
      <c r="I1733" s="3" t="s">
        <v>3795</v>
      </c>
      <c r="J1733" t="s">
        <v>3796</v>
      </c>
    </row>
    <row r="1734" spans="1:10">
      <c r="A1734" s="3" t="s">
        <v>1573</v>
      </c>
      <c r="B1734" s="3" t="s">
        <v>1596</v>
      </c>
      <c r="C1734" s="3"/>
      <c r="D1734" s="3" t="s">
        <v>3797</v>
      </c>
      <c r="E1734" s="3"/>
      <c r="F1734" s="3"/>
      <c r="G1734" s="3" t="s">
        <v>3798</v>
      </c>
      <c r="H1734" s="3"/>
      <c r="I1734" s="3"/>
      <c r="J1734" t="s">
        <v>3799</v>
      </c>
    </row>
    <row r="1735" spans="1:10">
      <c r="A1735" s="3" t="s">
        <v>1573</v>
      </c>
      <c r="B1735" s="3" t="s">
        <v>1596</v>
      </c>
      <c r="C1735" s="3"/>
      <c r="D1735" s="3" t="s">
        <v>3797</v>
      </c>
      <c r="E1735" s="3"/>
      <c r="F1735" s="3"/>
      <c r="G1735" s="3"/>
      <c r="H1735" s="3"/>
      <c r="I1735" s="3" t="s">
        <v>3800</v>
      </c>
      <c r="J1735" t="s">
        <v>3801</v>
      </c>
    </row>
    <row r="1736" spans="1:10">
      <c r="A1736" s="3" t="s">
        <v>1573</v>
      </c>
      <c r="B1736" s="3" t="s">
        <v>1596</v>
      </c>
      <c r="C1736" s="3"/>
      <c r="D1736" s="3" t="s">
        <v>3802</v>
      </c>
      <c r="E1736" s="3"/>
      <c r="F1736" s="3"/>
      <c r="G1736" s="3" t="s">
        <v>3803</v>
      </c>
      <c r="H1736" s="3" t="s">
        <v>3804</v>
      </c>
      <c r="I1736" s="3"/>
      <c r="J1736" t="s">
        <v>3805</v>
      </c>
    </row>
    <row r="1737" spans="1:10">
      <c r="A1737" s="3" t="s">
        <v>1573</v>
      </c>
      <c r="B1737" s="3" t="s">
        <v>1596</v>
      </c>
      <c r="C1737" s="3"/>
      <c r="D1737" s="3" t="s">
        <v>3802</v>
      </c>
      <c r="E1737" s="3"/>
      <c r="F1737" s="3"/>
      <c r="G1737" s="3" t="s">
        <v>3803</v>
      </c>
      <c r="H1737" s="3" t="s">
        <v>3806</v>
      </c>
      <c r="I1737" s="3"/>
      <c r="J1737" t="s">
        <v>3807</v>
      </c>
    </row>
    <row r="1738" spans="1:10">
      <c r="A1738" s="3" t="s">
        <v>1573</v>
      </c>
      <c r="B1738" s="3" t="s">
        <v>1596</v>
      </c>
      <c r="C1738" s="3"/>
      <c r="D1738" s="3" t="s">
        <v>3802</v>
      </c>
      <c r="E1738" s="3"/>
      <c r="F1738" s="3"/>
      <c r="G1738" s="3" t="s">
        <v>3803</v>
      </c>
      <c r="H1738" s="3" t="s">
        <v>3808</v>
      </c>
      <c r="I1738" s="3"/>
      <c r="J1738" t="s">
        <v>3809</v>
      </c>
    </row>
    <row r="1739" spans="1:10">
      <c r="A1739" s="3" t="s">
        <v>1573</v>
      </c>
      <c r="B1739" s="3" t="s">
        <v>1596</v>
      </c>
      <c r="C1739" s="3"/>
      <c r="D1739" s="3" t="s">
        <v>3802</v>
      </c>
      <c r="E1739" s="3"/>
      <c r="F1739" s="3"/>
      <c r="G1739" s="3" t="s">
        <v>3803</v>
      </c>
      <c r="H1739" s="3" t="s">
        <v>3810</v>
      </c>
      <c r="I1739" s="3"/>
      <c r="J1739" t="s">
        <v>3811</v>
      </c>
    </row>
    <row r="1740" spans="1:10">
      <c r="A1740" s="3" t="s">
        <v>1573</v>
      </c>
      <c r="B1740" s="3" t="s">
        <v>1596</v>
      </c>
      <c r="C1740" s="3"/>
      <c r="D1740" s="3" t="s">
        <v>3802</v>
      </c>
      <c r="E1740" s="3"/>
      <c r="F1740" s="3"/>
      <c r="G1740" s="3" t="s">
        <v>3812</v>
      </c>
      <c r="H1740" s="3" t="s">
        <v>3804</v>
      </c>
      <c r="I1740" s="3"/>
      <c r="J1740" t="s">
        <v>3813</v>
      </c>
    </row>
    <row r="1741" spans="1:10">
      <c r="A1741" s="3" t="s">
        <v>1573</v>
      </c>
      <c r="B1741" s="3" t="s">
        <v>1596</v>
      </c>
      <c r="C1741" s="3"/>
      <c r="D1741" s="3" t="s">
        <v>3802</v>
      </c>
      <c r="E1741" s="3"/>
      <c r="F1741" s="3"/>
      <c r="G1741" s="3" t="s">
        <v>3812</v>
      </c>
      <c r="H1741" s="3" t="s">
        <v>3806</v>
      </c>
      <c r="I1741" s="3"/>
      <c r="J1741" t="s">
        <v>3814</v>
      </c>
    </row>
    <row r="1742" spans="1:10">
      <c r="A1742" s="3" t="s">
        <v>1573</v>
      </c>
      <c r="B1742" s="3" t="s">
        <v>1596</v>
      </c>
      <c r="C1742" s="3"/>
      <c r="D1742" s="3" t="s">
        <v>3802</v>
      </c>
      <c r="E1742" s="3"/>
      <c r="F1742" s="3"/>
      <c r="G1742" s="3" t="s">
        <v>3812</v>
      </c>
      <c r="H1742" s="3" t="s">
        <v>3808</v>
      </c>
      <c r="I1742" s="3"/>
      <c r="J1742" t="s">
        <v>3815</v>
      </c>
    </row>
    <row r="1743" spans="1:10">
      <c r="A1743" s="3" t="s">
        <v>1573</v>
      </c>
      <c r="B1743" s="3" t="s">
        <v>1596</v>
      </c>
      <c r="C1743" s="3"/>
      <c r="D1743" s="3" t="s">
        <v>3802</v>
      </c>
      <c r="E1743" s="3"/>
      <c r="F1743" s="3"/>
      <c r="G1743" s="3" t="s">
        <v>3812</v>
      </c>
      <c r="H1743" s="3" t="s">
        <v>3810</v>
      </c>
      <c r="I1743" s="3"/>
      <c r="J1743" t="s">
        <v>3816</v>
      </c>
    </row>
    <row r="1744" spans="1:10">
      <c r="A1744" s="3" t="s">
        <v>1619</v>
      </c>
      <c r="B1744" s="3" t="s">
        <v>1638</v>
      </c>
      <c r="C1744" s="3"/>
      <c r="D1744" s="3" t="s">
        <v>3817</v>
      </c>
      <c r="E1744" s="3"/>
      <c r="F1744" s="3"/>
      <c r="G1744" s="3"/>
      <c r="H1744" s="3"/>
      <c r="I1744" s="3"/>
      <c r="J1744" t="s">
        <v>3818</v>
      </c>
    </row>
    <row r="1745" spans="1:10">
      <c r="A1745" s="3" t="s">
        <v>1643</v>
      </c>
      <c r="B1745" s="3" t="s">
        <v>1644</v>
      </c>
      <c r="C1745" s="3" t="s">
        <v>172</v>
      </c>
      <c r="D1745" s="3" t="s">
        <v>3819</v>
      </c>
      <c r="E1745" s="3"/>
      <c r="F1745" s="3"/>
      <c r="G1745" s="3" t="s">
        <v>3820</v>
      </c>
      <c r="H1745" s="3"/>
      <c r="I1745" s="3"/>
      <c r="J1745" t="s">
        <v>3821</v>
      </c>
    </row>
    <row r="1746" spans="1:10">
      <c r="A1746" s="3" t="s">
        <v>1643</v>
      </c>
      <c r="B1746" s="3" t="s">
        <v>1644</v>
      </c>
      <c r="C1746" s="3" t="s">
        <v>172</v>
      </c>
      <c r="D1746" s="3" t="s">
        <v>3819</v>
      </c>
      <c r="E1746" s="3"/>
      <c r="F1746" s="3"/>
      <c r="G1746" s="3" t="s">
        <v>3822</v>
      </c>
      <c r="H1746" s="3"/>
      <c r="I1746" s="3"/>
      <c r="J1746" t="s">
        <v>3823</v>
      </c>
    </row>
    <row r="1747" spans="1:10">
      <c r="A1747" s="3" t="s">
        <v>1649</v>
      </c>
      <c r="B1747" s="3" t="s">
        <v>1650</v>
      </c>
      <c r="C1747" s="3" t="s">
        <v>173</v>
      </c>
      <c r="D1747" s="3" t="s">
        <v>3824</v>
      </c>
      <c r="E1747" s="3"/>
      <c r="F1747" s="3"/>
      <c r="G1747" s="3"/>
      <c r="H1747" s="3" t="s">
        <v>3825</v>
      </c>
      <c r="I1747" s="3"/>
      <c r="J1747" t="s">
        <v>3826</v>
      </c>
    </row>
    <row r="1748" spans="1:10">
      <c r="A1748" s="3" t="s">
        <v>1649</v>
      </c>
      <c r="B1748" s="3" t="s">
        <v>1650</v>
      </c>
      <c r="C1748" s="3" t="s">
        <v>173</v>
      </c>
      <c r="D1748" s="3" t="s">
        <v>3824</v>
      </c>
      <c r="E1748" s="3"/>
      <c r="F1748" s="3"/>
      <c r="G1748" s="3"/>
      <c r="H1748" s="3" t="s">
        <v>3827</v>
      </c>
      <c r="I1748" s="3"/>
      <c r="J1748" t="s">
        <v>3828</v>
      </c>
    </row>
    <row r="1749" spans="1:10">
      <c r="A1749" s="3" t="s">
        <v>1649</v>
      </c>
      <c r="B1749" s="3" t="s">
        <v>1650</v>
      </c>
      <c r="C1749" s="3" t="s">
        <v>173</v>
      </c>
      <c r="D1749" s="3" t="s">
        <v>3824</v>
      </c>
      <c r="E1749" s="3"/>
      <c r="F1749" s="3"/>
      <c r="G1749" s="3"/>
      <c r="H1749" s="3" t="s">
        <v>3829</v>
      </c>
      <c r="I1749" s="3"/>
      <c r="J1749" t="s">
        <v>3830</v>
      </c>
    </row>
    <row r="1750" spans="1:10">
      <c r="A1750" s="3" t="s">
        <v>1649</v>
      </c>
      <c r="B1750" s="3" t="s">
        <v>1650</v>
      </c>
      <c r="C1750" s="3" t="s">
        <v>173</v>
      </c>
      <c r="D1750" s="3" t="s">
        <v>3824</v>
      </c>
      <c r="E1750" s="3"/>
      <c r="F1750" s="3"/>
      <c r="G1750" s="3"/>
      <c r="H1750" s="3" t="s">
        <v>3831</v>
      </c>
      <c r="I1750" s="3"/>
      <c r="J1750" t="s">
        <v>3832</v>
      </c>
    </row>
    <row r="1751" spans="1:10">
      <c r="A1751" s="3" t="s">
        <v>1649</v>
      </c>
      <c r="B1751" s="3" t="s">
        <v>1650</v>
      </c>
      <c r="C1751" s="3" t="s">
        <v>173</v>
      </c>
      <c r="D1751" s="3" t="s">
        <v>3824</v>
      </c>
      <c r="E1751" s="3"/>
      <c r="F1751" s="3"/>
      <c r="G1751" s="3"/>
      <c r="H1751" s="3" t="s">
        <v>3833</v>
      </c>
      <c r="I1751" s="3"/>
      <c r="J1751" t="s">
        <v>3834</v>
      </c>
    </row>
    <row r="1752" spans="1:10">
      <c r="A1752" s="3" t="s">
        <v>1657</v>
      </c>
      <c r="B1752" s="3" t="s">
        <v>1663</v>
      </c>
      <c r="C1752" s="3" t="s">
        <v>174</v>
      </c>
      <c r="D1752" s="3" t="s">
        <v>3835</v>
      </c>
      <c r="E1752" s="3"/>
      <c r="F1752" s="3"/>
      <c r="G1752" s="3" t="s">
        <v>3836</v>
      </c>
      <c r="H1752" s="3" t="s">
        <v>3837</v>
      </c>
      <c r="I1752" s="3"/>
      <c r="J1752" t="s">
        <v>3838</v>
      </c>
    </row>
    <row r="1753" spans="1:10">
      <c r="A1753" s="3" t="s">
        <v>1657</v>
      </c>
      <c r="B1753" s="3" t="s">
        <v>1663</v>
      </c>
      <c r="C1753" s="3" t="s">
        <v>174</v>
      </c>
      <c r="D1753" s="3" t="s">
        <v>3835</v>
      </c>
      <c r="E1753" s="3"/>
      <c r="F1753" s="3"/>
      <c r="G1753" s="3" t="s">
        <v>3836</v>
      </c>
      <c r="H1753" s="3" t="s">
        <v>3839</v>
      </c>
      <c r="I1753" s="3"/>
      <c r="J1753" t="s">
        <v>3840</v>
      </c>
    </row>
    <row r="1754" spans="1:10">
      <c r="A1754" s="3" t="s">
        <v>1657</v>
      </c>
      <c r="B1754" s="3" t="s">
        <v>1663</v>
      </c>
      <c r="C1754" s="3" t="s">
        <v>174</v>
      </c>
      <c r="D1754" s="3" t="s">
        <v>3835</v>
      </c>
      <c r="E1754" s="3"/>
      <c r="F1754" s="3"/>
      <c r="G1754" s="3" t="s">
        <v>3836</v>
      </c>
      <c r="H1754" s="3" t="s">
        <v>3841</v>
      </c>
      <c r="I1754" s="3"/>
      <c r="J1754" t="s">
        <v>3842</v>
      </c>
    </row>
    <row r="1755" spans="1:10">
      <c r="A1755" s="3" t="s">
        <v>1657</v>
      </c>
      <c r="B1755" s="3" t="s">
        <v>1663</v>
      </c>
      <c r="C1755" s="3" t="s">
        <v>174</v>
      </c>
      <c r="D1755" s="3" t="s">
        <v>3835</v>
      </c>
      <c r="E1755" s="3"/>
      <c r="F1755" s="3"/>
      <c r="G1755" s="3" t="s">
        <v>3836</v>
      </c>
      <c r="H1755" s="3" t="s">
        <v>3843</v>
      </c>
      <c r="I1755" s="3"/>
      <c r="J1755" t="s">
        <v>3844</v>
      </c>
    </row>
    <row r="1756" spans="1:10">
      <c r="A1756" s="3" t="s">
        <v>1657</v>
      </c>
      <c r="B1756" s="3" t="s">
        <v>1663</v>
      </c>
      <c r="C1756" s="3" t="s">
        <v>174</v>
      </c>
      <c r="D1756" s="3" t="s">
        <v>3835</v>
      </c>
      <c r="E1756" s="3"/>
      <c r="F1756" s="3"/>
      <c r="G1756" s="3" t="s">
        <v>3845</v>
      </c>
      <c r="H1756" s="3" t="s">
        <v>3837</v>
      </c>
      <c r="I1756" s="3"/>
      <c r="J1756" t="s">
        <v>3846</v>
      </c>
    </row>
    <row r="1757" spans="1:10">
      <c r="A1757" s="3" t="s">
        <v>1657</v>
      </c>
      <c r="B1757" s="3" t="s">
        <v>1663</v>
      </c>
      <c r="C1757" s="3" t="s">
        <v>174</v>
      </c>
      <c r="D1757" s="3" t="s">
        <v>3835</v>
      </c>
      <c r="E1757" s="3"/>
      <c r="F1757" s="3"/>
      <c r="G1757" s="3" t="s">
        <v>3845</v>
      </c>
      <c r="H1757" s="3" t="s">
        <v>3839</v>
      </c>
      <c r="I1757" s="3"/>
      <c r="J1757" t="s">
        <v>3847</v>
      </c>
    </row>
    <row r="1758" spans="1:10">
      <c r="A1758" s="3" t="s">
        <v>1657</v>
      </c>
      <c r="B1758" s="3" t="s">
        <v>1663</v>
      </c>
      <c r="C1758" s="3" t="s">
        <v>174</v>
      </c>
      <c r="D1758" s="3" t="s">
        <v>3835</v>
      </c>
      <c r="E1758" s="3"/>
      <c r="F1758" s="3"/>
      <c r="G1758" s="3" t="s">
        <v>3845</v>
      </c>
      <c r="H1758" s="3" t="s">
        <v>3841</v>
      </c>
      <c r="I1758" s="3"/>
      <c r="J1758" t="s">
        <v>3848</v>
      </c>
    </row>
    <row r="1759" spans="1:10">
      <c r="A1759" s="3" t="s">
        <v>1657</v>
      </c>
      <c r="B1759" s="3" t="s">
        <v>1663</v>
      </c>
      <c r="C1759" s="3" t="s">
        <v>174</v>
      </c>
      <c r="D1759" s="3" t="s">
        <v>3835</v>
      </c>
      <c r="E1759" s="3"/>
      <c r="F1759" s="3"/>
      <c r="G1759" s="3" t="s">
        <v>3845</v>
      </c>
      <c r="H1759" s="3" t="s">
        <v>3843</v>
      </c>
      <c r="I1759" s="3"/>
      <c r="J1759" t="s">
        <v>3849</v>
      </c>
    </row>
    <row r="1760" spans="1:10">
      <c r="A1760" s="3" t="s">
        <v>1674</v>
      </c>
      <c r="B1760" s="3" t="s">
        <v>1675</v>
      </c>
      <c r="C1760" s="3" t="s">
        <v>175</v>
      </c>
      <c r="D1760" s="3" t="s">
        <v>3850</v>
      </c>
      <c r="E1760" s="3"/>
      <c r="F1760" s="3"/>
      <c r="G1760" s="3" t="s">
        <v>3851</v>
      </c>
      <c r="H1760" s="3"/>
      <c r="I1760" s="3"/>
      <c r="J1760" t="s">
        <v>3852</v>
      </c>
    </row>
    <row r="1761" spans="1:10">
      <c r="A1761" s="3" t="s">
        <v>1674</v>
      </c>
      <c r="B1761" s="3" t="s">
        <v>1675</v>
      </c>
      <c r="C1761" s="3" t="s">
        <v>175</v>
      </c>
      <c r="D1761" s="3" t="s">
        <v>3850</v>
      </c>
      <c r="E1761" s="3"/>
      <c r="F1761" s="3"/>
      <c r="G1761" s="3"/>
      <c r="H1761" s="3"/>
      <c r="I1761" s="3" t="s">
        <v>3853</v>
      </c>
      <c r="J1761" t="s">
        <v>3854</v>
      </c>
    </row>
    <row r="1762" spans="1:10">
      <c r="A1762" s="3" t="s">
        <v>1674</v>
      </c>
      <c r="B1762" s="3" t="s">
        <v>1675</v>
      </c>
      <c r="C1762" s="3" t="s">
        <v>175</v>
      </c>
      <c r="D1762" s="3" t="s">
        <v>3850</v>
      </c>
      <c r="E1762" s="3"/>
      <c r="F1762" s="3"/>
      <c r="G1762" s="3"/>
      <c r="H1762" s="3"/>
      <c r="I1762" s="3" t="s">
        <v>3855</v>
      </c>
      <c r="J1762" t="s">
        <v>3856</v>
      </c>
    </row>
    <row r="1763" spans="1:10">
      <c r="A1763" s="3" t="s">
        <v>1674</v>
      </c>
      <c r="B1763" s="3" t="s">
        <v>1675</v>
      </c>
      <c r="C1763" s="3" t="s">
        <v>175</v>
      </c>
      <c r="D1763" s="3" t="s">
        <v>3857</v>
      </c>
      <c r="E1763" s="3"/>
      <c r="F1763" s="3"/>
      <c r="G1763" s="3" t="s">
        <v>3858</v>
      </c>
      <c r="H1763" s="3" t="s">
        <v>3859</v>
      </c>
      <c r="I1763" s="3"/>
      <c r="J1763" t="s">
        <v>3860</v>
      </c>
    </row>
    <row r="1764" spans="1:10">
      <c r="A1764" s="3" t="s">
        <v>1674</v>
      </c>
      <c r="B1764" s="3" t="s">
        <v>1675</v>
      </c>
      <c r="C1764" s="3" t="s">
        <v>175</v>
      </c>
      <c r="D1764" s="3" t="s">
        <v>3857</v>
      </c>
      <c r="E1764" s="3"/>
      <c r="F1764" s="3"/>
      <c r="G1764" s="3" t="s">
        <v>3858</v>
      </c>
      <c r="H1764" s="3" t="s">
        <v>3861</v>
      </c>
      <c r="I1764" s="3"/>
      <c r="J1764" t="s">
        <v>3862</v>
      </c>
    </row>
    <row r="1765" spans="1:10">
      <c r="A1765" s="3" t="s">
        <v>1674</v>
      </c>
      <c r="B1765" s="3" t="s">
        <v>1675</v>
      </c>
      <c r="C1765" s="3" t="s">
        <v>175</v>
      </c>
      <c r="D1765" s="3" t="s">
        <v>3857</v>
      </c>
      <c r="E1765" s="3"/>
      <c r="F1765" s="3"/>
      <c r="G1765" s="3" t="s">
        <v>3858</v>
      </c>
      <c r="H1765" s="3" t="s">
        <v>3863</v>
      </c>
      <c r="I1765" s="3"/>
      <c r="J1765" t="s">
        <v>3864</v>
      </c>
    </row>
    <row r="1766" spans="1:10">
      <c r="A1766" s="3" t="s">
        <v>1674</v>
      </c>
      <c r="B1766" s="3" t="s">
        <v>1675</v>
      </c>
      <c r="C1766" s="3" t="s">
        <v>175</v>
      </c>
      <c r="D1766" s="3" t="s">
        <v>3857</v>
      </c>
      <c r="E1766" s="3"/>
      <c r="F1766" s="3"/>
      <c r="G1766" s="3" t="s">
        <v>3858</v>
      </c>
      <c r="H1766" s="3" t="s">
        <v>3865</v>
      </c>
      <c r="I1766" s="3"/>
      <c r="J1766" t="s">
        <v>3866</v>
      </c>
    </row>
    <row r="1767" spans="1:10">
      <c r="A1767" s="3" t="s">
        <v>1674</v>
      </c>
      <c r="B1767" s="3" t="s">
        <v>1675</v>
      </c>
      <c r="C1767" s="3" t="s">
        <v>175</v>
      </c>
      <c r="D1767" s="3" t="s">
        <v>3857</v>
      </c>
      <c r="E1767" s="3"/>
      <c r="F1767" s="3"/>
      <c r="G1767" s="3" t="s">
        <v>3867</v>
      </c>
      <c r="H1767" s="3" t="s">
        <v>3859</v>
      </c>
      <c r="I1767" s="3"/>
      <c r="J1767" t="s">
        <v>3868</v>
      </c>
    </row>
    <row r="1768" spans="1:10">
      <c r="A1768" s="3" t="s">
        <v>1674</v>
      </c>
      <c r="B1768" s="3" t="s">
        <v>1675</v>
      </c>
      <c r="C1768" s="3" t="s">
        <v>175</v>
      </c>
      <c r="D1768" s="3" t="s">
        <v>3857</v>
      </c>
      <c r="E1768" s="3"/>
      <c r="F1768" s="3"/>
      <c r="G1768" s="3" t="s">
        <v>3867</v>
      </c>
      <c r="H1768" s="3" t="s">
        <v>3861</v>
      </c>
      <c r="I1768" s="3"/>
      <c r="J1768" t="s">
        <v>3869</v>
      </c>
    </row>
    <row r="1769" spans="1:10">
      <c r="A1769" s="3" t="s">
        <v>1674</v>
      </c>
      <c r="B1769" s="3" t="s">
        <v>1675</v>
      </c>
      <c r="C1769" s="3" t="s">
        <v>175</v>
      </c>
      <c r="D1769" s="3" t="s">
        <v>3857</v>
      </c>
      <c r="E1769" s="3"/>
      <c r="F1769" s="3"/>
      <c r="G1769" s="3" t="s">
        <v>3867</v>
      </c>
      <c r="H1769" s="3" t="s">
        <v>3863</v>
      </c>
      <c r="I1769" s="3"/>
      <c r="J1769" t="s">
        <v>3870</v>
      </c>
    </row>
    <row r="1770" spans="1:10">
      <c r="A1770" s="3" t="s">
        <v>1674</v>
      </c>
      <c r="B1770" s="3" t="s">
        <v>1675</v>
      </c>
      <c r="C1770" s="3" t="s">
        <v>175</v>
      </c>
      <c r="D1770" s="3" t="s">
        <v>3857</v>
      </c>
      <c r="E1770" s="3"/>
      <c r="F1770" s="3"/>
      <c r="G1770" s="3" t="s">
        <v>3867</v>
      </c>
      <c r="H1770" s="3" t="s">
        <v>3865</v>
      </c>
      <c r="I1770" s="3"/>
      <c r="J1770" t="s">
        <v>3871</v>
      </c>
    </row>
    <row r="1771" spans="1:10">
      <c r="A1771" s="3" t="s">
        <v>1674</v>
      </c>
      <c r="B1771" s="3" t="s">
        <v>1686</v>
      </c>
      <c r="C1771" s="3" t="s">
        <v>176</v>
      </c>
      <c r="D1771" s="3" t="s">
        <v>3872</v>
      </c>
      <c r="E1771" s="3"/>
      <c r="F1771" s="3"/>
      <c r="G1771" s="3" t="s">
        <v>3873</v>
      </c>
      <c r="H1771" s="3" t="s">
        <v>3874</v>
      </c>
      <c r="I1771" s="3"/>
      <c r="J1771" t="s">
        <v>3875</v>
      </c>
    </row>
    <row r="1772" spans="1:10">
      <c r="A1772" s="3" t="s">
        <v>1674</v>
      </c>
      <c r="B1772" s="3" t="s">
        <v>1686</v>
      </c>
      <c r="C1772" s="3" t="s">
        <v>176</v>
      </c>
      <c r="D1772" s="3" t="s">
        <v>3872</v>
      </c>
      <c r="E1772" s="3"/>
      <c r="F1772" s="3"/>
      <c r="G1772" s="3" t="s">
        <v>3873</v>
      </c>
      <c r="H1772" s="3" t="s">
        <v>3876</v>
      </c>
      <c r="I1772" s="3"/>
      <c r="J1772" t="s">
        <v>3877</v>
      </c>
    </row>
    <row r="1773" spans="1:10">
      <c r="A1773" s="3" t="s">
        <v>1674</v>
      </c>
      <c r="B1773" s="3" t="s">
        <v>1686</v>
      </c>
      <c r="C1773" s="3" t="s">
        <v>176</v>
      </c>
      <c r="D1773" s="3" t="s">
        <v>3872</v>
      </c>
      <c r="E1773" s="3"/>
      <c r="F1773" s="3"/>
      <c r="G1773" s="3" t="s">
        <v>3873</v>
      </c>
      <c r="H1773" s="3" t="s">
        <v>3878</v>
      </c>
      <c r="I1773" s="3"/>
      <c r="J1773" t="s">
        <v>3879</v>
      </c>
    </row>
    <row r="1774" spans="1:10">
      <c r="A1774" s="3" t="s">
        <v>1674</v>
      </c>
      <c r="B1774" s="3" t="s">
        <v>1686</v>
      </c>
      <c r="C1774" s="3" t="s">
        <v>176</v>
      </c>
      <c r="D1774" s="3" t="s">
        <v>3872</v>
      </c>
      <c r="E1774" s="3"/>
      <c r="F1774" s="3"/>
      <c r="G1774" s="3" t="s">
        <v>3873</v>
      </c>
      <c r="H1774" s="3" t="s">
        <v>3880</v>
      </c>
      <c r="I1774" s="3"/>
      <c r="J1774" t="s">
        <v>3881</v>
      </c>
    </row>
    <row r="1775" spans="1:10">
      <c r="A1775" s="3" t="s">
        <v>1674</v>
      </c>
      <c r="B1775" s="3" t="s">
        <v>1686</v>
      </c>
      <c r="C1775" s="3" t="s">
        <v>176</v>
      </c>
      <c r="D1775" s="3" t="s">
        <v>3872</v>
      </c>
      <c r="E1775" s="3"/>
      <c r="F1775" s="3"/>
      <c r="G1775" s="3" t="s">
        <v>3882</v>
      </c>
      <c r="H1775" s="3" t="s">
        <v>3874</v>
      </c>
      <c r="I1775" s="3"/>
      <c r="J1775" t="s">
        <v>3883</v>
      </c>
    </row>
    <row r="1776" spans="1:10">
      <c r="A1776" s="3" t="s">
        <v>1674</v>
      </c>
      <c r="B1776" s="3" t="s">
        <v>1686</v>
      </c>
      <c r="C1776" s="3" t="s">
        <v>176</v>
      </c>
      <c r="D1776" s="3" t="s">
        <v>3872</v>
      </c>
      <c r="E1776" s="3"/>
      <c r="F1776" s="3"/>
      <c r="G1776" s="3" t="s">
        <v>3882</v>
      </c>
      <c r="H1776" s="3" t="s">
        <v>3876</v>
      </c>
      <c r="I1776" s="3"/>
      <c r="J1776" t="s">
        <v>3884</v>
      </c>
    </row>
    <row r="1777" spans="1:10">
      <c r="A1777" s="3" t="s">
        <v>1674</v>
      </c>
      <c r="B1777" s="3" t="s">
        <v>1686</v>
      </c>
      <c r="C1777" s="3" t="s">
        <v>176</v>
      </c>
      <c r="D1777" s="3" t="s">
        <v>3872</v>
      </c>
      <c r="E1777" s="3"/>
      <c r="F1777" s="3"/>
      <c r="G1777" s="3" t="s">
        <v>3882</v>
      </c>
      <c r="H1777" s="3" t="s">
        <v>3878</v>
      </c>
      <c r="I1777" s="3"/>
      <c r="J1777" t="s">
        <v>3885</v>
      </c>
    </row>
    <row r="1778" spans="1:10">
      <c r="A1778" s="3" t="s">
        <v>1674</v>
      </c>
      <c r="B1778" s="3" t="s">
        <v>1686</v>
      </c>
      <c r="C1778" s="3" t="s">
        <v>176</v>
      </c>
      <c r="D1778" s="3" t="s">
        <v>3872</v>
      </c>
      <c r="E1778" s="3"/>
      <c r="F1778" s="3"/>
      <c r="G1778" s="3" t="s">
        <v>3882</v>
      </c>
      <c r="H1778" s="3" t="s">
        <v>3880</v>
      </c>
      <c r="I1778" s="3"/>
      <c r="J1778" t="s">
        <v>3886</v>
      </c>
    </row>
    <row r="1779" spans="1:10">
      <c r="A1779" s="3" t="s">
        <v>1674</v>
      </c>
      <c r="B1779" s="3" t="s">
        <v>1686</v>
      </c>
      <c r="C1779" s="3" t="s">
        <v>176</v>
      </c>
      <c r="D1779" s="3" t="s">
        <v>3872</v>
      </c>
      <c r="E1779" s="3"/>
      <c r="F1779" s="3"/>
      <c r="G1779" s="3"/>
      <c r="H1779" s="3"/>
      <c r="I1779" s="3" t="s">
        <v>3887</v>
      </c>
      <c r="J1779" t="s">
        <v>3888</v>
      </c>
    </row>
    <row r="1780" spans="1:10">
      <c r="A1780" s="3" t="s">
        <v>1674</v>
      </c>
      <c r="B1780" s="3" t="s">
        <v>1686</v>
      </c>
      <c r="C1780" s="3" t="s">
        <v>176</v>
      </c>
      <c r="D1780" s="3" t="s">
        <v>3872</v>
      </c>
      <c r="E1780" s="3"/>
      <c r="F1780" s="3"/>
      <c r="G1780" s="3"/>
      <c r="H1780" s="3"/>
      <c r="I1780" s="3" t="s">
        <v>3889</v>
      </c>
      <c r="J1780" t="s">
        <v>3890</v>
      </c>
    </row>
    <row r="1781" spans="1:10">
      <c r="A1781" s="3" t="s">
        <v>1674</v>
      </c>
      <c r="B1781" s="3" t="s">
        <v>1686</v>
      </c>
      <c r="C1781" s="3" t="s">
        <v>176</v>
      </c>
      <c r="D1781" s="3" t="s">
        <v>3872</v>
      </c>
      <c r="E1781" s="3"/>
      <c r="F1781" s="3"/>
      <c r="G1781" s="3"/>
      <c r="H1781" s="3"/>
      <c r="I1781" s="3" t="s">
        <v>3891</v>
      </c>
      <c r="J1781" t="s">
        <v>3892</v>
      </c>
    </row>
    <row r="1782" spans="1:10">
      <c r="A1782" s="3" t="s">
        <v>1674</v>
      </c>
      <c r="B1782" s="3" t="s">
        <v>1693</v>
      </c>
      <c r="C1782" s="3" t="s">
        <v>177</v>
      </c>
      <c r="D1782" s="3" t="s">
        <v>3893</v>
      </c>
      <c r="E1782" s="3"/>
      <c r="F1782" s="3"/>
      <c r="G1782" s="3" t="s">
        <v>3894</v>
      </c>
      <c r="H1782" s="3" t="s">
        <v>3895</v>
      </c>
      <c r="I1782" s="3"/>
      <c r="J1782" t="s">
        <v>3896</v>
      </c>
    </row>
    <row r="1783" spans="1:10">
      <c r="A1783" s="3" t="s">
        <v>1674</v>
      </c>
      <c r="B1783" s="3" t="s">
        <v>1693</v>
      </c>
      <c r="C1783" s="3" t="s">
        <v>177</v>
      </c>
      <c r="D1783" s="3" t="s">
        <v>3893</v>
      </c>
      <c r="E1783" s="3"/>
      <c r="F1783" s="3"/>
      <c r="G1783" s="3" t="s">
        <v>3894</v>
      </c>
      <c r="H1783" s="3" t="s">
        <v>3897</v>
      </c>
      <c r="I1783" s="3"/>
      <c r="J1783" t="s">
        <v>3898</v>
      </c>
    </row>
    <row r="1784" spans="1:10">
      <c r="A1784" s="3" t="s">
        <v>1674</v>
      </c>
      <c r="B1784" s="3" t="s">
        <v>1693</v>
      </c>
      <c r="C1784" s="3" t="s">
        <v>177</v>
      </c>
      <c r="D1784" s="3" t="s">
        <v>3893</v>
      </c>
      <c r="E1784" s="3"/>
      <c r="F1784" s="3"/>
      <c r="G1784" s="3" t="s">
        <v>3894</v>
      </c>
      <c r="H1784" s="3" t="s">
        <v>3899</v>
      </c>
      <c r="I1784" s="3"/>
      <c r="J1784" t="s">
        <v>3900</v>
      </c>
    </row>
    <row r="1785" spans="1:10">
      <c r="A1785" s="3" t="s">
        <v>1674</v>
      </c>
      <c r="B1785" s="3" t="s">
        <v>1693</v>
      </c>
      <c r="C1785" s="3" t="s">
        <v>177</v>
      </c>
      <c r="D1785" s="3" t="s">
        <v>3893</v>
      </c>
      <c r="E1785" s="3"/>
      <c r="F1785" s="3"/>
      <c r="G1785" s="3" t="s">
        <v>3894</v>
      </c>
      <c r="H1785" s="3" t="s">
        <v>3901</v>
      </c>
      <c r="I1785" s="3"/>
      <c r="J1785" t="s">
        <v>3902</v>
      </c>
    </row>
    <row r="1786" spans="1:10">
      <c r="A1786" s="3" t="s">
        <v>1674</v>
      </c>
      <c r="B1786" s="3" t="s">
        <v>1693</v>
      </c>
      <c r="C1786" s="3" t="s">
        <v>177</v>
      </c>
      <c r="D1786" s="3" t="s">
        <v>3893</v>
      </c>
      <c r="E1786" s="3"/>
      <c r="F1786" s="3"/>
      <c r="G1786" s="3" t="s">
        <v>3903</v>
      </c>
      <c r="H1786" s="3" t="s">
        <v>3895</v>
      </c>
      <c r="I1786" s="3"/>
      <c r="J1786" t="s">
        <v>3904</v>
      </c>
    </row>
    <row r="1787" spans="1:10">
      <c r="A1787" s="3" t="s">
        <v>1674</v>
      </c>
      <c r="B1787" s="3" t="s">
        <v>1693</v>
      </c>
      <c r="C1787" s="3" t="s">
        <v>177</v>
      </c>
      <c r="D1787" s="3" t="s">
        <v>3893</v>
      </c>
      <c r="E1787" s="3"/>
      <c r="F1787" s="3"/>
      <c r="G1787" s="3" t="s">
        <v>3903</v>
      </c>
      <c r="H1787" s="3" t="s">
        <v>3897</v>
      </c>
      <c r="I1787" s="3"/>
      <c r="J1787" t="s">
        <v>3905</v>
      </c>
    </row>
    <row r="1788" spans="1:10">
      <c r="A1788" s="3" t="s">
        <v>1674</v>
      </c>
      <c r="B1788" s="3" t="s">
        <v>1693</v>
      </c>
      <c r="C1788" s="3" t="s">
        <v>177</v>
      </c>
      <c r="D1788" s="3" t="s">
        <v>3893</v>
      </c>
      <c r="E1788" s="3"/>
      <c r="F1788" s="3"/>
      <c r="G1788" s="3" t="s">
        <v>3903</v>
      </c>
      <c r="H1788" s="3" t="s">
        <v>3899</v>
      </c>
      <c r="I1788" s="3"/>
      <c r="J1788" t="s">
        <v>3906</v>
      </c>
    </row>
    <row r="1789" spans="1:10">
      <c r="A1789" s="3" t="s">
        <v>1674</v>
      </c>
      <c r="B1789" s="3" t="s">
        <v>1693</v>
      </c>
      <c r="C1789" s="3" t="s">
        <v>177</v>
      </c>
      <c r="D1789" s="3" t="s">
        <v>3893</v>
      </c>
      <c r="E1789" s="3"/>
      <c r="F1789" s="3"/>
      <c r="G1789" s="3" t="s">
        <v>3903</v>
      </c>
      <c r="H1789" s="3" t="s">
        <v>3901</v>
      </c>
      <c r="I1789" s="3"/>
      <c r="J1789" t="s">
        <v>3907</v>
      </c>
    </row>
    <row r="1790" spans="1:10">
      <c r="A1790" s="3" t="s">
        <v>1707</v>
      </c>
      <c r="B1790" s="3" t="s">
        <v>1708</v>
      </c>
      <c r="C1790" s="3" t="s">
        <v>178</v>
      </c>
      <c r="D1790" s="3" t="s">
        <v>3908</v>
      </c>
      <c r="E1790" s="3"/>
      <c r="F1790" s="3"/>
      <c r="G1790" s="3" t="s">
        <v>3909</v>
      </c>
      <c r="H1790" s="3" t="s">
        <v>3910</v>
      </c>
      <c r="I1790" s="3"/>
      <c r="J1790" t="s">
        <v>3911</v>
      </c>
    </row>
    <row r="1791" spans="1:10">
      <c r="A1791" s="3" t="s">
        <v>1707</v>
      </c>
      <c r="B1791" s="3" t="s">
        <v>1708</v>
      </c>
      <c r="C1791" s="3" t="s">
        <v>178</v>
      </c>
      <c r="D1791" s="3" t="s">
        <v>3908</v>
      </c>
      <c r="E1791" s="3"/>
      <c r="F1791" s="3"/>
      <c r="G1791" s="3" t="s">
        <v>3909</v>
      </c>
      <c r="H1791" s="3" t="s">
        <v>3912</v>
      </c>
      <c r="I1791" s="3"/>
      <c r="J1791" t="s">
        <v>3913</v>
      </c>
    </row>
    <row r="1792" spans="1:10">
      <c r="A1792" s="3" t="s">
        <v>1707</v>
      </c>
      <c r="B1792" s="3" t="s">
        <v>1708</v>
      </c>
      <c r="C1792" s="3" t="s">
        <v>178</v>
      </c>
      <c r="D1792" s="3" t="s">
        <v>3908</v>
      </c>
      <c r="E1792" s="3"/>
      <c r="F1792" s="3"/>
      <c r="G1792" s="3" t="s">
        <v>3909</v>
      </c>
      <c r="H1792" s="3" t="s">
        <v>3914</v>
      </c>
      <c r="I1792" s="3"/>
      <c r="J1792" t="s">
        <v>3915</v>
      </c>
    </row>
    <row r="1793" spans="1:10">
      <c r="A1793" s="3" t="s">
        <v>1707</v>
      </c>
      <c r="B1793" s="3" t="s">
        <v>1708</v>
      </c>
      <c r="C1793" s="3" t="s">
        <v>178</v>
      </c>
      <c r="D1793" s="3" t="s">
        <v>3908</v>
      </c>
      <c r="E1793" s="3"/>
      <c r="F1793" s="3"/>
      <c r="G1793" s="3" t="s">
        <v>3909</v>
      </c>
      <c r="H1793" s="3" t="s">
        <v>3916</v>
      </c>
      <c r="I1793" s="3"/>
      <c r="J1793" t="s">
        <v>3917</v>
      </c>
    </row>
    <row r="1794" spans="1:10">
      <c r="A1794" s="3" t="s">
        <v>1707</v>
      </c>
      <c r="B1794" s="3" t="s">
        <v>1708</v>
      </c>
      <c r="C1794" s="3" t="s">
        <v>178</v>
      </c>
      <c r="D1794" s="3" t="s">
        <v>3908</v>
      </c>
      <c r="E1794" s="3"/>
      <c r="F1794" s="3"/>
      <c r="G1794" s="3" t="s">
        <v>3918</v>
      </c>
      <c r="H1794" s="3" t="s">
        <v>3910</v>
      </c>
      <c r="I1794" s="3"/>
      <c r="J1794" t="s">
        <v>3919</v>
      </c>
    </row>
    <row r="1795" spans="1:10">
      <c r="A1795" s="3" t="s">
        <v>1707</v>
      </c>
      <c r="B1795" s="3" t="s">
        <v>1708</v>
      </c>
      <c r="C1795" s="3" t="s">
        <v>178</v>
      </c>
      <c r="D1795" s="3" t="s">
        <v>3908</v>
      </c>
      <c r="E1795" s="3"/>
      <c r="F1795" s="3"/>
      <c r="G1795" s="3" t="s">
        <v>3918</v>
      </c>
      <c r="H1795" s="3" t="s">
        <v>3912</v>
      </c>
      <c r="I1795" s="3"/>
      <c r="J1795" t="s">
        <v>3920</v>
      </c>
    </row>
    <row r="1796" spans="1:10">
      <c r="A1796" s="3" t="s">
        <v>1707</v>
      </c>
      <c r="B1796" s="3" t="s">
        <v>1708</v>
      </c>
      <c r="C1796" s="3" t="s">
        <v>178</v>
      </c>
      <c r="D1796" s="3" t="s">
        <v>3908</v>
      </c>
      <c r="E1796" s="3"/>
      <c r="F1796" s="3"/>
      <c r="G1796" s="3" t="s">
        <v>3918</v>
      </c>
      <c r="H1796" s="3" t="s">
        <v>3914</v>
      </c>
      <c r="I1796" s="3"/>
      <c r="J1796" t="s">
        <v>3921</v>
      </c>
    </row>
    <row r="1797" spans="1:10">
      <c r="A1797" s="3" t="s">
        <v>1707</v>
      </c>
      <c r="B1797" s="3" t="s">
        <v>1708</v>
      </c>
      <c r="C1797" s="3" t="s">
        <v>178</v>
      </c>
      <c r="D1797" s="3" t="s">
        <v>3908</v>
      </c>
      <c r="E1797" s="3"/>
      <c r="F1797" s="3"/>
      <c r="G1797" s="3" t="s">
        <v>3918</v>
      </c>
      <c r="H1797" s="3" t="s">
        <v>3916</v>
      </c>
      <c r="I1797" s="3"/>
      <c r="J1797" t="s">
        <v>3922</v>
      </c>
    </row>
    <row r="1798" spans="1:10">
      <c r="A1798" s="3" t="s">
        <v>1707</v>
      </c>
      <c r="B1798" s="3" t="s">
        <v>1717</v>
      </c>
      <c r="C1798" s="3" t="s">
        <v>179</v>
      </c>
      <c r="D1798" s="3" t="s">
        <v>3923</v>
      </c>
      <c r="E1798" s="3"/>
      <c r="F1798" s="3"/>
      <c r="G1798" s="3"/>
      <c r="H1798" s="3" t="s">
        <v>3924</v>
      </c>
      <c r="I1798" s="3"/>
      <c r="J1798" t="s">
        <v>3925</v>
      </c>
    </row>
    <row r="1799" spans="1:10">
      <c r="A1799" s="3" t="s">
        <v>1707</v>
      </c>
      <c r="B1799" s="3" t="s">
        <v>1717</v>
      </c>
      <c r="C1799" s="3" t="s">
        <v>179</v>
      </c>
      <c r="D1799" s="3" t="s">
        <v>3923</v>
      </c>
      <c r="E1799" s="3"/>
      <c r="F1799" s="3"/>
      <c r="G1799" s="3"/>
      <c r="H1799" s="3" t="s">
        <v>3926</v>
      </c>
      <c r="I1799" s="3"/>
      <c r="J1799" t="s">
        <v>3927</v>
      </c>
    </row>
    <row r="1800" spans="1:10">
      <c r="A1800" s="3" t="s">
        <v>1707</v>
      </c>
      <c r="B1800" s="3" t="s">
        <v>1717</v>
      </c>
      <c r="C1800" s="3" t="s">
        <v>179</v>
      </c>
      <c r="D1800" s="3" t="s">
        <v>3923</v>
      </c>
      <c r="E1800" s="3"/>
      <c r="F1800" s="3"/>
      <c r="G1800" s="3"/>
      <c r="H1800" s="3" t="s">
        <v>3928</v>
      </c>
      <c r="I1800" s="3"/>
      <c r="J1800" t="s">
        <v>3929</v>
      </c>
    </row>
    <row r="1801" spans="1:10">
      <c r="A1801" s="3" t="s">
        <v>1707</v>
      </c>
      <c r="B1801" s="3" t="s">
        <v>1717</v>
      </c>
      <c r="C1801" s="3" t="s">
        <v>179</v>
      </c>
      <c r="D1801" s="3" t="s">
        <v>3923</v>
      </c>
      <c r="E1801" s="3"/>
      <c r="F1801" s="3"/>
      <c r="G1801" s="3"/>
      <c r="H1801" s="3" t="s">
        <v>3930</v>
      </c>
      <c r="I1801" s="3"/>
      <c r="J1801" t="s">
        <v>3931</v>
      </c>
    </row>
    <row r="1802" spans="1:10">
      <c r="A1802" s="3" t="s">
        <v>1707</v>
      </c>
      <c r="B1802" s="3" t="s">
        <v>1717</v>
      </c>
      <c r="C1802" s="3" t="s">
        <v>179</v>
      </c>
      <c r="D1802" s="3" t="s">
        <v>3923</v>
      </c>
      <c r="E1802" s="3"/>
      <c r="F1802" s="3"/>
      <c r="G1802" s="3"/>
      <c r="H1802" s="3"/>
      <c r="I1802" s="3" t="s">
        <v>3932</v>
      </c>
      <c r="J1802" t="s">
        <v>3933</v>
      </c>
    </row>
    <row r="1803" spans="1:10">
      <c r="A1803" s="3" t="s">
        <v>1707</v>
      </c>
      <c r="B1803" s="3" t="s">
        <v>1717</v>
      </c>
      <c r="C1803" s="3" t="s">
        <v>179</v>
      </c>
      <c r="D1803" s="3" t="s">
        <v>3923</v>
      </c>
      <c r="E1803" s="3"/>
      <c r="F1803" s="3"/>
      <c r="G1803" s="3"/>
      <c r="H1803" s="3"/>
      <c r="I1803" s="3" t="s">
        <v>3934</v>
      </c>
      <c r="J1803" t="s">
        <v>3935</v>
      </c>
    </row>
    <row r="1804" spans="1:10">
      <c r="A1804" s="3" t="s">
        <v>1707</v>
      </c>
      <c r="B1804" s="3" t="s">
        <v>1717</v>
      </c>
      <c r="C1804" s="3" t="s">
        <v>179</v>
      </c>
      <c r="D1804" s="3" t="s">
        <v>3923</v>
      </c>
      <c r="E1804" s="3"/>
      <c r="F1804" s="3"/>
      <c r="G1804" s="3"/>
      <c r="H1804" s="3"/>
      <c r="I1804" s="3" t="s">
        <v>3936</v>
      </c>
      <c r="J1804" t="s">
        <v>3937</v>
      </c>
    </row>
    <row r="1805" spans="1:10">
      <c r="A1805" s="3" t="s">
        <v>1722</v>
      </c>
      <c r="B1805" s="3" t="s">
        <v>1728</v>
      </c>
      <c r="C1805" s="3"/>
      <c r="D1805" s="3" t="s">
        <v>3938</v>
      </c>
      <c r="E1805" s="3"/>
      <c r="F1805" s="3"/>
      <c r="G1805" s="3"/>
      <c r="H1805" s="3" t="s">
        <v>3939</v>
      </c>
      <c r="I1805" s="3"/>
      <c r="J1805" t="s">
        <v>3940</v>
      </c>
    </row>
    <row r="1806" spans="1:10">
      <c r="A1806" s="3" t="s">
        <v>1722</v>
      </c>
      <c r="B1806" s="3" t="s">
        <v>1728</v>
      </c>
      <c r="C1806" s="3"/>
      <c r="D1806" s="3" t="s">
        <v>3938</v>
      </c>
      <c r="E1806" s="3"/>
      <c r="F1806" s="3"/>
      <c r="G1806" s="3"/>
      <c r="H1806" s="3" t="s">
        <v>3941</v>
      </c>
      <c r="I1806" s="3"/>
      <c r="J1806" t="s">
        <v>3942</v>
      </c>
    </row>
    <row r="1807" spans="1:10">
      <c r="A1807" s="3" t="s">
        <v>1722</v>
      </c>
      <c r="B1807" s="3" t="s">
        <v>1728</v>
      </c>
      <c r="C1807" s="3"/>
      <c r="D1807" s="3" t="s">
        <v>3938</v>
      </c>
      <c r="E1807" s="3"/>
      <c r="F1807" s="3"/>
      <c r="G1807" s="3"/>
      <c r="H1807" s="3" t="s">
        <v>3943</v>
      </c>
      <c r="I1807" s="3"/>
      <c r="J1807" t="s">
        <v>3944</v>
      </c>
    </row>
    <row r="1808" spans="1:10">
      <c r="A1808" s="3" t="s">
        <v>1722</v>
      </c>
      <c r="B1808" s="3" t="s">
        <v>1728</v>
      </c>
      <c r="C1808" s="3"/>
      <c r="D1808" s="3" t="s">
        <v>3938</v>
      </c>
      <c r="E1808" s="3"/>
      <c r="F1808" s="3"/>
      <c r="G1808" s="3"/>
      <c r="H1808" s="3" t="s">
        <v>3945</v>
      </c>
      <c r="I1808" s="3"/>
      <c r="J1808" t="s">
        <v>3946</v>
      </c>
    </row>
    <row r="1809" spans="1:10">
      <c r="A1809" s="3" t="s">
        <v>1722</v>
      </c>
      <c r="B1809" s="3" t="s">
        <v>1728</v>
      </c>
      <c r="C1809" s="3"/>
      <c r="D1809" s="3" t="s">
        <v>3947</v>
      </c>
      <c r="E1809" s="3"/>
      <c r="F1809" s="3"/>
      <c r="G1809" s="3" t="s">
        <v>3948</v>
      </c>
      <c r="H1809" s="3" t="s">
        <v>3949</v>
      </c>
      <c r="I1809" s="3"/>
      <c r="J1809" t="s">
        <v>3950</v>
      </c>
    </row>
    <row r="1810" spans="1:10">
      <c r="A1810" s="3" t="s">
        <v>1722</v>
      </c>
      <c r="B1810" s="3" t="s">
        <v>1728</v>
      </c>
      <c r="C1810" s="3"/>
      <c r="D1810" s="3" t="s">
        <v>3947</v>
      </c>
      <c r="E1810" s="3"/>
      <c r="F1810" s="3"/>
      <c r="G1810" s="3" t="s">
        <v>3948</v>
      </c>
      <c r="H1810" s="3" t="s">
        <v>3951</v>
      </c>
      <c r="I1810" s="3"/>
      <c r="J1810" t="s">
        <v>3952</v>
      </c>
    </row>
    <row r="1811" spans="1:10">
      <c r="A1811" s="3" t="s">
        <v>1722</v>
      </c>
      <c r="B1811" s="3" t="s">
        <v>1728</v>
      </c>
      <c r="C1811" s="3"/>
      <c r="D1811" s="3" t="s">
        <v>3947</v>
      </c>
      <c r="E1811" s="3"/>
      <c r="F1811" s="3"/>
      <c r="G1811" s="3" t="s">
        <v>3948</v>
      </c>
      <c r="H1811" s="3" t="s">
        <v>3953</v>
      </c>
      <c r="I1811" s="3"/>
      <c r="J1811" t="s">
        <v>3954</v>
      </c>
    </row>
    <row r="1812" spans="1:10">
      <c r="A1812" s="3" t="s">
        <v>1722</v>
      </c>
      <c r="B1812" s="3" t="s">
        <v>1728</v>
      </c>
      <c r="C1812" s="3"/>
      <c r="D1812" s="3" t="s">
        <v>3947</v>
      </c>
      <c r="E1812" s="3"/>
      <c r="F1812" s="3"/>
      <c r="G1812" s="3" t="s">
        <v>3948</v>
      </c>
      <c r="H1812" s="3" t="s">
        <v>3955</v>
      </c>
      <c r="I1812" s="3"/>
      <c r="J1812" t="s">
        <v>3956</v>
      </c>
    </row>
    <row r="1813" spans="1:10">
      <c r="A1813" s="3" t="s">
        <v>1722</v>
      </c>
      <c r="B1813" s="3" t="s">
        <v>1728</v>
      </c>
      <c r="C1813" s="3"/>
      <c r="D1813" s="3" t="s">
        <v>3947</v>
      </c>
      <c r="E1813" s="3"/>
      <c r="F1813" s="3"/>
      <c r="G1813" s="3" t="s">
        <v>3957</v>
      </c>
      <c r="H1813" s="3" t="s">
        <v>3949</v>
      </c>
      <c r="I1813" s="3"/>
      <c r="J1813" t="s">
        <v>3958</v>
      </c>
    </row>
    <row r="1814" spans="1:10">
      <c r="A1814" s="3" t="s">
        <v>1722</v>
      </c>
      <c r="B1814" s="3" t="s">
        <v>1728</v>
      </c>
      <c r="C1814" s="3"/>
      <c r="D1814" s="3" t="s">
        <v>3947</v>
      </c>
      <c r="E1814" s="3"/>
      <c r="F1814" s="3"/>
      <c r="G1814" s="3" t="s">
        <v>3957</v>
      </c>
      <c r="H1814" s="3" t="s">
        <v>3951</v>
      </c>
      <c r="I1814" s="3"/>
      <c r="J1814" t="s">
        <v>3959</v>
      </c>
    </row>
    <row r="1815" spans="1:10">
      <c r="A1815" s="3" t="s">
        <v>1722</v>
      </c>
      <c r="B1815" s="3" t="s">
        <v>1728</v>
      </c>
      <c r="C1815" s="3"/>
      <c r="D1815" s="3" t="s">
        <v>3947</v>
      </c>
      <c r="E1815" s="3"/>
      <c r="F1815" s="3"/>
      <c r="G1815" s="3" t="s">
        <v>3957</v>
      </c>
      <c r="H1815" s="3" t="s">
        <v>3953</v>
      </c>
      <c r="I1815" s="3"/>
      <c r="J1815" t="s">
        <v>3960</v>
      </c>
    </row>
    <row r="1816" spans="1:10">
      <c r="A1816" s="3" t="s">
        <v>1722</v>
      </c>
      <c r="B1816" s="3" t="s">
        <v>1728</v>
      </c>
      <c r="C1816" s="3"/>
      <c r="D1816" s="3" t="s">
        <v>3947</v>
      </c>
      <c r="E1816" s="3"/>
      <c r="F1816" s="3"/>
      <c r="G1816" s="3" t="s">
        <v>3957</v>
      </c>
      <c r="H1816" s="3" t="s">
        <v>3955</v>
      </c>
      <c r="I1816" s="3"/>
      <c r="J1816" t="s">
        <v>3961</v>
      </c>
    </row>
    <row r="1817" spans="1:10">
      <c r="A1817" s="3" t="s">
        <v>1722</v>
      </c>
      <c r="B1817" s="3" t="s">
        <v>1728</v>
      </c>
      <c r="C1817" s="3"/>
      <c r="D1817" s="3" t="s">
        <v>3947</v>
      </c>
      <c r="E1817" s="3"/>
      <c r="F1817" s="3"/>
      <c r="G1817" s="3"/>
      <c r="H1817" s="3"/>
      <c r="I1817" s="3" t="s">
        <v>3962</v>
      </c>
      <c r="J1817" t="s">
        <v>3963</v>
      </c>
    </row>
    <row r="1818" spans="1:10">
      <c r="A1818" s="3" t="s">
        <v>1722</v>
      </c>
      <c r="B1818" s="3" t="s">
        <v>1728</v>
      </c>
      <c r="C1818" s="3"/>
      <c r="D1818" s="3" t="s">
        <v>3947</v>
      </c>
      <c r="E1818" s="3"/>
      <c r="F1818" s="3"/>
      <c r="G1818" s="3"/>
      <c r="H1818" s="3"/>
      <c r="I1818" s="3" t="s">
        <v>3964</v>
      </c>
      <c r="J1818" t="s">
        <v>3965</v>
      </c>
    </row>
    <row r="1819" spans="1:10">
      <c r="A1819" s="3" t="s">
        <v>1722</v>
      </c>
      <c r="B1819" s="3" t="s">
        <v>1728</v>
      </c>
      <c r="C1819" s="3"/>
      <c r="D1819" s="3" t="s">
        <v>3947</v>
      </c>
      <c r="E1819" s="3"/>
      <c r="F1819" s="3"/>
      <c r="G1819" s="3"/>
      <c r="H1819" s="3"/>
      <c r="I1819" s="3" t="s">
        <v>3966</v>
      </c>
      <c r="J1819" t="s">
        <v>3967</v>
      </c>
    </row>
    <row r="1820" spans="1:10">
      <c r="A1820" s="3" t="s">
        <v>1740</v>
      </c>
      <c r="B1820" s="3" t="s">
        <v>1741</v>
      </c>
      <c r="C1820" s="3" t="s">
        <v>180</v>
      </c>
      <c r="D1820" s="3" t="s">
        <v>3968</v>
      </c>
      <c r="E1820" s="3"/>
      <c r="F1820" s="3"/>
      <c r="G1820" s="3" t="s">
        <v>3969</v>
      </c>
      <c r="H1820" s="3"/>
      <c r="I1820" s="3"/>
      <c r="J1820" t="s">
        <v>3970</v>
      </c>
    </row>
    <row r="1821" spans="1:10">
      <c r="A1821" s="3" t="s">
        <v>1740</v>
      </c>
      <c r="B1821" s="3" t="s">
        <v>1741</v>
      </c>
      <c r="C1821" s="3" t="s">
        <v>180</v>
      </c>
      <c r="D1821" s="3" t="s">
        <v>3968</v>
      </c>
      <c r="E1821" s="3"/>
      <c r="F1821" s="3"/>
      <c r="G1821" s="3" t="s">
        <v>3971</v>
      </c>
      <c r="H1821" s="3"/>
      <c r="I1821" s="3"/>
      <c r="J1821" t="s">
        <v>3972</v>
      </c>
    </row>
    <row r="1822" spans="1:10">
      <c r="A1822" s="3" t="s">
        <v>1740</v>
      </c>
      <c r="B1822" s="3" t="s">
        <v>1741</v>
      </c>
      <c r="C1822" s="3" t="s">
        <v>180</v>
      </c>
      <c r="D1822" s="3" t="s">
        <v>3968</v>
      </c>
      <c r="E1822" s="3"/>
      <c r="F1822" s="3"/>
      <c r="G1822" s="3" t="s">
        <v>3973</v>
      </c>
      <c r="H1822" s="3"/>
      <c r="I1822" s="3"/>
      <c r="J1822" t="s">
        <v>3974</v>
      </c>
    </row>
    <row r="1823" spans="1:10">
      <c r="A1823" s="3" t="s">
        <v>1740</v>
      </c>
      <c r="B1823" s="3" t="s">
        <v>1741</v>
      </c>
      <c r="C1823" s="3" t="s">
        <v>180</v>
      </c>
      <c r="D1823" s="3" t="s">
        <v>3968</v>
      </c>
      <c r="E1823" s="3"/>
      <c r="F1823" s="3"/>
      <c r="G1823" s="3"/>
      <c r="H1823" s="3"/>
      <c r="I1823" s="3" t="s">
        <v>3975</v>
      </c>
      <c r="J1823" t="s">
        <v>3976</v>
      </c>
    </row>
    <row r="1824" spans="1:10">
      <c r="A1824" s="3" t="s">
        <v>1740</v>
      </c>
      <c r="B1824" s="3" t="s">
        <v>1741</v>
      </c>
      <c r="C1824" s="3" t="s">
        <v>180</v>
      </c>
      <c r="D1824" s="3" t="s">
        <v>3968</v>
      </c>
      <c r="E1824" s="3"/>
      <c r="F1824" s="3"/>
      <c r="G1824" s="3"/>
      <c r="H1824" s="3"/>
      <c r="I1824" s="3" t="s">
        <v>3977</v>
      </c>
      <c r="J1824" t="s">
        <v>3978</v>
      </c>
    </row>
    <row r="1825" spans="1:10">
      <c r="A1825" s="3" t="s">
        <v>1740</v>
      </c>
      <c r="B1825" s="3" t="s">
        <v>1741</v>
      </c>
      <c r="C1825" s="3" t="s">
        <v>180</v>
      </c>
      <c r="D1825" s="3" t="s">
        <v>3968</v>
      </c>
      <c r="E1825" s="3"/>
      <c r="F1825" s="3"/>
      <c r="G1825" s="3"/>
      <c r="H1825" s="3"/>
      <c r="I1825" s="3" t="s">
        <v>3979</v>
      </c>
      <c r="J1825" t="s">
        <v>3980</v>
      </c>
    </row>
    <row r="1826" spans="1:10">
      <c r="A1826" s="3" t="s">
        <v>1740</v>
      </c>
      <c r="B1826" s="3" t="s">
        <v>1750</v>
      </c>
      <c r="C1826" s="3" t="s">
        <v>181</v>
      </c>
      <c r="D1826" s="3" t="s">
        <v>3981</v>
      </c>
      <c r="E1826" s="3"/>
      <c r="F1826" s="3"/>
      <c r="G1826" s="3"/>
      <c r="H1826" s="3"/>
      <c r="I1826" s="3"/>
      <c r="J1826" t="s">
        <v>3982</v>
      </c>
    </row>
    <row r="1827" spans="1:10">
      <c r="A1827" s="3" t="s">
        <v>1740</v>
      </c>
      <c r="B1827" s="3" t="s">
        <v>1750</v>
      </c>
      <c r="C1827" s="3" t="s">
        <v>181</v>
      </c>
      <c r="D1827" s="3" t="s">
        <v>3981</v>
      </c>
      <c r="E1827" s="3"/>
      <c r="F1827" s="3"/>
      <c r="G1827" s="3"/>
      <c r="H1827" s="3"/>
      <c r="I1827" s="3" t="s">
        <v>3983</v>
      </c>
      <c r="J1827" t="s">
        <v>3984</v>
      </c>
    </row>
    <row r="1828" spans="1:10">
      <c r="A1828" s="3" t="s">
        <v>1740</v>
      </c>
      <c r="B1828" s="3" t="s">
        <v>1750</v>
      </c>
      <c r="C1828" s="3" t="s">
        <v>181</v>
      </c>
      <c r="D1828" s="3" t="s">
        <v>3981</v>
      </c>
      <c r="E1828" s="3"/>
      <c r="F1828" s="3"/>
      <c r="G1828" s="3"/>
      <c r="H1828" s="3"/>
      <c r="I1828" s="3" t="s">
        <v>3985</v>
      </c>
      <c r="J1828" t="s">
        <v>3986</v>
      </c>
    </row>
    <row r="1829" spans="1:10">
      <c r="A1829" s="3" t="s">
        <v>1740</v>
      </c>
      <c r="B1829" s="3" t="s">
        <v>1750</v>
      </c>
      <c r="C1829" s="3" t="s">
        <v>181</v>
      </c>
      <c r="D1829" s="3" t="s">
        <v>3981</v>
      </c>
      <c r="E1829" s="3"/>
      <c r="F1829" s="3"/>
      <c r="G1829" s="3"/>
      <c r="H1829" s="3"/>
      <c r="I1829" s="3" t="s">
        <v>3987</v>
      </c>
      <c r="J1829" t="s">
        <v>3988</v>
      </c>
    </row>
    <row r="1830" spans="1:10">
      <c r="A1830" s="3" t="s">
        <v>1740</v>
      </c>
      <c r="B1830" s="3" t="s">
        <v>1750</v>
      </c>
      <c r="C1830" s="3" t="s">
        <v>181</v>
      </c>
      <c r="D1830" s="3" t="s">
        <v>3981</v>
      </c>
      <c r="E1830" s="3"/>
      <c r="F1830" s="3"/>
      <c r="G1830" s="3"/>
      <c r="H1830" s="3"/>
      <c r="I1830" s="3" t="s">
        <v>3989</v>
      </c>
      <c r="J1830" t="s">
        <v>3990</v>
      </c>
    </row>
    <row r="1831" spans="1:10">
      <c r="A1831" s="3" t="s">
        <v>1761</v>
      </c>
      <c r="B1831" s="3" t="s">
        <v>1771</v>
      </c>
      <c r="C1831" s="3" t="s">
        <v>182</v>
      </c>
      <c r="D1831" s="3" t="s">
        <v>3991</v>
      </c>
      <c r="E1831" s="3"/>
      <c r="F1831" s="3"/>
      <c r="G1831" s="3" t="s">
        <v>3992</v>
      </c>
      <c r="H1831" s="3" t="s">
        <v>3993</v>
      </c>
      <c r="I1831" s="3"/>
      <c r="J1831" t="s">
        <v>3994</v>
      </c>
    </row>
    <row r="1832" spans="1:10">
      <c r="A1832" s="3" t="s">
        <v>1761</v>
      </c>
      <c r="B1832" s="3" t="s">
        <v>1771</v>
      </c>
      <c r="C1832" s="3" t="s">
        <v>182</v>
      </c>
      <c r="D1832" s="3" t="s">
        <v>3991</v>
      </c>
      <c r="E1832" s="3"/>
      <c r="F1832" s="3"/>
      <c r="G1832" s="3" t="s">
        <v>3992</v>
      </c>
      <c r="H1832" s="3" t="s">
        <v>3995</v>
      </c>
      <c r="I1832" s="3"/>
      <c r="J1832" t="s">
        <v>3996</v>
      </c>
    </row>
    <row r="1833" spans="1:10">
      <c r="A1833" s="3" t="s">
        <v>1761</v>
      </c>
      <c r="B1833" s="3" t="s">
        <v>1771</v>
      </c>
      <c r="C1833" s="3" t="s">
        <v>182</v>
      </c>
      <c r="D1833" s="3" t="s">
        <v>3991</v>
      </c>
      <c r="E1833" s="3"/>
      <c r="F1833" s="3"/>
      <c r="G1833" s="3" t="s">
        <v>3992</v>
      </c>
      <c r="H1833" s="3" t="s">
        <v>3997</v>
      </c>
      <c r="I1833" s="3"/>
      <c r="J1833" t="s">
        <v>3998</v>
      </c>
    </row>
    <row r="1834" spans="1:10">
      <c r="A1834" s="3" t="s">
        <v>1761</v>
      </c>
      <c r="B1834" s="3" t="s">
        <v>1771</v>
      </c>
      <c r="C1834" s="3" t="s">
        <v>182</v>
      </c>
      <c r="D1834" s="3" t="s">
        <v>3991</v>
      </c>
      <c r="E1834" s="3"/>
      <c r="F1834" s="3"/>
      <c r="G1834" s="3" t="s">
        <v>3999</v>
      </c>
      <c r="H1834" s="3" t="s">
        <v>3993</v>
      </c>
      <c r="I1834" s="3"/>
    </row>
    <row r="1835" spans="1:10">
      <c r="A1835" s="3" t="s">
        <v>1761</v>
      </c>
      <c r="B1835" s="3" t="s">
        <v>1771</v>
      </c>
      <c r="C1835" s="3" t="s">
        <v>182</v>
      </c>
      <c r="D1835" s="3" t="s">
        <v>3991</v>
      </c>
      <c r="E1835" s="3"/>
      <c r="F1835" s="3"/>
      <c r="G1835" s="3" t="s">
        <v>3999</v>
      </c>
      <c r="H1835" s="3" t="s">
        <v>3995</v>
      </c>
      <c r="I1835" s="3"/>
    </row>
    <row r="1836" spans="1:10">
      <c r="A1836" s="3" t="s">
        <v>1761</v>
      </c>
      <c r="B1836" s="3" t="s">
        <v>1771</v>
      </c>
      <c r="C1836" s="3" t="s">
        <v>182</v>
      </c>
      <c r="D1836" s="3" t="s">
        <v>3991</v>
      </c>
      <c r="E1836" s="3"/>
      <c r="F1836" s="3"/>
      <c r="G1836" s="3" t="s">
        <v>3999</v>
      </c>
      <c r="H1836" s="3" t="s">
        <v>3997</v>
      </c>
      <c r="I1836" s="3"/>
    </row>
    <row r="1837" spans="1:10">
      <c r="A1837" s="3" t="s">
        <v>1776</v>
      </c>
      <c r="B1837" s="3" t="s">
        <v>1777</v>
      </c>
      <c r="C1837" s="3" t="s">
        <v>183</v>
      </c>
      <c r="D1837" s="3" t="s">
        <v>4000</v>
      </c>
      <c r="E1837" s="3"/>
      <c r="F1837" s="3"/>
      <c r="G1837" s="3" t="s">
        <v>4001</v>
      </c>
      <c r="H1837" s="3"/>
      <c r="I1837" s="3"/>
    </row>
    <row r="1838" spans="1:10">
      <c r="A1838" s="3" t="s">
        <v>1776</v>
      </c>
      <c r="B1838" s="3" t="s">
        <v>1777</v>
      </c>
      <c r="C1838" s="3" t="s">
        <v>183</v>
      </c>
      <c r="D1838" s="3" t="s">
        <v>4000</v>
      </c>
      <c r="E1838" s="3"/>
      <c r="F1838" s="3"/>
      <c r="G1838" s="3" t="s">
        <v>4002</v>
      </c>
      <c r="H1838" s="3"/>
      <c r="I1838" s="3"/>
    </row>
    <row r="1839" spans="1:10">
      <c r="A1839" s="3" t="s">
        <v>1776</v>
      </c>
      <c r="B1839" s="3" t="s">
        <v>1786</v>
      </c>
      <c r="C1839" s="3"/>
      <c r="D1839" s="3" t="s">
        <v>4003</v>
      </c>
      <c r="E1839" s="3"/>
      <c r="F1839" s="3"/>
      <c r="G1839" s="3" t="s">
        <v>4004</v>
      </c>
      <c r="H1839" s="3"/>
      <c r="I1839" s="3"/>
    </row>
    <row r="1840" spans="1:10">
      <c r="A1840" s="3" t="s">
        <v>1776</v>
      </c>
      <c r="B1840" s="3" t="s">
        <v>1786</v>
      </c>
      <c r="C1840" s="3"/>
      <c r="D1840" s="3" t="s">
        <v>4003</v>
      </c>
      <c r="E1840" s="3"/>
      <c r="F1840" s="3"/>
      <c r="G1840" s="3" t="s">
        <v>4005</v>
      </c>
      <c r="H1840" s="3"/>
      <c r="I1840" s="3"/>
    </row>
    <row r="1841" spans="1:9">
      <c r="A1841" s="3" t="s">
        <v>1776</v>
      </c>
      <c r="B1841" s="3" t="s">
        <v>1786</v>
      </c>
      <c r="C1841" s="3"/>
      <c r="D1841" s="3" t="s">
        <v>4006</v>
      </c>
      <c r="E1841" s="3"/>
      <c r="F1841" s="3"/>
      <c r="G1841" s="3" t="s">
        <v>4007</v>
      </c>
      <c r="H1841" s="3" t="s">
        <v>4008</v>
      </c>
      <c r="I1841" s="3"/>
    </row>
    <row r="1842" spans="1:9">
      <c r="A1842" s="3" t="s">
        <v>1776</v>
      </c>
      <c r="B1842" s="3" t="s">
        <v>1786</v>
      </c>
      <c r="C1842" s="3"/>
      <c r="D1842" s="3" t="s">
        <v>4006</v>
      </c>
      <c r="E1842" s="3"/>
      <c r="F1842" s="3"/>
      <c r="G1842" s="3" t="s">
        <v>4007</v>
      </c>
      <c r="H1842" s="3" t="s">
        <v>4009</v>
      </c>
      <c r="I1842" s="3"/>
    </row>
    <row r="1843" spans="1:9">
      <c r="A1843" s="3" t="s">
        <v>1776</v>
      </c>
      <c r="B1843" s="3" t="s">
        <v>1786</v>
      </c>
      <c r="C1843" s="3"/>
      <c r="D1843" s="3" t="s">
        <v>4006</v>
      </c>
      <c r="E1843" s="3"/>
      <c r="F1843" s="3"/>
      <c r="G1843" s="3" t="s">
        <v>4007</v>
      </c>
      <c r="H1843" s="3" t="s">
        <v>4010</v>
      </c>
      <c r="I1843" s="3"/>
    </row>
    <row r="1844" spans="1:9">
      <c r="A1844" s="3" t="s">
        <v>1776</v>
      </c>
      <c r="B1844" s="3" t="s">
        <v>1786</v>
      </c>
      <c r="C1844" s="3"/>
      <c r="D1844" s="3" t="s">
        <v>4006</v>
      </c>
      <c r="E1844" s="3"/>
      <c r="F1844" s="3"/>
      <c r="G1844" s="3" t="s">
        <v>4011</v>
      </c>
      <c r="H1844" s="3" t="s">
        <v>4008</v>
      </c>
      <c r="I1844" s="3"/>
    </row>
    <row r="1845" spans="1:9">
      <c r="A1845" s="3" t="s">
        <v>1776</v>
      </c>
      <c r="B1845" s="3" t="s">
        <v>1786</v>
      </c>
      <c r="C1845" s="3"/>
      <c r="D1845" s="3" t="s">
        <v>4006</v>
      </c>
      <c r="E1845" s="3"/>
      <c r="F1845" s="3"/>
      <c r="G1845" s="3" t="s">
        <v>4011</v>
      </c>
      <c r="H1845" s="3" t="s">
        <v>4009</v>
      </c>
      <c r="I1845" s="3"/>
    </row>
    <row r="1846" spans="1:9">
      <c r="A1846" s="3" t="s">
        <v>1776</v>
      </c>
      <c r="B1846" s="3" t="s">
        <v>1786</v>
      </c>
      <c r="C1846" s="3"/>
      <c r="D1846" s="3" t="s">
        <v>4006</v>
      </c>
      <c r="E1846" s="3"/>
      <c r="F1846" s="3"/>
      <c r="G1846" s="3" t="s">
        <v>4011</v>
      </c>
      <c r="H1846" s="3" t="s">
        <v>4010</v>
      </c>
      <c r="I1846" s="3"/>
    </row>
    <row r="1847" spans="1:9">
      <c r="A1847" s="3" t="s">
        <v>1795</v>
      </c>
      <c r="B1847" s="3" t="s">
        <v>1796</v>
      </c>
      <c r="C1847" s="3" t="s">
        <v>184</v>
      </c>
      <c r="D1847" s="3" t="s">
        <v>4012</v>
      </c>
      <c r="E1847" s="3"/>
      <c r="F1847" s="3"/>
      <c r="G1847" s="3" t="s">
        <v>4013</v>
      </c>
      <c r="H1847" s="3" t="s">
        <v>4014</v>
      </c>
      <c r="I1847" s="3"/>
    </row>
    <row r="1848" spans="1:9">
      <c r="A1848" s="3" t="s">
        <v>1795</v>
      </c>
      <c r="B1848" s="3" t="s">
        <v>1796</v>
      </c>
      <c r="C1848" s="3" t="s">
        <v>184</v>
      </c>
      <c r="D1848" s="3" t="s">
        <v>4012</v>
      </c>
      <c r="E1848" s="3"/>
      <c r="F1848" s="3"/>
      <c r="G1848" s="3" t="s">
        <v>4013</v>
      </c>
      <c r="H1848" s="3" t="s">
        <v>4015</v>
      </c>
      <c r="I1848" s="3"/>
    </row>
    <row r="1849" spans="1:9">
      <c r="A1849" s="3" t="s">
        <v>1795</v>
      </c>
      <c r="B1849" s="3" t="s">
        <v>1796</v>
      </c>
      <c r="C1849" s="3" t="s">
        <v>184</v>
      </c>
      <c r="D1849" s="3" t="s">
        <v>4012</v>
      </c>
      <c r="E1849" s="3"/>
      <c r="F1849" s="3"/>
      <c r="G1849" s="3" t="s">
        <v>4013</v>
      </c>
      <c r="H1849" s="3" t="s">
        <v>4016</v>
      </c>
      <c r="I1849" s="3"/>
    </row>
    <row r="1850" spans="1:9">
      <c r="A1850" s="3" t="s">
        <v>1795</v>
      </c>
      <c r="B1850" s="3" t="s">
        <v>1796</v>
      </c>
      <c r="C1850" s="3" t="s">
        <v>184</v>
      </c>
      <c r="D1850" s="3" t="s">
        <v>4012</v>
      </c>
      <c r="E1850" s="3"/>
      <c r="F1850" s="3"/>
      <c r="G1850" s="3" t="s">
        <v>4013</v>
      </c>
      <c r="H1850" s="3" t="s">
        <v>4017</v>
      </c>
      <c r="I1850" s="3"/>
    </row>
    <row r="1851" spans="1:9">
      <c r="A1851" s="3" t="s">
        <v>1795</v>
      </c>
      <c r="B1851" s="3" t="s">
        <v>1796</v>
      </c>
      <c r="C1851" s="3" t="s">
        <v>184</v>
      </c>
      <c r="D1851" s="3" t="s">
        <v>4012</v>
      </c>
      <c r="E1851" s="3"/>
      <c r="F1851" s="3"/>
      <c r="G1851" s="3" t="s">
        <v>4018</v>
      </c>
      <c r="H1851" s="3" t="s">
        <v>4014</v>
      </c>
      <c r="I1851" s="3"/>
    </row>
    <row r="1852" spans="1:9">
      <c r="A1852" s="3" t="s">
        <v>1795</v>
      </c>
      <c r="B1852" s="3" t="s">
        <v>1796</v>
      </c>
      <c r="C1852" s="3" t="s">
        <v>184</v>
      </c>
      <c r="D1852" s="3" t="s">
        <v>4012</v>
      </c>
      <c r="E1852" s="3"/>
      <c r="F1852" s="3"/>
      <c r="G1852" s="3" t="s">
        <v>4018</v>
      </c>
      <c r="H1852" s="3" t="s">
        <v>4015</v>
      </c>
      <c r="I1852" s="3"/>
    </row>
    <row r="1853" spans="1:9">
      <c r="A1853" s="3" t="s">
        <v>1795</v>
      </c>
      <c r="B1853" s="3" t="s">
        <v>1796</v>
      </c>
      <c r="C1853" s="3" t="s">
        <v>184</v>
      </c>
      <c r="D1853" s="3" t="s">
        <v>4012</v>
      </c>
      <c r="E1853" s="3"/>
      <c r="F1853" s="3"/>
      <c r="G1853" s="3" t="s">
        <v>4018</v>
      </c>
      <c r="H1853" s="3" t="s">
        <v>4016</v>
      </c>
      <c r="I1853" s="3"/>
    </row>
    <row r="1854" spans="1:9">
      <c r="A1854" s="3" t="s">
        <v>1795</v>
      </c>
      <c r="B1854" s="3" t="s">
        <v>1796</v>
      </c>
      <c r="C1854" s="3" t="s">
        <v>184</v>
      </c>
      <c r="D1854" s="3" t="s">
        <v>4012</v>
      </c>
      <c r="E1854" s="3"/>
      <c r="F1854" s="3"/>
      <c r="G1854" s="3" t="s">
        <v>4018</v>
      </c>
      <c r="H1854" s="3" t="s">
        <v>4017</v>
      </c>
      <c r="I1854" s="3"/>
    </row>
    <row r="1855" spans="1:9">
      <c r="A1855" s="3" t="s">
        <v>1795</v>
      </c>
      <c r="B1855" s="3" t="s">
        <v>1796</v>
      </c>
      <c r="C1855" s="3" t="s">
        <v>184</v>
      </c>
      <c r="D1855" s="3" t="s">
        <v>4012</v>
      </c>
      <c r="E1855" s="3"/>
      <c r="F1855" s="3"/>
      <c r="G1855" s="3"/>
      <c r="H1855" s="3"/>
      <c r="I1855" s="3" t="s">
        <v>4019</v>
      </c>
    </row>
    <row r="1856" spans="1:9">
      <c r="A1856" s="3" t="s">
        <v>1795</v>
      </c>
      <c r="B1856" s="3" t="s">
        <v>1796</v>
      </c>
      <c r="C1856" s="3" t="s">
        <v>184</v>
      </c>
      <c r="D1856" s="3" t="s">
        <v>4012</v>
      </c>
      <c r="E1856" s="3"/>
      <c r="F1856" s="3"/>
      <c r="G1856" s="3"/>
      <c r="H1856" s="3"/>
      <c r="I1856" s="3" t="s">
        <v>4020</v>
      </c>
    </row>
    <row r="1857" spans="1:9">
      <c r="A1857" s="3" t="s">
        <v>1795</v>
      </c>
      <c r="B1857" s="3" t="s">
        <v>1796</v>
      </c>
      <c r="C1857" s="3" t="s">
        <v>184</v>
      </c>
      <c r="D1857" s="3" t="s">
        <v>4012</v>
      </c>
      <c r="E1857" s="3"/>
      <c r="F1857" s="3"/>
      <c r="G1857" s="3"/>
      <c r="H1857" s="3"/>
      <c r="I1857" s="3" t="s">
        <v>4021</v>
      </c>
    </row>
    <row r="1858" spans="1:9">
      <c r="A1858" s="3" t="s">
        <v>1795</v>
      </c>
      <c r="B1858" s="3" t="s">
        <v>1796</v>
      </c>
      <c r="C1858" s="3" t="s">
        <v>184</v>
      </c>
      <c r="D1858" s="3" t="s">
        <v>4012</v>
      </c>
      <c r="E1858" s="3"/>
      <c r="F1858" s="3"/>
      <c r="G1858" s="3"/>
      <c r="H1858" s="3"/>
      <c r="I1858" s="3" t="s">
        <v>4022</v>
      </c>
    </row>
    <row r="1859" spans="1:9">
      <c r="A1859" s="3" t="s">
        <v>1795</v>
      </c>
      <c r="B1859" s="3" t="s">
        <v>1796</v>
      </c>
      <c r="C1859" s="3" t="s">
        <v>184</v>
      </c>
      <c r="D1859" s="3" t="s">
        <v>4023</v>
      </c>
      <c r="E1859" s="3"/>
      <c r="F1859" s="3"/>
      <c r="G1859" s="3" t="s">
        <v>4024</v>
      </c>
      <c r="H1859" s="3" t="s">
        <v>4025</v>
      </c>
      <c r="I1859" s="3"/>
    </row>
    <row r="1860" spans="1:9">
      <c r="A1860" s="3" t="s">
        <v>1795</v>
      </c>
      <c r="B1860" s="3" t="s">
        <v>1796</v>
      </c>
      <c r="C1860" s="3" t="s">
        <v>184</v>
      </c>
      <c r="D1860" s="3" t="s">
        <v>4023</v>
      </c>
      <c r="E1860" s="3"/>
      <c r="F1860" s="3"/>
      <c r="G1860" s="3" t="s">
        <v>4024</v>
      </c>
      <c r="H1860" s="3" t="s">
        <v>4026</v>
      </c>
      <c r="I1860" s="3"/>
    </row>
    <row r="1861" spans="1:9">
      <c r="A1861" s="3" t="s">
        <v>1795</v>
      </c>
      <c r="B1861" s="3" t="s">
        <v>1796</v>
      </c>
      <c r="C1861" s="3" t="s">
        <v>184</v>
      </c>
      <c r="D1861" s="3" t="s">
        <v>4023</v>
      </c>
      <c r="E1861" s="3"/>
      <c r="F1861" s="3"/>
      <c r="G1861" s="3" t="s">
        <v>4024</v>
      </c>
      <c r="H1861" s="3" t="s">
        <v>4027</v>
      </c>
      <c r="I1861" s="3"/>
    </row>
    <row r="1862" spans="1:9">
      <c r="A1862" s="3" t="s">
        <v>1795</v>
      </c>
      <c r="B1862" s="3" t="s">
        <v>1796</v>
      </c>
      <c r="C1862" s="3" t="s">
        <v>184</v>
      </c>
      <c r="D1862" s="3" t="s">
        <v>4023</v>
      </c>
      <c r="E1862" s="3"/>
      <c r="F1862" s="3"/>
      <c r="G1862" s="3" t="s">
        <v>4024</v>
      </c>
      <c r="H1862" s="3" t="s">
        <v>4028</v>
      </c>
      <c r="I1862" s="3"/>
    </row>
    <row r="1863" spans="1:9">
      <c r="A1863" s="3" t="s">
        <v>1795</v>
      </c>
      <c r="B1863" s="3" t="s">
        <v>1796</v>
      </c>
      <c r="C1863" s="3" t="s">
        <v>184</v>
      </c>
      <c r="D1863" s="3" t="s">
        <v>4023</v>
      </c>
      <c r="E1863" s="3"/>
      <c r="F1863" s="3"/>
      <c r="G1863" s="3" t="s">
        <v>4029</v>
      </c>
      <c r="H1863" s="3" t="s">
        <v>4025</v>
      </c>
      <c r="I1863" s="3"/>
    </row>
    <row r="1864" spans="1:9">
      <c r="A1864" s="3" t="s">
        <v>1795</v>
      </c>
      <c r="B1864" s="3" t="s">
        <v>1796</v>
      </c>
      <c r="C1864" s="3" t="s">
        <v>184</v>
      </c>
      <c r="D1864" s="3" t="s">
        <v>4023</v>
      </c>
      <c r="E1864" s="3"/>
      <c r="F1864" s="3"/>
      <c r="G1864" s="3" t="s">
        <v>4029</v>
      </c>
      <c r="H1864" s="3" t="s">
        <v>4026</v>
      </c>
      <c r="I1864" s="3"/>
    </row>
    <row r="1865" spans="1:9">
      <c r="A1865" s="3" t="s">
        <v>1795</v>
      </c>
      <c r="B1865" s="3" t="s">
        <v>1796</v>
      </c>
      <c r="C1865" s="3" t="s">
        <v>184</v>
      </c>
      <c r="D1865" s="3" t="s">
        <v>4023</v>
      </c>
      <c r="E1865" s="3"/>
      <c r="F1865" s="3"/>
      <c r="G1865" s="3" t="s">
        <v>4029</v>
      </c>
      <c r="H1865" s="3" t="s">
        <v>4027</v>
      </c>
      <c r="I1865" s="3"/>
    </row>
    <row r="1866" spans="1:9">
      <c r="A1866" s="3" t="s">
        <v>1795</v>
      </c>
      <c r="B1866" s="3" t="s">
        <v>1796</v>
      </c>
      <c r="C1866" s="3" t="s">
        <v>184</v>
      </c>
      <c r="D1866" s="3" t="s">
        <v>4023</v>
      </c>
      <c r="E1866" s="3"/>
      <c r="F1866" s="3"/>
      <c r="G1866" s="3" t="s">
        <v>4029</v>
      </c>
      <c r="H1866" s="3" t="s">
        <v>4028</v>
      </c>
      <c r="I1866" s="3"/>
    </row>
    <row r="1867" spans="1:9">
      <c r="A1867" s="3" t="s">
        <v>1795</v>
      </c>
      <c r="B1867" s="3" t="s">
        <v>1796</v>
      </c>
      <c r="C1867" s="3" t="s">
        <v>184</v>
      </c>
      <c r="D1867" s="3" t="s">
        <v>4023</v>
      </c>
      <c r="E1867" s="3"/>
      <c r="F1867" s="3"/>
      <c r="G1867" s="3" t="s">
        <v>4030</v>
      </c>
      <c r="H1867" s="3" t="s">
        <v>4025</v>
      </c>
      <c r="I1867" s="3"/>
    </row>
    <row r="1868" spans="1:9">
      <c r="A1868" s="3" t="s">
        <v>1795</v>
      </c>
      <c r="B1868" s="3" t="s">
        <v>1796</v>
      </c>
      <c r="C1868" s="3" t="s">
        <v>184</v>
      </c>
      <c r="D1868" s="3" t="s">
        <v>4023</v>
      </c>
      <c r="E1868" s="3"/>
      <c r="F1868" s="3"/>
      <c r="G1868" s="3" t="s">
        <v>4030</v>
      </c>
      <c r="H1868" s="3" t="s">
        <v>4026</v>
      </c>
      <c r="I1868" s="3"/>
    </row>
    <row r="1869" spans="1:9">
      <c r="A1869" s="3" t="s">
        <v>1795</v>
      </c>
      <c r="B1869" s="3" t="s">
        <v>1796</v>
      </c>
      <c r="C1869" s="3" t="s">
        <v>184</v>
      </c>
      <c r="D1869" s="3" t="s">
        <v>4023</v>
      </c>
      <c r="E1869" s="3"/>
      <c r="F1869" s="3"/>
      <c r="G1869" s="3" t="s">
        <v>4030</v>
      </c>
      <c r="H1869" s="3" t="s">
        <v>4027</v>
      </c>
      <c r="I1869" s="3"/>
    </row>
    <row r="1870" spans="1:9">
      <c r="A1870" s="3" t="s">
        <v>1795</v>
      </c>
      <c r="B1870" s="3" t="s">
        <v>1796</v>
      </c>
      <c r="C1870" s="3" t="s">
        <v>184</v>
      </c>
      <c r="D1870" s="3" t="s">
        <v>4023</v>
      </c>
      <c r="E1870" s="3"/>
      <c r="F1870" s="3"/>
      <c r="G1870" s="3" t="s">
        <v>4030</v>
      </c>
      <c r="H1870" s="3" t="s">
        <v>4028</v>
      </c>
      <c r="I1870" s="3"/>
    </row>
    <row r="1871" spans="1:9">
      <c r="A1871" s="3" t="s">
        <v>1795</v>
      </c>
      <c r="B1871" s="3" t="s">
        <v>1807</v>
      </c>
      <c r="C1871" s="3" t="s">
        <v>185</v>
      </c>
      <c r="D1871" s="3" t="s">
        <v>4031</v>
      </c>
      <c r="E1871" s="3"/>
      <c r="F1871" s="3"/>
      <c r="G1871" s="3"/>
      <c r="H1871" s="3"/>
      <c r="I1871" s="3"/>
    </row>
    <row r="1872" spans="1:9">
      <c r="A1872" s="3" t="s">
        <v>1795</v>
      </c>
      <c r="B1872" s="3" t="s">
        <v>1807</v>
      </c>
      <c r="C1872" s="3" t="s">
        <v>185</v>
      </c>
      <c r="D1872" s="3" t="s">
        <v>4031</v>
      </c>
      <c r="E1872" s="3"/>
      <c r="F1872" s="3"/>
      <c r="G1872" s="3"/>
      <c r="H1872" s="3"/>
      <c r="I1872" s="3" t="s">
        <v>4032</v>
      </c>
    </row>
    <row r="1873" spans="1:9">
      <c r="A1873" s="3" t="s">
        <v>1809</v>
      </c>
      <c r="B1873" s="3" t="s">
        <v>1810</v>
      </c>
      <c r="C1873" s="3"/>
      <c r="D1873" s="3" t="s">
        <v>4033</v>
      </c>
      <c r="E1873" s="3"/>
      <c r="F1873" s="3"/>
      <c r="G1873" s="3" t="s">
        <v>4034</v>
      </c>
      <c r="H1873" s="3"/>
      <c r="I1873" s="3"/>
    </row>
    <row r="1874" spans="1:9">
      <c r="A1874" s="3" t="s">
        <v>1809</v>
      </c>
      <c r="B1874" s="3" t="s">
        <v>1810</v>
      </c>
      <c r="C1874" s="3"/>
      <c r="D1874" s="3" t="s">
        <v>4033</v>
      </c>
      <c r="E1874" s="3"/>
      <c r="F1874" s="3"/>
      <c r="G1874" s="3" t="s">
        <v>4035</v>
      </c>
      <c r="H1874" s="3"/>
      <c r="I1874" s="3"/>
    </row>
    <row r="1875" spans="1:9">
      <c r="A1875" s="3" t="s">
        <v>1809</v>
      </c>
      <c r="B1875" s="3" t="s">
        <v>1810</v>
      </c>
      <c r="C1875" s="3"/>
      <c r="D1875" s="3" t="s">
        <v>4033</v>
      </c>
      <c r="E1875" s="3"/>
      <c r="F1875" s="3"/>
      <c r="G1875" s="3"/>
      <c r="H1875" s="3"/>
      <c r="I1875" s="3" t="s">
        <v>4036</v>
      </c>
    </row>
    <row r="1876" spans="1:9">
      <c r="A1876" s="3" t="s">
        <v>1815</v>
      </c>
      <c r="B1876" s="3" t="s">
        <v>1816</v>
      </c>
      <c r="C1876" s="3" t="s">
        <v>186</v>
      </c>
      <c r="D1876" s="3" t="s">
        <v>4037</v>
      </c>
      <c r="E1876" s="3"/>
      <c r="F1876" s="3"/>
      <c r="G1876" s="3" t="s">
        <v>4038</v>
      </c>
      <c r="H1876" s="3"/>
      <c r="I1876" s="3"/>
    </row>
    <row r="1877" spans="1:9">
      <c r="A1877" s="3" t="s">
        <v>1815</v>
      </c>
      <c r="B1877" s="3" t="s">
        <v>1816</v>
      </c>
      <c r="C1877" s="3" t="s">
        <v>186</v>
      </c>
      <c r="D1877" s="3" t="s">
        <v>4037</v>
      </c>
      <c r="E1877" s="3"/>
      <c r="F1877" s="3"/>
      <c r="G1877" s="3" t="s">
        <v>4039</v>
      </c>
      <c r="H1877" s="3"/>
      <c r="I1877" s="3"/>
    </row>
    <row r="1878" spans="1:9">
      <c r="A1878" s="3" t="s">
        <v>1815</v>
      </c>
      <c r="B1878" s="3" t="s">
        <v>1816</v>
      </c>
      <c r="C1878" s="3" t="s">
        <v>186</v>
      </c>
      <c r="D1878" s="3" t="s">
        <v>4037</v>
      </c>
      <c r="E1878" s="3"/>
      <c r="F1878" s="3"/>
      <c r="G1878" s="3"/>
      <c r="H1878" s="3"/>
      <c r="I1878" s="3" t="s">
        <v>4040</v>
      </c>
    </row>
    <row r="1879" spans="1:9">
      <c r="A1879" s="3" t="s">
        <v>1815</v>
      </c>
      <c r="B1879" s="3" t="s">
        <v>1816</v>
      </c>
      <c r="C1879" s="3" t="s">
        <v>186</v>
      </c>
      <c r="D1879" s="3" t="s">
        <v>4037</v>
      </c>
      <c r="E1879" s="3"/>
      <c r="F1879" s="3"/>
      <c r="G1879" s="3"/>
      <c r="H1879" s="3"/>
      <c r="I1879" s="3" t="s">
        <v>4041</v>
      </c>
    </row>
    <row r="1880" spans="1:9">
      <c r="A1880" s="3" t="s">
        <v>1815</v>
      </c>
      <c r="B1880" s="3" t="s">
        <v>1816</v>
      </c>
      <c r="C1880" s="3" t="s">
        <v>186</v>
      </c>
      <c r="D1880" s="3" t="s">
        <v>4037</v>
      </c>
      <c r="E1880" s="3"/>
      <c r="F1880" s="3"/>
      <c r="G1880" s="3"/>
      <c r="H1880" s="3"/>
      <c r="I1880" s="3" t="s">
        <v>4042</v>
      </c>
    </row>
    <row r="1881" spans="1:9">
      <c r="A1881" s="3" t="s">
        <v>1815</v>
      </c>
      <c r="B1881" s="3" t="s">
        <v>1821</v>
      </c>
      <c r="C1881" s="3"/>
      <c r="D1881" s="3" t="s">
        <v>4043</v>
      </c>
      <c r="E1881" s="3"/>
      <c r="F1881" s="3"/>
      <c r="G1881" s="3"/>
      <c r="H1881" s="3" t="s">
        <v>4044</v>
      </c>
      <c r="I1881" s="3"/>
    </row>
    <row r="1882" spans="1:9">
      <c r="A1882" s="3" t="s">
        <v>1815</v>
      </c>
      <c r="B1882" s="3" t="s">
        <v>1821</v>
      </c>
      <c r="C1882" s="3"/>
      <c r="D1882" s="3" t="s">
        <v>4043</v>
      </c>
      <c r="E1882" s="3"/>
      <c r="F1882" s="3"/>
      <c r="G1882" s="3"/>
      <c r="H1882" s="3" t="s">
        <v>4045</v>
      </c>
      <c r="I1882" s="3"/>
    </row>
    <row r="1883" spans="1:9">
      <c r="A1883" s="3" t="s">
        <v>1815</v>
      </c>
      <c r="B1883" s="3" t="s">
        <v>1821</v>
      </c>
      <c r="C1883" s="3"/>
      <c r="D1883" s="3" t="s">
        <v>4043</v>
      </c>
      <c r="E1883" s="3"/>
      <c r="F1883" s="3"/>
      <c r="G1883" s="3"/>
      <c r="H1883" s="3" t="s">
        <v>4046</v>
      </c>
      <c r="I1883" s="3"/>
    </row>
    <row r="1884" spans="1:9">
      <c r="A1884" s="3" t="s">
        <v>1826</v>
      </c>
      <c r="B1884" s="3" t="s">
        <v>1827</v>
      </c>
      <c r="C1884" s="3" t="s">
        <v>187</v>
      </c>
      <c r="D1884" s="3" t="s">
        <v>4047</v>
      </c>
      <c r="E1884" s="3"/>
      <c r="F1884" s="3"/>
      <c r="G1884" s="3" t="s">
        <v>4048</v>
      </c>
      <c r="H1884" s="3" t="s">
        <v>4049</v>
      </c>
      <c r="I1884" s="3"/>
    </row>
    <row r="1885" spans="1:9">
      <c r="A1885" s="3" t="s">
        <v>1826</v>
      </c>
      <c r="B1885" s="3" t="s">
        <v>1827</v>
      </c>
      <c r="C1885" s="3" t="s">
        <v>187</v>
      </c>
      <c r="D1885" s="3" t="s">
        <v>4047</v>
      </c>
      <c r="E1885" s="3"/>
      <c r="F1885" s="3"/>
      <c r="G1885" s="3" t="s">
        <v>4048</v>
      </c>
      <c r="H1885" s="3" t="s">
        <v>4050</v>
      </c>
      <c r="I1885" s="3"/>
    </row>
    <row r="1886" spans="1:9">
      <c r="A1886" s="3" t="s">
        <v>1826</v>
      </c>
      <c r="B1886" s="3" t="s">
        <v>1827</v>
      </c>
      <c r="C1886" s="3" t="s">
        <v>187</v>
      </c>
      <c r="D1886" s="3" t="s">
        <v>4047</v>
      </c>
      <c r="E1886" s="3"/>
      <c r="F1886" s="3"/>
      <c r="G1886" s="3" t="s">
        <v>4048</v>
      </c>
      <c r="H1886" s="3" t="s">
        <v>4051</v>
      </c>
      <c r="I1886" s="3"/>
    </row>
    <row r="1887" spans="1:9">
      <c r="A1887" s="3" t="s">
        <v>1826</v>
      </c>
      <c r="B1887" s="3" t="s">
        <v>1827</v>
      </c>
      <c r="C1887" s="3" t="s">
        <v>187</v>
      </c>
      <c r="D1887" s="3" t="s">
        <v>4047</v>
      </c>
      <c r="E1887" s="3"/>
      <c r="F1887" s="3"/>
      <c r="G1887" s="3" t="s">
        <v>4052</v>
      </c>
      <c r="H1887" s="3" t="s">
        <v>4049</v>
      </c>
      <c r="I1887" s="3"/>
    </row>
    <row r="1888" spans="1:9">
      <c r="A1888" s="3" t="s">
        <v>1826</v>
      </c>
      <c r="B1888" s="3" t="s">
        <v>1827</v>
      </c>
      <c r="C1888" s="3" t="s">
        <v>187</v>
      </c>
      <c r="D1888" s="3" t="s">
        <v>4047</v>
      </c>
      <c r="E1888" s="3"/>
      <c r="F1888" s="3"/>
      <c r="G1888" s="3" t="s">
        <v>4052</v>
      </c>
      <c r="H1888" s="3" t="s">
        <v>4050</v>
      </c>
      <c r="I1888" s="3"/>
    </row>
    <row r="1889" spans="1:10">
      <c r="A1889" s="3" t="s">
        <v>1826</v>
      </c>
      <c r="B1889" s="3" t="s">
        <v>1827</v>
      </c>
      <c r="C1889" s="3" t="s">
        <v>187</v>
      </c>
      <c r="D1889" s="3" t="s">
        <v>4047</v>
      </c>
      <c r="E1889" s="3"/>
      <c r="F1889" s="3"/>
      <c r="G1889" s="3" t="s">
        <v>4052</v>
      </c>
      <c r="H1889" s="3" t="s">
        <v>4051</v>
      </c>
      <c r="I1889" s="3"/>
    </row>
    <row r="1890" spans="1:10">
      <c r="A1890" s="3" t="s">
        <v>1826</v>
      </c>
      <c r="B1890" s="3" t="s">
        <v>1832</v>
      </c>
      <c r="C1890" s="3" t="s">
        <v>188</v>
      </c>
      <c r="D1890" s="3" t="s">
        <v>4053</v>
      </c>
      <c r="E1890" s="3"/>
      <c r="F1890" s="3"/>
      <c r="G1890" s="3" t="s">
        <v>4054</v>
      </c>
      <c r="H1890" s="3" t="s">
        <v>4055</v>
      </c>
      <c r="I1890" s="3"/>
    </row>
    <row r="1891" spans="1:10">
      <c r="A1891" s="3" t="s">
        <v>1826</v>
      </c>
      <c r="B1891" s="3" t="s">
        <v>1832</v>
      </c>
      <c r="C1891" s="3" t="s">
        <v>188</v>
      </c>
      <c r="D1891" s="3" t="s">
        <v>4053</v>
      </c>
      <c r="E1891" s="3"/>
      <c r="F1891" s="3"/>
      <c r="G1891" s="3" t="s">
        <v>4054</v>
      </c>
      <c r="H1891" s="3" t="s">
        <v>4056</v>
      </c>
      <c r="I1891" s="3"/>
    </row>
    <row r="1892" spans="1:10">
      <c r="A1892" s="3" t="s">
        <v>1826</v>
      </c>
      <c r="B1892" s="3" t="s">
        <v>1832</v>
      </c>
      <c r="C1892" s="3" t="s">
        <v>188</v>
      </c>
      <c r="D1892" s="3" t="s">
        <v>4053</v>
      </c>
      <c r="E1892" s="3"/>
      <c r="F1892" s="3"/>
      <c r="G1892" s="3" t="s">
        <v>4054</v>
      </c>
      <c r="H1892" s="3" t="s">
        <v>4057</v>
      </c>
      <c r="I1892" s="3"/>
    </row>
    <row r="1893" spans="1:10">
      <c r="A1893" s="3" t="s">
        <v>1826</v>
      </c>
      <c r="B1893" s="3" t="s">
        <v>1832</v>
      </c>
      <c r="C1893" s="3" t="s">
        <v>188</v>
      </c>
      <c r="D1893" s="3" t="s">
        <v>4053</v>
      </c>
      <c r="E1893" s="3"/>
      <c r="F1893" s="3"/>
      <c r="G1893" s="3" t="s">
        <v>4058</v>
      </c>
      <c r="H1893" s="3" t="s">
        <v>4055</v>
      </c>
      <c r="I1893" s="3"/>
    </row>
    <row r="1894" spans="1:10">
      <c r="A1894" s="3" t="s">
        <v>1826</v>
      </c>
      <c r="B1894" s="3" t="s">
        <v>1832</v>
      </c>
      <c r="C1894" s="3" t="s">
        <v>188</v>
      </c>
      <c r="D1894" s="3" t="s">
        <v>4053</v>
      </c>
      <c r="E1894" s="3"/>
      <c r="F1894" s="3"/>
      <c r="G1894" s="3" t="s">
        <v>4058</v>
      </c>
      <c r="H1894" s="3" t="s">
        <v>4056</v>
      </c>
      <c r="I1894" s="3"/>
    </row>
    <row r="1895" spans="1:10">
      <c r="A1895" s="3" t="s">
        <v>1826</v>
      </c>
      <c r="B1895" s="3" t="s">
        <v>1832</v>
      </c>
      <c r="C1895" s="3" t="s">
        <v>188</v>
      </c>
      <c r="D1895" s="3" t="s">
        <v>4053</v>
      </c>
      <c r="E1895" s="3"/>
      <c r="F1895" s="3"/>
      <c r="G1895" s="3" t="s">
        <v>4058</v>
      </c>
      <c r="H1895" s="3" t="s">
        <v>4057</v>
      </c>
      <c r="I1895" s="3"/>
    </row>
    <row r="1896" spans="1:10">
      <c r="A1896" s="3" t="s">
        <v>1841</v>
      </c>
      <c r="B1896" s="3" t="s">
        <v>1842</v>
      </c>
      <c r="C1896" s="3" t="s">
        <v>189</v>
      </c>
      <c r="D1896" s="3" t="s">
        <v>4059</v>
      </c>
      <c r="E1896" s="3"/>
      <c r="F1896" s="3"/>
      <c r="G1896" s="3" t="s">
        <v>4060</v>
      </c>
      <c r="H1896" s="3" t="s">
        <v>4061</v>
      </c>
      <c r="I1896" s="3"/>
    </row>
    <row r="1897" spans="1:10">
      <c r="A1897" s="3" t="s">
        <v>1841</v>
      </c>
      <c r="B1897" s="3" t="s">
        <v>1842</v>
      </c>
      <c r="C1897" s="3" t="s">
        <v>189</v>
      </c>
      <c r="D1897" s="3" t="s">
        <v>4059</v>
      </c>
      <c r="E1897" s="3"/>
      <c r="F1897" s="3"/>
      <c r="G1897" s="3" t="s">
        <v>4060</v>
      </c>
      <c r="H1897" s="3" t="s">
        <v>4062</v>
      </c>
      <c r="I1897" s="3"/>
    </row>
    <row r="1898" spans="1:10">
      <c r="A1898" s="3" t="s">
        <v>1841</v>
      </c>
      <c r="B1898" s="3" t="s">
        <v>1842</v>
      </c>
      <c r="C1898" s="3" t="s">
        <v>189</v>
      </c>
      <c r="D1898" s="3" t="s">
        <v>4059</v>
      </c>
      <c r="E1898" s="3"/>
      <c r="F1898" s="3"/>
      <c r="G1898" s="3" t="s">
        <v>4060</v>
      </c>
      <c r="H1898" s="3" t="s">
        <v>4063</v>
      </c>
      <c r="I1898" s="3"/>
    </row>
    <row r="1899" spans="1:10">
      <c r="A1899" s="3" t="s">
        <v>1841</v>
      </c>
      <c r="B1899" s="3" t="s">
        <v>1842</v>
      </c>
      <c r="C1899" s="3" t="s">
        <v>189</v>
      </c>
      <c r="D1899" s="3" t="s">
        <v>4059</v>
      </c>
      <c r="E1899" s="3"/>
      <c r="F1899" s="3"/>
      <c r="G1899" s="3" t="s">
        <v>4060</v>
      </c>
      <c r="H1899" s="3" t="s">
        <v>4064</v>
      </c>
      <c r="I1899" s="3"/>
      <c r="J1899" t="s">
        <v>4065</v>
      </c>
    </row>
    <row r="1900" spans="1:10">
      <c r="A1900" s="3" t="s">
        <v>1841</v>
      </c>
      <c r="B1900" s="3" t="s">
        <v>1842</v>
      </c>
      <c r="C1900" s="3" t="s">
        <v>189</v>
      </c>
      <c r="D1900" s="3" t="s">
        <v>4059</v>
      </c>
      <c r="E1900" s="3"/>
      <c r="F1900" s="3"/>
      <c r="G1900" s="3" t="s">
        <v>4066</v>
      </c>
      <c r="H1900" s="3" t="s">
        <v>4061</v>
      </c>
      <c r="I1900" s="3"/>
      <c r="J1900" t="s">
        <v>4067</v>
      </c>
    </row>
    <row r="1901" spans="1:10">
      <c r="A1901" s="3" t="s">
        <v>1841</v>
      </c>
      <c r="B1901" s="3" t="s">
        <v>1842</v>
      </c>
      <c r="C1901" s="3" t="s">
        <v>189</v>
      </c>
      <c r="D1901" s="3" t="s">
        <v>4059</v>
      </c>
      <c r="E1901" s="3"/>
      <c r="F1901" s="3"/>
      <c r="G1901" s="3" t="s">
        <v>4066</v>
      </c>
      <c r="H1901" s="3" t="s">
        <v>4062</v>
      </c>
      <c r="I1901" s="3"/>
      <c r="J1901" t="s">
        <v>4068</v>
      </c>
    </row>
    <row r="1902" spans="1:10">
      <c r="A1902" s="3" t="s">
        <v>1841</v>
      </c>
      <c r="B1902" s="3" t="s">
        <v>1842</v>
      </c>
      <c r="C1902" s="3" t="s">
        <v>189</v>
      </c>
      <c r="D1902" s="3" t="s">
        <v>4059</v>
      </c>
      <c r="E1902" s="3"/>
      <c r="F1902" s="3"/>
      <c r="G1902" s="3" t="s">
        <v>4066</v>
      </c>
      <c r="H1902" s="3" t="s">
        <v>4063</v>
      </c>
      <c r="I1902" s="3"/>
      <c r="J1902" t="s">
        <v>4069</v>
      </c>
    </row>
    <row r="1903" spans="1:10">
      <c r="A1903" s="3" t="s">
        <v>1841</v>
      </c>
      <c r="B1903" s="3" t="s">
        <v>1842</v>
      </c>
      <c r="C1903" s="3" t="s">
        <v>189</v>
      </c>
      <c r="D1903" s="3" t="s">
        <v>4059</v>
      </c>
      <c r="E1903" s="3"/>
      <c r="F1903" s="3"/>
      <c r="G1903" s="3" t="s">
        <v>4066</v>
      </c>
      <c r="H1903" s="3" t="s">
        <v>4064</v>
      </c>
      <c r="I1903" s="3"/>
      <c r="J1903" t="s">
        <v>4070</v>
      </c>
    </row>
    <row r="1904" spans="1:10">
      <c r="A1904" s="3" t="s">
        <v>245</v>
      </c>
      <c r="B1904" s="3" t="s">
        <v>233</v>
      </c>
      <c r="C1904" s="3"/>
      <c r="D1904" s="3"/>
      <c r="E1904" s="3" t="s">
        <v>4071</v>
      </c>
      <c r="F1904" s="3"/>
      <c r="G1904" s="3"/>
      <c r="H1904" s="3"/>
      <c r="I1904" s="3"/>
      <c r="J1904" t="s">
        <v>4072</v>
      </c>
    </row>
    <row r="1905" spans="1:10">
      <c r="A1905" s="3" t="s">
        <v>201</v>
      </c>
      <c r="B1905" s="3" t="s">
        <v>202</v>
      </c>
      <c r="C1905" s="3"/>
      <c r="D1905" s="3"/>
      <c r="E1905" s="3" t="s">
        <v>203</v>
      </c>
      <c r="F1905" s="3"/>
      <c r="G1905" s="3"/>
      <c r="H1905" s="3"/>
      <c r="I1905" s="3"/>
      <c r="J1905" t="s">
        <v>4073</v>
      </c>
    </row>
    <row r="1906" spans="1:10">
      <c r="A1906" s="3" t="s">
        <v>201</v>
      </c>
      <c r="B1906" s="3" t="s">
        <v>202</v>
      </c>
      <c r="C1906" s="3"/>
      <c r="D1906" s="3"/>
      <c r="E1906" s="3" t="s">
        <v>203</v>
      </c>
      <c r="F1906" s="3"/>
      <c r="G1906" s="3"/>
      <c r="H1906" s="3"/>
      <c r="I1906" s="3"/>
      <c r="J1906" t="s">
        <v>4074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21"/>
  <sheetViews>
    <sheetView workbookViewId="0"/>
  </sheetViews>
  <sheetFormatPr defaultRowHeight="14.25"/>
  <cols>
    <col min="1" max="2" width="23" customWidth="1"/>
    <col min="3" max="8" width="13" customWidth="1"/>
    <col min="9" max="9" width="13.125" customWidth="1"/>
    <col min="10" max="17" width="13" customWidth="1"/>
    <col min="18" max="18" width="16.25" customWidth="1"/>
    <col min="19" max="19" width="18" customWidth="1"/>
    <col min="20" max="20" width="13" customWidth="1"/>
  </cols>
  <sheetData>
    <row r="1" spans="1:20" ht="32.1" customHeight="1">
      <c r="A1" s="13" t="s">
        <v>192</v>
      </c>
      <c r="B1" s="11" t="s">
        <v>4075</v>
      </c>
      <c r="C1" s="11" t="s">
        <v>4076</v>
      </c>
      <c r="D1" s="11" t="s">
        <v>4077</v>
      </c>
      <c r="E1" s="11" t="s">
        <v>4078</v>
      </c>
      <c r="F1" s="11" t="s">
        <v>4079</v>
      </c>
      <c r="G1" s="11" t="s">
        <v>4080</v>
      </c>
      <c r="H1" s="11" t="s">
        <v>4081</v>
      </c>
      <c r="I1" s="1" t="s">
        <v>4082</v>
      </c>
      <c r="J1" s="11" t="s">
        <v>4083</v>
      </c>
      <c r="K1" s="11" t="s">
        <v>4084</v>
      </c>
      <c r="L1" s="11" t="s">
        <v>4085</v>
      </c>
      <c r="M1" s="11" t="s">
        <v>4086</v>
      </c>
      <c r="N1" s="11" t="s">
        <v>4087</v>
      </c>
      <c r="O1" s="11" t="s">
        <v>4088</v>
      </c>
      <c r="P1" s="11" t="s">
        <v>4089</v>
      </c>
      <c r="Q1" s="11" t="s">
        <v>4090</v>
      </c>
      <c r="R1" s="11" t="s">
        <v>4</v>
      </c>
      <c r="S1" s="11" t="s">
        <v>5</v>
      </c>
      <c r="T1" s="11" t="s">
        <v>6</v>
      </c>
    </row>
    <row r="2" spans="1:20">
      <c r="A2" s="4" t="s">
        <v>201</v>
      </c>
      <c r="B2" s="1" t="s">
        <v>4091</v>
      </c>
      <c r="C2" s="7">
        <v>4.2320000000000003E-2</v>
      </c>
      <c r="D2" s="7">
        <v>0.1678</v>
      </c>
      <c r="E2" s="7">
        <v>0.80213999999999996</v>
      </c>
      <c r="F2" s="7">
        <v>9.7300000000000008E-3</v>
      </c>
      <c r="G2" s="7">
        <v>5.8999999999999999E-3</v>
      </c>
      <c r="H2" s="7">
        <v>3.8039999999999997E-2</v>
      </c>
      <c r="I2" s="1">
        <v>0</v>
      </c>
      <c r="J2" s="7">
        <v>7.2940000000000005E-2</v>
      </c>
      <c r="K2" s="7">
        <v>1.6990000000000002E-2</v>
      </c>
      <c r="L2" s="7">
        <v>0</v>
      </c>
      <c r="M2" s="7">
        <v>5.9199999999999999E-3</v>
      </c>
      <c r="N2" s="7">
        <v>2.9999999999999997E-4</v>
      </c>
      <c r="O2" s="7">
        <v>2.5600000000000002E-3</v>
      </c>
      <c r="P2" s="7">
        <v>4.4299999999999999E-3</v>
      </c>
      <c r="Q2" s="1" t="s">
        <v>4092</v>
      </c>
      <c r="R2" s="1" t="s">
        <v>16</v>
      </c>
      <c r="S2" s="1" t="s">
        <v>12</v>
      </c>
      <c r="T2" s="6">
        <v>45299</v>
      </c>
    </row>
    <row r="3" spans="1:20">
      <c r="A3" s="4" t="s">
        <v>218</v>
      </c>
      <c r="B3" s="1" t="s">
        <v>4093</v>
      </c>
      <c r="C3" s="7">
        <v>6.9099999999999995E-2</v>
      </c>
      <c r="D3" s="7">
        <v>0.26634000000000002</v>
      </c>
      <c r="E3" s="7">
        <v>1.2439100000000001</v>
      </c>
      <c r="F3" s="7">
        <v>1.3390000000000001E-2</v>
      </c>
      <c r="G3" s="7">
        <v>5.2399999999999999E-3</v>
      </c>
      <c r="H3" s="7">
        <v>4.931E-2</v>
      </c>
      <c r="I3" s="1">
        <v>0</v>
      </c>
      <c r="J3" s="7">
        <v>0.10176</v>
      </c>
      <c r="K3" s="7">
        <v>6.096E-2</v>
      </c>
      <c r="L3" s="7">
        <v>4.5710000000000001E-2</v>
      </c>
      <c r="M3" s="7">
        <v>3.2829999999999998E-2</v>
      </c>
      <c r="N3" s="7">
        <v>2.7E-4</v>
      </c>
      <c r="O3" s="7">
        <v>1.81E-3</v>
      </c>
      <c r="P3" s="7">
        <v>4.4000000000000003E-3</v>
      </c>
      <c r="Q3" s="1" t="s">
        <v>4092</v>
      </c>
      <c r="R3" s="1" t="s">
        <v>8</v>
      </c>
      <c r="S3" s="1" t="s">
        <v>9</v>
      </c>
      <c r="T3" s="6">
        <v>45302</v>
      </c>
    </row>
    <row r="4" spans="1:20">
      <c r="A4" s="4" t="s">
        <v>232</v>
      </c>
      <c r="B4" s="1" t="s">
        <v>4094</v>
      </c>
      <c r="C4" s="7">
        <v>9.7199999999999995E-2</v>
      </c>
      <c r="D4" s="7">
        <v>0.41861999999999999</v>
      </c>
      <c r="E4" s="7">
        <v>1.78427</v>
      </c>
      <c r="F4" s="7">
        <v>1.457E-2</v>
      </c>
      <c r="G4" s="7">
        <v>3.6900000000000001E-3</v>
      </c>
      <c r="H4" s="7">
        <v>2.7910000000000001E-2</v>
      </c>
      <c r="I4" s="1">
        <v>0</v>
      </c>
      <c r="J4" s="7">
        <v>0.13963999999999999</v>
      </c>
      <c r="K4" s="7">
        <v>0.34555999999999998</v>
      </c>
      <c r="L4" s="7">
        <v>8.0710000000000004E-2</v>
      </c>
      <c r="M4" s="7">
        <v>1.435E-2</v>
      </c>
      <c r="N4" s="7">
        <v>1.17E-3</v>
      </c>
      <c r="O4" s="7">
        <v>2.7699999999999999E-3</v>
      </c>
      <c r="P4" s="7">
        <v>6.3800000000000003E-3</v>
      </c>
      <c r="Q4" s="1" t="s">
        <v>4092</v>
      </c>
      <c r="R4" s="1" t="s">
        <v>11</v>
      </c>
      <c r="S4" s="1" t="s">
        <v>12</v>
      </c>
      <c r="T4" s="6">
        <v>45305</v>
      </c>
    </row>
    <row r="5" spans="1:20">
      <c r="A5" s="4" t="s">
        <v>245</v>
      </c>
      <c r="B5" s="1" t="s">
        <v>4095</v>
      </c>
      <c r="C5" s="7">
        <v>0.11148</v>
      </c>
      <c r="D5" s="7">
        <v>0.59855999999999998</v>
      </c>
      <c r="E5" s="7">
        <v>1.99112</v>
      </c>
      <c r="F5" s="7">
        <v>1.6420000000000001E-2</v>
      </c>
      <c r="G5" s="7">
        <v>2.7299999999999998E-3</v>
      </c>
      <c r="H5" s="7">
        <v>1.3350000000000001E-2</v>
      </c>
      <c r="I5" s="1">
        <v>0</v>
      </c>
      <c r="J5" s="7">
        <v>0.15798000000000001</v>
      </c>
      <c r="K5" s="7">
        <v>0.52730999999999995</v>
      </c>
      <c r="L5" s="7">
        <v>0.18218000000000001</v>
      </c>
      <c r="M5" s="7">
        <v>1.711E-2</v>
      </c>
      <c r="N5" s="7">
        <v>2.0999999999999999E-3</v>
      </c>
      <c r="O5" s="7">
        <v>1.4E-3</v>
      </c>
      <c r="P5" s="7">
        <v>7.45E-3</v>
      </c>
      <c r="Q5" s="1" t="s">
        <v>4092</v>
      </c>
      <c r="R5" s="1" t="s">
        <v>14</v>
      </c>
      <c r="S5" s="1" t="s">
        <v>9</v>
      </c>
      <c r="T5" s="6">
        <v>45308</v>
      </c>
    </row>
    <row r="6" spans="1:20">
      <c r="A6" s="4" t="s">
        <v>254</v>
      </c>
      <c r="B6" s="1" t="s">
        <v>4096</v>
      </c>
      <c r="C6" s="7">
        <v>3.9050000000000001E-2</v>
      </c>
      <c r="D6" s="7">
        <v>0.14701</v>
      </c>
      <c r="E6" s="7">
        <v>0.79964999999999997</v>
      </c>
      <c r="F6" s="7">
        <v>9.5300000000000003E-3</v>
      </c>
      <c r="G6" s="7">
        <v>6.5100000000000002E-3</v>
      </c>
      <c r="H6" s="7">
        <v>3.7199999999999997E-2</v>
      </c>
      <c r="I6" s="1">
        <v>0</v>
      </c>
      <c r="J6" s="7">
        <v>5.5280000000000003E-2</v>
      </c>
      <c r="K6" s="7">
        <v>2.1899999999999999E-2</v>
      </c>
      <c r="L6" s="7">
        <v>8.43E-3</v>
      </c>
      <c r="M6" s="7">
        <v>8.2799999999999992E-3</v>
      </c>
      <c r="N6" s="7">
        <v>0</v>
      </c>
      <c r="O6" s="7">
        <v>2.1199999999999999E-3</v>
      </c>
      <c r="P6" s="7">
        <v>3.98E-3</v>
      </c>
      <c r="Q6" s="1" t="s">
        <v>4092</v>
      </c>
      <c r="R6" s="1" t="s">
        <v>16</v>
      </c>
      <c r="S6" s="1" t="s">
        <v>12</v>
      </c>
      <c r="T6" s="6">
        <v>45311</v>
      </c>
    </row>
    <row r="7" spans="1:20">
      <c r="A7" s="4" t="s">
        <v>271</v>
      </c>
      <c r="B7" s="1" t="s">
        <v>4097</v>
      </c>
      <c r="C7" s="7">
        <v>5.8310000000000001E-2</v>
      </c>
      <c r="D7" s="7">
        <v>0.30264000000000002</v>
      </c>
      <c r="E7" s="7">
        <v>1.15097</v>
      </c>
      <c r="F7" s="7">
        <v>1.251E-2</v>
      </c>
      <c r="G7" s="7">
        <v>3.4099999999999998E-3</v>
      </c>
      <c r="H7" s="7">
        <v>3.576E-2</v>
      </c>
      <c r="I7" s="1">
        <v>0</v>
      </c>
      <c r="J7" s="7">
        <v>8.3669999999999994E-2</v>
      </c>
      <c r="K7" s="7">
        <v>0.11838</v>
      </c>
      <c r="L7" s="7">
        <v>3.4729999999999997E-2</v>
      </c>
      <c r="M7" s="7">
        <v>2.6679999999999999E-2</v>
      </c>
      <c r="N7" s="7">
        <v>5.5000000000000003E-4</v>
      </c>
      <c r="O7" s="7">
        <v>3.0699999999999998E-3</v>
      </c>
      <c r="P7" s="7">
        <v>5.0400000000000002E-3</v>
      </c>
      <c r="Q7" s="1" t="s">
        <v>4098</v>
      </c>
      <c r="R7" s="1" t="s">
        <v>8</v>
      </c>
      <c r="S7" s="1" t="s">
        <v>9</v>
      </c>
      <c r="T7" s="6">
        <v>45314</v>
      </c>
    </row>
    <row r="8" spans="1:20">
      <c r="A8" s="4" t="s">
        <v>283</v>
      </c>
      <c r="B8" s="1" t="s">
        <v>4099</v>
      </c>
      <c r="C8" s="7">
        <v>0.10235</v>
      </c>
      <c r="D8" s="7">
        <v>0.44166</v>
      </c>
      <c r="E8" s="7">
        <v>1.7594799999999999</v>
      </c>
      <c r="F8" s="7">
        <v>1.529E-2</v>
      </c>
      <c r="G8" s="7">
        <v>4.1099999999999999E-3</v>
      </c>
      <c r="H8" s="7">
        <v>2.7980000000000001E-2</v>
      </c>
      <c r="I8" s="1">
        <v>0</v>
      </c>
      <c r="J8" s="7">
        <v>8.8080000000000006E-2</v>
      </c>
      <c r="K8" s="7">
        <v>0.35580000000000001</v>
      </c>
      <c r="L8" s="7">
        <v>9.0249999999999997E-2</v>
      </c>
      <c r="M8" s="7">
        <v>1.116E-2</v>
      </c>
      <c r="N8" s="7">
        <v>1.2600000000000001E-3</v>
      </c>
      <c r="O8" s="7">
        <v>1.9400000000000001E-3</v>
      </c>
      <c r="P8" s="7">
        <v>6.2500000000000003E-3</v>
      </c>
      <c r="Q8" s="1" t="s">
        <v>4098</v>
      </c>
      <c r="R8" s="1" t="s">
        <v>11</v>
      </c>
      <c r="S8" s="1" t="s">
        <v>12</v>
      </c>
      <c r="T8" s="6">
        <v>45317</v>
      </c>
    </row>
    <row r="9" spans="1:20">
      <c r="A9" s="4" t="s">
        <v>295</v>
      </c>
      <c r="B9" s="1" t="s">
        <v>4100</v>
      </c>
      <c r="C9" s="7">
        <v>3.2</v>
      </c>
      <c r="D9" s="7">
        <v>0.65407999999999999</v>
      </c>
      <c r="E9" s="7">
        <v>1.9412499999999999</v>
      </c>
      <c r="F9" s="7">
        <v>1.6199999999999999E-2</v>
      </c>
      <c r="G9" s="7">
        <v>4.7800000000000004E-3</v>
      </c>
      <c r="H9" s="7">
        <v>1.439E-2</v>
      </c>
      <c r="I9" s="1">
        <v>0</v>
      </c>
      <c r="J9" s="7">
        <v>0.16145999999999999</v>
      </c>
      <c r="K9" s="7">
        <v>0.56977999999999995</v>
      </c>
      <c r="L9" s="7">
        <v>0.16827</v>
      </c>
      <c r="M9" s="7">
        <v>3.0839999999999999E-2</v>
      </c>
      <c r="N9" s="7">
        <v>1.6800000000000001E-3</v>
      </c>
      <c r="O9" s="7">
        <v>2.32E-3</v>
      </c>
      <c r="P9" s="7">
        <v>6.77E-3</v>
      </c>
      <c r="Q9" s="1" t="s">
        <v>4098</v>
      </c>
      <c r="R9" s="1" t="s">
        <v>14</v>
      </c>
      <c r="S9" s="1" t="s">
        <v>9</v>
      </c>
      <c r="T9" s="6">
        <v>45320</v>
      </c>
    </row>
    <row r="10" spans="1:20">
      <c r="A10" s="4" t="s">
        <v>301</v>
      </c>
      <c r="B10" s="1" t="s">
        <v>4101</v>
      </c>
      <c r="C10" s="7">
        <v>3.1800000000000002E-2</v>
      </c>
      <c r="D10" s="7">
        <v>0.15336</v>
      </c>
      <c r="E10" s="7">
        <v>0.75204000000000004</v>
      </c>
      <c r="F10" s="7">
        <v>9.2399999999999999E-3</v>
      </c>
      <c r="G10" s="7">
        <v>6.1900000000000002E-3</v>
      </c>
      <c r="H10" s="7">
        <v>4.0919999999999998E-2</v>
      </c>
      <c r="I10" s="1">
        <v>0</v>
      </c>
      <c r="J10" s="7">
        <v>4.2700000000000002E-2</v>
      </c>
      <c r="K10" s="7">
        <v>5.9679999999999997E-2</v>
      </c>
      <c r="L10" s="7">
        <v>1.0290000000000001E-2</v>
      </c>
      <c r="M10" s="7">
        <v>3.7799999999999999E-3</v>
      </c>
      <c r="N10" s="7">
        <v>2.0000000000000001E-4</v>
      </c>
      <c r="O10" s="7">
        <v>2.7699999999999999E-3</v>
      </c>
      <c r="P10" s="7">
        <v>3.9100000000000003E-3</v>
      </c>
      <c r="Q10" s="1" t="s">
        <v>4098</v>
      </c>
      <c r="R10" s="1" t="s">
        <v>16</v>
      </c>
      <c r="S10" s="1" t="s">
        <v>12</v>
      </c>
      <c r="T10" s="6">
        <v>45323</v>
      </c>
    </row>
    <row r="11" spans="1:20">
      <c r="A11" s="4" t="s">
        <v>316</v>
      </c>
      <c r="B11" s="1" t="s">
        <v>4102</v>
      </c>
      <c r="C11" s="7">
        <v>5.9880000000000003E-2</v>
      </c>
      <c r="D11" s="7">
        <v>0.28619</v>
      </c>
      <c r="E11" s="7">
        <v>1.2764599999999999</v>
      </c>
      <c r="F11" s="7">
        <v>1.1860000000000001E-2</v>
      </c>
      <c r="G11" s="7">
        <v>3.98E-3</v>
      </c>
      <c r="H11" s="7">
        <v>3.9570000000000001E-2</v>
      </c>
      <c r="I11" s="1">
        <v>0</v>
      </c>
      <c r="J11" s="7">
        <v>5.1299999999999998E-2</v>
      </c>
      <c r="K11" s="7">
        <v>7.0809999999999998E-2</v>
      </c>
      <c r="L11" s="7">
        <v>1.9300000000000001E-2</v>
      </c>
      <c r="M11" s="7">
        <v>3.6119999999999999E-2</v>
      </c>
      <c r="N11" s="7">
        <v>4.8000000000000001E-4</v>
      </c>
      <c r="O11" s="7">
        <v>2.5500000000000002E-3</v>
      </c>
      <c r="P11" s="7">
        <v>4.3E-3</v>
      </c>
      <c r="Q11" s="1" t="s">
        <v>4098</v>
      </c>
      <c r="R11" s="1" t="s">
        <v>8</v>
      </c>
      <c r="S11" s="1" t="s">
        <v>9</v>
      </c>
      <c r="T11" s="6">
        <v>45326</v>
      </c>
    </row>
    <row r="12" spans="1:20">
      <c r="A12" s="4" t="s">
        <v>2030</v>
      </c>
      <c r="B12" s="1" t="s">
        <v>4103</v>
      </c>
      <c r="C12" s="7">
        <v>0.10743</v>
      </c>
      <c r="D12" s="7">
        <v>0.43807000000000001</v>
      </c>
      <c r="E12" s="7">
        <v>1.8066</v>
      </c>
      <c r="F12" s="7">
        <v>1.375E-2</v>
      </c>
      <c r="G12" s="7">
        <v>3.8899999999999998E-3</v>
      </c>
      <c r="H12" s="7">
        <v>2.6450000000000001E-2</v>
      </c>
      <c r="I12" s="1">
        <v>0</v>
      </c>
      <c r="J12" s="7">
        <v>0.10051</v>
      </c>
      <c r="K12" s="7">
        <v>0.32678000000000001</v>
      </c>
      <c r="L12" s="7">
        <v>0.12933</v>
      </c>
      <c r="M12" s="7">
        <v>1.04E-2</v>
      </c>
      <c r="N12" s="7">
        <v>1.8699999999999999E-3</v>
      </c>
      <c r="O12" s="7">
        <v>1.9300000000000001E-3</v>
      </c>
      <c r="P12" s="7">
        <v>4.7200000000000002E-3</v>
      </c>
      <c r="Q12" s="1" t="s">
        <v>4104</v>
      </c>
      <c r="R12" s="1" t="s">
        <v>11</v>
      </c>
      <c r="S12" s="1" t="s">
        <v>12</v>
      </c>
      <c r="T12" s="6">
        <v>45329</v>
      </c>
    </row>
    <row r="13" spans="1:20">
      <c r="A13" s="4" t="s">
        <v>353</v>
      </c>
      <c r="B13" s="1" t="s">
        <v>4105</v>
      </c>
      <c r="C13" s="7">
        <v>0.13799</v>
      </c>
      <c r="D13" s="7">
        <v>0.51995000000000002</v>
      </c>
      <c r="E13" s="7">
        <v>2.0868799999999998</v>
      </c>
      <c r="F13" s="7">
        <v>1.7239999999999998E-2</v>
      </c>
      <c r="G13" s="7">
        <v>2.6900000000000001E-3</v>
      </c>
      <c r="H13" s="7">
        <v>2.699E-2</v>
      </c>
      <c r="I13" s="1">
        <v>0</v>
      </c>
      <c r="J13" s="7">
        <v>0.12944</v>
      </c>
      <c r="K13" s="7">
        <v>0.53388000000000002</v>
      </c>
      <c r="L13" s="7">
        <v>0.15867999999999999</v>
      </c>
      <c r="M13" s="7">
        <v>7.77E-3</v>
      </c>
      <c r="N13" s="7">
        <v>1.65E-3</v>
      </c>
      <c r="O13" s="7">
        <v>1.1000000000000001E-3</v>
      </c>
      <c r="P13" s="7">
        <v>6.3800000000000003E-3</v>
      </c>
      <c r="Q13" s="1" t="s">
        <v>4104</v>
      </c>
      <c r="R13" s="1" t="s">
        <v>14</v>
      </c>
      <c r="S13" s="1" t="s">
        <v>9</v>
      </c>
      <c r="T13" s="6">
        <v>45332</v>
      </c>
    </row>
    <row r="14" spans="1:20">
      <c r="A14" s="4" t="s">
        <v>356</v>
      </c>
      <c r="B14" s="1" t="s">
        <v>4106</v>
      </c>
      <c r="C14" s="7">
        <v>2.8920000000000001E-2</v>
      </c>
      <c r="D14" s="7">
        <v>0.15729000000000001</v>
      </c>
      <c r="E14" s="7">
        <v>0.73924999999999996</v>
      </c>
      <c r="F14" s="7">
        <v>1.022E-2</v>
      </c>
      <c r="G14" s="7">
        <v>7.3699999999999998E-3</v>
      </c>
      <c r="H14" s="7">
        <v>3.5779999999999999E-2</v>
      </c>
      <c r="I14" s="1">
        <v>0</v>
      </c>
      <c r="J14" s="7">
        <v>1.9779999999999999E-2</v>
      </c>
      <c r="K14" s="7">
        <v>9.6000000000000002E-4</v>
      </c>
      <c r="L14" s="7">
        <v>1.3169999999999999E-2</v>
      </c>
      <c r="M14" s="7">
        <v>0</v>
      </c>
      <c r="N14" s="7">
        <v>2.1000000000000001E-4</v>
      </c>
      <c r="O14" s="7">
        <v>3.2000000000000002E-3</v>
      </c>
      <c r="P14" s="7">
        <v>3.49E-3</v>
      </c>
      <c r="Q14" s="1" t="s">
        <v>4104</v>
      </c>
      <c r="R14" s="1" t="s">
        <v>16</v>
      </c>
      <c r="S14" s="1" t="s">
        <v>12</v>
      </c>
      <c r="T14" s="6">
        <v>45335</v>
      </c>
    </row>
    <row r="15" spans="1:20">
      <c r="A15" s="4" t="s">
        <v>372</v>
      </c>
      <c r="B15" s="1" t="s">
        <v>4107</v>
      </c>
      <c r="C15" s="7">
        <v>6.5850000000000006E-2</v>
      </c>
      <c r="D15" s="7">
        <v>0.26485999999999998</v>
      </c>
      <c r="E15" s="7">
        <v>1.3004899999999999</v>
      </c>
      <c r="F15" s="7">
        <v>9.6699999999999998E-3</v>
      </c>
      <c r="G15" s="7">
        <v>3.4099999999999998E-3</v>
      </c>
      <c r="H15" s="7">
        <v>3.8559999999999997E-2</v>
      </c>
      <c r="I15" s="1">
        <v>0</v>
      </c>
      <c r="J15" s="7">
        <v>9.5729999999999996E-2</v>
      </c>
      <c r="K15" s="7">
        <v>4.947E-2</v>
      </c>
      <c r="L15" s="7">
        <v>3.9140000000000001E-2</v>
      </c>
      <c r="M15" s="7">
        <v>4.36E-2</v>
      </c>
      <c r="N15" s="7">
        <v>7.6000000000000004E-4</v>
      </c>
      <c r="O15" s="7">
        <v>2.3999999999999998E-3</v>
      </c>
      <c r="P15" s="7">
        <v>4.7800000000000004E-3</v>
      </c>
      <c r="Q15" s="1" t="s">
        <v>4104</v>
      </c>
      <c r="R15" s="1" t="s">
        <v>8</v>
      </c>
      <c r="S15" s="1" t="s">
        <v>9</v>
      </c>
      <c r="T15" s="6">
        <v>45338</v>
      </c>
    </row>
    <row r="16" spans="1:20">
      <c r="A16" s="4" t="s">
        <v>389</v>
      </c>
      <c r="B16" s="1" t="s">
        <v>4108</v>
      </c>
      <c r="C16" s="7">
        <v>0.10023</v>
      </c>
      <c r="D16" s="7">
        <v>0.40739999999999998</v>
      </c>
      <c r="E16" s="7">
        <v>1.71038</v>
      </c>
      <c r="F16" s="7">
        <v>1.0970000000000001E-2</v>
      </c>
      <c r="G16" s="7">
        <v>3.0100000000000001E-3</v>
      </c>
      <c r="H16" s="7">
        <v>2.8039999999999999E-2</v>
      </c>
      <c r="I16" s="1">
        <v>0</v>
      </c>
      <c r="J16" s="7">
        <v>0.11511</v>
      </c>
      <c r="K16" s="7">
        <v>0.35171000000000002</v>
      </c>
      <c r="L16" s="7">
        <v>0.11524</v>
      </c>
      <c r="M16" s="7">
        <v>7.0499999999999998E-3</v>
      </c>
      <c r="N16" s="7">
        <v>1.1299999999999999E-3</v>
      </c>
      <c r="O16" s="7">
        <v>2.7299999999999998E-3</v>
      </c>
      <c r="P16" s="7">
        <v>5.0499999999999998E-3</v>
      </c>
      <c r="Q16" s="1" t="s">
        <v>4104</v>
      </c>
      <c r="R16" s="1" t="s">
        <v>11</v>
      </c>
      <c r="S16" s="1" t="s">
        <v>12</v>
      </c>
      <c r="T16" s="6">
        <v>45341</v>
      </c>
    </row>
    <row r="17" spans="1:20">
      <c r="A17" s="4" t="s">
        <v>401</v>
      </c>
      <c r="B17" s="1" t="s">
        <v>4109</v>
      </c>
      <c r="C17" s="7">
        <v>0.13299</v>
      </c>
      <c r="D17" s="7">
        <v>0.55073000000000005</v>
      </c>
      <c r="E17" s="7">
        <v>2.0157099999999999</v>
      </c>
      <c r="F17" s="7">
        <v>1.3769999999999999E-2</v>
      </c>
      <c r="G17" s="7">
        <v>3.82E-3</v>
      </c>
      <c r="H17" s="7">
        <v>1.6990000000000002E-2</v>
      </c>
      <c r="I17" s="1">
        <v>0</v>
      </c>
      <c r="J17" s="7">
        <v>0.10709</v>
      </c>
      <c r="K17" s="7">
        <v>0.55550999999999995</v>
      </c>
      <c r="L17" s="7">
        <v>0.15456</v>
      </c>
      <c r="M17" s="7">
        <v>1.6449999999999999E-2</v>
      </c>
      <c r="N17" s="7">
        <v>1.7099999999999999E-3</v>
      </c>
      <c r="O17" s="7">
        <v>1.6100000000000001E-3</v>
      </c>
      <c r="P17" s="7">
        <v>7.0000000000000001E-3</v>
      </c>
      <c r="Q17" s="1" t="s">
        <v>4110</v>
      </c>
      <c r="R17" s="1" t="s">
        <v>14</v>
      </c>
      <c r="S17" s="1" t="s">
        <v>9</v>
      </c>
      <c r="T17" s="6">
        <v>45344</v>
      </c>
    </row>
    <row r="18" spans="1:20">
      <c r="A18" s="4" t="s">
        <v>407</v>
      </c>
      <c r="B18" s="1" t="s">
        <v>4111</v>
      </c>
      <c r="C18" s="7">
        <v>3.2759999999999997E-2</v>
      </c>
      <c r="D18" s="7">
        <v>0.1401</v>
      </c>
      <c r="E18" s="7">
        <v>0.58059000000000005</v>
      </c>
      <c r="F18" s="7">
        <v>8.8900000000000003E-3</v>
      </c>
      <c r="G18" s="7">
        <v>5.0800000000000003E-3</v>
      </c>
      <c r="H18" s="7">
        <v>3.9820000000000001E-2</v>
      </c>
      <c r="I18" s="1">
        <v>0</v>
      </c>
      <c r="J18" s="7">
        <v>2.9520000000000001E-2</v>
      </c>
      <c r="K18" s="7">
        <v>3.9329999999999997E-2</v>
      </c>
      <c r="L18" s="7">
        <v>0</v>
      </c>
      <c r="M18" s="7">
        <v>2.0699999999999998E-3</v>
      </c>
      <c r="N18" s="7">
        <v>6.9999999999999994E-5</v>
      </c>
      <c r="O18" s="7">
        <v>3.15E-3</v>
      </c>
      <c r="P18" s="7">
        <v>4.1900000000000001E-3</v>
      </c>
      <c r="Q18" s="1" t="s">
        <v>4110</v>
      </c>
      <c r="R18" s="1" t="s">
        <v>16</v>
      </c>
      <c r="S18" s="1" t="s">
        <v>12</v>
      </c>
      <c r="T18" s="6">
        <v>45347</v>
      </c>
    </row>
    <row r="19" spans="1:20">
      <c r="A19" s="4" t="s">
        <v>411</v>
      </c>
      <c r="B19" s="1" t="s">
        <v>4112</v>
      </c>
      <c r="C19" s="7">
        <v>5.96E-2</v>
      </c>
      <c r="D19" s="7">
        <v>0.34227000000000002</v>
      </c>
      <c r="E19" s="7">
        <v>1.33588</v>
      </c>
      <c r="F19" s="7">
        <v>1.158E-2</v>
      </c>
      <c r="G19" s="7">
        <v>3.8700000000000002E-3</v>
      </c>
      <c r="H19" s="7">
        <v>3.7440000000000001E-2</v>
      </c>
      <c r="I19" s="1">
        <v>0</v>
      </c>
      <c r="J19" s="7">
        <v>9.1569999999999999E-2</v>
      </c>
      <c r="K19" s="7">
        <v>0.13453000000000001</v>
      </c>
      <c r="L19" s="7">
        <v>2.758E-2</v>
      </c>
      <c r="M19" s="7">
        <v>2.784E-2</v>
      </c>
      <c r="N19" s="7">
        <v>5.0000000000000001E-4</v>
      </c>
      <c r="O19" s="7">
        <v>2.2599999999999999E-3</v>
      </c>
      <c r="P19" s="7">
        <v>3.8300000000000001E-3</v>
      </c>
      <c r="Q19" s="1" t="s">
        <v>4110</v>
      </c>
      <c r="R19" s="1" t="s">
        <v>8</v>
      </c>
      <c r="S19" s="1" t="s">
        <v>9</v>
      </c>
      <c r="T19" s="6">
        <v>45350</v>
      </c>
    </row>
    <row r="20" spans="1:20">
      <c r="A20" s="4" t="s">
        <v>429</v>
      </c>
      <c r="B20" s="1" t="s">
        <v>4113</v>
      </c>
      <c r="C20" s="7">
        <v>0.10029</v>
      </c>
      <c r="D20" s="7">
        <v>0.48325000000000001</v>
      </c>
      <c r="E20" s="7">
        <v>1.79634</v>
      </c>
      <c r="F20" s="7">
        <v>1.453E-2</v>
      </c>
      <c r="G20" s="7">
        <v>4.8300000000000001E-3</v>
      </c>
      <c r="H20" s="7">
        <v>2.6349999999999998E-2</v>
      </c>
      <c r="I20" s="1">
        <v>0</v>
      </c>
      <c r="J20" s="7">
        <v>0.11466</v>
      </c>
      <c r="K20" s="7">
        <v>0.36676999999999998</v>
      </c>
      <c r="L20" s="7">
        <v>0.12853000000000001</v>
      </c>
      <c r="M20" s="7">
        <v>1.8270000000000002E-2</v>
      </c>
      <c r="N20" s="7">
        <v>1.3600000000000001E-3</v>
      </c>
      <c r="O20" s="7">
        <v>2.2699999999999999E-3</v>
      </c>
      <c r="P20" s="7">
        <v>6.1000000000000004E-3</v>
      </c>
      <c r="Q20" s="1" t="s">
        <v>4110</v>
      </c>
      <c r="R20" s="1" t="s">
        <v>11</v>
      </c>
      <c r="S20" s="1" t="s">
        <v>12</v>
      </c>
      <c r="T20" s="6">
        <v>45353</v>
      </c>
    </row>
    <row r="21" spans="1:20">
      <c r="A21" s="4" t="s">
        <v>435</v>
      </c>
      <c r="B21" s="1" t="s">
        <v>4114</v>
      </c>
      <c r="C21" s="7">
        <v>0.12476</v>
      </c>
      <c r="D21" s="7">
        <v>0.56113999999999997</v>
      </c>
      <c r="E21" s="7">
        <v>1.87022</v>
      </c>
      <c r="F21" s="7">
        <v>1.465E-2</v>
      </c>
      <c r="G21" s="7">
        <v>3.9300000000000003E-3</v>
      </c>
      <c r="H21" s="7">
        <v>2.7349999999999999E-2</v>
      </c>
      <c r="I21" s="1">
        <v>0</v>
      </c>
      <c r="J21" s="7">
        <v>9.0130000000000002E-2</v>
      </c>
      <c r="K21" s="7">
        <v>0.52685000000000004</v>
      </c>
      <c r="L21" s="7">
        <v>0.15522</v>
      </c>
      <c r="M21" s="7">
        <v>3.0179999999999998E-2</v>
      </c>
      <c r="N21" s="7">
        <v>2.0799999999999998E-3</v>
      </c>
      <c r="O21" s="7">
        <v>2.8999999999999998E-3</v>
      </c>
      <c r="P21" s="7">
        <v>7.0899999999999999E-3</v>
      </c>
      <c r="Q21" s="1" t="s">
        <v>4110</v>
      </c>
      <c r="R21" s="1" t="s">
        <v>14</v>
      </c>
      <c r="S21" s="1" t="s">
        <v>9</v>
      </c>
      <c r="T21" s="6">
        <v>45356</v>
      </c>
    </row>
    <row r="22" spans="1:20">
      <c r="A22" s="4" t="s">
        <v>462</v>
      </c>
      <c r="B22" s="1" t="s">
        <v>4115</v>
      </c>
      <c r="C22" s="7">
        <v>3.3149999999999999E-2</v>
      </c>
      <c r="D22" s="7">
        <v>0.18123</v>
      </c>
      <c r="E22" s="7">
        <v>0.71372000000000002</v>
      </c>
      <c r="F22" s="7">
        <v>8.8599999999999998E-3</v>
      </c>
      <c r="G22" s="7">
        <v>5.9100000000000003E-3</v>
      </c>
      <c r="H22" s="7">
        <v>3.9109999999999999E-2</v>
      </c>
      <c r="I22" s="1">
        <v>0</v>
      </c>
      <c r="J22" s="7">
        <v>7.8359999999999999E-2</v>
      </c>
      <c r="K22" s="7">
        <v>7.3830000000000007E-2</v>
      </c>
      <c r="L22" s="7">
        <v>0</v>
      </c>
      <c r="M22" s="7">
        <v>4.0499999999999998E-3</v>
      </c>
      <c r="N22" s="7">
        <v>4.0000000000000002E-4</v>
      </c>
      <c r="O22" s="7">
        <v>2.63E-3</v>
      </c>
      <c r="P22" s="7">
        <v>3.5599999999999998E-3</v>
      </c>
      <c r="Q22" s="1" t="s">
        <v>4116</v>
      </c>
      <c r="R22" s="1" t="s">
        <v>16</v>
      </c>
      <c r="S22" s="1" t="s">
        <v>12</v>
      </c>
      <c r="T22" s="6">
        <v>45359</v>
      </c>
    </row>
    <row r="23" spans="1:20">
      <c r="A23" s="4" t="s">
        <v>468</v>
      </c>
      <c r="B23" s="1" t="s">
        <v>4117</v>
      </c>
      <c r="C23" s="7">
        <v>6.8330000000000002E-2</v>
      </c>
      <c r="D23" s="7">
        <v>0.27856999999999998</v>
      </c>
      <c r="E23" s="7">
        <v>1.3245199999999999</v>
      </c>
      <c r="F23" s="7">
        <v>1.336E-2</v>
      </c>
      <c r="G23" s="7">
        <v>4.3899999999999998E-3</v>
      </c>
      <c r="H23" s="7">
        <v>3.8550000000000001E-2</v>
      </c>
      <c r="I23" s="1">
        <v>0</v>
      </c>
      <c r="J23" s="7">
        <v>0.10786999999999999</v>
      </c>
      <c r="K23" s="7">
        <v>0.10459</v>
      </c>
      <c r="L23" s="7">
        <v>3.4009999999999999E-2</v>
      </c>
      <c r="M23" s="7">
        <v>3.2410000000000001E-2</v>
      </c>
      <c r="N23" s="7">
        <v>1.0300000000000001E-3</v>
      </c>
      <c r="O23" s="7">
        <v>1.41E-3</v>
      </c>
      <c r="P23" s="7">
        <v>4.5399999999999998E-3</v>
      </c>
      <c r="Q23" s="1" t="s">
        <v>4116</v>
      </c>
      <c r="R23" s="1" t="s">
        <v>8</v>
      </c>
      <c r="S23" s="1" t="s">
        <v>9</v>
      </c>
      <c r="T23" s="6">
        <v>45362</v>
      </c>
    </row>
    <row r="24" spans="1:20">
      <c r="A24" s="4" t="s">
        <v>487</v>
      </c>
      <c r="B24" s="1" t="s">
        <v>4118</v>
      </c>
      <c r="C24" s="7">
        <v>9.7820000000000004E-2</v>
      </c>
      <c r="D24" s="7">
        <v>0.36055999999999999</v>
      </c>
      <c r="E24" s="7">
        <v>1.68628</v>
      </c>
      <c r="F24" s="7">
        <v>1.46E-2</v>
      </c>
      <c r="G24" s="7">
        <v>3.3600000000000001E-3</v>
      </c>
      <c r="H24" s="7">
        <v>2.717E-2</v>
      </c>
      <c r="I24" s="1">
        <v>0</v>
      </c>
      <c r="J24" s="7">
        <v>0.1313</v>
      </c>
      <c r="K24" s="7">
        <v>0.35742000000000002</v>
      </c>
      <c r="L24" s="7">
        <v>0.10682</v>
      </c>
      <c r="M24" s="7">
        <v>1.975E-2</v>
      </c>
      <c r="N24" s="7">
        <v>1.64E-3</v>
      </c>
      <c r="O24" s="7">
        <v>1.4599999999999999E-3</v>
      </c>
      <c r="P24" s="7">
        <v>5.5799999999999999E-3</v>
      </c>
      <c r="Q24" s="1" t="s">
        <v>4116</v>
      </c>
      <c r="R24" s="1" t="s">
        <v>11</v>
      </c>
      <c r="S24" s="1" t="s">
        <v>12</v>
      </c>
      <c r="T24" s="6">
        <v>45365</v>
      </c>
    </row>
    <row r="25" spans="1:20">
      <c r="A25" s="4" t="s">
        <v>508</v>
      </c>
      <c r="B25" s="1" t="s">
        <v>4119</v>
      </c>
      <c r="C25" s="7">
        <v>0.12352</v>
      </c>
      <c r="D25" s="7">
        <v>0.49909999999999999</v>
      </c>
      <c r="E25" s="7">
        <v>1.7992999999999999</v>
      </c>
      <c r="F25" s="7">
        <v>1.8239999999999999E-2</v>
      </c>
      <c r="G25" s="7">
        <v>4.7000000000000002E-3</v>
      </c>
      <c r="H25" s="7">
        <v>2.7269999999999999E-2</v>
      </c>
      <c r="I25" s="1">
        <v>0</v>
      </c>
      <c r="J25" s="7">
        <v>0.10317</v>
      </c>
      <c r="K25" s="7">
        <v>0.52861999999999998</v>
      </c>
      <c r="L25" s="7">
        <v>0.16211</v>
      </c>
      <c r="M25" s="7">
        <v>2.69E-2</v>
      </c>
      <c r="N25" s="7">
        <v>1.89E-3</v>
      </c>
      <c r="O25" s="7">
        <v>1.97E-3</v>
      </c>
      <c r="P25" s="7">
        <v>6.7200000000000003E-3</v>
      </c>
      <c r="Q25" s="1" t="s">
        <v>4116</v>
      </c>
      <c r="R25" s="1" t="s">
        <v>14</v>
      </c>
      <c r="S25" s="1" t="s">
        <v>9</v>
      </c>
      <c r="T25" s="6">
        <v>45368</v>
      </c>
    </row>
    <row r="26" spans="1:20">
      <c r="A26" s="4" t="s">
        <v>522</v>
      </c>
      <c r="B26" s="1" t="s">
        <v>4120</v>
      </c>
      <c r="C26" s="7">
        <v>3.5729999999999998E-2</v>
      </c>
      <c r="D26" s="7">
        <v>0.18079999999999999</v>
      </c>
      <c r="E26" s="7">
        <v>0.81562999999999997</v>
      </c>
      <c r="F26" s="7">
        <v>1.0489999999999999E-2</v>
      </c>
      <c r="G26" s="7">
        <v>4.9699999999999996E-3</v>
      </c>
      <c r="H26" s="7">
        <v>3.3099999999999997E-2</v>
      </c>
      <c r="I26" s="1">
        <v>0</v>
      </c>
      <c r="J26" s="7">
        <v>5.2639999999999999E-2</v>
      </c>
      <c r="K26" s="7">
        <v>3.542E-2</v>
      </c>
      <c r="L26" s="7">
        <v>0</v>
      </c>
      <c r="M26" s="7">
        <v>0</v>
      </c>
      <c r="N26" s="7">
        <v>0</v>
      </c>
      <c r="O26" s="7">
        <v>2.6700000000000001E-3</v>
      </c>
      <c r="P26" s="7">
        <v>3.2299999999999998E-3</v>
      </c>
      <c r="Q26" s="1" t="s">
        <v>4116</v>
      </c>
      <c r="R26" s="1" t="s">
        <v>16</v>
      </c>
      <c r="S26" s="1" t="s">
        <v>12</v>
      </c>
      <c r="T26" s="6">
        <v>45371</v>
      </c>
    </row>
    <row r="27" spans="1:20">
      <c r="A27" s="4" t="s">
        <v>548</v>
      </c>
      <c r="B27" s="1" t="s">
        <v>4121</v>
      </c>
      <c r="C27" s="7">
        <v>6.8970000000000004E-2</v>
      </c>
      <c r="D27" s="7">
        <v>0.22747999999999999</v>
      </c>
      <c r="E27" s="7">
        <v>1.2481199999999999</v>
      </c>
      <c r="F27" s="7">
        <v>1.529E-2</v>
      </c>
      <c r="G27" s="7">
        <v>4.9899999999999996E-3</v>
      </c>
      <c r="H27" s="7">
        <v>3.8710000000000001E-2</v>
      </c>
      <c r="I27" s="1">
        <v>0</v>
      </c>
      <c r="J27" s="7">
        <v>4.0840000000000001E-2</v>
      </c>
      <c r="K27" s="7">
        <v>3.3849999999999998E-2</v>
      </c>
      <c r="L27" s="7">
        <v>3.6089999999999997E-2</v>
      </c>
      <c r="M27" s="7">
        <v>3.2250000000000001E-2</v>
      </c>
      <c r="N27" s="7">
        <v>4.8000000000000001E-4</v>
      </c>
      <c r="O27" s="7">
        <v>1.66E-3</v>
      </c>
      <c r="P27" s="7">
        <v>4.0099999999999997E-3</v>
      </c>
      <c r="Q27" s="1" t="s">
        <v>4122</v>
      </c>
      <c r="R27" s="1" t="s">
        <v>8</v>
      </c>
      <c r="S27" s="1" t="s">
        <v>9</v>
      </c>
      <c r="T27" s="6">
        <v>45374</v>
      </c>
    </row>
    <row r="28" spans="1:20">
      <c r="A28" s="4" t="s">
        <v>556</v>
      </c>
      <c r="B28" s="1" t="s">
        <v>4123</v>
      </c>
      <c r="C28" s="7">
        <v>0.10349999999999999</v>
      </c>
      <c r="D28" s="7">
        <v>0.38107000000000002</v>
      </c>
      <c r="E28" s="7">
        <v>1.72664</v>
      </c>
      <c r="F28" s="7">
        <v>1.468E-2</v>
      </c>
      <c r="G28" s="7">
        <v>3.48E-3</v>
      </c>
      <c r="H28" s="7">
        <v>1.9640000000000001E-2</v>
      </c>
      <c r="I28" s="1">
        <v>0</v>
      </c>
      <c r="J28" s="7">
        <v>0.10342</v>
      </c>
      <c r="K28" s="7">
        <v>0.30279</v>
      </c>
      <c r="L28" s="7">
        <v>9.0240000000000001E-2</v>
      </c>
      <c r="M28" s="7">
        <v>4.47E-3</v>
      </c>
      <c r="N28" s="7">
        <v>9.1E-4</v>
      </c>
      <c r="O28" s="7">
        <v>2.1099999999999999E-3</v>
      </c>
      <c r="P28" s="7">
        <v>5.96E-3</v>
      </c>
      <c r="Q28" s="1" t="s">
        <v>4122</v>
      </c>
      <c r="R28" s="1" t="s">
        <v>11</v>
      </c>
      <c r="S28" s="1" t="s">
        <v>12</v>
      </c>
      <c r="T28" s="6">
        <v>45377</v>
      </c>
    </row>
    <row r="29" spans="1:20">
      <c r="A29" s="4" t="s">
        <v>560</v>
      </c>
      <c r="B29" s="1" t="s">
        <v>4124</v>
      </c>
      <c r="C29" s="7">
        <v>0.12526999999999999</v>
      </c>
      <c r="D29" s="7">
        <v>0.55079</v>
      </c>
      <c r="E29" s="7">
        <v>2.0226999999999999</v>
      </c>
      <c r="F29" s="7">
        <v>1.6209999999999999E-2</v>
      </c>
      <c r="G29" s="7">
        <v>4.0299999999999997E-3</v>
      </c>
      <c r="H29" s="7">
        <v>2.9579999999999999E-2</v>
      </c>
      <c r="I29" s="1">
        <v>0</v>
      </c>
      <c r="J29" s="7">
        <v>0.1113</v>
      </c>
      <c r="K29" s="7">
        <v>0.55518999999999996</v>
      </c>
      <c r="L29" s="7">
        <v>0.19051000000000001</v>
      </c>
      <c r="M29" s="7">
        <v>2.9409999999999999E-2</v>
      </c>
      <c r="N29" s="7">
        <v>1.6999999999999999E-3</v>
      </c>
      <c r="O29" s="7">
        <v>1.75E-3</v>
      </c>
      <c r="P29" s="7">
        <v>7.2500000000000004E-3</v>
      </c>
      <c r="Q29" s="1" t="s">
        <v>4122</v>
      </c>
      <c r="R29" s="1" t="s">
        <v>14</v>
      </c>
      <c r="S29" s="1" t="s">
        <v>9</v>
      </c>
      <c r="T29" s="6">
        <v>45380</v>
      </c>
    </row>
    <row r="30" spans="1:20">
      <c r="A30" s="4" t="s">
        <v>571</v>
      </c>
      <c r="B30" s="1" t="s">
        <v>4125</v>
      </c>
      <c r="C30" s="7">
        <v>4.147E-2</v>
      </c>
      <c r="D30" s="7">
        <v>0.16650000000000001</v>
      </c>
      <c r="E30" s="7">
        <v>0.82472999999999996</v>
      </c>
      <c r="F30" s="7">
        <v>8.4899999999999993E-3</v>
      </c>
      <c r="G30" s="7">
        <v>5.6600000000000001E-3</v>
      </c>
      <c r="H30" s="7">
        <v>3.3459999999999997E-2</v>
      </c>
      <c r="I30" s="1">
        <v>0</v>
      </c>
      <c r="J30" s="7">
        <v>7.603E-2</v>
      </c>
      <c r="K30" s="7">
        <v>5.8020000000000002E-2</v>
      </c>
      <c r="L30" s="7">
        <v>1.183E-2</v>
      </c>
      <c r="M30" s="7">
        <v>0</v>
      </c>
      <c r="N30" s="7">
        <v>5.1000000000000004E-4</v>
      </c>
      <c r="O30" s="7">
        <v>1.75E-3</v>
      </c>
      <c r="P30" s="7">
        <v>4.1099999999999999E-3</v>
      </c>
      <c r="Q30" s="1" t="s">
        <v>4122</v>
      </c>
      <c r="R30" s="1" t="s">
        <v>16</v>
      </c>
      <c r="S30" s="1" t="s">
        <v>12</v>
      </c>
      <c r="T30" s="6">
        <v>45383</v>
      </c>
    </row>
    <row r="31" spans="1:20">
      <c r="A31" s="4" t="s">
        <v>589</v>
      </c>
      <c r="B31" s="1" t="s">
        <v>4126</v>
      </c>
      <c r="C31" s="7">
        <v>6.2089999999999999E-2</v>
      </c>
      <c r="D31" s="7">
        <v>0.25024999999999997</v>
      </c>
      <c r="E31" s="7">
        <v>1.3010999999999999</v>
      </c>
      <c r="F31" s="7">
        <v>1.005E-2</v>
      </c>
      <c r="G31" s="7">
        <v>3.6700000000000001E-3</v>
      </c>
      <c r="H31" s="7">
        <v>5.1330000000000001E-2</v>
      </c>
      <c r="I31" s="1">
        <v>0</v>
      </c>
      <c r="J31" s="7">
        <v>5.3449999999999998E-2</v>
      </c>
      <c r="K31" s="7">
        <v>0.12962000000000001</v>
      </c>
      <c r="L31" s="7">
        <v>2.9389999999999999E-2</v>
      </c>
      <c r="M31" s="7">
        <v>2.647E-2</v>
      </c>
      <c r="N31" s="7">
        <v>0</v>
      </c>
      <c r="O31" s="7">
        <v>2.49E-3</v>
      </c>
      <c r="P31" s="7">
        <v>5.2900000000000004E-3</v>
      </c>
      <c r="Q31" s="1" t="s">
        <v>4122</v>
      </c>
      <c r="R31" s="1" t="s">
        <v>8</v>
      </c>
      <c r="S31" s="1" t="s">
        <v>9</v>
      </c>
      <c r="T31" s="6">
        <v>45386</v>
      </c>
    </row>
    <row r="32" spans="1:20">
      <c r="A32" s="4" t="s">
        <v>593</v>
      </c>
      <c r="B32" s="1" t="s">
        <v>4127</v>
      </c>
      <c r="C32" s="7">
        <v>0.10718999999999999</v>
      </c>
      <c r="D32" s="7">
        <v>0.42220999999999997</v>
      </c>
      <c r="E32" s="7">
        <v>1.70455</v>
      </c>
      <c r="F32" s="7">
        <v>1.617E-2</v>
      </c>
      <c r="G32" s="7">
        <v>4.5999999999999999E-3</v>
      </c>
      <c r="H32" s="7">
        <v>3.372E-2</v>
      </c>
      <c r="I32" s="1">
        <v>0</v>
      </c>
      <c r="J32" s="7">
        <v>0.1047</v>
      </c>
      <c r="K32" s="7">
        <v>0.37581999999999999</v>
      </c>
      <c r="L32" s="7">
        <v>0.10215</v>
      </c>
      <c r="M32" s="7">
        <v>1.5769999999999999E-2</v>
      </c>
      <c r="N32" s="7">
        <v>1.1999999999999999E-3</v>
      </c>
      <c r="O32" s="7">
        <v>1.56E-3</v>
      </c>
      <c r="P32" s="7">
        <v>5.3099999999999996E-3</v>
      </c>
      <c r="Q32" s="1" t="s">
        <v>4128</v>
      </c>
      <c r="R32" s="1" t="s">
        <v>11</v>
      </c>
      <c r="S32" s="1" t="s">
        <v>12</v>
      </c>
      <c r="T32" s="6">
        <v>45389</v>
      </c>
    </row>
    <row r="33" spans="1:20">
      <c r="A33" s="4" t="s">
        <v>609</v>
      </c>
      <c r="B33" s="1" t="s">
        <v>4129</v>
      </c>
      <c r="C33" s="7">
        <v>0.13028000000000001</v>
      </c>
      <c r="D33" s="7">
        <v>0.49331000000000003</v>
      </c>
      <c r="E33" s="7">
        <v>2.10806</v>
      </c>
      <c r="F33" s="7">
        <v>1.503E-2</v>
      </c>
      <c r="G33" s="7">
        <v>3.7200000000000002E-3</v>
      </c>
      <c r="H33" s="7">
        <v>2.8840000000000001E-2</v>
      </c>
      <c r="I33" s="1">
        <v>0</v>
      </c>
      <c r="J33" s="7">
        <v>0.11951000000000001</v>
      </c>
      <c r="K33" s="7">
        <v>0.53349000000000002</v>
      </c>
      <c r="L33" s="7">
        <v>0.18870999999999999</v>
      </c>
      <c r="M33" s="7">
        <v>1.307E-2</v>
      </c>
      <c r="N33" s="7">
        <v>1.9E-3</v>
      </c>
      <c r="O33" s="7">
        <v>2.63E-3</v>
      </c>
      <c r="P33" s="7">
        <v>5.5199999999999997E-3</v>
      </c>
      <c r="Q33" s="1" t="s">
        <v>4128</v>
      </c>
      <c r="R33" s="1" t="s">
        <v>14</v>
      </c>
      <c r="S33" s="1" t="s">
        <v>9</v>
      </c>
      <c r="T33" s="6">
        <v>45392</v>
      </c>
    </row>
    <row r="34" spans="1:20">
      <c r="A34" s="4" t="s">
        <v>615</v>
      </c>
      <c r="B34" s="1" t="s">
        <v>4130</v>
      </c>
      <c r="C34" s="7">
        <v>3.551E-2</v>
      </c>
      <c r="D34" s="7">
        <v>0.12472999999999999</v>
      </c>
      <c r="E34" s="7">
        <v>0.78534000000000004</v>
      </c>
      <c r="F34" s="7">
        <v>1.043E-2</v>
      </c>
      <c r="G34" s="7">
        <v>6.2100000000000002E-3</v>
      </c>
      <c r="H34" s="7">
        <v>4.3560000000000001E-2</v>
      </c>
      <c r="I34" s="1">
        <v>0</v>
      </c>
      <c r="J34" s="7">
        <v>4.7350000000000003E-2</v>
      </c>
      <c r="K34" s="7">
        <v>3.3779999999999998E-2</v>
      </c>
      <c r="L34" s="7">
        <v>1.396E-2</v>
      </c>
      <c r="M34" s="7">
        <v>5.7800000000000004E-3</v>
      </c>
      <c r="N34" s="7">
        <v>0</v>
      </c>
      <c r="O34" s="7">
        <v>2.8E-3</v>
      </c>
      <c r="P34" s="7">
        <v>3.9699999999999996E-3</v>
      </c>
      <c r="Q34" s="1" t="s">
        <v>4128</v>
      </c>
      <c r="R34" s="1" t="s">
        <v>16</v>
      </c>
      <c r="S34" s="1" t="s">
        <v>12</v>
      </c>
      <c r="T34" s="6">
        <v>45395</v>
      </c>
    </row>
    <row r="35" spans="1:20">
      <c r="A35" s="4" t="s">
        <v>629</v>
      </c>
      <c r="B35" s="1" t="s">
        <v>4131</v>
      </c>
      <c r="C35" s="7">
        <v>6.0179999999999997E-2</v>
      </c>
      <c r="D35" s="7">
        <v>0.27687</v>
      </c>
      <c r="E35" s="7">
        <v>1.2897099999999999</v>
      </c>
      <c r="F35" s="7">
        <v>1.5010000000000001E-2</v>
      </c>
      <c r="G35" s="7">
        <v>6.9199999999999999E-3</v>
      </c>
      <c r="H35" s="7">
        <v>3.2129999999999999E-2</v>
      </c>
      <c r="I35" s="1">
        <v>0</v>
      </c>
      <c r="J35" s="7">
        <v>0.10417999999999999</v>
      </c>
      <c r="K35" s="7">
        <v>8.7800000000000003E-2</v>
      </c>
      <c r="L35" s="7">
        <v>4.5280000000000001E-2</v>
      </c>
      <c r="M35" s="7">
        <v>2.9329999999999998E-2</v>
      </c>
      <c r="N35" s="7">
        <v>4.6999999999999999E-4</v>
      </c>
      <c r="O35" s="7">
        <v>2.1800000000000001E-3</v>
      </c>
      <c r="P35" s="7">
        <v>4.3299999999999996E-3</v>
      </c>
      <c r="Q35" s="1" t="s">
        <v>4128</v>
      </c>
      <c r="R35" s="1" t="s">
        <v>8</v>
      </c>
      <c r="S35" s="1" t="s">
        <v>9</v>
      </c>
      <c r="T35" s="6">
        <v>45398</v>
      </c>
    </row>
    <row r="36" spans="1:20">
      <c r="A36" s="4" t="s">
        <v>635</v>
      </c>
      <c r="B36" s="1" t="s">
        <v>4132</v>
      </c>
      <c r="C36" s="7">
        <v>9.425E-2</v>
      </c>
      <c r="D36" s="7">
        <v>0.40415000000000001</v>
      </c>
      <c r="E36" s="7">
        <v>1.7260899999999999</v>
      </c>
      <c r="F36" s="7">
        <v>1.372E-2</v>
      </c>
      <c r="G36" s="7">
        <v>3.3999999999999998E-3</v>
      </c>
      <c r="H36" s="7">
        <v>3.6049999999999999E-2</v>
      </c>
      <c r="I36" s="1">
        <v>0</v>
      </c>
      <c r="J36" s="7">
        <v>0.10915</v>
      </c>
      <c r="K36" s="7">
        <v>0.34182000000000001</v>
      </c>
      <c r="L36" s="7">
        <v>0.10588</v>
      </c>
      <c r="M36" s="7">
        <v>1.602E-2</v>
      </c>
      <c r="N36" s="7">
        <v>1.1900000000000001E-3</v>
      </c>
      <c r="O36" s="7">
        <v>3.0599999999999998E-3</v>
      </c>
      <c r="P36" s="7">
        <v>6.5599999999999999E-3</v>
      </c>
      <c r="Q36" s="1" t="s">
        <v>4128</v>
      </c>
      <c r="R36" s="1" t="s">
        <v>11</v>
      </c>
      <c r="S36" s="1" t="s">
        <v>12</v>
      </c>
      <c r="T36" s="6">
        <v>45401</v>
      </c>
    </row>
    <row r="37" spans="1:20">
      <c r="A37" s="4" t="s">
        <v>643</v>
      </c>
      <c r="B37" s="1" t="s">
        <v>4133</v>
      </c>
      <c r="C37" s="7">
        <v>0.11712</v>
      </c>
      <c r="D37" s="7">
        <v>0.53800999999999999</v>
      </c>
      <c r="E37" s="7">
        <v>1.92689</v>
      </c>
      <c r="F37" s="7">
        <v>1.524E-2</v>
      </c>
      <c r="G37" s="7">
        <v>3.6600000000000001E-3</v>
      </c>
      <c r="H37" s="7">
        <v>1.8870000000000001E-2</v>
      </c>
      <c r="I37" s="1">
        <v>0</v>
      </c>
      <c r="J37" s="7">
        <v>0.10936999999999999</v>
      </c>
      <c r="K37" s="7">
        <v>0.55918000000000001</v>
      </c>
      <c r="L37" s="7">
        <v>0.18193999999999999</v>
      </c>
      <c r="M37" s="7">
        <v>1.8839999999999999E-2</v>
      </c>
      <c r="N37" s="7">
        <v>1.83E-3</v>
      </c>
      <c r="O37" s="7">
        <v>2.2200000000000002E-3</v>
      </c>
      <c r="P37" s="7">
        <v>7.0400000000000003E-3</v>
      </c>
      <c r="Q37" s="1" t="s">
        <v>4134</v>
      </c>
      <c r="R37" s="1" t="s">
        <v>14</v>
      </c>
      <c r="S37" s="1" t="s">
        <v>9</v>
      </c>
      <c r="T37" s="6">
        <v>45404</v>
      </c>
    </row>
    <row r="38" spans="1:20">
      <c r="A38" s="4" t="s">
        <v>658</v>
      </c>
      <c r="B38" s="1" t="s">
        <v>4135</v>
      </c>
      <c r="C38" s="7">
        <v>3.09E-2</v>
      </c>
      <c r="D38" s="7">
        <v>0.15356</v>
      </c>
      <c r="E38" s="7">
        <v>0.82496000000000003</v>
      </c>
      <c r="F38" s="7">
        <v>1.0019999999999999E-2</v>
      </c>
      <c r="G38" s="7">
        <v>3.8999999999999998E-3</v>
      </c>
      <c r="H38" s="7">
        <v>3.9980000000000002E-2</v>
      </c>
      <c r="I38" s="1">
        <v>0</v>
      </c>
      <c r="J38" s="7">
        <v>4.8750000000000002E-2</v>
      </c>
      <c r="K38" s="7">
        <v>2.5749999999999999E-2</v>
      </c>
      <c r="L38" s="7">
        <v>3.3E-3</v>
      </c>
      <c r="M38" s="7">
        <v>6.4999999999999997E-3</v>
      </c>
      <c r="N38" s="7">
        <v>3.0000000000000001E-5</v>
      </c>
      <c r="O38" s="7">
        <v>2.7899999999999999E-3</v>
      </c>
      <c r="P38" s="7">
        <v>4.6100000000000004E-3</v>
      </c>
      <c r="Q38" s="1" t="s">
        <v>4134</v>
      </c>
      <c r="R38" s="1" t="s">
        <v>16</v>
      </c>
      <c r="S38" s="1" t="s">
        <v>12</v>
      </c>
      <c r="T38" s="6">
        <v>45407</v>
      </c>
    </row>
    <row r="39" spans="1:20">
      <c r="A39" s="4" t="s">
        <v>666</v>
      </c>
      <c r="B39" s="1" t="s">
        <v>4136</v>
      </c>
      <c r="C39" s="7">
        <v>6.4219999999999999E-2</v>
      </c>
      <c r="D39" s="7">
        <v>0.27021000000000001</v>
      </c>
      <c r="E39" s="7">
        <v>1.14489</v>
      </c>
      <c r="F39" s="7">
        <v>1.2659999999999999E-2</v>
      </c>
      <c r="G39" s="7">
        <v>4.3499999999999997E-3</v>
      </c>
      <c r="H39" s="7">
        <v>3.7530000000000001E-2</v>
      </c>
      <c r="I39" s="1">
        <v>0</v>
      </c>
      <c r="J39" s="7">
        <v>4.5170000000000002E-2</v>
      </c>
      <c r="K39" s="7">
        <v>8.9560000000000001E-2</v>
      </c>
      <c r="L39" s="7">
        <v>3.9759999999999997E-2</v>
      </c>
      <c r="M39" s="7">
        <v>3.5000000000000003E-2</v>
      </c>
      <c r="N39" s="7">
        <v>2.7999999999999998E-4</v>
      </c>
      <c r="O39" s="7">
        <v>1.5E-3</v>
      </c>
      <c r="P39" s="7">
        <v>4.6899999999999997E-3</v>
      </c>
      <c r="Q39" s="1" t="s">
        <v>4134</v>
      </c>
      <c r="R39" s="1" t="s">
        <v>8</v>
      </c>
      <c r="S39" s="1" t="s">
        <v>9</v>
      </c>
      <c r="T39" s="6">
        <v>45410</v>
      </c>
    </row>
    <row r="40" spans="1:20">
      <c r="A40" s="4" t="s">
        <v>672</v>
      </c>
      <c r="B40" s="1" t="s">
        <v>4137</v>
      </c>
      <c r="C40" s="7">
        <v>0.11762</v>
      </c>
      <c r="D40" s="7">
        <v>0.46227000000000001</v>
      </c>
      <c r="E40" s="7">
        <v>1.84884</v>
      </c>
      <c r="F40" s="7">
        <v>1.418E-2</v>
      </c>
      <c r="G40" s="7">
        <v>3.0699999999999998E-3</v>
      </c>
      <c r="H40" s="7">
        <v>3.703E-2</v>
      </c>
      <c r="I40" s="1">
        <v>0</v>
      </c>
      <c r="J40" s="7">
        <v>7.8549999999999995E-2</v>
      </c>
      <c r="K40" s="7">
        <v>0.40278999999999998</v>
      </c>
      <c r="L40" s="7">
        <v>0.10645</v>
      </c>
      <c r="M40" s="7">
        <v>2.2599999999999999E-2</v>
      </c>
      <c r="N40" s="7">
        <v>1.64E-3</v>
      </c>
      <c r="O40" s="7">
        <v>2.0799999999999998E-3</v>
      </c>
      <c r="P40" s="7">
        <v>4.7299999999999998E-3</v>
      </c>
      <c r="Q40" s="1" t="s">
        <v>4134</v>
      </c>
      <c r="R40" s="1" t="s">
        <v>11</v>
      </c>
      <c r="S40" s="1" t="s">
        <v>12</v>
      </c>
      <c r="T40" s="6">
        <v>45413</v>
      </c>
    </row>
    <row r="41" spans="1:20">
      <c r="A41" s="4" t="s">
        <v>686</v>
      </c>
      <c r="B41" s="1" t="s">
        <v>4138</v>
      </c>
      <c r="C41" s="7">
        <v>0.12493</v>
      </c>
      <c r="D41" s="7">
        <v>0.51214999999999999</v>
      </c>
      <c r="E41" s="7">
        <v>1.8881699999999999</v>
      </c>
      <c r="F41" s="7">
        <v>1.477E-2</v>
      </c>
      <c r="G41" s="7">
        <v>5.8199999999999997E-3</v>
      </c>
      <c r="H41" s="7">
        <v>1.6420000000000001E-2</v>
      </c>
      <c r="I41" s="1">
        <v>0</v>
      </c>
      <c r="J41" s="7">
        <v>0.10358000000000001</v>
      </c>
      <c r="K41" s="7">
        <v>0.56691000000000003</v>
      </c>
      <c r="L41" s="7">
        <v>0.15678</v>
      </c>
      <c r="M41" s="7">
        <v>2.0959999999999999E-2</v>
      </c>
      <c r="N41" s="7">
        <v>1.83E-3</v>
      </c>
      <c r="O41" s="7">
        <v>9.2000000000000003E-4</v>
      </c>
      <c r="P41" s="7">
        <v>5.8399999999999997E-3</v>
      </c>
      <c r="Q41" s="1" t="s">
        <v>4134</v>
      </c>
      <c r="R41" s="1" t="s">
        <v>14</v>
      </c>
      <c r="S41" s="1" t="s">
        <v>9</v>
      </c>
      <c r="T41" s="6">
        <v>45416</v>
      </c>
    </row>
    <row r="42" spans="1:20">
      <c r="A42" s="4" t="s">
        <v>699</v>
      </c>
      <c r="B42" s="1" t="s">
        <v>4139</v>
      </c>
      <c r="C42" s="7">
        <v>3.3210000000000003E-2</v>
      </c>
      <c r="D42" s="7">
        <v>0.13949</v>
      </c>
      <c r="E42" s="7">
        <v>0.75266</v>
      </c>
      <c r="F42" s="7">
        <v>7.0600000000000003E-3</v>
      </c>
      <c r="G42" s="7">
        <v>5.13E-3</v>
      </c>
      <c r="H42" s="7">
        <v>3.1E-2</v>
      </c>
      <c r="I42" s="1">
        <v>0</v>
      </c>
      <c r="J42" s="7">
        <v>2.938E-2</v>
      </c>
      <c r="K42" s="7">
        <v>7.6689999999999994E-2</v>
      </c>
      <c r="L42" s="7">
        <v>0</v>
      </c>
      <c r="M42" s="7">
        <v>0</v>
      </c>
      <c r="N42" s="7">
        <v>2.5000000000000001E-4</v>
      </c>
      <c r="O42" s="7">
        <v>3.2599999999999999E-3</v>
      </c>
      <c r="P42" s="7">
        <v>3.5699999999999998E-3</v>
      </c>
      <c r="Q42" s="1" t="s">
        <v>4140</v>
      </c>
      <c r="R42" s="1" t="s">
        <v>16</v>
      </c>
      <c r="S42" s="1" t="s">
        <v>12</v>
      </c>
      <c r="T42" s="6">
        <v>45419</v>
      </c>
    </row>
    <row r="43" spans="1:20">
      <c r="A43" s="4" t="s">
        <v>714</v>
      </c>
      <c r="B43" s="1" t="s">
        <v>4141</v>
      </c>
      <c r="C43" s="7">
        <v>6.019E-2</v>
      </c>
      <c r="D43" s="7">
        <v>0.24703</v>
      </c>
      <c r="E43" s="7">
        <v>1.16842</v>
      </c>
      <c r="F43" s="7">
        <v>1.2540000000000001E-2</v>
      </c>
      <c r="G43" s="7">
        <v>4.9399999999999999E-3</v>
      </c>
      <c r="H43" s="7">
        <v>3.7350000000000001E-2</v>
      </c>
      <c r="I43" s="1">
        <v>0</v>
      </c>
      <c r="J43" s="7">
        <v>6.4560000000000006E-2</v>
      </c>
      <c r="K43" s="7">
        <v>0.13532</v>
      </c>
      <c r="L43" s="7">
        <v>4.086E-2</v>
      </c>
      <c r="M43" s="7">
        <v>3.363E-2</v>
      </c>
      <c r="N43" s="7">
        <v>1E-3</v>
      </c>
      <c r="O43" s="7">
        <v>1.99E-3</v>
      </c>
      <c r="P43" s="7">
        <v>4.5500000000000002E-3</v>
      </c>
      <c r="Q43" s="1" t="s">
        <v>4140</v>
      </c>
      <c r="R43" s="1" t="s">
        <v>8</v>
      </c>
      <c r="S43" s="1" t="s">
        <v>9</v>
      </c>
      <c r="T43" s="6">
        <v>45422</v>
      </c>
    </row>
    <row r="44" spans="1:20">
      <c r="A44" s="4" t="s">
        <v>731</v>
      </c>
      <c r="B44" s="1" t="s">
        <v>4142</v>
      </c>
      <c r="C44" s="7">
        <v>0.10477</v>
      </c>
      <c r="D44" s="7">
        <v>0.42991000000000001</v>
      </c>
      <c r="E44" s="7">
        <v>1.6061099999999999</v>
      </c>
      <c r="F44" s="7">
        <v>1.423E-2</v>
      </c>
      <c r="G44" s="7">
        <v>4.3400000000000001E-3</v>
      </c>
      <c r="H44" s="7">
        <v>3.7190000000000001E-2</v>
      </c>
      <c r="I44" s="1">
        <v>0</v>
      </c>
      <c r="J44" s="7">
        <v>0.1142</v>
      </c>
      <c r="K44" s="7">
        <v>0.31084000000000001</v>
      </c>
      <c r="L44" s="7">
        <v>6.9220000000000004E-2</v>
      </c>
      <c r="M44" s="7">
        <v>8.5500000000000003E-3</v>
      </c>
      <c r="N44" s="7">
        <v>1.01E-3</v>
      </c>
      <c r="O44" s="7">
        <v>2.0400000000000001E-3</v>
      </c>
      <c r="P44" s="7">
        <v>5.8799999999999998E-3</v>
      </c>
      <c r="Q44" s="1" t="s">
        <v>4140</v>
      </c>
      <c r="R44" s="1" t="s">
        <v>11</v>
      </c>
      <c r="S44" s="1" t="s">
        <v>12</v>
      </c>
      <c r="T44" s="6">
        <v>45425</v>
      </c>
    </row>
    <row r="45" spans="1:20">
      <c r="A45" s="4" t="s">
        <v>737</v>
      </c>
      <c r="B45" s="1" t="s">
        <v>4143</v>
      </c>
      <c r="C45" s="7">
        <v>0.12570999999999999</v>
      </c>
      <c r="D45" s="7">
        <v>0.55857999999999997</v>
      </c>
      <c r="E45" s="7">
        <v>1.8209200000000001</v>
      </c>
      <c r="F45" s="7">
        <v>1.3690000000000001E-2</v>
      </c>
      <c r="G45" s="7">
        <v>4.8500000000000001E-3</v>
      </c>
      <c r="H45" s="7">
        <v>2.775E-2</v>
      </c>
      <c r="I45" s="1">
        <v>0</v>
      </c>
      <c r="J45" s="7">
        <v>0.13245999999999999</v>
      </c>
      <c r="K45" s="7">
        <v>0.53130999999999995</v>
      </c>
      <c r="L45" s="7">
        <v>0.17632</v>
      </c>
      <c r="M45" s="7">
        <v>2.3769999999999999E-2</v>
      </c>
      <c r="N45" s="7">
        <v>1.5100000000000001E-3</v>
      </c>
      <c r="O45" s="7">
        <v>2.2699999999999999E-3</v>
      </c>
      <c r="P45" s="7">
        <v>4.5999999999999999E-3</v>
      </c>
      <c r="Q45" s="1" t="s">
        <v>4140</v>
      </c>
      <c r="R45" s="1" t="s">
        <v>14</v>
      </c>
      <c r="S45" s="1" t="s">
        <v>9</v>
      </c>
      <c r="T45" s="6">
        <v>45428</v>
      </c>
    </row>
    <row r="46" spans="1:20">
      <c r="A46" s="4" t="s">
        <v>756</v>
      </c>
      <c r="B46" s="1" t="s">
        <v>4144</v>
      </c>
      <c r="C46" s="7">
        <v>3.832E-2</v>
      </c>
      <c r="D46" s="7">
        <v>0.24104999999999999</v>
      </c>
      <c r="E46" s="7">
        <v>0.84169000000000005</v>
      </c>
      <c r="F46" s="7">
        <v>1.12E-2</v>
      </c>
      <c r="G46" s="7">
        <v>6.62E-3</v>
      </c>
      <c r="H46" s="7">
        <v>4.0259999999999997E-2</v>
      </c>
      <c r="I46" s="1">
        <v>0</v>
      </c>
      <c r="J46" s="7">
        <v>5.0139999999999997E-2</v>
      </c>
      <c r="K46" s="7">
        <v>3.4509999999999999E-2</v>
      </c>
      <c r="L46" s="7">
        <v>3.5459999999999998E-2</v>
      </c>
      <c r="M46" s="7">
        <v>0</v>
      </c>
      <c r="N46" s="7">
        <v>0</v>
      </c>
      <c r="O46" s="7">
        <v>2.32E-3</v>
      </c>
      <c r="P46" s="7">
        <v>2.8700000000000002E-3</v>
      </c>
      <c r="Q46" s="1" t="s">
        <v>4140</v>
      </c>
      <c r="R46" s="1" t="s">
        <v>16</v>
      </c>
      <c r="S46" s="1" t="s">
        <v>12</v>
      </c>
      <c r="T46" s="6">
        <v>45431</v>
      </c>
    </row>
    <row r="47" spans="1:20">
      <c r="A47" s="4" t="s">
        <v>759</v>
      </c>
      <c r="B47" s="1" t="s">
        <v>4145</v>
      </c>
      <c r="C47" s="7">
        <v>6.1019999999999998E-2</v>
      </c>
      <c r="D47" s="7">
        <v>0.31611</v>
      </c>
      <c r="E47" s="7">
        <v>1.2441899999999999</v>
      </c>
      <c r="F47" s="7">
        <v>1.0789999999999999E-2</v>
      </c>
      <c r="G47" s="7">
        <v>4.6499999999999996E-3</v>
      </c>
      <c r="H47" s="7">
        <v>4.2130000000000001E-2</v>
      </c>
      <c r="I47" s="1">
        <v>0</v>
      </c>
      <c r="J47" s="7">
        <v>8.7489999999999998E-2</v>
      </c>
      <c r="K47" s="7">
        <v>8.4769999999999998E-2</v>
      </c>
      <c r="L47" s="7">
        <v>4.6879999999999998E-2</v>
      </c>
      <c r="M47" s="7">
        <v>5.0279999999999998E-2</v>
      </c>
      <c r="N47" s="7">
        <v>9.1E-4</v>
      </c>
      <c r="O47" s="7">
        <v>2.3500000000000001E-3</v>
      </c>
      <c r="P47" s="7">
        <v>6.62E-3</v>
      </c>
      <c r="Q47" s="1" t="s">
        <v>4146</v>
      </c>
      <c r="R47" s="1" t="s">
        <v>8</v>
      </c>
      <c r="S47" s="1" t="s">
        <v>9</v>
      </c>
      <c r="T47" s="6">
        <v>45434</v>
      </c>
    </row>
    <row r="48" spans="1:20">
      <c r="A48" s="4" t="s">
        <v>767</v>
      </c>
      <c r="B48" s="1" t="s">
        <v>4147</v>
      </c>
      <c r="C48" s="7">
        <v>0.10031</v>
      </c>
      <c r="D48" s="7">
        <v>0.45780999999999999</v>
      </c>
      <c r="E48" s="7">
        <v>1.5362899999999999</v>
      </c>
      <c r="F48" s="7">
        <v>1.26E-2</v>
      </c>
      <c r="G48" s="7">
        <v>4.6100000000000004E-3</v>
      </c>
      <c r="H48" s="7">
        <v>3.7179999999999998E-2</v>
      </c>
      <c r="I48" s="1">
        <v>0</v>
      </c>
      <c r="J48" s="7">
        <v>9.8540000000000003E-2</v>
      </c>
      <c r="K48" s="7">
        <v>0.34338999999999997</v>
      </c>
      <c r="L48" s="7">
        <v>0.13483999999999999</v>
      </c>
      <c r="M48" s="7">
        <v>2.3199999999999998E-2</v>
      </c>
      <c r="N48" s="7">
        <v>1.2700000000000001E-3</v>
      </c>
      <c r="O48" s="7">
        <v>2.7899999999999999E-3</v>
      </c>
      <c r="P48" s="7">
        <v>4.8900000000000002E-3</v>
      </c>
      <c r="Q48" s="1" t="s">
        <v>4146</v>
      </c>
      <c r="R48" s="1" t="s">
        <v>11</v>
      </c>
      <c r="S48" s="1" t="s">
        <v>12</v>
      </c>
      <c r="T48" s="6">
        <v>45437</v>
      </c>
    </row>
    <row r="49" spans="1:20">
      <c r="A49" s="4" t="s">
        <v>789</v>
      </c>
      <c r="B49" s="1" t="s">
        <v>4148</v>
      </c>
      <c r="C49" s="7">
        <v>0.12315</v>
      </c>
      <c r="D49" s="7">
        <v>0.54767999999999994</v>
      </c>
      <c r="E49" s="7">
        <v>1.90544</v>
      </c>
      <c r="F49" s="7">
        <v>1.5650000000000001E-2</v>
      </c>
      <c r="G49" s="7">
        <v>4.9100000000000003E-3</v>
      </c>
      <c r="H49" s="7">
        <v>2.3990000000000001E-2</v>
      </c>
      <c r="I49" s="1">
        <v>0</v>
      </c>
      <c r="J49" s="7">
        <v>0.10868999999999999</v>
      </c>
      <c r="K49" s="7">
        <v>0.52176</v>
      </c>
      <c r="L49" s="7">
        <v>0.17191000000000001</v>
      </c>
      <c r="M49" s="7">
        <v>2.1610000000000001E-2</v>
      </c>
      <c r="N49" s="7">
        <v>1.49E-3</v>
      </c>
      <c r="O49" s="7">
        <v>1.2199999999999999E-3</v>
      </c>
      <c r="P49" s="7">
        <v>6.6299999999999996E-3</v>
      </c>
      <c r="Q49" s="1" t="s">
        <v>4146</v>
      </c>
      <c r="R49" s="1" t="s">
        <v>14</v>
      </c>
      <c r="S49" s="1" t="s">
        <v>9</v>
      </c>
      <c r="T49" s="6">
        <v>45440</v>
      </c>
    </row>
    <row r="50" spans="1:20">
      <c r="A50" s="4" t="s">
        <v>805</v>
      </c>
      <c r="B50" s="1" t="s">
        <v>4149</v>
      </c>
      <c r="C50" s="7">
        <v>3.474E-2</v>
      </c>
      <c r="D50" s="7">
        <v>0.17746999999999999</v>
      </c>
      <c r="E50" s="7">
        <v>0.73829</v>
      </c>
      <c r="F50" s="7">
        <v>7.7799999999999996E-3</v>
      </c>
      <c r="G50" s="7">
        <v>6.3600000000000002E-3</v>
      </c>
      <c r="H50" s="7">
        <v>3.6700000000000003E-2</v>
      </c>
      <c r="I50" s="1">
        <v>0</v>
      </c>
      <c r="J50" s="7">
        <v>5.0459999999999998E-2</v>
      </c>
      <c r="K50" s="7">
        <v>2.716E-2</v>
      </c>
      <c r="L50" s="7">
        <v>2.725E-2</v>
      </c>
      <c r="M50" s="7">
        <v>2.8300000000000001E-3</v>
      </c>
      <c r="N50" s="7">
        <v>5.1000000000000004E-4</v>
      </c>
      <c r="O50" s="7">
        <v>2.3400000000000001E-3</v>
      </c>
      <c r="P50" s="7">
        <v>4.7000000000000002E-3</v>
      </c>
      <c r="Q50" s="1" t="s">
        <v>4146</v>
      </c>
      <c r="R50" s="1" t="s">
        <v>16</v>
      </c>
      <c r="S50" s="1" t="s">
        <v>12</v>
      </c>
      <c r="T50" s="6">
        <v>45443</v>
      </c>
    </row>
    <row r="51" spans="1:20">
      <c r="A51" s="4" t="s">
        <v>815</v>
      </c>
      <c r="B51" s="1" t="s">
        <v>4150</v>
      </c>
      <c r="C51" s="7">
        <v>6.6299999999999998E-2</v>
      </c>
      <c r="D51" s="7">
        <v>0.19828000000000001</v>
      </c>
      <c r="E51" s="7">
        <v>1.30148</v>
      </c>
      <c r="F51" s="7">
        <v>1.1169999999999999E-2</v>
      </c>
      <c r="G51" s="7">
        <v>3.3999999999999998E-3</v>
      </c>
      <c r="H51" s="7">
        <v>5.0299999999999997E-2</v>
      </c>
      <c r="I51" s="1">
        <v>0</v>
      </c>
      <c r="J51" s="7">
        <v>3.569E-2</v>
      </c>
      <c r="K51" s="7">
        <v>0.13994999999999999</v>
      </c>
      <c r="L51" s="7">
        <v>3.5630000000000002E-2</v>
      </c>
      <c r="M51" s="7">
        <v>2.8070000000000001E-2</v>
      </c>
      <c r="N51" s="7">
        <v>3.8000000000000002E-4</v>
      </c>
      <c r="O51" s="7">
        <v>1.57E-3</v>
      </c>
      <c r="P51" s="7">
        <v>4.8799999999999998E-3</v>
      </c>
      <c r="Q51" s="1" t="s">
        <v>4146</v>
      </c>
      <c r="R51" s="1" t="s">
        <v>8</v>
      </c>
      <c r="S51" s="1" t="s">
        <v>9</v>
      </c>
      <c r="T51" s="6">
        <v>45446</v>
      </c>
    </row>
    <row r="52" spans="1:20">
      <c r="A52" s="4" t="s">
        <v>832</v>
      </c>
      <c r="B52" s="1" t="s">
        <v>4151</v>
      </c>
      <c r="C52" s="7">
        <v>9.5640000000000003E-2</v>
      </c>
      <c r="D52" s="7">
        <v>0.36709000000000003</v>
      </c>
      <c r="E52" s="7">
        <v>1.60633</v>
      </c>
      <c r="F52" s="7">
        <v>1.5939999999999999E-2</v>
      </c>
      <c r="G52" s="7">
        <v>2.82E-3</v>
      </c>
      <c r="H52" s="7">
        <v>3.5450000000000002E-2</v>
      </c>
      <c r="I52" s="1">
        <v>0</v>
      </c>
      <c r="J52" s="7">
        <v>8.0449999999999994E-2</v>
      </c>
      <c r="K52" s="7">
        <v>0.29543000000000003</v>
      </c>
      <c r="L52" s="7">
        <v>0.10417999999999999</v>
      </c>
      <c r="M52" s="7">
        <v>9.7199999999999995E-3</v>
      </c>
      <c r="N52" s="7">
        <v>1.0200000000000001E-3</v>
      </c>
      <c r="O52" s="7">
        <v>2.3400000000000001E-3</v>
      </c>
      <c r="P52" s="7">
        <v>4.2900000000000004E-3</v>
      </c>
      <c r="Q52" s="1" t="s">
        <v>4152</v>
      </c>
      <c r="R52" s="1" t="s">
        <v>11</v>
      </c>
      <c r="S52" s="1" t="s">
        <v>12</v>
      </c>
      <c r="T52" s="6">
        <v>45449</v>
      </c>
    </row>
    <row r="53" spans="1:20">
      <c r="A53" s="4" t="s">
        <v>853</v>
      </c>
      <c r="B53" s="1" t="s">
        <v>4153</v>
      </c>
      <c r="C53" s="7">
        <v>0.12402000000000001</v>
      </c>
      <c r="D53" s="7">
        <v>0.50317000000000001</v>
      </c>
      <c r="E53" s="7">
        <v>1.9656</v>
      </c>
      <c r="F53" s="7">
        <v>1.6930000000000001E-2</v>
      </c>
      <c r="G53" s="7">
        <v>4.0899999999999999E-3</v>
      </c>
      <c r="H53" s="7">
        <v>1.8339999999999999E-2</v>
      </c>
      <c r="I53" s="1">
        <v>0</v>
      </c>
      <c r="J53" s="7">
        <v>0.12917999999999999</v>
      </c>
      <c r="K53" s="7">
        <v>0.57445999999999997</v>
      </c>
      <c r="L53" s="7">
        <v>0.18603</v>
      </c>
      <c r="M53" s="7">
        <v>1.721E-2</v>
      </c>
      <c r="N53" s="7">
        <v>1.65E-3</v>
      </c>
      <c r="O53" s="7">
        <v>2.15E-3</v>
      </c>
      <c r="P53" s="7">
        <v>7.26E-3</v>
      </c>
      <c r="Q53" s="1" t="s">
        <v>4152</v>
      </c>
      <c r="R53" s="1" t="s">
        <v>14</v>
      </c>
      <c r="S53" s="1" t="s">
        <v>9</v>
      </c>
      <c r="T53" s="6">
        <v>45452</v>
      </c>
    </row>
    <row r="54" spans="1:20">
      <c r="A54" s="4" t="s">
        <v>868</v>
      </c>
      <c r="B54" s="1" t="s">
        <v>4154</v>
      </c>
      <c r="C54" s="7">
        <v>4.3479999999999998E-2</v>
      </c>
      <c r="D54" s="7">
        <v>0.22292000000000001</v>
      </c>
      <c r="E54" s="7">
        <v>0.83603000000000005</v>
      </c>
      <c r="F54" s="7">
        <v>9.7199999999999995E-3</v>
      </c>
      <c r="G54" s="7">
        <v>7.0400000000000003E-3</v>
      </c>
      <c r="H54" s="7">
        <v>3.2329999999999998E-2</v>
      </c>
      <c r="I54" s="1">
        <v>0</v>
      </c>
      <c r="J54" s="7">
        <v>5.4330000000000003E-2</v>
      </c>
      <c r="K54" s="7">
        <v>1.7420000000000001E-2</v>
      </c>
      <c r="L54" s="7">
        <v>1.423E-2</v>
      </c>
      <c r="M54" s="7">
        <v>4.6999999999999999E-4</v>
      </c>
      <c r="N54" s="7">
        <v>3.4000000000000002E-4</v>
      </c>
      <c r="O54" s="7">
        <v>3.5699999999999998E-3</v>
      </c>
      <c r="P54" s="7">
        <v>5.0600000000000003E-3</v>
      </c>
      <c r="Q54" s="1" t="s">
        <v>4152</v>
      </c>
      <c r="R54" s="1" t="s">
        <v>16</v>
      </c>
      <c r="S54" s="1" t="s">
        <v>12</v>
      </c>
      <c r="T54" s="6">
        <v>45455</v>
      </c>
    </row>
    <row r="55" spans="1:20">
      <c r="A55" s="4" t="s">
        <v>876</v>
      </c>
      <c r="B55" s="1" t="s">
        <v>4155</v>
      </c>
      <c r="C55" s="7">
        <v>6.7390000000000005E-2</v>
      </c>
      <c r="D55" s="7">
        <v>0.24221999999999999</v>
      </c>
      <c r="E55" s="7">
        <v>1.2079299999999999</v>
      </c>
      <c r="F55" s="7">
        <v>1.4489999999999999E-2</v>
      </c>
      <c r="G55" s="7">
        <v>4.9199999999999999E-3</v>
      </c>
      <c r="H55" s="7">
        <v>3.9289999999999999E-2</v>
      </c>
      <c r="I55" s="1">
        <v>0</v>
      </c>
      <c r="J55" s="7">
        <v>5.4649999999999997E-2</v>
      </c>
      <c r="K55" s="7">
        <v>0.13622000000000001</v>
      </c>
      <c r="L55" s="7">
        <v>2.75E-2</v>
      </c>
      <c r="M55" s="7">
        <v>3.9050000000000001E-2</v>
      </c>
      <c r="N55" s="7">
        <v>0</v>
      </c>
      <c r="O55" s="7">
        <v>2.2200000000000002E-3</v>
      </c>
      <c r="P55" s="7">
        <v>5.7600000000000004E-3</v>
      </c>
      <c r="Q55" s="1" t="s">
        <v>4152</v>
      </c>
      <c r="R55" s="1" t="s">
        <v>8</v>
      </c>
      <c r="S55" s="1" t="s">
        <v>9</v>
      </c>
      <c r="T55" s="6">
        <v>45458</v>
      </c>
    </row>
    <row r="56" spans="1:20">
      <c r="A56" s="4" t="s">
        <v>882</v>
      </c>
      <c r="B56" s="1" t="s">
        <v>4156</v>
      </c>
      <c r="C56" s="7">
        <v>0.11119</v>
      </c>
      <c r="D56" s="7">
        <v>0.44789000000000001</v>
      </c>
      <c r="E56" s="7">
        <v>1.79488</v>
      </c>
      <c r="F56" s="7">
        <v>1.306E-2</v>
      </c>
      <c r="G56" s="7">
        <v>4.1799999999999997E-3</v>
      </c>
      <c r="H56" s="7">
        <v>1.9429999999999999E-2</v>
      </c>
      <c r="I56" s="1">
        <v>0</v>
      </c>
      <c r="J56" s="7">
        <v>9.1840000000000005E-2</v>
      </c>
      <c r="K56" s="7">
        <v>0.35381000000000001</v>
      </c>
      <c r="L56" s="7">
        <v>7.6509999999999995E-2</v>
      </c>
      <c r="M56" s="7">
        <v>1.7000000000000001E-2</v>
      </c>
      <c r="N56" s="7">
        <v>1.4499999999999999E-3</v>
      </c>
      <c r="O56" s="7">
        <v>2.64E-3</v>
      </c>
      <c r="P56" s="7">
        <v>5.5500000000000002E-3</v>
      </c>
      <c r="Q56" s="1" t="s">
        <v>4152</v>
      </c>
      <c r="R56" s="1" t="s">
        <v>11</v>
      </c>
      <c r="S56" s="1" t="s">
        <v>12</v>
      </c>
      <c r="T56" s="6">
        <v>45461</v>
      </c>
    </row>
    <row r="57" spans="1:20">
      <c r="A57" s="4" t="s">
        <v>899</v>
      </c>
      <c r="B57" s="1" t="s">
        <v>4157</v>
      </c>
      <c r="C57" s="7">
        <v>0.11901</v>
      </c>
      <c r="D57" s="7">
        <v>0.53942000000000001</v>
      </c>
      <c r="E57" s="7">
        <v>1.90141</v>
      </c>
      <c r="F57" s="7">
        <v>1.6500000000000001E-2</v>
      </c>
      <c r="G57" s="7">
        <v>2.9299999999999999E-3</v>
      </c>
      <c r="H57" s="7">
        <v>2.086E-2</v>
      </c>
      <c r="I57" s="1">
        <v>0</v>
      </c>
      <c r="J57" s="7">
        <v>0.11532000000000001</v>
      </c>
      <c r="K57" s="7">
        <v>0.56042999999999998</v>
      </c>
      <c r="L57" s="7">
        <v>0.20465</v>
      </c>
      <c r="M57" s="7">
        <v>2.078E-2</v>
      </c>
      <c r="N57" s="7">
        <v>2E-3</v>
      </c>
      <c r="O57" s="7">
        <v>1.81E-3</v>
      </c>
      <c r="P57" s="7">
        <v>7.11E-3</v>
      </c>
      <c r="Q57" s="1" t="s">
        <v>4158</v>
      </c>
      <c r="R57" s="1" t="s">
        <v>14</v>
      </c>
      <c r="S57" s="1" t="s">
        <v>9</v>
      </c>
      <c r="T57" s="6">
        <v>45464</v>
      </c>
    </row>
    <row r="58" spans="1:20">
      <c r="A58" s="4" t="s">
        <v>907</v>
      </c>
      <c r="B58" s="1" t="s">
        <v>4159</v>
      </c>
      <c r="C58" s="7">
        <v>2.4969999999999999E-2</v>
      </c>
      <c r="D58" s="7">
        <v>0.17519000000000001</v>
      </c>
      <c r="E58" s="7">
        <v>0.80496999999999996</v>
      </c>
      <c r="F58" s="7">
        <v>9.4299999999999991E-3</v>
      </c>
      <c r="G58" s="7">
        <v>6.0600000000000003E-3</v>
      </c>
      <c r="H58" s="7">
        <v>2.647E-2</v>
      </c>
      <c r="I58" s="1">
        <v>0</v>
      </c>
      <c r="J58" s="7">
        <v>2.281E-2</v>
      </c>
      <c r="K58" s="7">
        <v>7.2529999999999997E-2</v>
      </c>
      <c r="L58" s="7">
        <v>1.9460000000000002E-2</v>
      </c>
      <c r="M58" s="7">
        <v>0</v>
      </c>
      <c r="N58" s="7">
        <v>1.9000000000000001E-4</v>
      </c>
      <c r="O58" s="7">
        <v>2.31E-3</v>
      </c>
      <c r="P58" s="7">
        <v>5.1399999999999996E-3</v>
      </c>
      <c r="Q58" s="1" t="s">
        <v>4158</v>
      </c>
      <c r="R58" s="1" t="s">
        <v>16</v>
      </c>
      <c r="S58" s="1" t="s">
        <v>12</v>
      </c>
      <c r="T58" s="6">
        <v>45467</v>
      </c>
    </row>
    <row r="59" spans="1:20">
      <c r="A59" s="4" t="s">
        <v>922</v>
      </c>
      <c r="B59" s="1" t="s">
        <v>4160</v>
      </c>
      <c r="C59" s="7">
        <v>6.5240000000000006E-2</v>
      </c>
      <c r="D59" s="7">
        <v>0.32025999999999999</v>
      </c>
      <c r="E59" s="7">
        <v>1.1815199999999999</v>
      </c>
      <c r="F59" s="7">
        <v>1.3729999999999999E-2</v>
      </c>
      <c r="G59" s="7">
        <v>4.7800000000000004E-3</v>
      </c>
      <c r="H59" s="7">
        <v>4.5600000000000002E-2</v>
      </c>
      <c r="I59" s="1">
        <v>0</v>
      </c>
      <c r="J59" s="7">
        <v>8.5999999999999993E-2</v>
      </c>
      <c r="K59" s="7">
        <v>0.19051000000000001</v>
      </c>
      <c r="L59" s="7">
        <v>3.4689999999999999E-2</v>
      </c>
      <c r="M59" s="7">
        <v>3.6220000000000002E-2</v>
      </c>
      <c r="N59" s="7">
        <v>6.7000000000000002E-4</v>
      </c>
      <c r="O59" s="7">
        <v>2.3500000000000001E-3</v>
      </c>
      <c r="P59" s="7">
        <v>3.5300000000000002E-3</v>
      </c>
      <c r="Q59" s="1" t="s">
        <v>4158</v>
      </c>
      <c r="R59" s="1" t="s">
        <v>8</v>
      </c>
      <c r="S59" s="1" t="s">
        <v>9</v>
      </c>
      <c r="T59" s="6">
        <v>45470</v>
      </c>
    </row>
    <row r="60" spans="1:20">
      <c r="A60" s="4" t="s">
        <v>939</v>
      </c>
      <c r="B60" s="1" t="s">
        <v>4161</v>
      </c>
      <c r="C60" s="7">
        <v>0.10063999999999999</v>
      </c>
      <c r="D60" s="7">
        <v>0.45074999999999998</v>
      </c>
      <c r="E60" s="7">
        <v>1.6188</v>
      </c>
      <c r="F60" s="7">
        <v>1.546E-2</v>
      </c>
      <c r="G60" s="7">
        <v>3.6900000000000001E-3</v>
      </c>
      <c r="H60" s="7">
        <v>3.065E-2</v>
      </c>
      <c r="I60" s="1">
        <v>0</v>
      </c>
      <c r="J60" s="7">
        <v>9.4100000000000003E-2</v>
      </c>
      <c r="K60" s="7">
        <v>0.32390999999999998</v>
      </c>
      <c r="L60" s="7">
        <v>9.4479999999999995E-2</v>
      </c>
      <c r="M60" s="7">
        <v>1.2880000000000001E-2</v>
      </c>
      <c r="N60" s="7">
        <v>1.3699999999999999E-3</v>
      </c>
      <c r="O60" s="7">
        <v>2.31E-3</v>
      </c>
      <c r="P60" s="7">
        <v>8.1200000000000005E-3</v>
      </c>
      <c r="Q60" s="1" t="s">
        <v>4158</v>
      </c>
      <c r="R60" s="1" t="s">
        <v>11</v>
      </c>
      <c r="S60" s="1" t="s">
        <v>12</v>
      </c>
      <c r="T60" s="6">
        <v>45473</v>
      </c>
    </row>
    <row r="61" spans="1:20">
      <c r="A61" s="4" t="s">
        <v>951</v>
      </c>
      <c r="B61" s="1" t="s">
        <v>4162</v>
      </c>
      <c r="C61" s="7">
        <v>0.11855</v>
      </c>
      <c r="D61" s="7">
        <v>0.55803000000000003</v>
      </c>
      <c r="E61" s="7">
        <v>2.0890300000000002</v>
      </c>
      <c r="F61" s="7">
        <v>1.2670000000000001E-2</v>
      </c>
      <c r="G61" s="7">
        <v>1.72E-3</v>
      </c>
      <c r="H61" s="7">
        <v>3.2280000000000003E-2</v>
      </c>
      <c r="I61" s="1">
        <v>0</v>
      </c>
      <c r="J61" s="7">
        <v>0.12509000000000001</v>
      </c>
      <c r="K61" s="7">
        <v>0.54827000000000004</v>
      </c>
      <c r="L61" s="7">
        <v>0.17669000000000001</v>
      </c>
      <c r="M61" s="7">
        <v>4.4000000000000003E-3</v>
      </c>
      <c r="N61" s="7">
        <v>1.6900000000000001E-3</v>
      </c>
      <c r="O61" s="7">
        <v>2.1700000000000001E-3</v>
      </c>
      <c r="P61" s="7">
        <v>5.8700000000000002E-3</v>
      </c>
      <c r="Q61" s="1" t="s">
        <v>4158</v>
      </c>
      <c r="R61" s="1" t="s">
        <v>14</v>
      </c>
      <c r="S61" s="1" t="s">
        <v>9</v>
      </c>
      <c r="T61" s="6">
        <v>45476</v>
      </c>
    </row>
    <row r="62" spans="1:20">
      <c r="A62" s="4" t="s">
        <v>964</v>
      </c>
      <c r="B62" s="1" t="s">
        <v>4163</v>
      </c>
      <c r="C62" s="7">
        <v>3.0880000000000001E-2</v>
      </c>
      <c r="D62" s="7">
        <v>0.14929000000000001</v>
      </c>
      <c r="E62" s="7">
        <v>0.77202999999999999</v>
      </c>
      <c r="F62" s="7">
        <v>1.005E-2</v>
      </c>
      <c r="G62" s="7">
        <v>5.7499999999999999E-3</v>
      </c>
      <c r="H62" s="7">
        <v>3.1989999999999998E-2</v>
      </c>
      <c r="I62" s="1">
        <v>0</v>
      </c>
      <c r="J62" s="7">
        <v>1.9380000000000001E-2</v>
      </c>
      <c r="K62" s="7">
        <v>4.96E-3</v>
      </c>
      <c r="L62" s="7">
        <v>0</v>
      </c>
      <c r="M62" s="7">
        <v>0</v>
      </c>
      <c r="N62" s="7">
        <v>2.2000000000000001E-4</v>
      </c>
      <c r="O62" s="7">
        <v>2.5200000000000001E-3</v>
      </c>
      <c r="P62" s="7">
        <v>4.1999999999999997E-3</v>
      </c>
      <c r="Q62" s="1" t="s">
        <v>4164</v>
      </c>
      <c r="R62" s="1" t="s">
        <v>16</v>
      </c>
      <c r="S62" s="1" t="s">
        <v>12</v>
      </c>
      <c r="T62" s="6">
        <v>45479</v>
      </c>
    </row>
    <row r="63" spans="1:20">
      <c r="A63" s="4" t="s">
        <v>984</v>
      </c>
      <c r="B63" s="1" t="s">
        <v>4165</v>
      </c>
      <c r="C63" s="7">
        <v>6.6750000000000004E-2</v>
      </c>
      <c r="D63" s="7">
        <v>0.24765000000000001</v>
      </c>
      <c r="E63" s="7">
        <v>1.1470499999999999</v>
      </c>
      <c r="F63" s="7">
        <v>1.2160000000000001E-2</v>
      </c>
      <c r="G63" s="7">
        <v>6.9800000000000001E-3</v>
      </c>
      <c r="H63" s="7">
        <v>3.1130000000000001E-2</v>
      </c>
      <c r="I63" s="1">
        <v>0</v>
      </c>
      <c r="J63" s="7">
        <v>1.9779999999999999E-2</v>
      </c>
      <c r="K63" s="7">
        <v>5.5440000000000003E-2</v>
      </c>
      <c r="L63" s="7">
        <v>4.3929999999999997E-2</v>
      </c>
      <c r="M63" s="7">
        <v>3.3750000000000002E-2</v>
      </c>
      <c r="N63" s="7">
        <v>5.9000000000000003E-4</v>
      </c>
      <c r="O63" s="7">
        <v>2.2699999999999999E-3</v>
      </c>
      <c r="P63" s="7">
        <v>4.9100000000000003E-3</v>
      </c>
      <c r="Q63" s="1" t="s">
        <v>4164</v>
      </c>
      <c r="R63" s="1" t="s">
        <v>8</v>
      </c>
      <c r="S63" s="1" t="s">
        <v>9</v>
      </c>
      <c r="T63" s="6">
        <v>45482</v>
      </c>
    </row>
    <row r="64" spans="1:20">
      <c r="A64" s="4" t="s">
        <v>1010</v>
      </c>
      <c r="B64" s="1" t="s">
        <v>4166</v>
      </c>
      <c r="C64" s="7">
        <v>0.11595999999999999</v>
      </c>
      <c r="D64" s="7">
        <v>0.42366999999999999</v>
      </c>
      <c r="E64" s="7">
        <v>1.81213</v>
      </c>
      <c r="F64" s="7">
        <v>1.278E-2</v>
      </c>
      <c r="G64" s="7">
        <v>3.8400000000000001E-3</v>
      </c>
      <c r="H64" s="7">
        <v>3.7420000000000002E-2</v>
      </c>
      <c r="I64" s="1">
        <v>0</v>
      </c>
      <c r="J64" s="7">
        <v>0.12597</v>
      </c>
      <c r="K64" s="7">
        <v>0.247</v>
      </c>
      <c r="L64" s="7">
        <v>9.0230000000000005E-2</v>
      </c>
      <c r="M64" s="7">
        <v>1.4659999999999999E-2</v>
      </c>
      <c r="N64" s="7">
        <v>1.4599999999999999E-3</v>
      </c>
      <c r="O64" s="7">
        <v>1.89E-3</v>
      </c>
      <c r="P64" s="7">
        <v>6.9100000000000003E-3</v>
      </c>
      <c r="Q64" s="1" t="s">
        <v>4164</v>
      </c>
      <c r="R64" s="1" t="s">
        <v>11</v>
      </c>
      <c r="S64" s="1" t="s">
        <v>12</v>
      </c>
      <c r="T64" s="6">
        <v>45485</v>
      </c>
    </row>
    <row r="65" spans="1:20">
      <c r="A65" s="4" t="s">
        <v>1046</v>
      </c>
      <c r="B65" s="1" t="s">
        <v>4167</v>
      </c>
      <c r="C65" s="7">
        <v>0.11567</v>
      </c>
      <c r="D65" s="7">
        <v>0.54740999999999995</v>
      </c>
      <c r="E65" s="7">
        <v>1.9482600000000001</v>
      </c>
      <c r="F65" s="7">
        <v>1.376E-2</v>
      </c>
      <c r="G65" s="7">
        <v>4.9100000000000003E-3</v>
      </c>
      <c r="H65" s="7">
        <v>2.7E-2</v>
      </c>
      <c r="I65" s="1">
        <v>0</v>
      </c>
      <c r="J65" s="7">
        <v>9.3329999999999996E-2</v>
      </c>
      <c r="K65" s="7">
        <v>0.52759</v>
      </c>
      <c r="L65" s="7">
        <v>0.17063999999999999</v>
      </c>
      <c r="M65" s="7">
        <v>2.545E-2</v>
      </c>
      <c r="N65" s="7">
        <v>1.5399999999999999E-3</v>
      </c>
      <c r="O65" s="7">
        <v>2.2000000000000001E-3</v>
      </c>
      <c r="P65" s="7">
        <v>5.7499999999999999E-3</v>
      </c>
      <c r="Q65" s="1" t="s">
        <v>4164</v>
      </c>
      <c r="R65" s="1" t="s">
        <v>14</v>
      </c>
      <c r="S65" s="1" t="s">
        <v>9</v>
      </c>
      <c r="T65" s="6">
        <v>45488</v>
      </c>
    </row>
    <row r="66" spans="1:20">
      <c r="A66" s="4" t="s">
        <v>1056</v>
      </c>
      <c r="B66" s="1" t="s">
        <v>4168</v>
      </c>
      <c r="C66" s="7">
        <v>3.5389999999999998E-2</v>
      </c>
      <c r="D66" s="7">
        <v>0.17194000000000001</v>
      </c>
      <c r="E66" s="7">
        <v>0.84101000000000004</v>
      </c>
      <c r="F66" s="7">
        <v>1.061E-2</v>
      </c>
      <c r="G66" s="7">
        <v>8.3000000000000001E-3</v>
      </c>
      <c r="H66" s="7">
        <v>3.9570000000000001E-2</v>
      </c>
      <c r="I66" s="1">
        <v>0</v>
      </c>
      <c r="J66" s="7">
        <v>2.3859999999999999E-2</v>
      </c>
      <c r="K66" s="7">
        <v>9.2259999999999995E-2</v>
      </c>
      <c r="L66" s="7">
        <v>0</v>
      </c>
      <c r="M66" s="7">
        <v>9.8999999999999999E-4</v>
      </c>
      <c r="N66" s="7">
        <v>3.0000000000000001E-5</v>
      </c>
      <c r="O66" s="7">
        <v>3.0799999999999998E-3</v>
      </c>
      <c r="P66" s="7">
        <v>2.4399999999999999E-3</v>
      </c>
      <c r="Q66" s="1" t="s">
        <v>4164</v>
      </c>
      <c r="R66" s="1" t="s">
        <v>16</v>
      </c>
      <c r="S66" s="1" t="s">
        <v>12</v>
      </c>
      <c r="T66" s="6">
        <v>45491</v>
      </c>
    </row>
    <row r="67" spans="1:20">
      <c r="A67" s="4" t="s">
        <v>1066</v>
      </c>
      <c r="B67" s="1" t="s">
        <v>4169</v>
      </c>
      <c r="C67" s="7">
        <v>6.547E-2</v>
      </c>
      <c r="D67" s="7">
        <v>0.30590000000000001</v>
      </c>
      <c r="E67" s="7">
        <v>1.37774</v>
      </c>
      <c r="F67" s="7">
        <v>1.208E-2</v>
      </c>
      <c r="G67" s="7">
        <v>4.7299999999999998E-3</v>
      </c>
      <c r="H67" s="7">
        <v>3.6179999999999997E-2</v>
      </c>
      <c r="I67" s="1">
        <v>0</v>
      </c>
      <c r="J67" s="7">
        <v>7.1739999999999998E-2</v>
      </c>
      <c r="K67" s="7">
        <v>0.12950999999999999</v>
      </c>
      <c r="L67" s="7">
        <v>1.949E-2</v>
      </c>
      <c r="M67" s="7">
        <v>3.3529999999999997E-2</v>
      </c>
      <c r="N67" s="7">
        <v>6.3000000000000003E-4</v>
      </c>
      <c r="O67" s="7">
        <v>2.7599999999999999E-3</v>
      </c>
      <c r="P67" s="7">
        <v>4.7299999999999998E-3</v>
      </c>
      <c r="Q67" s="1" t="s">
        <v>4170</v>
      </c>
      <c r="R67" s="1" t="s">
        <v>8</v>
      </c>
      <c r="S67" s="1" t="s">
        <v>9</v>
      </c>
      <c r="T67" s="6">
        <v>45494</v>
      </c>
    </row>
    <row r="68" spans="1:20">
      <c r="A68" s="4" t="s">
        <v>1076</v>
      </c>
      <c r="B68" s="1" t="s">
        <v>4171</v>
      </c>
      <c r="C68" s="7">
        <v>0.10894</v>
      </c>
      <c r="D68" s="7">
        <v>0.38730999999999999</v>
      </c>
      <c r="E68" s="7">
        <v>1.7367600000000001</v>
      </c>
      <c r="F68" s="7">
        <v>1.472E-2</v>
      </c>
      <c r="G68" s="7">
        <v>4.9300000000000004E-3</v>
      </c>
      <c r="H68" s="7">
        <v>2.3730000000000001E-2</v>
      </c>
      <c r="I68" s="1">
        <v>0</v>
      </c>
      <c r="J68" s="7">
        <v>9.6159999999999995E-2</v>
      </c>
      <c r="K68" s="7">
        <v>0.35874</v>
      </c>
      <c r="L68" s="7">
        <v>0.10342999999999999</v>
      </c>
      <c r="M68" s="7">
        <v>1.9910000000000001E-2</v>
      </c>
      <c r="N68" s="7">
        <v>1.16E-3</v>
      </c>
      <c r="O68" s="7">
        <v>1.83E-3</v>
      </c>
      <c r="P68" s="7">
        <v>6.1900000000000002E-3</v>
      </c>
      <c r="Q68" s="1" t="s">
        <v>4170</v>
      </c>
      <c r="R68" s="1" t="s">
        <v>11</v>
      </c>
      <c r="S68" s="1" t="s">
        <v>12</v>
      </c>
      <c r="T68" s="6">
        <v>45497</v>
      </c>
    </row>
    <row r="69" spans="1:20">
      <c r="A69" s="4" t="s">
        <v>1104</v>
      </c>
      <c r="B69" s="1" t="s">
        <v>4172</v>
      </c>
      <c r="C69" s="7">
        <v>0.11960999999999999</v>
      </c>
      <c r="D69" s="7">
        <v>0.57689999999999997</v>
      </c>
      <c r="E69" s="7">
        <v>1.8148500000000001</v>
      </c>
      <c r="F69" s="7">
        <v>1.805E-2</v>
      </c>
      <c r="G69" s="7">
        <v>6.0200000000000002E-3</v>
      </c>
      <c r="H69" s="7">
        <v>2.0750000000000001E-2</v>
      </c>
      <c r="I69" s="1">
        <v>0</v>
      </c>
      <c r="J69" s="7">
        <v>0.11723</v>
      </c>
      <c r="K69" s="7">
        <v>0.60048000000000001</v>
      </c>
      <c r="L69" s="7">
        <v>0.19581000000000001</v>
      </c>
      <c r="M69" s="7">
        <v>1.268E-2</v>
      </c>
      <c r="N69" s="7">
        <v>1.58E-3</v>
      </c>
      <c r="O69" s="7">
        <v>2.64E-3</v>
      </c>
      <c r="P69" s="7">
        <v>5.9100000000000003E-3</v>
      </c>
      <c r="Q69" s="1" t="s">
        <v>4170</v>
      </c>
      <c r="R69" s="1" t="s">
        <v>14</v>
      </c>
      <c r="S69" s="1" t="s">
        <v>9</v>
      </c>
      <c r="T69" s="6">
        <v>45500</v>
      </c>
    </row>
    <row r="70" spans="1:20">
      <c r="A70" s="4" t="s">
        <v>1121</v>
      </c>
      <c r="B70" s="1" t="s">
        <v>4173</v>
      </c>
      <c r="C70" s="7">
        <v>3.7179999999999998E-2</v>
      </c>
      <c r="D70" s="7">
        <v>0.15626000000000001</v>
      </c>
      <c r="E70" s="7">
        <v>0.79001999999999994</v>
      </c>
      <c r="F70" s="7">
        <v>1.102E-2</v>
      </c>
      <c r="G70" s="7">
        <v>5.5700000000000003E-3</v>
      </c>
      <c r="H70" s="7">
        <v>3.8870000000000002E-2</v>
      </c>
      <c r="I70" s="1">
        <v>0</v>
      </c>
      <c r="J70" s="7">
        <v>6.0109999999999997E-2</v>
      </c>
      <c r="K70" s="7">
        <v>4.7199999999999999E-2</v>
      </c>
      <c r="L70" s="7">
        <v>1.1599999999999999E-2</v>
      </c>
      <c r="M70" s="7">
        <v>0</v>
      </c>
      <c r="N70" s="7">
        <v>1.8000000000000001E-4</v>
      </c>
      <c r="O70" s="7">
        <v>3.2499999999999999E-3</v>
      </c>
      <c r="P70" s="7">
        <v>4.81E-3</v>
      </c>
      <c r="Q70" s="1" t="s">
        <v>4170</v>
      </c>
      <c r="R70" s="1" t="s">
        <v>16</v>
      </c>
      <c r="S70" s="1" t="s">
        <v>12</v>
      </c>
      <c r="T70" s="6">
        <v>45503</v>
      </c>
    </row>
    <row r="71" spans="1:20">
      <c r="A71" s="4" t="s">
        <v>1134</v>
      </c>
      <c r="B71" s="1" t="s">
        <v>4174</v>
      </c>
      <c r="C71" s="7">
        <v>6.4460000000000003E-2</v>
      </c>
      <c r="D71" s="7">
        <v>0.22206000000000001</v>
      </c>
      <c r="E71" s="7">
        <v>1.1976199999999999</v>
      </c>
      <c r="F71" s="7">
        <v>1.0970000000000001E-2</v>
      </c>
      <c r="G71" s="7">
        <v>4.4200000000000003E-3</v>
      </c>
      <c r="H71" s="7">
        <v>4.1750000000000002E-2</v>
      </c>
      <c r="I71" s="1">
        <v>0</v>
      </c>
      <c r="J71" s="7">
        <v>8.9940000000000006E-2</v>
      </c>
      <c r="K71" s="7">
        <v>8.8359999999999994E-2</v>
      </c>
      <c r="L71" s="7">
        <v>4.8520000000000001E-2</v>
      </c>
      <c r="M71" s="7">
        <v>2.7349999999999999E-2</v>
      </c>
      <c r="N71" s="7">
        <v>0</v>
      </c>
      <c r="O71" s="7">
        <v>2.3400000000000001E-3</v>
      </c>
      <c r="P71" s="7">
        <v>3.4299999999999999E-3</v>
      </c>
      <c r="Q71" s="1" t="s">
        <v>4170</v>
      </c>
      <c r="R71" s="1" t="s">
        <v>8</v>
      </c>
      <c r="S71" s="1" t="s">
        <v>9</v>
      </c>
      <c r="T71" s="6">
        <v>45506</v>
      </c>
    </row>
    <row r="72" spans="1:20">
      <c r="A72" s="4" t="s">
        <v>1149</v>
      </c>
      <c r="B72" s="1" t="s">
        <v>4175</v>
      </c>
      <c r="C72" s="7">
        <v>0.10748000000000001</v>
      </c>
      <c r="D72" s="7">
        <v>0.39917999999999998</v>
      </c>
      <c r="E72" s="7">
        <v>1.75424</v>
      </c>
      <c r="F72" s="7">
        <v>1.362E-2</v>
      </c>
      <c r="G72" s="7">
        <v>4.8399999999999997E-3</v>
      </c>
      <c r="H72" s="7">
        <v>2.86E-2</v>
      </c>
      <c r="I72" s="1">
        <v>0</v>
      </c>
      <c r="J72" s="7">
        <v>7.1410000000000001E-2</v>
      </c>
      <c r="K72" s="7">
        <v>0.32291999999999998</v>
      </c>
      <c r="L72" s="7">
        <v>0.11726</v>
      </c>
      <c r="M72" s="7">
        <v>2.1659999999999999E-2</v>
      </c>
      <c r="N72" s="7">
        <v>1.3699999999999999E-3</v>
      </c>
      <c r="O72" s="7">
        <v>2.8400000000000001E-3</v>
      </c>
      <c r="P72" s="7">
        <v>5.3699999999999998E-3</v>
      </c>
      <c r="Q72" s="1" t="s">
        <v>4176</v>
      </c>
      <c r="R72" s="1" t="s">
        <v>11</v>
      </c>
      <c r="S72" s="1" t="s">
        <v>12</v>
      </c>
      <c r="T72" s="6">
        <v>45509</v>
      </c>
    </row>
    <row r="73" spans="1:20">
      <c r="A73" s="4" t="s">
        <v>1168</v>
      </c>
      <c r="B73" s="1" t="s">
        <v>4177</v>
      </c>
      <c r="C73" s="7">
        <v>0.13500000000000001</v>
      </c>
      <c r="D73" s="7">
        <v>0.51868999999999998</v>
      </c>
      <c r="E73" s="7">
        <v>1.8595299999999999</v>
      </c>
      <c r="F73" s="7">
        <v>1.771E-2</v>
      </c>
      <c r="G73" s="7">
        <v>3.3899999999999998E-3</v>
      </c>
      <c r="H73" s="7">
        <v>1.567E-2</v>
      </c>
      <c r="I73" s="1">
        <v>0</v>
      </c>
      <c r="J73" s="7">
        <v>0.11027000000000001</v>
      </c>
      <c r="K73" s="7">
        <v>0.58260000000000001</v>
      </c>
      <c r="L73" s="7">
        <v>0.16825000000000001</v>
      </c>
      <c r="M73" s="7">
        <v>1.8440000000000002E-2</v>
      </c>
      <c r="N73" s="7">
        <v>2.2200000000000002E-3</v>
      </c>
      <c r="O73" s="7">
        <v>2.1299999999999999E-3</v>
      </c>
      <c r="P73" s="7">
        <v>6.13E-3</v>
      </c>
      <c r="Q73" s="1" t="s">
        <v>4176</v>
      </c>
      <c r="R73" s="1" t="s">
        <v>14</v>
      </c>
      <c r="S73" s="1" t="s">
        <v>9</v>
      </c>
      <c r="T73" s="6">
        <v>45512</v>
      </c>
    </row>
    <row r="74" spans="1:20">
      <c r="A74" s="4" t="s">
        <v>1186</v>
      </c>
      <c r="B74" s="1" t="s">
        <v>4178</v>
      </c>
      <c r="C74" s="7">
        <v>3.1989999999999998E-2</v>
      </c>
      <c r="D74" s="7">
        <v>0.159</v>
      </c>
      <c r="E74" s="7">
        <v>0.69623999999999997</v>
      </c>
      <c r="F74" s="7">
        <v>8.3499999999999998E-3</v>
      </c>
      <c r="G74" s="7">
        <v>5.4900000000000001E-3</v>
      </c>
      <c r="H74" s="7">
        <v>3.9629999999999999E-2</v>
      </c>
      <c r="I74" s="1">
        <v>0</v>
      </c>
      <c r="J74" s="7">
        <v>4.1149999999999999E-2</v>
      </c>
      <c r="K74" s="7">
        <v>4.419E-2</v>
      </c>
      <c r="L74" s="7">
        <v>1.968E-2</v>
      </c>
      <c r="M74" s="7">
        <v>3.6099999999999999E-3</v>
      </c>
      <c r="N74" s="7">
        <v>5.1000000000000004E-4</v>
      </c>
      <c r="O74" s="7">
        <v>2.5799999999999998E-3</v>
      </c>
      <c r="P74" s="7">
        <v>3.2599999999999999E-3</v>
      </c>
      <c r="Q74" s="1" t="s">
        <v>4176</v>
      </c>
      <c r="R74" s="1" t="s">
        <v>16</v>
      </c>
      <c r="S74" s="1" t="s">
        <v>12</v>
      </c>
      <c r="T74" s="6">
        <v>45515</v>
      </c>
    </row>
    <row r="75" spans="1:20">
      <c r="A75" s="4" t="s">
        <v>1203</v>
      </c>
      <c r="B75" s="1" t="s">
        <v>4179</v>
      </c>
      <c r="C75" s="7">
        <v>5.5719999999999999E-2</v>
      </c>
      <c r="D75" s="7">
        <v>0.26418000000000003</v>
      </c>
      <c r="E75" s="7">
        <v>1.2319199999999999</v>
      </c>
      <c r="F75" s="7">
        <v>9.1299999999999992E-3</v>
      </c>
      <c r="G75" s="7">
        <v>4.5599999999999998E-3</v>
      </c>
      <c r="H75" s="7">
        <v>3.3829999999999999E-2</v>
      </c>
      <c r="I75" s="1">
        <v>0</v>
      </c>
      <c r="J75" s="7">
        <v>8.9459999999999998E-2</v>
      </c>
      <c r="K75" s="7">
        <v>0.14022000000000001</v>
      </c>
      <c r="L75" s="7">
        <v>9.4000000000000004E-3</v>
      </c>
      <c r="M75" s="7">
        <v>4.0460000000000003E-2</v>
      </c>
      <c r="N75" s="7">
        <v>4.6999999999999999E-4</v>
      </c>
      <c r="O75" s="7">
        <v>2.3400000000000001E-3</v>
      </c>
      <c r="P75" s="7">
        <v>4.1599999999999996E-3</v>
      </c>
      <c r="Q75" s="1" t="s">
        <v>4176</v>
      </c>
      <c r="R75" s="1" t="s">
        <v>8</v>
      </c>
      <c r="S75" s="1" t="s">
        <v>9</v>
      </c>
      <c r="T75" s="6">
        <v>45518</v>
      </c>
    </row>
    <row r="76" spans="1:20">
      <c r="A76" s="4" t="s">
        <v>1224</v>
      </c>
      <c r="B76" s="1" t="s">
        <v>4180</v>
      </c>
      <c r="C76" s="7">
        <v>9.3979999999999994E-2</v>
      </c>
      <c r="D76" s="7">
        <v>0.45416000000000001</v>
      </c>
      <c r="E76" s="7">
        <v>1.74682</v>
      </c>
      <c r="F76" s="7">
        <v>1.355E-2</v>
      </c>
      <c r="G76" s="7">
        <v>2.1099999999999999E-3</v>
      </c>
      <c r="H76" s="7">
        <v>2.5010000000000001E-2</v>
      </c>
      <c r="I76" s="1">
        <v>0</v>
      </c>
      <c r="J76" s="7">
        <v>0.1237</v>
      </c>
      <c r="K76" s="7">
        <v>0.36642000000000002</v>
      </c>
      <c r="L76" s="7">
        <v>7.5990000000000002E-2</v>
      </c>
      <c r="M76" s="7">
        <v>9.2399999999999999E-3</v>
      </c>
      <c r="N76" s="7">
        <v>9.5E-4</v>
      </c>
      <c r="O76" s="7">
        <v>1.75E-3</v>
      </c>
      <c r="P76" s="7">
        <v>7.3800000000000003E-3</v>
      </c>
      <c r="Q76" s="1" t="s">
        <v>4176</v>
      </c>
      <c r="R76" s="1" t="s">
        <v>11</v>
      </c>
      <c r="S76" s="1" t="s">
        <v>12</v>
      </c>
      <c r="T76" s="6">
        <v>45521</v>
      </c>
    </row>
    <row r="77" spans="1:20">
      <c r="A77" s="4" t="s">
        <v>1234</v>
      </c>
      <c r="B77" s="1" t="s">
        <v>4181</v>
      </c>
      <c r="C77" s="7">
        <v>0.11967999999999999</v>
      </c>
      <c r="D77" s="7">
        <v>0.51546999999999998</v>
      </c>
      <c r="E77" s="7">
        <v>1.9329499999999999</v>
      </c>
      <c r="F77" s="7">
        <v>1.421E-2</v>
      </c>
      <c r="G77" s="7">
        <v>1.8E-3</v>
      </c>
      <c r="H77" s="7">
        <v>2.0219999999999998E-2</v>
      </c>
      <c r="I77" s="1">
        <v>0</v>
      </c>
      <c r="J77" s="7">
        <v>0.13880999999999999</v>
      </c>
      <c r="K77" s="7">
        <v>0.56981000000000004</v>
      </c>
      <c r="L77" s="7">
        <v>0.19181999999999999</v>
      </c>
      <c r="M77" s="7">
        <v>2.427E-2</v>
      </c>
      <c r="N77" s="7">
        <v>1.7899999999999999E-3</v>
      </c>
      <c r="O77" s="7">
        <v>7.6000000000000004E-4</v>
      </c>
      <c r="P77" s="7">
        <v>6.4900000000000001E-3</v>
      </c>
      <c r="Q77" s="1" t="s">
        <v>4182</v>
      </c>
      <c r="R77" s="1" t="s">
        <v>14</v>
      </c>
      <c r="S77" s="1" t="s">
        <v>9</v>
      </c>
      <c r="T77" s="6">
        <v>45524</v>
      </c>
    </row>
    <row r="78" spans="1:20">
      <c r="A78" s="4" t="s">
        <v>1246</v>
      </c>
      <c r="B78" s="1" t="s">
        <v>4183</v>
      </c>
      <c r="C78" s="7">
        <v>3.2129999999999999E-2</v>
      </c>
      <c r="D78" s="7">
        <v>0.12012</v>
      </c>
      <c r="E78" s="7">
        <v>0.85792000000000002</v>
      </c>
      <c r="F78" s="7">
        <v>1.0200000000000001E-2</v>
      </c>
      <c r="G78" s="7">
        <v>6.1399999999999996E-3</v>
      </c>
      <c r="H78" s="7">
        <v>3.9989999999999998E-2</v>
      </c>
      <c r="I78" s="1">
        <v>0</v>
      </c>
      <c r="J78" s="7">
        <v>3.3860000000000001E-2</v>
      </c>
      <c r="K78" s="7">
        <v>0</v>
      </c>
      <c r="L78" s="7">
        <v>2.802E-2</v>
      </c>
      <c r="M78" s="7">
        <v>3.7399999999999998E-3</v>
      </c>
      <c r="N78" s="7">
        <v>2.5999999999999998E-4</v>
      </c>
      <c r="O78" s="7">
        <v>2.7100000000000002E-3</v>
      </c>
      <c r="P78" s="7">
        <v>3.6600000000000001E-3</v>
      </c>
      <c r="Q78" s="1" t="s">
        <v>4182</v>
      </c>
      <c r="R78" s="1" t="s">
        <v>16</v>
      </c>
      <c r="S78" s="1" t="s">
        <v>12</v>
      </c>
      <c r="T78" s="6">
        <v>45527</v>
      </c>
    </row>
    <row r="79" spans="1:20">
      <c r="A79" s="4" t="s">
        <v>1258</v>
      </c>
      <c r="B79" s="1" t="s">
        <v>4184</v>
      </c>
      <c r="C79" s="7">
        <v>5.7540000000000001E-2</v>
      </c>
      <c r="D79" s="7">
        <v>0.33768999999999999</v>
      </c>
      <c r="E79" s="7">
        <v>1.18675</v>
      </c>
      <c r="F79" s="7">
        <v>1.213E-2</v>
      </c>
      <c r="G79" s="7">
        <v>4.0299999999999997E-3</v>
      </c>
      <c r="H79" s="7">
        <v>3.662E-2</v>
      </c>
      <c r="I79" s="1">
        <v>0</v>
      </c>
      <c r="J79" s="7">
        <v>4.1480000000000003E-2</v>
      </c>
      <c r="K79" s="7">
        <v>7.2169999999999998E-2</v>
      </c>
      <c r="L79" s="7">
        <v>8.8299999999999993E-3</v>
      </c>
      <c r="M79" s="7">
        <v>3.6409999999999998E-2</v>
      </c>
      <c r="N79" s="7">
        <v>4.2000000000000002E-4</v>
      </c>
      <c r="O79" s="7">
        <v>1.9E-3</v>
      </c>
      <c r="P79" s="7">
        <v>5.1500000000000001E-3</v>
      </c>
      <c r="Q79" s="1" t="s">
        <v>4182</v>
      </c>
      <c r="R79" s="1" t="s">
        <v>8</v>
      </c>
      <c r="S79" s="1" t="s">
        <v>9</v>
      </c>
      <c r="T79" s="6">
        <v>45530</v>
      </c>
    </row>
    <row r="80" spans="1:20">
      <c r="A80" s="4" t="s">
        <v>1280</v>
      </c>
      <c r="B80" s="1" t="s">
        <v>4185</v>
      </c>
      <c r="C80" s="7">
        <v>0.10491</v>
      </c>
      <c r="D80" s="7">
        <v>0.41646</v>
      </c>
      <c r="E80" s="7">
        <v>1.8179700000000001</v>
      </c>
      <c r="F80" s="7">
        <v>1.5389999999999999E-2</v>
      </c>
      <c r="G80" s="7">
        <v>1.65E-3</v>
      </c>
      <c r="H80" s="7">
        <v>3.1699999999999999E-2</v>
      </c>
      <c r="I80" s="1">
        <v>0</v>
      </c>
      <c r="J80" s="7">
        <v>9.8180000000000003E-2</v>
      </c>
      <c r="K80" s="7">
        <v>0.37103000000000003</v>
      </c>
      <c r="L80" s="7">
        <v>7.4349999999999999E-2</v>
      </c>
      <c r="M80" s="7">
        <v>7.3800000000000003E-3</v>
      </c>
      <c r="N80" s="7">
        <v>1.1800000000000001E-3</v>
      </c>
      <c r="O80" s="7">
        <v>2.5500000000000002E-3</v>
      </c>
      <c r="P80" s="7">
        <v>6.3899999999999998E-3</v>
      </c>
      <c r="Q80" s="1" t="s">
        <v>4182</v>
      </c>
      <c r="R80" s="1" t="s">
        <v>11</v>
      </c>
      <c r="S80" s="1" t="s">
        <v>12</v>
      </c>
      <c r="T80" s="6">
        <v>45533</v>
      </c>
    </row>
    <row r="81" spans="1:20">
      <c r="A81" s="4" t="s">
        <v>1300</v>
      </c>
      <c r="B81" s="1" t="s">
        <v>4186</v>
      </c>
      <c r="C81" s="7">
        <v>0.12031</v>
      </c>
      <c r="D81" s="7">
        <v>0.55020999999999998</v>
      </c>
      <c r="E81" s="7">
        <v>1.82213</v>
      </c>
      <c r="F81" s="7">
        <v>1.243E-2</v>
      </c>
      <c r="G81" s="7">
        <v>2.96E-3</v>
      </c>
      <c r="H81" s="7">
        <v>2.962E-2</v>
      </c>
      <c r="I81" s="1">
        <v>0</v>
      </c>
      <c r="J81" s="7">
        <v>0.1603</v>
      </c>
      <c r="K81" s="7">
        <v>0.51946000000000003</v>
      </c>
      <c r="L81" s="7">
        <v>0.18439</v>
      </c>
      <c r="M81" s="7">
        <v>2.349E-2</v>
      </c>
      <c r="N81" s="7">
        <v>2.2300000000000002E-3</v>
      </c>
      <c r="O81" s="7">
        <v>1.1900000000000001E-3</v>
      </c>
      <c r="P81" s="7">
        <v>6.8700000000000002E-3</v>
      </c>
      <c r="Q81" s="1" t="s">
        <v>4182</v>
      </c>
      <c r="R81" s="1" t="s">
        <v>14</v>
      </c>
      <c r="S81" s="1" t="s">
        <v>9</v>
      </c>
      <c r="T81" s="6">
        <v>45536</v>
      </c>
    </row>
    <row r="82" spans="1:20">
      <c r="A82" s="4" t="s">
        <v>1315</v>
      </c>
      <c r="B82" s="1" t="s">
        <v>4187</v>
      </c>
      <c r="C82" s="7">
        <v>4.3450000000000003E-2</v>
      </c>
      <c r="D82" s="7">
        <v>0.20029</v>
      </c>
      <c r="E82" s="7">
        <v>0.83338999999999996</v>
      </c>
      <c r="F82" s="7">
        <v>1.116E-2</v>
      </c>
      <c r="G82" s="7">
        <v>4.3899999999999998E-3</v>
      </c>
      <c r="H82" s="7">
        <v>2.0320000000000001E-2</v>
      </c>
      <c r="I82" s="1">
        <v>0</v>
      </c>
      <c r="J82" s="7">
        <v>2.7480000000000001E-2</v>
      </c>
      <c r="K82" s="7">
        <v>4.65E-2</v>
      </c>
      <c r="L82" s="7">
        <v>2.511E-2</v>
      </c>
      <c r="M82" s="7">
        <v>5.3899999999999998E-3</v>
      </c>
      <c r="N82" s="7">
        <v>6.0999999999999997E-4</v>
      </c>
      <c r="O82" s="7">
        <v>2.8600000000000001E-3</v>
      </c>
      <c r="P82" s="7">
        <v>3.5000000000000001E-3</v>
      </c>
      <c r="Q82" s="1" t="s">
        <v>4188</v>
      </c>
      <c r="R82" s="1" t="s">
        <v>16</v>
      </c>
      <c r="S82" s="1" t="s">
        <v>12</v>
      </c>
      <c r="T82" s="6">
        <v>45539</v>
      </c>
    </row>
    <row r="83" spans="1:20">
      <c r="A83" s="4" t="s">
        <v>1333</v>
      </c>
      <c r="B83" s="1" t="s">
        <v>4189</v>
      </c>
      <c r="C83" s="7">
        <v>6.053E-2</v>
      </c>
      <c r="D83" s="7">
        <v>0.30654999999999999</v>
      </c>
      <c r="E83" s="7">
        <v>1.30843</v>
      </c>
      <c r="F83" s="7">
        <v>1.136E-2</v>
      </c>
      <c r="G83" s="7">
        <v>6.1900000000000002E-3</v>
      </c>
      <c r="H83" s="7">
        <v>3.1910000000000001E-2</v>
      </c>
      <c r="I83" s="1">
        <v>0</v>
      </c>
      <c r="J83" s="7">
        <v>6.2880000000000005E-2</v>
      </c>
      <c r="K83" s="7">
        <v>0.15042</v>
      </c>
      <c r="L83" s="7">
        <v>2.1909999999999999E-2</v>
      </c>
      <c r="M83" s="7">
        <v>3.4819999999999997E-2</v>
      </c>
      <c r="N83" s="7">
        <v>2.5999999999999998E-4</v>
      </c>
      <c r="O83" s="7">
        <v>2.9199999999999999E-3</v>
      </c>
      <c r="P83" s="7">
        <v>3.8800000000000002E-3</v>
      </c>
      <c r="Q83" s="1" t="s">
        <v>4188</v>
      </c>
      <c r="R83" s="1" t="s">
        <v>8</v>
      </c>
      <c r="S83" s="1" t="s">
        <v>9</v>
      </c>
      <c r="T83" s="6">
        <v>45542</v>
      </c>
    </row>
    <row r="84" spans="1:20">
      <c r="A84" s="4" t="s">
        <v>4190</v>
      </c>
      <c r="B84" s="1" t="s">
        <v>4191</v>
      </c>
      <c r="C84" s="7">
        <v>0.10579</v>
      </c>
      <c r="D84" s="7">
        <v>0.46676000000000001</v>
      </c>
      <c r="E84" s="7">
        <v>1.76298</v>
      </c>
      <c r="F84" s="7">
        <v>1.423E-2</v>
      </c>
      <c r="G84" s="7">
        <v>4.3200000000000001E-3</v>
      </c>
      <c r="H84" s="7">
        <v>2.751E-2</v>
      </c>
      <c r="I84" s="1">
        <v>0</v>
      </c>
      <c r="J84" s="7">
        <v>0.12274</v>
      </c>
      <c r="K84" s="7">
        <v>0.37348999999999999</v>
      </c>
      <c r="L84" s="7">
        <v>9.3469999999999998E-2</v>
      </c>
      <c r="M84" s="7">
        <v>5.9100000000000003E-3</v>
      </c>
      <c r="N84" s="7">
        <v>1.15E-3</v>
      </c>
      <c r="O84" s="7">
        <v>1.6000000000000001E-3</v>
      </c>
      <c r="P84" s="7">
        <v>4.8999999999999998E-3</v>
      </c>
      <c r="Q84" s="1" t="s">
        <v>4188</v>
      </c>
      <c r="R84" s="1" t="s">
        <v>11</v>
      </c>
      <c r="S84" s="1" t="s">
        <v>12</v>
      </c>
      <c r="T84" s="6">
        <v>45545</v>
      </c>
    </row>
    <row r="85" spans="1:20">
      <c r="A85" s="4" t="s">
        <v>1346</v>
      </c>
      <c r="B85" s="1" t="s">
        <v>4192</v>
      </c>
      <c r="C85" s="7">
        <v>0.13091</v>
      </c>
      <c r="D85" s="7">
        <v>0.50527</v>
      </c>
      <c r="E85" s="7">
        <v>1.85501</v>
      </c>
      <c r="F85" s="7">
        <v>1.54E-2</v>
      </c>
      <c r="G85" s="7">
        <v>4.7299999999999998E-3</v>
      </c>
      <c r="H85" s="7">
        <v>3.6909999999999998E-2</v>
      </c>
      <c r="I85" s="1">
        <v>0</v>
      </c>
      <c r="J85" s="7">
        <v>0.13839000000000001</v>
      </c>
      <c r="K85" s="7">
        <v>0.54318</v>
      </c>
      <c r="L85" s="7">
        <v>0.18376999999999999</v>
      </c>
      <c r="M85" s="7">
        <v>2.205E-2</v>
      </c>
      <c r="N85" s="7">
        <v>1.7899999999999999E-3</v>
      </c>
      <c r="O85" s="7">
        <v>2.8E-3</v>
      </c>
      <c r="P85" s="7">
        <v>6.4700000000000001E-3</v>
      </c>
      <c r="Q85" s="1" t="s">
        <v>4188</v>
      </c>
      <c r="R85" s="1" t="s">
        <v>14</v>
      </c>
      <c r="S85" s="1" t="s">
        <v>9</v>
      </c>
      <c r="T85" s="6">
        <v>45548</v>
      </c>
    </row>
    <row r="86" spans="1:20">
      <c r="A86" s="4" t="s">
        <v>1367</v>
      </c>
      <c r="B86" s="1" t="s">
        <v>4193</v>
      </c>
      <c r="C86" s="7">
        <v>4.0439999999999997E-2</v>
      </c>
      <c r="D86" s="7">
        <v>0.15393999999999999</v>
      </c>
      <c r="E86" s="7">
        <v>0.75931000000000004</v>
      </c>
      <c r="F86" s="7">
        <v>9.8799999999999999E-3</v>
      </c>
      <c r="G86" s="7">
        <v>4.6800000000000001E-3</v>
      </c>
      <c r="H86" s="7">
        <v>2.3369999999999998E-2</v>
      </c>
      <c r="I86" s="1">
        <v>0</v>
      </c>
      <c r="J86" s="7">
        <v>6.7360000000000003E-2</v>
      </c>
      <c r="K86" s="7">
        <v>8.4029999999999994E-2</v>
      </c>
      <c r="L86" s="7">
        <v>1.5689999999999999E-2</v>
      </c>
      <c r="M86" s="7">
        <v>0</v>
      </c>
      <c r="N86" s="7">
        <v>3.8000000000000002E-4</v>
      </c>
      <c r="O86" s="7">
        <v>2.4499999999999999E-3</v>
      </c>
      <c r="P86" s="7">
        <v>5.1900000000000002E-3</v>
      </c>
      <c r="Q86" s="1" t="s">
        <v>4188</v>
      </c>
      <c r="R86" s="1" t="s">
        <v>16</v>
      </c>
      <c r="S86" s="1" t="s">
        <v>12</v>
      </c>
      <c r="T86" s="6">
        <v>45551</v>
      </c>
    </row>
    <row r="87" spans="1:20">
      <c r="A87" s="4" t="s">
        <v>1373</v>
      </c>
      <c r="B87" s="1" t="s">
        <v>4194</v>
      </c>
      <c r="C87" s="7">
        <v>5.6570000000000002E-2</v>
      </c>
      <c r="D87" s="7">
        <v>0.31339</v>
      </c>
      <c r="E87" s="7">
        <v>1.26431</v>
      </c>
      <c r="F87" s="7">
        <v>1.013E-2</v>
      </c>
      <c r="G87" s="7">
        <v>7.2100000000000003E-3</v>
      </c>
      <c r="H87" s="7">
        <v>3.4070000000000003E-2</v>
      </c>
      <c r="I87" s="1">
        <v>0</v>
      </c>
      <c r="J87" s="7">
        <v>4.1050000000000003E-2</v>
      </c>
      <c r="K87" s="7">
        <v>7.0639999999999994E-2</v>
      </c>
      <c r="L87" s="7">
        <v>2.154E-2</v>
      </c>
      <c r="M87" s="7">
        <v>3.2390000000000002E-2</v>
      </c>
      <c r="N87" s="7">
        <v>4.4999999999999999E-4</v>
      </c>
      <c r="O87" s="7">
        <v>1.5900000000000001E-3</v>
      </c>
      <c r="P87" s="7">
        <v>4.7099999999999998E-3</v>
      </c>
      <c r="Q87" s="1" t="s">
        <v>4195</v>
      </c>
      <c r="R87" s="1" t="s">
        <v>8</v>
      </c>
      <c r="S87" s="1" t="s">
        <v>9</v>
      </c>
      <c r="T87" s="6">
        <v>45554</v>
      </c>
    </row>
    <row r="88" spans="1:20">
      <c r="A88" s="4" t="s">
        <v>1384</v>
      </c>
      <c r="B88" s="1" t="s">
        <v>4196</v>
      </c>
      <c r="C88" s="7">
        <v>9.4490000000000005E-2</v>
      </c>
      <c r="D88" s="7">
        <v>0.42985000000000001</v>
      </c>
      <c r="E88" s="7">
        <v>1.6622699999999999</v>
      </c>
      <c r="F88" s="7">
        <v>1.5640000000000001E-2</v>
      </c>
      <c r="G88" s="7">
        <v>5.1799999999999997E-3</v>
      </c>
      <c r="H88" s="7">
        <v>3.789E-2</v>
      </c>
      <c r="I88" s="1">
        <v>0</v>
      </c>
      <c r="J88" s="7">
        <v>9.6780000000000005E-2</v>
      </c>
      <c r="K88" s="7">
        <v>0.39589000000000002</v>
      </c>
      <c r="L88" s="7">
        <v>7.6679999999999998E-2</v>
      </c>
      <c r="M88" s="7">
        <v>2.128E-2</v>
      </c>
      <c r="N88" s="7">
        <v>1.1000000000000001E-3</v>
      </c>
      <c r="O88" s="7">
        <v>9.8999999999999999E-4</v>
      </c>
      <c r="P88" s="7">
        <v>5.0699999999999999E-3</v>
      </c>
      <c r="Q88" s="1" t="s">
        <v>4195</v>
      </c>
      <c r="R88" s="1" t="s">
        <v>11</v>
      </c>
      <c r="S88" s="1" t="s">
        <v>12</v>
      </c>
      <c r="T88" s="6">
        <v>45557</v>
      </c>
    </row>
    <row r="89" spans="1:20">
      <c r="A89" s="4" t="s">
        <v>1396</v>
      </c>
      <c r="B89" s="1" t="s">
        <v>4197</v>
      </c>
      <c r="C89" s="7">
        <v>0.12114</v>
      </c>
      <c r="D89" s="7">
        <v>0.50370000000000004</v>
      </c>
      <c r="E89" s="7">
        <v>2.0440100000000001</v>
      </c>
      <c r="F89" s="7">
        <v>1.6809999999999999E-2</v>
      </c>
      <c r="G89" s="7">
        <v>5.64E-3</v>
      </c>
      <c r="H89" s="7">
        <v>3.1690000000000003E-2</v>
      </c>
      <c r="I89" s="1">
        <v>0</v>
      </c>
      <c r="J89" s="7">
        <v>0.14857000000000001</v>
      </c>
      <c r="K89" s="7">
        <v>0.55225000000000002</v>
      </c>
      <c r="L89" s="7">
        <v>0.18861</v>
      </c>
      <c r="M89" s="7">
        <v>1.669E-2</v>
      </c>
      <c r="N89" s="7">
        <v>1.81E-3</v>
      </c>
      <c r="O89" s="7">
        <v>1.15E-3</v>
      </c>
      <c r="P89" s="7">
        <v>6.7799999999999996E-3</v>
      </c>
      <c r="Q89" s="1" t="s">
        <v>4195</v>
      </c>
      <c r="R89" s="1" t="s">
        <v>14</v>
      </c>
      <c r="S89" s="1" t="s">
        <v>9</v>
      </c>
      <c r="T89" s="6">
        <v>45560</v>
      </c>
    </row>
    <row r="90" spans="1:20">
      <c r="A90" s="4" t="s">
        <v>1415</v>
      </c>
      <c r="B90" s="1" t="s">
        <v>4198</v>
      </c>
      <c r="C90" s="7">
        <v>4.0160000000000001E-2</v>
      </c>
      <c r="D90" s="7">
        <v>0.17657</v>
      </c>
      <c r="E90" s="7">
        <v>0.73272000000000004</v>
      </c>
      <c r="F90" s="7">
        <v>1.0120000000000001E-2</v>
      </c>
      <c r="G90" s="7">
        <v>5.1000000000000004E-3</v>
      </c>
      <c r="H90" s="7">
        <v>3.1829999999999997E-2</v>
      </c>
      <c r="I90" s="1">
        <v>0</v>
      </c>
      <c r="J90" s="7">
        <v>3.8629999999999998E-2</v>
      </c>
      <c r="K90" s="7">
        <v>4.478E-2</v>
      </c>
      <c r="L90" s="7">
        <v>7.5799999999999999E-3</v>
      </c>
      <c r="M90" s="7">
        <v>0</v>
      </c>
      <c r="N90" s="7">
        <v>4.0000000000000003E-5</v>
      </c>
      <c r="O90" s="7">
        <v>3.2499999999999999E-3</v>
      </c>
      <c r="P90" s="7">
        <v>4.5599999999999998E-3</v>
      </c>
      <c r="Q90" s="1" t="s">
        <v>4195</v>
      </c>
      <c r="R90" s="1" t="s">
        <v>16</v>
      </c>
      <c r="S90" s="1" t="s">
        <v>12</v>
      </c>
      <c r="T90" s="6">
        <v>45563</v>
      </c>
    </row>
    <row r="91" spans="1:20">
      <c r="A91" s="4" t="s">
        <v>1435</v>
      </c>
      <c r="B91" s="1" t="s">
        <v>4199</v>
      </c>
      <c r="C91" s="7">
        <v>6.2969999999999998E-2</v>
      </c>
      <c r="D91" s="7">
        <v>0.26998</v>
      </c>
      <c r="E91" s="7">
        <v>1.2492399999999999</v>
      </c>
      <c r="F91" s="7">
        <v>1.2030000000000001E-2</v>
      </c>
      <c r="G91" s="7">
        <v>5.2599999999999999E-3</v>
      </c>
      <c r="H91" s="7">
        <v>4.4560000000000002E-2</v>
      </c>
      <c r="I91" s="1">
        <v>0</v>
      </c>
      <c r="J91" s="7">
        <v>2.7459999999999998E-2</v>
      </c>
      <c r="K91" s="7">
        <v>0.10526000000000001</v>
      </c>
      <c r="L91" s="7">
        <v>1.302E-2</v>
      </c>
      <c r="M91" s="7">
        <v>2.7459999999999998E-2</v>
      </c>
      <c r="N91" s="7">
        <v>2.2000000000000001E-4</v>
      </c>
      <c r="O91" s="7">
        <v>2.3800000000000002E-3</v>
      </c>
      <c r="P91" s="7">
        <v>4.4400000000000004E-3</v>
      </c>
      <c r="Q91" s="1" t="s">
        <v>4195</v>
      </c>
      <c r="R91" s="1" t="s">
        <v>8</v>
      </c>
      <c r="S91" s="1" t="s">
        <v>9</v>
      </c>
      <c r="T91" s="6">
        <v>45566</v>
      </c>
    </row>
    <row r="92" spans="1:20">
      <c r="A92" s="4" t="s">
        <v>1450</v>
      </c>
      <c r="B92" s="1" t="s">
        <v>4200</v>
      </c>
      <c r="C92" s="7">
        <v>0.1062</v>
      </c>
      <c r="D92" s="7">
        <v>0.50239999999999996</v>
      </c>
      <c r="E92" s="7">
        <v>1.7752600000000001</v>
      </c>
      <c r="F92" s="7">
        <v>1.8499999999999999E-2</v>
      </c>
      <c r="G92" s="7">
        <v>3.7599999999999999E-3</v>
      </c>
      <c r="H92" s="7">
        <v>2.461E-2</v>
      </c>
      <c r="I92" s="1">
        <v>0</v>
      </c>
      <c r="J92" s="7">
        <v>0.10431</v>
      </c>
      <c r="K92" s="7">
        <v>0.35004999999999997</v>
      </c>
      <c r="L92" s="7">
        <v>0.10516</v>
      </c>
      <c r="M92" s="7">
        <v>1.41E-3</v>
      </c>
      <c r="N92" s="7">
        <v>7.9000000000000001E-4</v>
      </c>
      <c r="O92" s="7">
        <v>2.0799999999999998E-3</v>
      </c>
      <c r="P92" s="7">
        <v>5.5300000000000002E-3</v>
      </c>
      <c r="Q92" s="1" t="s">
        <v>4201</v>
      </c>
      <c r="R92" s="1" t="s">
        <v>11</v>
      </c>
      <c r="S92" s="1" t="s">
        <v>12</v>
      </c>
      <c r="T92" s="6">
        <v>45569</v>
      </c>
    </row>
    <row r="93" spans="1:20">
      <c r="A93" s="4" t="s">
        <v>1456</v>
      </c>
      <c r="B93" s="1" t="s">
        <v>4202</v>
      </c>
      <c r="C93" s="7">
        <v>0.12297</v>
      </c>
      <c r="D93" s="7">
        <v>0.49891000000000002</v>
      </c>
      <c r="E93" s="7">
        <v>2.0004</v>
      </c>
      <c r="F93" s="7">
        <v>1.354E-2</v>
      </c>
      <c r="G93" s="7">
        <v>3.6700000000000001E-3</v>
      </c>
      <c r="H93" s="7">
        <v>2.6669999999999999E-2</v>
      </c>
      <c r="I93" s="1">
        <v>0</v>
      </c>
      <c r="J93" s="7">
        <v>0.11278000000000001</v>
      </c>
      <c r="K93" s="7">
        <v>0.54091999999999996</v>
      </c>
      <c r="L93" s="7">
        <v>0.17047000000000001</v>
      </c>
      <c r="M93" s="7">
        <v>2.0219999999999998E-2</v>
      </c>
      <c r="N93" s="7">
        <v>1.6100000000000001E-3</v>
      </c>
      <c r="O93" s="7">
        <v>2.5899999999999999E-3</v>
      </c>
      <c r="P93" s="7">
        <v>6.8799999999999998E-3</v>
      </c>
      <c r="Q93" s="1" t="s">
        <v>4201</v>
      </c>
      <c r="R93" s="1" t="s">
        <v>14</v>
      </c>
      <c r="S93" s="1" t="s">
        <v>9</v>
      </c>
      <c r="T93" s="6">
        <v>45572</v>
      </c>
    </row>
    <row r="94" spans="1:20">
      <c r="A94" s="4" t="s">
        <v>1468</v>
      </c>
      <c r="B94" s="1" t="s">
        <v>4203</v>
      </c>
      <c r="C94" s="7">
        <v>3.3890000000000003E-2</v>
      </c>
      <c r="D94" s="7">
        <v>0.15623000000000001</v>
      </c>
      <c r="E94" s="7">
        <v>0.60248000000000002</v>
      </c>
      <c r="F94" s="7">
        <v>9.2800000000000001E-3</v>
      </c>
      <c r="G94" s="7">
        <v>6.8599999999999998E-3</v>
      </c>
      <c r="H94" s="7">
        <v>4.018E-2</v>
      </c>
      <c r="I94" s="1">
        <v>0</v>
      </c>
      <c r="J94" s="7">
        <v>2.5729999999999999E-2</v>
      </c>
      <c r="K94" s="7">
        <v>7.8159999999999993E-2</v>
      </c>
      <c r="L94" s="7">
        <v>2.2720000000000001E-2</v>
      </c>
      <c r="M94" s="7">
        <v>1.8500000000000001E-3</v>
      </c>
      <c r="N94" s="7">
        <v>1.7000000000000001E-4</v>
      </c>
      <c r="O94" s="7">
        <v>2.6099999999999999E-3</v>
      </c>
      <c r="P94" s="7">
        <v>3.5400000000000002E-3</v>
      </c>
      <c r="Q94" s="1" t="s">
        <v>4201</v>
      </c>
      <c r="R94" s="1" t="s">
        <v>16</v>
      </c>
      <c r="S94" s="1" t="s">
        <v>12</v>
      </c>
      <c r="T94" s="6">
        <v>45575</v>
      </c>
    </row>
    <row r="95" spans="1:20">
      <c r="A95" s="4" t="s">
        <v>1483</v>
      </c>
      <c r="B95" s="1" t="s">
        <v>4204</v>
      </c>
      <c r="C95" s="7">
        <v>6.191E-2</v>
      </c>
      <c r="D95" s="7">
        <v>0.31679000000000002</v>
      </c>
      <c r="E95" s="7">
        <v>1.2236</v>
      </c>
      <c r="F95" s="7">
        <v>1.452E-2</v>
      </c>
      <c r="G95" s="7">
        <v>4.4799999999999996E-3</v>
      </c>
      <c r="H95" s="7">
        <v>3.7530000000000001E-2</v>
      </c>
      <c r="I95" s="1">
        <v>0</v>
      </c>
      <c r="J95" s="7">
        <v>7.7179999999999999E-2</v>
      </c>
      <c r="K95" s="7">
        <v>4.301E-2</v>
      </c>
      <c r="L95" s="7">
        <v>1.4959999999999999E-2</v>
      </c>
      <c r="M95" s="7">
        <v>3.1719999999999998E-2</v>
      </c>
      <c r="N95" s="7">
        <v>3.4000000000000002E-4</v>
      </c>
      <c r="O95" s="7">
        <v>3.2200000000000002E-3</v>
      </c>
      <c r="P95" s="7">
        <v>5.7200000000000003E-3</v>
      </c>
      <c r="Q95" s="1" t="s">
        <v>4201</v>
      </c>
      <c r="R95" s="1" t="s">
        <v>8</v>
      </c>
      <c r="S95" s="1" t="s">
        <v>9</v>
      </c>
      <c r="T95" s="6">
        <v>45578</v>
      </c>
    </row>
    <row r="96" spans="1:20">
      <c r="A96" s="4" t="s">
        <v>1496</v>
      </c>
      <c r="B96" s="1" t="s">
        <v>4205</v>
      </c>
      <c r="C96" s="7">
        <v>0.10524</v>
      </c>
      <c r="D96" s="7">
        <v>0.35319</v>
      </c>
      <c r="E96" s="7">
        <v>1.8147200000000001</v>
      </c>
      <c r="F96" s="7">
        <v>1.387E-2</v>
      </c>
      <c r="G96" s="7">
        <v>4.6699999999999997E-3</v>
      </c>
      <c r="H96" s="7">
        <v>2.8510000000000001E-2</v>
      </c>
      <c r="I96" s="1">
        <v>0</v>
      </c>
      <c r="J96" s="7">
        <v>4.2819999999999997E-2</v>
      </c>
      <c r="K96" s="7">
        <v>0.27195999999999998</v>
      </c>
      <c r="L96" s="7">
        <v>9.4750000000000001E-2</v>
      </c>
      <c r="M96" s="7">
        <v>1.4710000000000001E-2</v>
      </c>
      <c r="N96" s="7">
        <v>1.4300000000000001E-3</v>
      </c>
      <c r="O96" s="7">
        <v>2.8400000000000001E-3</v>
      </c>
      <c r="P96" s="7">
        <v>6.8300000000000001E-3</v>
      </c>
      <c r="Q96" s="1" t="s">
        <v>4201</v>
      </c>
      <c r="R96" s="1" t="s">
        <v>11</v>
      </c>
      <c r="S96" s="1" t="s">
        <v>12</v>
      </c>
      <c r="T96" s="6">
        <v>45581</v>
      </c>
    </row>
    <row r="97" spans="1:20">
      <c r="A97" s="4" t="s">
        <v>1511</v>
      </c>
      <c r="B97" s="1" t="s">
        <v>4206</v>
      </c>
      <c r="C97" s="7">
        <v>0.12545000000000001</v>
      </c>
      <c r="D97" s="7">
        <v>0.58094999999999997</v>
      </c>
      <c r="E97" s="7">
        <v>1.9912399999999999</v>
      </c>
      <c r="F97" s="7">
        <v>1.34E-2</v>
      </c>
      <c r="G97" s="7">
        <v>3.9399999999999999E-3</v>
      </c>
      <c r="H97" s="7">
        <v>2.4590000000000001E-2</v>
      </c>
      <c r="I97" s="1">
        <v>0</v>
      </c>
      <c r="J97" s="7">
        <v>0.17138999999999999</v>
      </c>
      <c r="K97" s="7">
        <v>0.56066000000000005</v>
      </c>
      <c r="L97" s="7">
        <v>0.17918999999999999</v>
      </c>
      <c r="M97" s="7">
        <v>1.391E-2</v>
      </c>
      <c r="N97" s="7">
        <v>2.0300000000000001E-3</v>
      </c>
      <c r="O97" s="7">
        <v>2.3E-3</v>
      </c>
      <c r="P97" s="7">
        <v>6.3200000000000001E-3</v>
      </c>
      <c r="Q97" s="1" t="s">
        <v>4207</v>
      </c>
      <c r="R97" s="1" t="s">
        <v>14</v>
      </c>
      <c r="S97" s="1" t="s">
        <v>9</v>
      </c>
      <c r="T97" s="6">
        <v>45584</v>
      </c>
    </row>
    <row r="98" spans="1:20">
      <c r="A98" s="4" t="s">
        <v>1522</v>
      </c>
      <c r="B98" s="1" t="s">
        <v>4208</v>
      </c>
      <c r="C98" s="7">
        <v>4.623E-2</v>
      </c>
      <c r="D98" s="7">
        <v>0.22867999999999999</v>
      </c>
      <c r="E98" s="7">
        <v>0.72706000000000004</v>
      </c>
      <c r="F98" s="7">
        <v>9.0900000000000009E-3</v>
      </c>
      <c r="G98" s="7">
        <v>4.4600000000000004E-3</v>
      </c>
      <c r="H98" s="7">
        <v>3.0339999999999999E-2</v>
      </c>
      <c r="I98" s="1">
        <v>0</v>
      </c>
      <c r="J98" s="7">
        <v>2.6769999999999999E-2</v>
      </c>
      <c r="K98" s="7">
        <v>5.5590000000000001E-2</v>
      </c>
      <c r="L98" s="7">
        <v>2.2280000000000001E-2</v>
      </c>
      <c r="M98" s="7">
        <v>0</v>
      </c>
      <c r="N98" s="7">
        <v>5.6999999999999998E-4</v>
      </c>
      <c r="O98" s="7">
        <v>2.1900000000000001E-3</v>
      </c>
      <c r="P98" s="7">
        <v>3.49E-3</v>
      </c>
      <c r="Q98" s="1" t="s">
        <v>4207</v>
      </c>
      <c r="R98" s="1" t="s">
        <v>16</v>
      </c>
      <c r="S98" s="1" t="s">
        <v>12</v>
      </c>
      <c r="T98" s="6">
        <v>45587</v>
      </c>
    </row>
    <row r="99" spans="1:20">
      <c r="A99" s="4" t="s">
        <v>1530</v>
      </c>
      <c r="B99" s="1" t="s">
        <v>4209</v>
      </c>
      <c r="C99" s="7">
        <v>6.0240000000000002E-2</v>
      </c>
      <c r="D99" s="7">
        <v>0.27744999999999997</v>
      </c>
      <c r="E99" s="7">
        <v>1.28823</v>
      </c>
      <c r="F99" s="7">
        <v>1.1050000000000001E-2</v>
      </c>
      <c r="G99" s="7">
        <v>3.96E-3</v>
      </c>
      <c r="H99" s="7">
        <v>3.9570000000000001E-2</v>
      </c>
      <c r="I99" s="1">
        <v>0</v>
      </c>
      <c r="J99" s="7">
        <v>5.8939999999999999E-2</v>
      </c>
      <c r="K99" s="7">
        <v>0.14335999999999999</v>
      </c>
      <c r="L99" s="7">
        <v>4.376E-2</v>
      </c>
      <c r="M99" s="7">
        <v>2.6009999999999998E-2</v>
      </c>
      <c r="N99" s="7">
        <v>3.4000000000000002E-4</v>
      </c>
      <c r="O99" s="7">
        <v>2.1700000000000001E-3</v>
      </c>
      <c r="P99" s="7">
        <v>5.4000000000000003E-3</v>
      </c>
      <c r="Q99" s="1" t="s">
        <v>4207</v>
      </c>
      <c r="R99" s="1" t="s">
        <v>8</v>
      </c>
      <c r="S99" s="1" t="s">
        <v>9</v>
      </c>
      <c r="T99" s="6">
        <v>45590</v>
      </c>
    </row>
    <row r="100" spans="1:20">
      <c r="A100" s="4" t="s">
        <v>1547</v>
      </c>
      <c r="B100" s="1" t="s">
        <v>4210</v>
      </c>
      <c r="C100" s="7">
        <v>0.11544</v>
      </c>
      <c r="D100" s="7">
        <v>0.43540000000000001</v>
      </c>
      <c r="E100" s="7">
        <v>1.9388399999999999</v>
      </c>
      <c r="F100" s="7">
        <v>1.6369999999999999E-2</v>
      </c>
      <c r="G100" s="7">
        <v>2.1299999999999999E-3</v>
      </c>
      <c r="H100" s="7">
        <v>3.3410000000000002E-2</v>
      </c>
      <c r="I100" s="1">
        <v>0</v>
      </c>
      <c r="J100" s="7">
        <v>0.11885999999999999</v>
      </c>
      <c r="K100" s="7">
        <v>0.35246</v>
      </c>
      <c r="L100" s="7">
        <v>0.12074</v>
      </c>
      <c r="M100" s="7">
        <v>2.018E-2</v>
      </c>
      <c r="N100" s="7">
        <v>1.14E-3</v>
      </c>
      <c r="O100" s="7">
        <v>1.72E-3</v>
      </c>
      <c r="P100" s="7">
        <v>6.6400000000000001E-3</v>
      </c>
      <c r="Q100" s="1" t="s">
        <v>4207</v>
      </c>
      <c r="R100" s="1" t="s">
        <v>11</v>
      </c>
      <c r="S100" s="1" t="s">
        <v>12</v>
      </c>
      <c r="T100" s="6">
        <v>45593</v>
      </c>
    </row>
    <row r="101" spans="1:20">
      <c r="A101" s="4" t="s">
        <v>1562</v>
      </c>
      <c r="B101" s="1" t="s">
        <v>4211</v>
      </c>
      <c r="C101" s="7">
        <v>0.12477000000000001</v>
      </c>
      <c r="D101" s="7">
        <v>0.50058999999999998</v>
      </c>
      <c r="E101" s="7">
        <v>2.0625900000000001</v>
      </c>
      <c r="F101" s="7">
        <v>1.5440000000000001E-2</v>
      </c>
      <c r="G101" s="7">
        <v>4.5500000000000002E-3</v>
      </c>
      <c r="H101" s="7">
        <v>2.8799999999999999E-2</v>
      </c>
      <c r="I101" s="1">
        <v>0</v>
      </c>
      <c r="J101" s="7">
        <v>9.5089999999999994E-2</v>
      </c>
      <c r="K101" s="7">
        <v>0.52305000000000001</v>
      </c>
      <c r="L101" s="7">
        <v>0.18051</v>
      </c>
      <c r="M101" s="7">
        <v>2.2880000000000001E-2</v>
      </c>
      <c r="N101" s="7">
        <v>1.74E-3</v>
      </c>
      <c r="O101" s="7">
        <v>1.56E-3</v>
      </c>
      <c r="P101" s="7">
        <v>7.0499999999999998E-3</v>
      </c>
      <c r="Q101" s="1" t="s">
        <v>4207</v>
      </c>
      <c r="R101" s="1" t="s">
        <v>14</v>
      </c>
      <c r="S101" s="1" t="s">
        <v>9</v>
      </c>
      <c r="T101" s="6">
        <v>45596</v>
      </c>
    </row>
    <row r="102" spans="1:20">
      <c r="A102" s="4" t="s">
        <v>1573</v>
      </c>
      <c r="B102" s="1" t="s">
        <v>4212</v>
      </c>
      <c r="C102" s="7">
        <v>3.261E-2</v>
      </c>
      <c r="D102" s="7">
        <v>0.15784000000000001</v>
      </c>
      <c r="E102" s="7">
        <v>0.67925999999999997</v>
      </c>
      <c r="F102" s="7">
        <v>9.11E-3</v>
      </c>
      <c r="G102" s="7">
        <v>6.2399999999999999E-3</v>
      </c>
      <c r="H102" s="7">
        <v>3.8339999999999999E-2</v>
      </c>
      <c r="I102" s="1">
        <v>0</v>
      </c>
      <c r="J102" s="7">
        <v>5.5169999999999997E-2</v>
      </c>
      <c r="K102" s="7">
        <v>9.3119999999999994E-2</v>
      </c>
      <c r="L102" s="7">
        <v>3.2499999999999999E-3</v>
      </c>
      <c r="M102" s="7">
        <v>0</v>
      </c>
      <c r="N102" s="7">
        <v>2.2000000000000001E-4</v>
      </c>
      <c r="O102" s="7">
        <v>2.7699999999999999E-3</v>
      </c>
      <c r="P102" s="7">
        <v>4.0200000000000001E-3</v>
      </c>
      <c r="Q102" s="1" t="s">
        <v>4213</v>
      </c>
      <c r="R102" s="1" t="s">
        <v>16</v>
      </c>
      <c r="S102" s="1" t="s">
        <v>12</v>
      </c>
      <c r="T102" s="6">
        <v>45599</v>
      </c>
    </row>
    <row r="103" spans="1:20">
      <c r="A103" s="4" t="s">
        <v>1611</v>
      </c>
      <c r="B103" s="1" t="s">
        <v>4214</v>
      </c>
      <c r="C103" s="7">
        <v>6.25E-2</v>
      </c>
      <c r="D103" s="7">
        <v>0.29931000000000002</v>
      </c>
      <c r="E103" s="7">
        <v>1.1549100000000001</v>
      </c>
      <c r="F103" s="7">
        <v>1.23E-2</v>
      </c>
      <c r="G103" s="7">
        <v>4.5900000000000003E-3</v>
      </c>
      <c r="H103" s="7">
        <v>3.9100000000000003E-2</v>
      </c>
      <c r="I103" s="1">
        <v>0</v>
      </c>
      <c r="J103" s="7">
        <v>7.6009999999999994E-2</v>
      </c>
      <c r="K103" s="7">
        <v>4.3740000000000001E-2</v>
      </c>
      <c r="L103" s="7">
        <v>2.6270000000000002E-2</v>
      </c>
      <c r="M103" s="7">
        <v>4.2259999999999999E-2</v>
      </c>
      <c r="N103" s="7">
        <v>7.2000000000000005E-4</v>
      </c>
      <c r="O103" s="7">
        <v>2.5400000000000002E-3</v>
      </c>
      <c r="P103" s="7">
        <v>4.45E-3</v>
      </c>
      <c r="Q103" s="1" t="s">
        <v>4213</v>
      </c>
      <c r="R103" s="1" t="s">
        <v>8</v>
      </c>
      <c r="S103" s="1" t="s">
        <v>9</v>
      </c>
      <c r="T103" s="6">
        <v>45602</v>
      </c>
    </row>
    <row r="104" spans="1:20">
      <c r="A104" s="4" t="s">
        <v>1619</v>
      </c>
      <c r="B104" s="1" t="s">
        <v>4215</v>
      </c>
      <c r="C104" s="7">
        <v>0.10539999999999999</v>
      </c>
      <c r="D104" s="7">
        <v>0.38764999999999999</v>
      </c>
      <c r="E104" s="7">
        <v>1.7654799999999999</v>
      </c>
      <c r="F104" s="7">
        <v>1.421E-2</v>
      </c>
      <c r="G104" s="7">
        <v>3.9199999999999999E-3</v>
      </c>
      <c r="H104" s="7">
        <v>4.1000000000000002E-2</v>
      </c>
      <c r="I104" s="1">
        <v>0</v>
      </c>
      <c r="J104" s="7">
        <v>0.11817999999999999</v>
      </c>
      <c r="K104" s="7">
        <v>0.29576000000000002</v>
      </c>
      <c r="L104" s="7">
        <v>0.11039</v>
      </c>
      <c r="M104" s="7">
        <v>2.002E-2</v>
      </c>
      <c r="N104" s="7">
        <v>1.66E-3</v>
      </c>
      <c r="O104" s="7">
        <v>2.2799999999999999E-3</v>
      </c>
      <c r="P104" s="7">
        <v>5.7800000000000004E-3</v>
      </c>
      <c r="Q104" s="1" t="s">
        <v>4213</v>
      </c>
      <c r="R104" s="1" t="s">
        <v>11</v>
      </c>
      <c r="S104" s="1" t="s">
        <v>12</v>
      </c>
      <c r="T104" s="6">
        <v>45605</v>
      </c>
    </row>
    <row r="105" spans="1:20">
      <c r="A105" s="4" t="s">
        <v>1643</v>
      </c>
      <c r="B105" s="1" t="s">
        <v>4216</v>
      </c>
      <c r="C105" s="7">
        <v>0.13048999999999999</v>
      </c>
      <c r="D105" s="7">
        <v>0.53876999999999997</v>
      </c>
      <c r="E105" s="7">
        <v>1.96974</v>
      </c>
      <c r="F105" s="7">
        <v>1.7309999999999999E-2</v>
      </c>
      <c r="G105" s="7">
        <v>3.1199999999999999E-3</v>
      </c>
      <c r="H105" s="7">
        <v>2.4910000000000002E-2</v>
      </c>
      <c r="I105" s="1">
        <v>0</v>
      </c>
      <c r="J105" s="7">
        <v>0.12644</v>
      </c>
      <c r="K105" s="7">
        <v>0.51561999999999997</v>
      </c>
      <c r="L105" s="7">
        <v>0.18407999999999999</v>
      </c>
      <c r="M105" s="7">
        <v>1.11E-2</v>
      </c>
      <c r="N105" s="7">
        <v>2.2699999999999999E-3</v>
      </c>
      <c r="O105" s="7">
        <v>2.0799999999999998E-3</v>
      </c>
      <c r="P105" s="7">
        <v>6.3299999999999997E-3</v>
      </c>
      <c r="Q105" s="1" t="s">
        <v>4213</v>
      </c>
      <c r="R105" s="1" t="s">
        <v>14</v>
      </c>
      <c r="S105" s="1" t="s">
        <v>9</v>
      </c>
      <c r="T105" s="6">
        <v>45608</v>
      </c>
    </row>
    <row r="106" spans="1:20">
      <c r="A106" s="4" t="s">
        <v>1649</v>
      </c>
      <c r="B106" s="1" t="s">
        <v>4217</v>
      </c>
      <c r="C106" s="7">
        <v>2.886E-2</v>
      </c>
      <c r="D106" s="7">
        <v>0.15751000000000001</v>
      </c>
      <c r="E106" s="7">
        <v>0.57918000000000003</v>
      </c>
      <c r="F106" s="7">
        <v>8.9800000000000001E-3</v>
      </c>
      <c r="G106" s="7">
        <v>5.9699999999999996E-3</v>
      </c>
      <c r="H106" s="7">
        <v>3.4040000000000001E-2</v>
      </c>
      <c r="I106" s="1">
        <v>0</v>
      </c>
      <c r="J106" s="7">
        <v>3.6389999999999999E-2</v>
      </c>
      <c r="K106" s="7">
        <v>2.3630000000000002E-2</v>
      </c>
      <c r="L106" s="7">
        <v>0</v>
      </c>
      <c r="M106" s="7">
        <v>9.8499999999999994E-3</v>
      </c>
      <c r="N106" s="7">
        <v>2.3000000000000001E-4</v>
      </c>
      <c r="O106" s="7">
        <v>2.3900000000000002E-3</v>
      </c>
      <c r="P106" s="7">
        <v>3.1900000000000001E-3</v>
      </c>
      <c r="Q106" s="1" t="s">
        <v>4213</v>
      </c>
      <c r="R106" s="1" t="s">
        <v>16</v>
      </c>
      <c r="S106" s="1" t="s">
        <v>12</v>
      </c>
      <c r="T106" s="6">
        <v>45611</v>
      </c>
    </row>
    <row r="107" spans="1:20">
      <c r="A107" s="4" t="s">
        <v>1657</v>
      </c>
      <c r="B107" s="1" t="s">
        <v>4218</v>
      </c>
      <c r="C107" s="7">
        <v>6.4250000000000002E-2</v>
      </c>
      <c r="D107" s="7">
        <v>0.24462999999999999</v>
      </c>
      <c r="E107" s="7">
        <v>1.26505</v>
      </c>
      <c r="F107" s="7">
        <v>9.9100000000000004E-3</v>
      </c>
      <c r="G107" s="7">
        <v>6.2100000000000002E-3</v>
      </c>
      <c r="H107" s="7">
        <v>4.4850000000000001E-2</v>
      </c>
      <c r="I107" s="1">
        <v>0</v>
      </c>
      <c r="J107" s="7">
        <v>4.6989999999999997E-2</v>
      </c>
      <c r="K107" s="7">
        <v>0.11206000000000001</v>
      </c>
      <c r="L107" s="7">
        <v>2.4420000000000001E-2</v>
      </c>
      <c r="M107" s="7">
        <v>3.1449999999999999E-2</v>
      </c>
      <c r="N107" s="7">
        <v>6.6E-4</v>
      </c>
      <c r="O107" s="7">
        <v>1.8500000000000001E-3</v>
      </c>
      <c r="P107" s="7">
        <v>4.0000000000000001E-3</v>
      </c>
      <c r="Q107" s="1" t="s">
        <v>4219</v>
      </c>
      <c r="R107" s="1" t="s">
        <v>8</v>
      </c>
      <c r="S107" s="1" t="s">
        <v>9</v>
      </c>
      <c r="T107" s="6">
        <v>45614</v>
      </c>
    </row>
    <row r="108" spans="1:20">
      <c r="A108" s="4" t="s">
        <v>1674</v>
      </c>
      <c r="B108" s="1" t="s">
        <v>4220</v>
      </c>
      <c r="C108" s="7">
        <v>0.10317</v>
      </c>
      <c r="D108" s="7">
        <v>0.42625000000000002</v>
      </c>
      <c r="E108" s="7">
        <v>1.59684</v>
      </c>
      <c r="F108" s="7">
        <v>1.259E-2</v>
      </c>
      <c r="G108" s="7">
        <v>2.9399999999999999E-3</v>
      </c>
      <c r="H108" s="7">
        <v>1.6490000000000001E-2</v>
      </c>
      <c r="I108" s="1">
        <v>0</v>
      </c>
      <c r="J108" s="7">
        <v>0.15068000000000001</v>
      </c>
      <c r="K108" s="7">
        <v>0.29937999999999998</v>
      </c>
      <c r="L108" s="7">
        <v>6.547E-2</v>
      </c>
      <c r="M108" s="7">
        <v>2.665E-2</v>
      </c>
      <c r="N108" s="7">
        <v>8.4000000000000003E-4</v>
      </c>
      <c r="O108" s="7">
        <v>2.0799999999999998E-3</v>
      </c>
      <c r="P108" s="7">
        <v>7.0899999999999999E-3</v>
      </c>
      <c r="Q108" s="1" t="s">
        <v>4219</v>
      </c>
      <c r="R108" s="1" t="s">
        <v>11</v>
      </c>
      <c r="S108" s="1" t="s">
        <v>12</v>
      </c>
      <c r="T108" s="6">
        <v>45617</v>
      </c>
    </row>
    <row r="109" spans="1:20">
      <c r="A109" s="4" t="s">
        <v>1695</v>
      </c>
      <c r="B109" s="1" t="s">
        <v>4221</v>
      </c>
      <c r="C109" s="7">
        <v>0.12695000000000001</v>
      </c>
      <c r="D109" s="7">
        <v>0.53620000000000001</v>
      </c>
      <c r="E109" s="7">
        <v>1.9561900000000001</v>
      </c>
      <c r="F109" s="7">
        <v>1.4619999999999999E-2</v>
      </c>
      <c r="G109" s="7">
        <v>4.3499999999999997E-3</v>
      </c>
      <c r="H109" s="7">
        <v>2.9989999999999999E-2</v>
      </c>
      <c r="I109" s="1">
        <v>0</v>
      </c>
      <c r="J109" s="7">
        <v>0.13772000000000001</v>
      </c>
      <c r="K109" s="7">
        <v>0.5575</v>
      </c>
      <c r="L109" s="7">
        <v>0.18772</v>
      </c>
      <c r="M109" s="7">
        <v>2.6519999999999998E-2</v>
      </c>
      <c r="N109" s="7">
        <v>1.74E-3</v>
      </c>
      <c r="O109" s="7">
        <v>2.6099999999999999E-3</v>
      </c>
      <c r="P109" s="7">
        <v>5.5900000000000004E-3</v>
      </c>
      <c r="Q109" s="1" t="s">
        <v>4219</v>
      </c>
      <c r="R109" s="1" t="s">
        <v>14</v>
      </c>
      <c r="S109" s="1" t="s">
        <v>9</v>
      </c>
      <c r="T109" s="6">
        <v>45620</v>
      </c>
    </row>
    <row r="110" spans="1:20">
      <c r="A110" s="4" t="s">
        <v>1707</v>
      </c>
      <c r="B110" s="1" t="s">
        <v>4222</v>
      </c>
      <c r="C110" s="7">
        <v>2.8649999999999998E-2</v>
      </c>
      <c r="D110" s="7">
        <v>0.27217999999999998</v>
      </c>
      <c r="E110" s="7">
        <v>0.92179</v>
      </c>
      <c r="F110" s="7">
        <v>8.4399999999999996E-3</v>
      </c>
      <c r="G110" s="7">
        <v>5.1999999999999998E-3</v>
      </c>
      <c r="H110" s="7">
        <v>4.1680000000000002E-2</v>
      </c>
      <c r="I110" s="1">
        <v>0</v>
      </c>
      <c r="J110" s="7">
        <v>8.5800000000000008E-3</v>
      </c>
      <c r="K110" s="7">
        <v>1.49E-3</v>
      </c>
      <c r="L110" s="7">
        <v>0</v>
      </c>
      <c r="M110" s="7">
        <v>0</v>
      </c>
      <c r="N110" s="7">
        <v>0</v>
      </c>
      <c r="O110" s="7">
        <v>2.1199999999999999E-3</v>
      </c>
      <c r="P110" s="7">
        <v>3.14E-3</v>
      </c>
      <c r="Q110" s="1" t="s">
        <v>4219</v>
      </c>
      <c r="R110" s="1" t="s">
        <v>16</v>
      </c>
      <c r="S110" s="1" t="s">
        <v>12</v>
      </c>
      <c r="T110" s="6">
        <v>45623</v>
      </c>
    </row>
    <row r="111" spans="1:20">
      <c r="A111" s="4" t="s">
        <v>1722</v>
      </c>
      <c r="B111" s="1" t="s">
        <v>4223</v>
      </c>
      <c r="C111" s="7">
        <v>6.9440000000000002E-2</v>
      </c>
      <c r="D111" s="7">
        <v>0.32213000000000003</v>
      </c>
      <c r="E111" s="7">
        <v>1.2701100000000001</v>
      </c>
      <c r="F111" s="7">
        <v>1.252E-2</v>
      </c>
      <c r="G111" s="7">
        <v>4.8999999999999998E-3</v>
      </c>
      <c r="H111" s="7">
        <v>4.018E-2</v>
      </c>
      <c r="I111" s="1">
        <v>0</v>
      </c>
      <c r="J111" s="7">
        <v>2.5669999999999998E-2</v>
      </c>
      <c r="K111" s="7">
        <v>9.6490000000000006E-2</v>
      </c>
      <c r="L111" s="7">
        <v>3.5360000000000003E-2</v>
      </c>
      <c r="M111" s="7">
        <v>3.7749999999999999E-2</v>
      </c>
      <c r="N111" s="7">
        <v>5.2999999999999998E-4</v>
      </c>
      <c r="O111" s="7">
        <v>1.24E-3</v>
      </c>
      <c r="P111" s="7">
        <v>5.3099999999999996E-3</v>
      </c>
      <c r="Q111" s="1" t="s">
        <v>4219</v>
      </c>
      <c r="R111" s="1" t="s">
        <v>8</v>
      </c>
      <c r="S111" s="1" t="s">
        <v>9</v>
      </c>
      <c r="T111" s="6">
        <v>45626</v>
      </c>
    </row>
    <row r="112" spans="1:20">
      <c r="A112" s="4" t="s">
        <v>1737</v>
      </c>
      <c r="B112" s="1" t="s">
        <v>4224</v>
      </c>
      <c r="C112" s="7">
        <v>0.10416</v>
      </c>
      <c r="D112" s="7">
        <v>0.40600999999999998</v>
      </c>
      <c r="E112" s="7">
        <v>1.7934699999999999</v>
      </c>
      <c r="F112" s="7">
        <v>1.341E-2</v>
      </c>
      <c r="G112" s="7">
        <v>5.3099999999999996E-3</v>
      </c>
      <c r="H112" s="7">
        <v>3.4040000000000001E-2</v>
      </c>
      <c r="I112" s="1">
        <v>0</v>
      </c>
      <c r="J112" s="7">
        <v>0.11852</v>
      </c>
      <c r="K112" s="7">
        <v>0.40758</v>
      </c>
      <c r="L112" s="7">
        <v>0.10943</v>
      </c>
      <c r="M112" s="7">
        <v>2.0140000000000002E-2</v>
      </c>
      <c r="N112" s="7">
        <v>9.3000000000000005E-4</v>
      </c>
      <c r="O112" s="7">
        <v>2.1299999999999999E-3</v>
      </c>
      <c r="P112" s="7">
        <v>6.6400000000000001E-3</v>
      </c>
      <c r="Q112" s="1" t="s">
        <v>4225</v>
      </c>
      <c r="R112" s="1" t="s">
        <v>11</v>
      </c>
      <c r="S112" s="1" t="s">
        <v>12</v>
      </c>
      <c r="T112" s="6">
        <v>45629</v>
      </c>
    </row>
    <row r="113" spans="1:20">
      <c r="A113" s="4" t="s">
        <v>1740</v>
      </c>
      <c r="B113" s="1" t="s">
        <v>4226</v>
      </c>
      <c r="C113" s="7">
        <v>0.12998999999999999</v>
      </c>
      <c r="D113" s="7">
        <v>0.58362999999999998</v>
      </c>
      <c r="E113" s="7">
        <v>2.0328200000000001</v>
      </c>
      <c r="F113" s="7">
        <v>1.379E-2</v>
      </c>
      <c r="G113" s="7">
        <v>3.5999999999999999E-3</v>
      </c>
      <c r="H113" s="7">
        <v>2.4299999999999999E-2</v>
      </c>
      <c r="I113" s="1">
        <v>0</v>
      </c>
      <c r="J113" s="7">
        <v>0.15198</v>
      </c>
      <c r="K113" s="7">
        <v>0.51893</v>
      </c>
      <c r="L113" s="7">
        <v>0.19248000000000001</v>
      </c>
      <c r="M113" s="7">
        <v>1.124E-2</v>
      </c>
      <c r="N113" s="7">
        <v>1.82E-3</v>
      </c>
      <c r="O113" s="7">
        <v>9.7000000000000005E-4</v>
      </c>
      <c r="P113" s="7">
        <v>5.9199999999999999E-3</v>
      </c>
      <c r="Q113" s="1" t="s">
        <v>4225</v>
      </c>
      <c r="R113" s="1" t="s">
        <v>14</v>
      </c>
      <c r="S113" s="1" t="s">
        <v>9</v>
      </c>
      <c r="T113" s="6">
        <v>45632</v>
      </c>
    </row>
    <row r="114" spans="1:20">
      <c r="A114" s="4" t="s">
        <v>1761</v>
      </c>
      <c r="B114" s="1" t="s">
        <v>4227</v>
      </c>
      <c r="C114" s="7">
        <v>4.3520000000000003E-2</v>
      </c>
      <c r="D114" s="7">
        <v>0.16028000000000001</v>
      </c>
      <c r="E114" s="7">
        <v>0.74358000000000002</v>
      </c>
      <c r="F114" s="7">
        <v>1.1379999999999999E-2</v>
      </c>
      <c r="G114" s="7">
        <v>5.0800000000000003E-3</v>
      </c>
      <c r="H114" s="7">
        <v>3.4229999999999997E-2</v>
      </c>
      <c r="I114" s="1">
        <v>0</v>
      </c>
      <c r="J114" s="7">
        <v>3.9079999999999997E-2</v>
      </c>
      <c r="K114" s="7">
        <v>0.14856</v>
      </c>
      <c r="L114" s="7">
        <v>1.027E-2</v>
      </c>
      <c r="M114" s="7">
        <v>0</v>
      </c>
      <c r="N114" s="7">
        <v>1.8000000000000001E-4</v>
      </c>
      <c r="O114" s="7">
        <v>2.7799999999999999E-3</v>
      </c>
      <c r="P114" s="7">
        <v>3.9500000000000004E-3</v>
      </c>
      <c r="Q114" s="1" t="s">
        <v>4225</v>
      </c>
      <c r="R114" s="1" t="s">
        <v>16</v>
      </c>
      <c r="S114" s="1" t="s">
        <v>12</v>
      </c>
      <c r="T114" s="6">
        <v>45635</v>
      </c>
    </row>
    <row r="115" spans="1:20">
      <c r="A115" s="4" t="s">
        <v>1776</v>
      </c>
      <c r="B115" s="1" t="s">
        <v>4228</v>
      </c>
      <c r="C115" s="7">
        <v>7.3669999999999999E-2</v>
      </c>
      <c r="D115" s="7">
        <v>0.28067999999999999</v>
      </c>
      <c r="E115" s="7">
        <v>1.38392</v>
      </c>
      <c r="F115" s="7">
        <v>1.43E-2</v>
      </c>
      <c r="G115" s="7">
        <v>4.5199999999999997E-3</v>
      </c>
      <c r="H115" s="7">
        <v>2.9409999999999999E-2</v>
      </c>
      <c r="I115" s="1">
        <v>0</v>
      </c>
      <c r="J115" s="7">
        <v>6.88E-2</v>
      </c>
      <c r="K115" s="7">
        <v>6.6180000000000003E-2</v>
      </c>
      <c r="L115" s="7">
        <v>4.666E-2</v>
      </c>
      <c r="M115" s="7">
        <v>3.8589999999999999E-2</v>
      </c>
      <c r="N115" s="7">
        <v>3.8999999999999999E-4</v>
      </c>
      <c r="O115" s="7">
        <v>2.0600000000000002E-3</v>
      </c>
      <c r="P115" s="7">
        <v>4.9899999999999996E-3</v>
      </c>
      <c r="Q115" s="1" t="s">
        <v>4225</v>
      </c>
      <c r="R115" s="1" t="s">
        <v>8</v>
      </c>
      <c r="S115" s="1" t="s">
        <v>9</v>
      </c>
      <c r="T115" s="6">
        <v>45638</v>
      </c>
    </row>
    <row r="116" spans="1:20">
      <c r="A116" s="4" t="s">
        <v>4229</v>
      </c>
      <c r="B116" s="1" t="s">
        <v>4230</v>
      </c>
      <c r="C116" s="7">
        <v>0.10974</v>
      </c>
      <c r="D116" s="7">
        <v>0.39005000000000001</v>
      </c>
      <c r="E116" s="7">
        <v>1.7024300000000001</v>
      </c>
      <c r="F116" s="7">
        <v>1.418E-2</v>
      </c>
      <c r="G116" s="7">
        <v>4.9699999999999996E-3</v>
      </c>
      <c r="H116" s="7">
        <v>3.2050000000000002E-2</v>
      </c>
      <c r="I116" s="1">
        <v>0</v>
      </c>
      <c r="J116" s="7">
        <v>8.2650000000000001E-2</v>
      </c>
      <c r="K116" s="7">
        <v>0.32616000000000001</v>
      </c>
      <c r="L116" s="7">
        <v>7.9689999999999997E-2</v>
      </c>
      <c r="M116" s="7">
        <v>1.342E-2</v>
      </c>
      <c r="N116" s="7">
        <v>9.7999999999999997E-4</v>
      </c>
      <c r="O116" s="7">
        <v>2.0600000000000002E-3</v>
      </c>
      <c r="P116" s="7">
        <v>5.4900000000000001E-3</v>
      </c>
      <c r="Q116" s="1" t="s">
        <v>4225</v>
      </c>
      <c r="R116" s="1" t="s">
        <v>11</v>
      </c>
      <c r="S116" s="1" t="s">
        <v>12</v>
      </c>
      <c r="T116" s="6">
        <v>45641</v>
      </c>
    </row>
    <row r="117" spans="1:20">
      <c r="A117" s="4" t="s">
        <v>1795</v>
      </c>
      <c r="B117" s="1" t="s">
        <v>4231</v>
      </c>
      <c r="C117" s="7">
        <v>0.13388</v>
      </c>
      <c r="D117" s="7">
        <v>0.54867999999999995</v>
      </c>
      <c r="E117" s="7">
        <v>1.93161</v>
      </c>
      <c r="F117" s="7">
        <v>1.5129999999999999E-2</v>
      </c>
      <c r="G117" s="7">
        <v>4.9399999999999999E-3</v>
      </c>
      <c r="H117" s="7">
        <v>2.52E-2</v>
      </c>
      <c r="I117" s="1">
        <v>0</v>
      </c>
      <c r="J117" s="7">
        <v>0.10732999999999999</v>
      </c>
      <c r="K117" s="7">
        <v>0.53818999999999995</v>
      </c>
      <c r="L117" s="7">
        <v>0.17813000000000001</v>
      </c>
      <c r="M117" s="7">
        <v>3.1649999999999998E-2</v>
      </c>
      <c r="N117" s="7">
        <v>2.5600000000000002E-3</v>
      </c>
      <c r="O117" s="7">
        <v>1.75E-3</v>
      </c>
      <c r="P117" s="7">
        <v>8.3000000000000001E-3</v>
      </c>
      <c r="Q117" s="1" t="s">
        <v>4232</v>
      </c>
      <c r="R117" s="1" t="s">
        <v>14</v>
      </c>
      <c r="S117" s="1" t="s">
        <v>9</v>
      </c>
      <c r="T117" s="6">
        <v>45644</v>
      </c>
    </row>
    <row r="118" spans="1:20">
      <c r="A118" s="4" t="s">
        <v>1809</v>
      </c>
      <c r="B118" s="1" t="s">
        <v>4233</v>
      </c>
      <c r="C118" s="7">
        <v>4.5679999999999998E-2</v>
      </c>
      <c r="D118" s="7">
        <v>0.18897</v>
      </c>
      <c r="E118" s="7">
        <v>0.66705000000000003</v>
      </c>
      <c r="F118" s="7">
        <v>1.086E-2</v>
      </c>
      <c r="G118" s="7">
        <v>7.0099999999999997E-3</v>
      </c>
      <c r="H118" s="7">
        <v>4.0529999999999997E-2</v>
      </c>
      <c r="I118" s="1">
        <v>0</v>
      </c>
      <c r="J118" s="7">
        <v>1.273E-2</v>
      </c>
      <c r="K118" s="7">
        <v>1.9E-3</v>
      </c>
      <c r="L118" s="7">
        <v>9.8600000000000007E-3</v>
      </c>
      <c r="M118" s="7">
        <v>9.0500000000000008E-3</v>
      </c>
      <c r="N118" s="7">
        <v>2.3000000000000001E-4</v>
      </c>
      <c r="O118" s="7">
        <v>2.1700000000000001E-3</v>
      </c>
      <c r="P118" s="7">
        <v>3.79E-3</v>
      </c>
      <c r="Q118" s="1" t="s">
        <v>4232</v>
      </c>
      <c r="R118" s="1" t="s">
        <v>16</v>
      </c>
      <c r="S118" s="1" t="s">
        <v>12</v>
      </c>
      <c r="T118" s="6">
        <v>45647</v>
      </c>
    </row>
    <row r="119" spans="1:20">
      <c r="A119" s="4" t="s">
        <v>1815</v>
      </c>
      <c r="B119" s="1" t="s">
        <v>4234</v>
      </c>
      <c r="C119" s="7">
        <v>5.9630000000000002E-2</v>
      </c>
      <c r="D119" s="7">
        <v>0.25074999999999997</v>
      </c>
      <c r="E119" s="7">
        <v>1.26305</v>
      </c>
      <c r="F119" s="7">
        <v>1.451E-2</v>
      </c>
      <c r="G119" s="7">
        <v>5.3899999999999998E-3</v>
      </c>
      <c r="H119" s="7">
        <v>4.1709999999999997E-2</v>
      </c>
      <c r="I119" s="1">
        <v>0</v>
      </c>
      <c r="J119" s="7">
        <v>7.0430000000000006E-2</v>
      </c>
      <c r="K119" s="7">
        <v>7.8990000000000005E-2</v>
      </c>
      <c r="L119" s="7">
        <v>3.5709999999999999E-2</v>
      </c>
      <c r="M119" s="7">
        <v>3.6479999999999999E-2</v>
      </c>
      <c r="N119" s="7">
        <v>9.3000000000000005E-4</v>
      </c>
      <c r="O119" s="7">
        <v>2.8700000000000002E-3</v>
      </c>
      <c r="P119" s="7">
        <v>5.1799999999999997E-3</v>
      </c>
      <c r="Q119" s="1" t="s">
        <v>4232</v>
      </c>
      <c r="R119" s="1" t="s">
        <v>8</v>
      </c>
      <c r="S119" s="1" t="s">
        <v>9</v>
      </c>
      <c r="T119" s="6">
        <v>45650</v>
      </c>
    </row>
    <row r="120" spans="1:20">
      <c r="A120" s="4" t="s">
        <v>1826</v>
      </c>
      <c r="B120" s="1" t="s">
        <v>4235</v>
      </c>
      <c r="C120" s="7">
        <v>9.6140000000000003E-2</v>
      </c>
      <c r="D120" s="7">
        <v>0.39974999999999999</v>
      </c>
      <c r="E120" s="7">
        <v>1.6547499999999999</v>
      </c>
      <c r="F120" s="7">
        <v>1.376E-2</v>
      </c>
      <c r="G120" s="7">
        <v>4.3099999999999996E-3</v>
      </c>
      <c r="H120" s="7">
        <v>3.0120000000000001E-2</v>
      </c>
      <c r="I120" s="1">
        <v>0</v>
      </c>
      <c r="J120" s="7">
        <v>5.604E-2</v>
      </c>
      <c r="K120" s="7">
        <v>0.35827999999999999</v>
      </c>
      <c r="L120" s="7">
        <v>7.4319999999999997E-2</v>
      </c>
      <c r="M120" s="7">
        <v>1.9310000000000001E-2</v>
      </c>
      <c r="N120" s="7">
        <v>1.23E-3</v>
      </c>
      <c r="O120" s="7">
        <v>3.64E-3</v>
      </c>
      <c r="P120" s="7">
        <v>5.9500000000000004E-3</v>
      </c>
      <c r="Q120" s="1" t="s">
        <v>4232</v>
      </c>
      <c r="R120" s="1" t="s">
        <v>11</v>
      </c>
      <c r="S120" s="1" t="s">
        <v>12</v>
      </c>
      <c r="T120" s="6">
        <v>45653</v>
      </c>
    </row>
    <row r="121" spans="1:20">
      <c r="A121" s="4" t="s">
        <v>1841</v>
      </c>
      <c r="B121" s="1" t="s">
        <v>4236</v>
      </c>
      <c r="C121" s="7">
        <v>0.13775999999999999</v>
      </c>
      <c r="D121" s="7">
        <v>0.56194999999999995</v>
      </c>
      <c r="E121" s="7">
        <v>2.0099499999999999</v>
      </c>
      <c r="F121" s="7">
        <v>1.626E-2</v>
      </c>
      <c r="G121" s="7">
        <v>4.3899999999999998E-3</v>
      </c>
      <c r="H121" s="7">
        <v>3.0429999999999999E-2</v>
      </c>
      <c r="I121" s="1">
        <v>0</v>
      </c>
      <c r="J121" s="7">
        <v>0.18032999999999999</v>
      </c>
      <c r="K121" s="7">
        <v>0.53603000000000001</v>
      </c>
      <c r="L121" s="7">
        <v>0.17144000000000001</v>
      </c>
      <c r="M121" s="7">
        <v>1.8960000000000001E-2</v>
      </c>
      <c r="N121" s="7">
        <v>2.0300000000000001E-3</v>
      </c>
      <c r="O121" s="7">
        <v>1.32E-3</v>
      </c>
      <c r="P121" s="7">
        <v>7.0299999999999998E-3</v>
      </c>
      <c r="Q121" s="1" t="s">
        <v>4232</v>
      </c>
      <c r="R121" s="1" t="s">
        <v>14</v>
      </c>
      <c r="S121" s="1" t="s">
        <v>9</v>
      </c>
      <c r="T121" s="6">
        <v>45656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27"/>
  <sheetViews>
    <sheetView workbookViewId="0"/>
  </sheetViews>
  <sheetFormatPr defaultRowHeight="14.25"/>
  <cols>
    <col min="1" max="1" width="23" customWidth="1"/>
    <col min="2" max="2" width="13" customWidth="1"/>
    <col min="3" max="3" width="13" style="16" customWidth="1"/>
    <col min="4" max="6" width="13" customWidth="1"/>
    <col min="7" max="7" width="13" style="16" customWidth="1"/>
    <col min="8" max="8" width="18" customWidth="1"/>
    <col min="9" max="9" width="13" customWidth="1"/>
    <col min="10" max="10" width="13" style="16" customWidth="1"/>
    <col min="11" max="16" width="13" customWidth="1"/>
  </cols>
  <sheetData>
    <row r="1" spans="1:16" ht="32.1" customHeight="1">
      <c r="A1" s="11" t="s">
        <v>4237</v>
      </c>
      <c r="B1" s="11" t="s">
        <v>4238</v>
      </c>
      <c r="C1" s="17" t="s">
        <v>4239</v>
      </c>
      <c r="D1" s="11" t="s">
        <v>4240</v>
      </c>
      <c r="E1" s="11" t="s">
        <v>1</v>
      </c>
      <c r="F1" s="11" t="s">
        <v>2</v>
      </c>
      <c r="G1" s="17" t="s">
        <v>4241</v>
      </c>
      <c r="H1" s="1" t="s">
        <v>4242</v>
      </c>
      <c r="I1" s="11" t="s">
        <v>4243</v>
      </c>
      <c r="J1" s="21" t="s">
        <v>5029</v>
      </c>
      <c r="K1" s="11" t="s">
        <v>4244</v>
      </c>
      <c r="L1" s="11" t="s">
        <v>4245</v>
      </c>
      <c r="M1" s="11" t="s">
        <v>4090</v>
      </c>
      <c r="N1" s="11" t="s">
        <v>4</v>
      </c>
      <c r="O1" s="11" t="s">
        <v>5</v>
      </c>
      <c r="P1" s="11" t="s">
        <v>6</v>
      </c>
    </row>
    <row r="2" spans="1:16">
      <c r="A2" s="4" t="s">
        <v>202</v>
      </c>
      <c r="B2" s="9">
        <v>1168.038</v>
      </c>
      <c r="C2" s="9">
        <v>30</v>
      </c>
      <c r="D2" s="9">
        <v>904.87300000000005</v>
      </c>
      <c r="E2" s="9">
        <v>33.317999999999998</v>
      </c>
      <c r="F2" s="9">
        <v>3.4590000000000001</v>
      </c>
      <c r="G2" s="9">
        <v>30</v>
      </c>
      <c r="H2" s="1">
        <v>600</v>
      </c>
      <c r="I2" s="9">
        <v>30</v>
      </c>
      <c r="J2" s="22" t="s">
        <v>5030</v>
      </c>
      <c r="K2" s="1" t="s">
        <v>4246</v>
      </c>
      <c r="L2" s="1" t="s">
        <v>4247</v>
      </c>
      <c r="M2" s="1" t="s">
        <v>4248</v>
      </c>
      <c r="N2" s="1" t="s">
        <v>16</v>
      </c>
      <c r="O2" s="1" t="s">
        <v>12</v>
      </c>
      <c r="P2" s="6">
        <v>45419</v>
      </c>
    </row>
    <row r="3" spans="1:16">
      <c r="A3" s="4" t="s">
        <v>209</v>
      </c>
      <c r="B3" s="9">
        <v>1165.4269999999999</v>
      </c>
      <c r="C3" s="9">
        <v>30</v>
      </c>
      <c r="D3" s="9">
        <v>911.495</v>
      </c>
      <c r="E3" s="9">
        <v>36.323</v>
      </c>
      <c r="F3" s="9">
        <v>3.355</v>
      </c>
      <c r="G3" s="9">
        <v>30</v>
      </c>
      <c r="H3" s="1">
        <v>600</v>
      </c>
      <c r="I3" s="9">
        <v>30</v>
      </c>
      <c r="J3" s="22" t="s">
        <v>5030</v>
      </c>
      <c r="K3" s="1" t="s">
        <v>4246</v>
      </c>
      <c r="L3" s="1" t="s">
        <v>4249</v>
      </c>
      <c r="M3" s="1" t="s">
        <v>4248</v>
      </c>
      <c r="N3" s="1" t="s">
        <v>8</v>
      </c>
      <c r="O3" s="1" t="s">
        <v>9</v>
      </c>
      <c r="P3" s="6">
        <v>45422</v>
      </c>
    </row>
    <row r="4" spans="1:16">
      <c r="A4" s="4" t="s">
        <v>219</v>
      </c>
      <c r="B4" s="9">
        <v>1171.8510000000001</v>
      </c>
      <c r="C4" s="9">
        <v>30</v>
      </c>
      <c r="D4" s="9">
        <v>914.17499999999995</v>
      </c>
      <c r="E4" s="9">
        <v>36.936999999999998</v>
      </c>
      <c r="F4" s="9">
        <v>3.4689999999999999</v>
      </c>
      <c r="G4" s="9">
        <v>30</v>
      </c>
      <c r="H4" s="1">
        <v>600</v>
      </c>
      <c r="I4" s="9">
        <v>30</v>
      </c>
      <c r="J4" s="22" t="s">
        <v>5030</v>
      </c>
      <c r="K4" s="1" t="s">
        <v>4246</v>
      </c>
      <c r="L4" s="1" t="s">
        <v>4250</v>
      </c>
      <c r="M4" s="1" t="s">
        <v>4248</v>
      </c>
      <c r="N4" s="1" t="s">
        <v>8</v>
      </c>
      <c r="O4" s="1" t="s">
        <v>9</v>
      </c>
      <c r="P4" s="6">
        <v>45422</v>
      </c>
    </row>
    <row r="5" spans="1:16">
      <c r="A5" s="4" t="s">
        <v>233</v>
      </c>
      <c r="B5" s="9">
        <v>1209.325</v>
      </c>
      <c r="C5" s="9">
        <v>30</v>
      </c>
      <c r="D5" s="9">
        <v>890.90800000000002</v>
      </c>
      <c r="E5" s="9">
        <v>37.049999999999997</v>
      </c>
      <c r="F5" s="9">
        <v>3.8839999999999999</v>
      </c>
      <c r="G5" s="9">
        <v>30</v>
      </c>
      <c r="H5" s="1">
        <v>600</v>
      </c>
      <c r="I5" s="9">
        <v>30</v>
      </c>
      <c r="J5" s="22" t="s">
        <v>5030</v>
      </c>
      <c r="K5" s="1" t="s">
        <v>4246</v>
      </c>
      <c r="L5" s="1" t="s">
        <v>4251</v>
      </c>
      <c r="M5" s="1" t="s">
        <v>4248</v>
      </c>
      <c r="N5" s="1" t="s">
        <v>11</v>
      </c>
      <c r="O5" s="1" t="s">
        <v>12</v>
      </c>
      <c r="P5" s="6">
        <v>45425</v>
      </c>
    </row>
    <row r="6" spans="1:16">
      <c r="A6" s="4" t="s">
        <v>238</v>
      </c>
      <c r="B6" s="9">
        <v>1221.1289999999999</v>
      </c>
      <c r="C6" s="9">
        <v>30</v>
      </c>
      <c r="D6" s="9">
        <v>1276.1289999999999</v>
      </c>
      <c r="E6" s="9">
        <v>35.878</v>
      </c>
      <c r="F6" s="9">
        <v>3.4260000000000002</v>
      </c>
      <c r="G6" s="9">
        <v>30</v>
      </c>
      <c r="H6" s="1">
        <v>600</v>
      </c>
      <c r="I6" s="9">
        <v>30</v>
      </c>
      <c r="J6" s="22" t="s">
        <v>5030</v>
      </c>
      <c r="K6" s="1" t="s">
        <v>4246</v>
      </c>
      <c r="L6" s="1" t="s">
        <v>4252</v>
      </c>
      <c r="M6" s="1" t="s">
        <v>4248</v>
      </c>
      <c r="N6" s="1" t="s">
        <v>14</v>
      </c>
      <c r="O6" s="1" t="s">
        <v>9</v>
      </c>
      <c r="P6" s="6">
        <v>45428</v>
      </c>
    </row>
    <row r="7" spans="1:16">
      <c r="A7" s="4" t="s">
        <v>246</v>
      </c>
      <c r="B7" s="9">
        <v>1231.42</v>
      </c>
      <c r="C7" s="9">
        <v>30</v>
      </c>
      <c r="D7" s="9">
        <v>843.56700000000001</v>
      </c>
      <c r="E7" s="9">
        <v>39.665999999999997</v>
      </c>
      <c r="F7" s="9">
        <v>3.9740000000000002</v>
      </c>
      <c r="G7" s="9">
        <v>30</v>
      </c>
      <c r="H7" s="1">
        <v>600</v>
      </c>
      <c r="I7" s="9">
        <v>30</v>
      </c>
      <c r="J7" s="22" t="s">
        <v>5030</v>
      </c>
      <c r="K7" s="1" t="s">
        <v>4246</v>
      </c>
      <c r="L7" s="1" t="s">
        <v>4253</v>
      </c>
      <c r="M7" s="1" t="s">
        <v>4248</v>
      </c>
      <c r="N7" s="1" t="s">
        <v>14</v>
      </c>
      <c r="O7" s="1" t="s">
        <v>9</v>
      </c>
      <c r="P7" s="6">
        <v>45428</v>
      </c>
    </row>
    <row r="8" spans="1:16">
      <c r="A8" s="4" t="s">
        <v>249</v>
      </c>
      <c r="B8" s="9">
        <v>1247.6890000000001</v>
      </c>
      <c r="C8" s="9">
        <v>30</v>
      </c>
      <c r="D8" s="9">
        <v>854.11599999999999</v>
      </c>
      <c r="E8" s="9">
        <v>40.46</v>
      </c>
      <c r="F8" s="9">
        <v>4.1420000000000003</v>
      </c>
      <c r="G8" s="9">
        <v>30</v>
      </c>
      <c r="H8" s="1">
        <v>600</v>
      </c>
      <c r="I8" s="9">
        <v>30</v>
      </c>
      <c r="J8" s="22" t="s">
        <v>5030</v>
      </c>
      <c r="K8" s="1" t="s">
        <v>4246</v>
      </c>
      <c r="L8" s="1" t="s">
        <v>4254</v>
      </c>
      <c r="M8" s="1" t="s">
        <v>4248</v>
      </c>
      <c r="N8" s="1" t="s">
        <v>16</v>
      </c>
      <c r="O8" s="1" t="s">
        <v>12</v>
      </c>
      <c r="P8" s="6">
        <v>45431</v>
      </c>
    </row>
    <row r="9" spans="1:16">
      <c r="A9" s="4" t="s">
        <v>255</v>
      </c>
      <c r="B9" s="9">
        <v>1162.0429999999999</v>
      </c>
      <c r="C9" s="9">
        <v>30</v>
      </c>
      <c r="D9" s="9">
        <v>918.38</v>
      </c>
      <c r="E9" s="9">
        <v>30.334</v>
      </c>
      <c r="F9" s="9">
        <v>3.2109999999999999</v>
      </c>
      <c r="G9" s="9">
        <v>30</v>
      </c>
      <c r="H9" s="1">
        <v>600</v>
      </c>
      <c r="I9" s="9">
        <v>30</v>
      </c>
      <c r="J9" s="22" t="s">
        <v>5030</v>
      </c>
      <c r="K9" s="1" t="s">
        <v>4246</v>
      </c>
      <c r="L9" s="1" t="s">
        <v>4255</v>
      </c>
      <c r="M9" s="1" t="s">
        <v>4256</v>
      </c>
      <c r="N9" s="1" t="s">
        <v>16</v>
      </c>
      <c r="O9" s="1" t="s">
        <v>12</v>
      </c>
      <c r="P9" s="6">
        <v>45431</v>
      </c>
    </row>
    <row r="10" spans="1:16">
      <c r="A10" s="4" t="s">
        <v>264</v>
      </c>
      <c r="B10" s="9">
        <v>1177.3</v>
      </c>
      <c r="C10" s="9">
        <v>30</v>
      </c>
      <c r="D10" s="9">
        <v>918.95799999999997</v>
      </c>
      <c r="E10" s="9">
        <v>31.952000000000002</v>
      </c>
      <c r="F10" s="9">
        <v>3.343</v>
      </c>
      <c r="G10" s="9">
        <v>30</v>
      </c>
      <c r="H10" s="1">
        <v>600</v>
      </c>
      <c r="I10" s="9">
        <v>30</v>
      </c>
      <c r="J10" s="22" t="s">
        <v>5030</v>
      </c>
      <c r="K10" s="1" t="s">
        <v>4246</v>
      </c>
      <c r="L10" s="1" t="s">
        <v>4257</v>
      </c>
      <c r="M10" s="1" t="s">
        <v>4256</v>
      </c>
      <c r="N10" s="1" t="s">
        <v>8</v>
      </c>
      <c r="O10" s="1" t="s">
        <v>9</v>
      </c>
      <c r="P10" s="6">
        <v>45434</v>
      </c>
    </row>
    <row r="11" spans="1:16">
      <c r="A11" s="4" t="s">
        <v>272</v>
      </c>
      <c r="B11" s="9">
        <v>1220.046</v>
      </c>
      <c r="C11" s="9">
        <v>30</v>
      </c>
      <c r="D11" s="9">
        <v>887.98400000000004</v>
      </c>
      <c r="E11" s="9">
        <v>35.170999999999999</v>
      </c>
      <c r="F11" s="9">
        <v>3.673</v>
      </c>
      <c r="G11" s="9">
        <v>30</v>
      </c>
      <c r="H11" s="1">
        <v>600</v>
      </c>
      <c r="I11" s="9">
        <v>30</v>
      </c>
      <c r="J11" s="22" t="s">
        <v>5030</v>
      </c>
      <c r="K11" s="1" t="s">
        <v>4246</v>
      </c>
      <c r="L11" s="1" t="s">
        <v>4258</v>
      </c>
      <c r="M11" s="1" t="s">
        <v>4256</v>
      </c>
      <c r="N11" s="1" t="s">
        <v>8</v>
      </c>
      <c r="O11" s="1" t="s">
        <v>9</v>
      </c>
      <c r="P11" s="6">
        <v>45434</v>
      </c>
    </row>
    <row r="12" spans="1:16">
      <c r="A12" s="4" t="s">
        <v>284</v>
      </c>
      <c r="B12" s="9">
        <v>1228.4059999999999</v>
      </c>
      <c r="C12" s="9">
        <v>30</v>
      </c>
      <c r="D12" s="9">
        <v>865.95799999999997</v>
      </c>
      <c r="E12" s="9">
        <v>33.911999999999999</v>
      </c>
      <c r="F12" s="9">
        <v>3.7770000000000001</v>
      </c>
      <c r="G12" s="9">
        <v>30</v>
      </c>
      <c r="H12" s="1">
        <v>600</v>
      </c>
      <c r="I12" s="9">
        <v>30</v>
      </c>
      <c r="J12" s="22" t="s">
        <v>5030</v>
      </c>
      <c r="K12" s="1" t="s">
        <v>4246</v>
      </c>
      <c r="L12" s="1" t="s">
        <v>4259</v>
      </c>
      <c r="M12" s="1" t="s">
        <v>4256</v>
      </c>
      <c r="N12" s="1" t="s">
        <v>11</v>
      </c>
      <c r="O12" s="1" t="s">
        <v>12</v>
      </c>
      <c r="P12" s="6">
        <v>45437</v>
      </c>
    </row>
    <row r="13" spans="1:16">
      <c r="A13" s="4" t="s">
        <v>296</v>
      </c>
      <c r="B13" s="9">
        <v>1250.087</v>
      </c>
      <c r="C13" s="9">
        <v>30</v>
      </c>
      <c r="D13" s="9">
        <v>857.44</v>
      </c>
      <c r="E13" s="9">
        <v>39.014000000000003</v>
      </c>
      <c r="F13" s="9">
        <v>3.6680000000000001</v>
      </c>
      <c r="G13" s="9">
        <v>30</v>
      </c>
      <c r="H13" s="1">
        <v>600</v>
      </c>
      <c r="I13" s="9">
        <v>30</v>
      </c>
      <c r="J13" s="22" t="s">
        <v>5030</v>
      </c>
      <c r="K13" s="1" t="s">
        <v>4246</v>
      </c>
      <c r="L13" s="1" t="s">
        <v>4260</v>
      </c>
      <c r="M13" s="1" t="s">
        <v>4256</v>
      </c>
      <c r="N13" s="1" t="s">
        <v>14</v>
      </c>
      <c r="O13" s="1" t="s">
        <v>9</v>
      </c>
      <c r="P13" s="6">
        <v>45440</v>
      </c>
    </row>
    <row r="14" spans="1:16">
      <c r="A14" s="4" t="s">
        <v>302</v>
      </c>
      <c r="B14" s="9">
        <v>1179.92</v>
      </c>
      <c r="C14" s="9">
        <v>30</v>
      </c>
      <c r="D14" s="9">
        <v>905.471</v>
      </c>
      <c r="E14" s="9">
        <v>33.790999999999997</v>
      </c>
      <c r="F14" s="9">
        <v>3.778</v>
      </c>
      <c r="G14" s="9">
        <v>30</v>
      </c>
      <c r="H14" s="1">
        <v>600</v>
      </c>
      <c r="I14" s="9">
        <v>30</v>
      </c>
      <c r="J14" s="22" t="s">
        <v>5030</v>
      </c>
      <c r="K14" s="1" t="s">
        <v>4246</v>
      </c>
      <c r="L14" s="1" t="s">
        <v>4261</v>
      </c>
      <c r="M14" s="1" t="s">
        <v>4256</v>
      </c>
      <c r="N14" s="1" t="s">
        <v>16</v>
      </c>
      <c r="O14" s="1" t="s">
        <v>12</v>
      </c>
      <c r="P14" s="6">
        <v>45443</v>
      </c>
    </row>
    <row r="15" spans="1:16">
      <c r="A15" s="4" t="s">
        <v>307</v>
      </c>
      <c r="B15" s="9">
        <v>1182.414</v>
      </c>
      <c r="C15" s="9">
        <v>30</v>
      </c>
      <c r="D15" s="9">
        <v>906.93399999999997</v>
      </c>
      <c r="E15" s="9">
        <v>33.838999999999999</v>
      </c>
      <c r="F15" s="9">
        <v>3.1960000000000002</v>
      </c>
      <c r="G15" s="9">
        <v>30</v>
      </c>
      <c r="H15" s="1">
        <v>600</v>
      </c>
      <c r="I15" s="9">
        <v>30</v>
      </c>
      <c r="J15" s="22" t="s">
        <v>5030</v>
      </c>
      <c r="K15" s="1" t="s">
        <v>4246</v>
      </c>
      <c r="L15" s="1" t="s">
        <v>4262</v>
      </c>
      <c r="M15" s="1" t="s">
        <v>4256</v>
      </c>
      <c r="N15" s="1" t="s">
        <v>8</v>
      </c>
      <c r="O15" s="1" t="s">
        <v>9</v>
      </c>
      <c r="P15" s="6">
        <v>45446</v>
      </c>
    </row>
    <row r="16" spans="1:16">
      <c r="A16" s="4" t="s">
        <v>317</v>
      </c>
      <c r="B16" s="9">
        <v>1233.847</v>
      </c>
      <c r="C16" s="9">
        <v>30</v>
      </c>
      <c r="D16" s="9">
        <v>846.12300000000005</v>
      </c>
      <c r="E16" s="9">
        <v>37.747</v>
      </c>
      <c r="F16" s="9">
        <v>3.887</v>
      </c>
      <c r="G16" s="9">
        <v>30</v>
      </c>
      <c r="H16" s="1">
        <v>600</v>
      </c>
      <c r="I16" s="9">
        <v>30</v>
      </c>
      <c r="J16" s="22" t="s">
        <v>5030</v>
      </c>
      <c r="K16" s="1" t="s">
        <v>4246</v>
      </c>
      <c r="L16" s="1" t="s">
        <v>4263</v>
      </c>
      <c r="M16" s="1" t="s">
        <v>4256</v>
      </c>
      <c r="N16" s="1" t="s">
        <v>8</v>
      </c>
      <c r="O16" s="1" t="s">
        <v>9</v>
      </c>
      <c r="P16" s="6">
        <v>45446</v>
      </c>
    </row>
    <row r="17" spans="1:16">
      <c r="A17" s="4" t="s">
        <v>326</v>
      </c>
      <c r="B17" s="9">
        <v>1178.598</v>
      </c>
      <c r="C17" s="9">
        <v>30</v>
      </c>
      <c r="D17" s="9">
        <v>913.35699999999997</v>
      </c>
      <c r="E17" s="9">
        <v>32.935000000000002</v>
      </c>
      <c r="F17" s="9">
        <v>3.552</v>
      </c>
      <c r="G17" s="9">
        <v>30</v>
      </c>
      <c r="H17" s="1">
        <v>600</v>
      </c>
      <c r="I17" s="9">
        <v>30</v>
      </c>
      <c r="J17" s="22" t="s">
        <v>5030</v>
      </c>
      <c r="K17" s="1" t="s">
        <v>4246</v>
      </c>
      <c r="L17" s="1" t="s">
        <v>4264</v>
      </c>
      <c r="M17" s="1" t="s">
        <v>4265</v>
      </c>
      <c r="N17" s="1" t="s">
        <v>11</v>
      </c>
      <c r="O17" s="1" t="s">
        <v>12</v>
      </c>
      <c r="P17" s="6">
        <v>45449</v>
      </c>
    </row>
    <row r="18" spans="1:16">
      <c r="A18" s="4" t="s">
        <v>335</v>
      </c>
      <c r="B18" s="9">
        <v>1185.0930000000001</v>
      </c>
      <c r="C18" s="9">
        <v>30</v>
      </c>
      <c r="D18" s="9">
        <v>896.84699999999998</v>
      </c>
      <c r="E18" s="9">
        <v>33.103999999999999</v>
      </c>
      <c r="F18" s="9">
        <v>3.605</v>
      </c>
      <c r="G18" s="9">
        <v>30</v>
      </c>
      <c r="H18" s="1">
        <v>600</v>
      </c>
      <c r="I18" s="9">
        <v>30</v>
      </c>
      <c r="J18" s="22" t="s">
        <v>5030</v>
      </c>
      <c r="K18" s="1" t="s">
        <v>4246</v>
      </c>
      <c r="L18" s="1" t="s">
        <v>4266</v>
      </c>
      <c r="M18" s="1" t="s">
        <v>4265</v>
      </c>
      <c r="N18" s="1" t="s">
        <v>11</v>
      </c>
      <c r="O18" s="1" t="s">
        <v>12</v>
      </c>
      <c r="P18" s="6">
        <v>45449</v>
      </c>
    </row>
    <row r="19" spans="1:16">
      <c r="A19" s="4" t="s">
        <v>346</v>
      </c>
      <c r="B19" s="9">
        <v>1250.1310000000001</v>
      </c>
      <c r="C19" s="9">
        <v>30</v>
      </c>
      <c r="D19" s="9">
        <v>844.154</v>
      </c>
      <c r="E19" s="9">
        <v>36.594000000000001</v>
      </c>
      <c r="F19" s="9">
        <v>3.7010000000000001</v>
      </c>
      <c r="G19" s="9">
        <v>30</v>
      </c>
      <c r="H19" s="1">
        <v>600</v>
      </c>
      <c r="I19" s="9">
        <v>30</v>
      </c>
      <c r="J19" s="22" t="s">
        <v>5030</v>
      </c>
      <c r="K19" s="1" t="s">
        <v>4246</v>
      </c>
      <c r="L19" s="1" t="s">
        <v>4267</v>
      </c>
      <c r="M19" s="1" t="s">
        <v>4265</v>
      </c>
      <c r="N19" s="1" t="s">
        <v>14</v>
      </c>
      <c r="O19" s="1" t="s">
        <v>9</v>
      </c>
      <c r="P19" s="6">
        <v>45452</v>
      </c>
    </row>
    <row r="20" spans="1:16">
      <c r="A20" s="4" t="s">
        <v>354</v>
      </c>
      <c r="B20" s="9">
        <v>1230.076</v>
      </c>
      <c r="C20" s="9">
        <v>30</v>
      </c>
      <c r="D20" s="9">
        <v>850.01900000000001</v>
      </c>
      <c r="E20" s="9">
        <v>35.780999999999999</v>
      </c>
      <c r="F20" s="9">
        <v>3.83</v>
      </c>
      <c r="G20" s="9">
        <v>30</v>
      </c>
      <c r="H20" s="1">
        <v>550</v>
      </c>
      <c r="I20" s="9">
        <v>30</v>
      </c>
      <c r="J20" s="22" t="s">
        <v>5030</v>
      </c>
      <c r="K20" s="1" t="s">
        <v>4246</v>
      </c>
      <c r="L20" s="1" t="s">
        <v>4268</v>
      </c>
      <c r="M20" s="1" t="s">
        <v>4265</v>
      </c>
      <c r="N20" s="1" t="s">
        <v>16</v>
      </c>
      <c r="O20" s="1" t="s">
        <v>12</v>
      </c>
      <c r="P20" s="6">
        <v>45455</v>
      </c>
    </row>
    <row r="21" spans="1:16">
      <c r="A21" s="4" t="s">
        <v>357</v>
      </c>
      <c r="B21" s="9">
        <v>1218.6120000000001</v>
      </c>
      <c r="C21" s="9">
        <v>30</v>
      </c>
      <c r="D21" s="9">
        <v>877.14300000000003</v>
      </c>
      <c r="E21" s="9">
        <v>36.573</v>
      </c>
      <c r="F21" s="9">
        <v>3.7869999999999999</v>
      </c>
      <c r="G21" s="9">
        <v>30</v>
      </c>
      <c r="H21" s="1">
        <v>550</v>
      </c>
      <c r="I21" s="9">
        <v>30</v>
      </c>
      <c r="J21" s="22" t="s">
        <v>5030</v>
      </c>
      <c r="K21" s="1" t="s">
        <v>4246</v>
      </c>
      <c r="L21" s="1" t="s">
        <v>4269</v>
      </c>
      <c r="M21" s="1" t="s">
        <v>4265</v>
      </c>
      <c r="N21" s="1" t="s">
        <v>16</v>
      </c>
      <c r="O21" s="1" t="s">
        <v>12</v>
      </c>
      <c r="P21" s="6">
        <v>45455</v>
      </c>
    </row>
    <row r="22" spans="1:16">
      <c r="A22" s="4" t="s">
        <v>362</v>
      </c>
      <c r="B22" s="9">
        <v>1165.604</v>
      </c>
      <c r="C22" s="9">
        <v>30</v>
      </c>
      <c r="D22" s="9">
        <v>910.22299999999996</v>
      </c>
      <c r="E22" s="9">
        <v>35.692</v>
      </c>
      <c r="F22" s="9">
        <v>3.1850000000000001</v>
      </c>
      <c r="G22" s="9">
        <v>30</v>
      </c>
      <c r="H22" s="1">
        <v>550</v>
      </c>
      <c r="I22" s="9">
        <v>30</v>
      </c>
      <c r="J22" s="22" t="s">
        <v>5030</v>
      </c>
      <c r="K22" s="1" t="s">
        <v>4246</v>
      </c>
      <c r="L22" s="1" t="s">
        <v>4270</v>
      </c>
      <c r="M22" s="1" t="s">
        <v>4265</v>
      </c>
      <c r="N22" s="1" t="s">
        <v>8</v>
      </c>
      <c r="O22" s="1" t="s">
        <v>9</v>
      </c>
      <c r="P22" s="6">
        <v>45458</v>
      </c>
    </row>
    <row r="23" spans="1:16">
      <c r="A23" s="4" t="s">
        <v>367</v>
      </c>
      <c r="B23" s="9">
        <v>1177.0170000000001</v>
      </c>
      <c r="C23" s="9">
        <v>30</v>
      </c>
      <c r="D23" s="9">
        <v>906.28499999999997</v>
      </c>
      <c r="E23" s="9">
        <v>34.292999999999999</v>
      </c>
      <c r="F23" s="9">
        <v>3.4809999999999999</v>
      </c>
      <c r="G23" s="9">
        <v>30</v>
      </c>
      <c r="H23" s="1">
        <v>550</v>
      </c>
      <c r="I23" s="9">
        <v>30</v>
      </c>
      <c r="J23" s="22" t="s">
        <v>5030</v>
      </c>
      <c r="K23" s="1" t="s">
        <v>4246</v>
      </c>
      <c r="L23" s="1" t="s">
        <v>4271</v>
      </c>
      <c r="M23" s="1" t="s">
        <v>4265</v>
      </c>
      <c r="N23" s="1" t="s">
        <v>11</v>
      </c>
      <c r="O23" s="1" t="s">
        <v>12</v>
      </c>
      <c r="P23" s="6">
        <v>45461</v>
      </c>
    </row>
    <row r="24" spans="1:16">
      <c r="A24" s="4" t="s">
        <v>373</v>
      </c>
      <c r="B24" s="9">
        <v>1202.335</v>
      </c>
      <c r="C24" s="9">
        <v>30</v>
      </c>
      <c r="D24" s="9">
        <v>883.16700000000003</v>
      </c>
      <c r="E24" s="9">
        <v>31.042999999999999</v>
      </c>
      <c r="F24" s="9">
        <v>3.8479999999999999</v>
      </c>
      <c r="G24" s="9">
        <v>30</v>
      </c>
      <c r="H24" s="1">
        <v>550</v>
      </c>
      <c r="I24" s="9">
        <v>30</v>
      </c>
      <c r="J24" s="22" t="s">
        <v>5030</v>
      </c>
      <c r="K24" s="1" t="s">
        <v>4246</v>
      </c>
      <c r="L24" s="1" t="s">
        <v>4272</v>
      </c>
      <c r="M24" s="1" t="s">
        <v>4265</v>
      </c>
      <c r="N24" s="1" t="s">
        <v>8</v>
      </c>
      <c r="O24" s="1" t="s">
        <v>9</v>
      </c>
      <c r="P24" s="6">
        <v>45458</v>
      </c>
    </row>
    <row r="25" spans="1:16">
      <c r="A25" s="4" t="s">
        <v>378</v>
      </c>
      <c r="B25" s="9">
        <v>1201.5050000000001</v>
      </c>
      <c r="C25" s="9">
        <v>30</v>
      </c>
      <c r="D25" s="9">
        <v>874.23699999999997</v>
      </c>
      <c r="E25" s="9">
        <v>34.53</v>
      </c>
      <c r="F25" s="9">
        <v>3.4220000000000002</v>
      </c>
      <c r="G25" s="9">
        <v>30</v>
      </c>
      <c r="H25" s="1">
        <v>550</v>
      </c>
      <c r="I25" s="9">
        <v>30</v>
      </c>
      <c r="J25" s="22" t="s">
        <v>5030</v>
      </c>
      <c r="K25" s="1" t="s">
        <v>4246</v>
      </c>
      <c r="L25" s="1" t="s">
        <v>4273</v>
      </c>
      <c r="M25" s="1" t="s">
        <v>4274</v>
      </c>
      <c r="N25" s="1" t="s">
        <v>11</v>
      </c>
      <c r="O25" s="1" t="s">
        <v>12</v>
      </c>
      <c r="P25" s="6">
        <v>45461</v>
      </c>
    </row>
    <row r="26" spans="1:16">
      <c r="A26" s="4" t="s">
        <v>390</v>
      </c>
      <c r="B26" s="9">
        <v>1234.3920000000001</v>
      </c>
      <c r="C26" s="9">
        <v>30</v>
      </c>
      <c r="D26" s="9">
        <v>850.56100000000004</v>
      </c>
      <c r="E26" s="9">
        <v>37.701999999999998</v>
      </c>
      <c r="F26" s="9">
        <v>3.738</v>
      </c>
      <c r="G26" s="9">
        <v>30</v>
      </c>
      <c r="H26" s="1">
        <v>550</v>
      </c>
      <c r="I26" s="9">
        <v>30</v>
      </c>
      <c r="J26" s="22" t="s">
        <v>5030</v>
      </c>
      <c r="K26" s="1" t="s">
        <v>4246</v>
      </c>
      <c r="L26" s="1" t="s">
        <v>4275</v>
      </c>
      <c r="M26" s="1" t="s">
        <v>4274</v>
      </c>
      <c r="N26" s="1" t="s">
        <v>11</v>
      </c>
      <c r="O26" s="1" t="s">
        <v>12</v>
      </c>
      <c r="P26" s="6">
        <v>45461</v>
      </c>
    </row>
    <row r="27" spans="1:16">
      <c r="A27" s="4" t="s">
        <v>402</v>
      </c>
      <c r="B27" s="9">
        <v>1194.1289999999999</v>
      </c>
      <c r="C27" s="9">
        <v>30</v>
      </c>
      <c r="D27" s="9">
        <v>882.69799999999998</v>
      </c>
      <c r="E27" s="9">
        <v>34.905000000000001</v>
      </c>
      <c r="F27" s="9">
        <v>3.645</v>
      </c>
      <c r="G27" s="9">
        <v>30</v>
      </c>
      <c r="H27" s="1">
        <v>550</v>
      </c>
      <c r="I27" s="9">
        <v>30</v>
      </c>
      <c r="J27" s="22" t="s">
        <v>5030</v>
      </c>
      <c r="K27" s="1" t="s">
        <v>4246</v>
      </c>
      <c r="L27" s="1" t="s">
        <v>4276</v>
      </c>
      <c r="M27" s="1" t="s">
        <v>4274</v>
      </c>
      <c r="N27" s="1" t="s">
        <v>14</v>
      </c>
      <c r="O27" s="1" t="s">
        <v>9</v>
      </c>
      <c r="P27" s="6">
        <v>45464</v>
      </c>
    </row>
    <row r="28" spans="1:16">
      <c r="A28" s="4" t="s">
        <v>408</v>
      </c>
      <c r="B28" s="9">
        <v>1195.933</v>
      </c>
      <c r="C28" s="9">
        <v>30</v>
      </c>
      <c r="D28" s="9">
        <v>911.01700000000005</v>
      </c>
      <c r="E28" s="9">
        <v>33.365000000000002</v>
      </c>
      <c r="F28" s="9">
        <v>3.3959999999999999</v>
      </c>
      <c r="G28" s="9">
        <v>30</v>
      </c>
      <c r="H28" s="1">
        <v>550</v>
      </c>
      <c r="I28" s="9">
        <v>30</v>
      </c>
      <c r="J28" s="22" t="s">
        <v>5030</v>
      </c>
      <c r="K28" s="1" t="s">
        <v>4246</v>
      </c>
      <c r="L28" s="1" t="s">
        <v>4277</v>
      </c>
      <c r="M28" s="1" t="s">
        <v>4274</v>
      </c>
      <c r="N28" s="1" t="s">
        <v>16</v>
      </c>
      <c r="O28" s="1" t="s">
        <v>12</v>
      </c>
      <c r="P28" s="6">
        <v>45467</v>
      </c>
    </row>
    <row r="29" spans="1:16">
      <c r="A29" s="4" t="s">
        <v>412</v>
      </c>
      <c r="B29" s="9">
        <v>1210.7860000000001</v>
      </c>
      <c r="C29" s="9">
        <v>30</v>
      </c>
      <c r="D29" s="9">
        <v>887.66899999999998</v>
      </c>
      <c r="E29" s="9">
        <v>38.404000000000003</v>
      </c>
      <c r="F29" s="9">
        <v>3.7</v>
      </c>
      <c r="G29" s="9">
        <v>30</v>
      </c>
      <c r="H29" s="1">
        <v>550</v>
      </c>
      <c r="I29" s="9">
        <v>30</v>
      </c>
      <c r="J29" s="22" t="s">
        <v>5030</v>
      </c>
      <c r="K29" s="1" t="s">
        <v>4246</v>
      </c>
      <c r="L29" s="1" t="s">
        <v>4278</v>
      </c>
      <c r="M29" s="1" t="s">
        <v>4274</v>
      </c>
      <c r="N29" s="1" t="s">
        <v>8</v>
      </c>
      <c r="O29" s="1" t="s">
        <v>9</v>
      </c>
      <c r="P29" s="6">
        <v>45470</v>
      </c>
    </row>
    <row r="30" spans="1:16">
      <c r="A30" s="4" t="s">
        <v>419</v>
      </c>
      <c r="B30" s="9">
        <v>1214.4369999999999</v>
      </c>
      <c r="C30" s="9">
        <v>30</v>
      </c>
      <c r="D30" s="9">
        <v>890.67</v>
      </c>
      <c r="E30" s="9">
        <v>35.746000000000002</v>
      </c>
      <c r="F30" s="9">
        <v>3.4260000000000002</v>
      </c>
      <c r="G30" s="9">
        <v>30</v>
      </c>
      <c r="H30" s="1">
        <v>550</v>
      </c>
      <c r="I30" s="9">
        <v>30</v>
      </c>
      <c r="J30" s="22" t="s">
        <v>5030</v>
      </c>
      <c r="K30" s="1" t="s">
        <v>4246</v>
      </c>
      <c r="L30" s="1" t="s">
        <v>4279</v>
      </c>
      <c r="M30" s="1" t="s">
        <v>4274</v>
      </c>
      <c r="N30" s="1" t="s">
        <v>11</v>
      </c>
      <c r="O30" s="1" t="s">
        <v>12</v>
      </c>
      <c r="P30" s="6">
        <v>45473</v>
      </c>
    </row>
    <row r="31" spans="1:16">
      <c r="A31" s="4" t="s">
        <v>424</v>
      </c>
      <c r="B31" s="9">
        <v>1237.348</v>
      </c>
      <c r="C31" s="9">
        <v>30</v>
      </c>
      <c r="D31" s="9">
        <v>846.81200000000001</v>
      </c>
      <c r="E31" s="9">
        <v>35.204999999999998</v>
      </c>
      <c r="F31" s="9">
        <v>3.5859999999999999</v>
      </c>
      <c r="G31" s="9">
        <v>30</v>
      </c>
      <c r="H31" s="1">
        <v>550</v>
      </c>
      <c r="I31" s="9">
        <v>30</v>
      </c>
      <c r="J31" s="22" t="s">
        <v>5030</v>
      </c>
      <c r="K31" s="1" t="s">
        <v>4246</v>
      </c>
      <c r="L31" s="1" t="s">
        <v>4280</v>
      </c>
      <c r="M31" s="1" t="s">
        <v>4274</v>
      </c>
      <c r="N31" s="1" t="s">
        <v>14</v>
      </c>
      <c r="O31" s="1" t="s">
        <v>9</v>
      </c>
      <c r="P31" s="6">
        <v>45476</v>
      </c>
    </row>
    <row r="32" spans="1:16">
      <c r="A32" s="4" t="s">
        <v>430</v>
      </c>
      <c r="B32" s="9">
        <v>1238.1600000000001</v>
      </c>
      <c r="C32" s="9">
        <v>30</v>
      </c>
      <c r="D32" s="9">
        <v>894.40200000000004</v>
      </c>
      <c r="E32" s="9">
        <v>37.057000000000002</v>
      </c>
      <c r="F32" s="9">
        <v>3.7069999999999999</v>
      </c>
      <c r="G32" s="9">
        <v>30</v>
      </c>
      <c r="H32" s="1">
        <v>550</v>
      </c>
      <c r="I32" s="9">
        <v>30</v>
      </c>
      <c r="J32" s="22" t="s">
        <v>5030</v>
      </c>
      <c r="K32" s="1" t="s">
        <v>4246</v>
      </c>
      <c r="L32" s="1" t="s">
        <v>4281</v>
      </c>
      <c r="M32" s="1" t="s">
        <v>4274</v>
      </c>
      <c r="N32" s="1" t="s">
        <v>11</v>
      </c>
      <c r="O32" s="1" t="s">
        <v>12</v>
      </c>
      <c r="P32" s="6">
        <v>45473</v>
      </c>
    </row>
    <row r="33" spans="1:16">
      <c r="A33" s="4" t="s">
        <v>436</v>
      </c>
      <c r="B33" s="9">
        <v>1236.3879999999999</v>
      </c>
      <c r="C33" s="9">
        <v>30</v>
      </c>
      <c r="D33" s="9">
        <v>857.36699999999996</v>
      </c>
      <c r="E33" s="9">
        <v>38.423000000000002</v>
      </c>
      <c r="F33" s="9">
        <v>3.6930000000000001</v>
      </c>
      <c r="G33" s="9">
        <v>30</v>
      </c>
      <c r="H33" s="1">
        <v>550</v>
      </c>
      <c r="I33" s="9">
        <v>30</v>
      </c>
      <c r="J33" s="22" t="s">
        <v>5030</v>
      </c>
      <c r="K33" s="1" t="s">
        <v>4246</v>
      </c>
      <c r="L33" s="1" t="s">
        <v>4282</v>
      </c>
      <c r="M33" s="1" t="s">
        <v>4283</v>
      </c>
      <c r="N33" s="1" t="s">
        <v>14</v>
      </c>
      <c r="O33" s="1" t="s">
        <v>9</v>
      </c>
      <c r="P33" s="6">
        <v>45476</v>
      </c>
    </row>
    <row r="34" spans="1:16">
      <c r="A34" s="4" t="s">
        <v>449</v>
      </c>
      <c r="B34" s="9">
        <v>1234.28</v>
      </c>
      <c r="C34" s="9">
        <v>30</v>
      </c>
      <c r="D34" s="9">
        <v>883.75300000000004</v>
      </c>
      <c r="E34" s="9">
        <v>34.929000000000002</v>
      </c>
      <c r="F34" s="9">
        <v>3.6059999999999999</v>
      </c>
      <c r="G34" s="9">
        <v>30</v>
      </c>
      <c r="H34" s="1">
        <v>550</v>
      </c>
      <c r="I34" s="9">
        <v>30</v>
      </c>
      <c r="J34" s="22" t="s">
        <v>5030</v>
      </c>
      <c r="K34" s="1" t="s">
        <v>4246</v>
      </c>
      <c r="L34" s="1" t="s">
        <v>4284</v>
      </c>
      <c r="M34" s="1" t="s">
        <v>4283</v>
      </c>
      <c r="N34" s="1" t="s">
        <v>16</v>
      </c>
      <c r="O34" s="1" t="s">
        <v>12</v>
      </c>
      <c r="P34" s="6">
        <v>45479</v>
      </c>
    </row>
    <row r="35" spans="1:16">
      <c r="A35" s="4" t="s">
        <v>463</v>
      </c>
      <c r="B35" s="9">
        <v>1182.308</v>
      </c>
      <c r="C35" s="9">
        <v>30</v>
      </c>
      <c r="D35" s="9">
        <v>913.14499999999998</v>
      </c>
      <c r="E35" s="9">
        <v>36.292000000000002</v>
      </c>
      <c r="F35" s="9">
        <v>3.3380000000000001</v>
      </c>
      <c r="G35" s="9">
        <v>30</v>
      </c>
      <c r="H35" s="1">
        <v>550</v>
      </c>
      <c r="I35" s="9">
        <v>30</v>
      </c>
      <c r="J35" s="22" t="s">
        <v>5030</v>
      </c>
      <c r="K35" s="1" t="s">
        <v>4246</v>
      </c>
      <c r="L35" s="1" t="s">
        <v>4285</v>
      </c>
      <c r="M35" s="1" t="s">
        <v>4283</v>
      </c>
      <c r="N35" s="1" t="s">
        <v>16</v>
      </c>
      <c r="O35" s="1" t="s">
        <v>12</v>
      </c>
      <c r="P35" s="6">
        <v>45479</v>
      </c>
    </row>
    <row r="36" spans="1:16">
      <c r="A36" s="4" t="s">
        <v>469</v>
      </c>
      <c r="B36" s="9">
        <v>1190.0260000000001</v>
      </c>
      <c r="C36" s="9">
        <v>30</v>
      </c>
      <c r="D36" s="9">
        <v>914.99800000000005</v>
      </c>
      <c r="E36" s="9">
        <v>34.598999999999997</v>
      </c>
      <c r="F36" s="9">
        <v>3.3250000000000002</v>
      </c>
      <c r="G36" s="9">
        <v>30</v>
      </c>
      <c r="H36" s="1">
        <v>550</v>
      </c>
      <c r="I36" s="9">
        <v>30</v>
      </c>
      <c r="J36" s="22" t="s">
        <v>5030</v>
      </c>
      <c r="K36" s="1" t="s">
        <v>4246</v>
      </c>
      <c r="L36" s="1" t="s">
        <v>4286</v>
      </c>
      <c r="M36" s="1" t="s">
        <v>4283</v>
      </c>
      <c r="N36" s="1" t="s">
        <v>8</v>
      </c>
      <c r="O36" s="1" t="s">
        <v>9</v>
      </c>
      <c r="P36" s="6">
        <v>45482</v>
      </c>
    </row>
    <row r="37" spans="1:16">
      <c r="A37" s="4" t="s">
        <v>476</v>
      </c>
      <c r="B37" s="9">
        <v>1185.4680000000001</v>
      </c>
      <c r="C37" s="9">
        <v>30</v>
      </c>
      <c r="D37" s="9">
        <v>884.51900000000001</v>
      </c>
      <c r="E37" s="9">
        <v>42.259</v>
      </c>
      <c r="F37" s="9">
        <v>3.5939999999999999</v>
      </c>
      <c r="G37" s="9">
        <v>30</v>
      </c>
      <c r="H37" s="1">
        <v>550</v>
      </c>
      <c r="I37" s="9">
        <v>30</v>
      </c>
      <c r="J37" s="22" t="s">
        <v>5030</v>
      </c>
      <c r="K37" s="1" t="s">
        <v>4246</v>
      </c>
      <c r="L37" s="1" t="s">
        <v>4287</v>
      </c>
      <c r="M37" s="1" t="s">
        <v>4283</v>
      </c>
      <c r="N37" s="1" t="s">
        <v>11</v>
      </c>
      <c r="O37" s="1" t="s">
        <v>12</v>
      </c>
      <c r="P37" s="6">
        <v>45485</v>
      </c>
    </row>
    <row r="38" spans="1:16">
      <c r="A38" s="4" t="s">
        <v>488</v>
      </c>
      <c r="B38" s="9">
        <v>1191.2180000000001</v>
      </c>
      <c r="C38" s="9">
        <v>30</v>
      </c>
      <c r="D38" s="9">
        <v>915.39300000000003</v>
      </c>
      <c r="E38" s="9">
        <v>36.493000000000002</v>
      </c>
      <c r="F38" s="9">
        <v>3.48</v>
      </c>
      <c r="G38" s="9">
        <v>30</v>
      </c>
      <c r="H38" s="1">
        <v>550</v>
      </c>
      <c r="I38" s="9">
        <v>30</v>
      </c>
      <c r="J38" s="22" t="s">
        <v>5030</v>
      </c>
      <c r="K38" s="1" t="s">
        <v>4246</v>
      </c>
      <c r="L38" s="1" t="s">
        <v>4288</v>
      </c>
      <c r="M38" s="1" t="s">
        <v>4283</v>
      </c>
      <c r="N38" s="1" t="s">
        <v>11</v>
      </c>
      <c r="O38" s="1" t="s">
        <v>12</v>
      </c>
      <c r="P38" s="6">
        <v>45485</v>
      </c>
    </row>
    <row r="39" spans="1:16">
      <c r="A39" s="4" t="s">
        <v>495</v>
      </c>
      <c r="B39" s="9">
        <v>1214.6969999999999</v>
      </c>
      <c r="C39" s="9">
        <v>30</v>
      </c>
      <c r="D39" s="9">
        <v>900.45</v>
      </c>
      <c r="E39" s="9">
        <v>36.729999999999997</v>
      </c>
      <c r="F39" s="9">
        <v>3.6829999999999998</v>
      </c>
      <c r="G39" s="9">
        <v>30</v>
      </c>
      <c r="H39" s="1">
        <v>550</v>
      </c>
      <c r="I39" s="9">
        <v>30</v>
      </c>
      <c r="J39" s="22" t="s">
        <v>5030</v>
      </c>
      <c r="K39" s="1" t="s">
        <v>4246</v>
      </c>
      <c r="L39" s="1" t="s">
        <v>4289</v>
      </c>
      <c r="M39" s="1" t="s">
        <v>4283</v>
      </c>
      <c r="N39" s="1" t="s">
        <v>14</v>
      </c>
      <c r="O39" s="1" t="s">
        <v>9</v>
      </c>
      <c r="P39" s="6">
        <v>45488</v>
      </c>
    </row>
    <row r="40" spans="1:16">
      <c r="A40" s="4" t="s">
        <v>509</v>
      </c>
      <c r="B40" s="9">
        <v>1214.2090000000001</v>
      </c>
      <c r="C40" s="9">
        <v>30</v>
      </c>
      <c r="D40" s="9">
        <v>889.27200000000005</v>
      </c>
      <c r="E40" s="9">
        <v>34.631</v>
      </c>
      <c r="F40" s="9">
        <v>3.456</v>
      </c>
      <c r="G40" s="9">
        <v>30</v>
      </c>
      <c r="H40" s="1">
        <v>550</v>
      </c>
      <c r="I40" s="9">
        <v>30</v>
      </c>
      <c r="J40" s="22" t="s">
        <v>5030</v>
      </c>
      <c r="K40" s="1" t="s">
        <v>4246</v>
      </c>
      <c r="L40" s="1" t="s">
        <v>4290</v>
      </c>
      <c r="M40" s="1" t="s">
        <v>4283</v>
      </c>
      <c r="N40" s="1" t="s">
        <v>14</v>
      </c>
      <c r="O40" s="1" t="s">
        <v>9</v>
      </c>
      <c r="P40" s="6">
        <v>45488</v>
      </c>
    </row>
    <row r="41" spans="1:16">
      <c r="A41" s="4" t="s">
        <v>511</v>
      </c>
      <c r="B41" s="9">
        <v>1246.26</v>
      </c>
      <c r="C41" s="9">
        <v>30</v>
      </c>
      <c r="D41" s="9">
        <v>850.923</v>
      </c>
      <c r="E41" s="9">
        <v>37.676000000000002</v>
      </c>
      <c r="F41" s="9">
        <v>3.6230000000000002</v>
      </c>
      <c r="G41" s="9">
        <v>30</v>
      </c>
      <c r="H41" s="1">
        <v>550</v>
      </c>
      <c r="I41" s="9">
        <v>30</v>
      </c>
      <c r="J41" s="22" t="s">
        <v>5030</v>
      </c>
      <c r="K41" s="1" t="s">
        <v>4246</v>
      </c>
      <c r="L41" s="1" t="s">
        <v>4291</v>
      </c>
      <c r="M41" s="1" t="s">
        <v>4292</v>
      </c>
      <c r="N41" s="1" t="s">
        <v>16</v>
      </c>
      <c r="O41" s="1" t="s">
        <v>12</v>
      </c>
      <c r="P41" s="6">
        <v>45491</v>
      </c>
    </row>
    <row r="42" spans="1:16">
      <c r="A42" s="4" t="s">
        <v>520</v>
      </c>
      <c r="B42" s="9">
        <v>1249.566</v>
      </c>
      <c r="C42" s="9">
        <v>30</v>
      </c>
      <c r="D42" s="9">
        <v>861.47799999999995</v>
      </c>
      <c r="E42" s="9">
        <v>36.250999999999998</v>
      </c>
      <c r="F42" s="9">
        <v>3.552</v>
      </c>
      <c r="G42" s="9">
        <v>30</v>
      </c>
      <c r="H42" s="1">
        <v>550</v>
      </c>
      <c r="I42" s="9">
        <v>30</v>
      </c>
      <c r="J42" s="22" t="s">
        <v>5030</v>
      </c>
      <c r="K42" s="1" t="s">
        <v>4246</v>
      </c>
      <c r="L42" s="1" t="s">
        <v>4293</v>
      </c>
      <c r="M42" s="1" t="s">
        <v>4292</v>
      </c>
      <c r="N42" s="1" t="s">
        <v>8</v>
      </c>
      <c r="O42" s="1" t="s">
        <v>9</v>
      </c>
      <c r="P42" s="6">
        <v>45494</v>
      </c>
    </row>
    <row r="43" spans="1:16">
      <c r="A43" s="4" t="s">
        <v>523</v>
      </c>
      <c r="B43" s="9">
        <v>1165.9459999999999</v>
      </c>
      <c r="C43" s="9">
        <v>30</v>
      </c>
      <c r="D43" s="9">
        <v>919.38099999999997</v>
      </c>
      <c r="E43" s="9">
        <v>33.600999999999999</v>
      </c>
      <c r="F43" s="9">
        <v>3.6419999999999999</v>
      </c>
      <c r="G43" s="9">
        <v>30</v>
      </c>
      <c r="H43" s="1">
        <v>550</v>
      </c>
      <c r="I43" s="9">
        <v>30</v>
      </c>
      <c r="J43" s="22" t="s">
        <v>5030</v>
      </c>
      <c r="K43" s="1" t="s">
        <v>4246</v>
      </c>
      <c r="L43" s="1" t="s">
        <v>4294</v>
      </c>
      <c r="M43" s="1" t="s">
        <v>4292</v>
      </c>
      <c r="N43" s="1" t="s">
        <v>16</v>
      </c>
      <c r="O43" s="1" t="s">
        <v>12</v>
      </c>
      <c r="P43" s="6">
        <v>45491</v>
      </c>
    </row>
    <row r="44" spans="1:16">
      <c r="A44" s="4" t="s">
        <v>530</v>
      </c>
      <c r="B44" s="9">
        <v>1167.8979999999999</v>
      </c>
      <c r="C44" s="9">
        <v>30</v>
      </c>
      <c r="D44" s="9">
        <v>897.67499999999995</v>
      </c>
      <c r="E44" s="9">
        <v>36.481000000000002</v>
      </c>
      <c r="F44" s="9">
        <v>3.3149999999999999</v>
      </c>
      <c r="G44" s="9">
        <v>30</v>
      </c>
      <c r="H44" s="1">
        <v>550</v>
      </c>
      <c r="I44" s="9">
        <v>30</v>
      </c>
      <c r="J44" s="22" t="s">
        <v>5030</v>
      </c>
      <c r="K44" s="1" t="s">
        <v>4246</v>
      </c>
      <c r="L44" s="1" t="s">
        <v>4295</v>
      </c>
      <c r="M44" s="1" t="s">
        <v>4292</v>
      </c>
      <c r="N44" s="1" t="s">
        <v>8</v>
      </c>
      <c r="O44" s="1" t="s">
        <v>9</v>
      </c>
      <c r="P44" s="6">
        <v>45494</v>
      </c>
    </row>
    <row r="45" spans="1:16">
      <c r="A45" s="4" t="s">
        <v>543</v>
      </c>
      <c r="B45" s="9">
        <v>1202.5630000000001</v>
      </c>
      <c r="C45" s="9">
        <v>30</v>
      </c>
      <c r="D45" s="9">
        <v>897.53300000000002</v>
      </c>
      <c r="E45" s="9">
        <v>35.305999999999997</v>
      </c>
      <c r="F45" s="9">
        <v>3.7309999999999999</v>
      </c>
      <c r="G45" s="9">
        <v>30</v>
      </c>
      <c r="H45" s="1">
        <v>550</v>
      </c>
      <c r="I45" s="9">
        <v>30</v>
      </c>
      <c r="J45" s="22" t="s">
        <v>5030</v>
      </c>
      <c r="K45" s="1" t="s">
        <v>4246</v>
      </c>
      <c r="L45" s="1" t="s">
        <v>4296</v>
      </c>
      <c r="M45" s="1" t="s">
        <v>4292</v>
      </c>
      <c r="N45" s="1" t="s">
        <v>11</v>
      </c>
      <c r="O45" s="1" t="s">
        <v>12</v>
      </c>
      <c r="P45" s="6">
        <v>45497</v>
      </c>
    </row>
    <row r="46" spans="1:16">
      <c r="A46" s="4" t="s">
        <v>549</v>
      </c>
      <c r="B46" s="9">
        <v>1208.954</v>
      </c>
      <c r="C46" s="9">
        <v>30</v>
      </c>
      <c r="D46" s="9">
        <v>879.47</v>
      </c>
      <c r="E46" s="9">
        <v>38.774999999999999</v>
      </c>
      <c r="F46" s="9">
        <v>3.7810000000000001</v>
      </c>
      <c r="G46" s="9">
        <v>30</v>
      </c>
      <c r="H46" s="1">
        <v>550</v>
      </c>
      <c r="I46" s="9">
        <v>30</v>
      </c>
      <c r="J46" s="22" t="s">
        <v>5030</v>
      </c>
      <c r="K46" s="1" t="s">
        <v>4246</v>
      </c>
      <c r="L46" s="1" t="s">
        <v>4297</v>
      </c>
      <c r="M46" s="1" t="s">
        <v>4292</v>
      </c>
      <c r="N46" s="1" t="s">
        <v>8</v>
      </c>
      <c r="O46" s="1" t="s">
        <v>9</v>
      </c>
      <c r="P46" s="6">
        <v>45494</v>
      </c>
    </row>
    <row r="47" spans="1:16">
      <c r="A47" s="4" t="s">
        <v>557</v>
      </c>
      <c r="B47" s="9">
        <v>1247.3610000000001</v>
      </c>
      <c r="C47" s="9">
        <v>30</v>
      </c>
      <c r="D47" s="9">
        <v>846.06799999999998</v>
      </c>
      <c r="E47" s="9">
        <v>38.911000000000001</v>
      </c>
      <c r="F47" s="9">
        <v>3.6920000000000002</v>
      </c>
      <c r="G47" s="9">
        <v>30</v>
      </c>
      <c r="H47" s="1">
        <v>600</v>
      </c>
      <c r="I47" s="9">
        <v>30</v>
      </c>
      <c r="J47" s="22" t="s">
        <v>5030</v>
      </c>
      <c r="K47" s="1" t="s">
        <v>4246</v>
      </c>
      <c r="L47" s="1" t="s">
        <v>4298</v>
      </c>
      <c r="M47" s="1" t="s">
        <v>4292</v>
      </c>
      <c r="N47" s="1" t="s">
        <v>11</v>
      </c>
      <c r="O47" s="1" t="s">
        <v>12</v>
      </c>
      <c r="P47" s="6">
        <v>45497</v>
      </c>
    </row>
    <row r="48" spans="1:16">
      <c r="A48" s="4" t="s">
        <v>561</v>
      </c>
      <c r="B48" s="9">
        <v>1219.6849999999999</v>
      </c>
      <c r="C48" s="9">
        <v>30</v>
      </c>
      <c r="D48" s="9">
        <v>875.51099999999997</v>
      </c>
      <c r="E48" s="9">
        <v>36.466999999999999</v>
      </c>
      <c r="F48" s="9">
        <v>3.7469999999999999</v>
      </c>
      <c r="G48" s="9">
        <v>30</v>
      </c>
      <c r="H48" s="1">
        <v>600</v>
      </c>
      <c r="I48" s="9">
        <v>30</v>
      </c>
      <c r="J48" s="22" t="s">
        <v>5030</v>
      </c>
      <c r="K48" s="1" t="s">
        <v>4246</v>
      </c>
      <c r="L48" s="1" t="s">
        <v>4299</v>
      </c>
      <c r="M48" s="1" t="s">
        <v>4292</v>
      </c>
      <c r="N48" s="1" t="s">
        <v>14</v>
      </c>
      <c r="O48" s="1" t="s">
        <v>9</v>
      </c>
      <c r="P48" s="6">
        <v>45500</v>
      </c>
    </row>
    <row r="49" spans="1:16">
      <c r="A49" s="4" t="s">
        <v>566</v>
      </c>
      <c r="B49" s="9">
        <v>1249.174</v>
      </c>
      <c r="C49" s="9">
        <v>30</v>
      </c>
      <c r="D49" s="9">
        <v>857.58</v>
      </c>
      <c r="E49" s="9">
        <v>35.539000000000001</v>
      </c>
      <c r="F49" s="9">
        <v>3.7320000000000002</v>
      </c>
      <c r="G49" s="9">
        <v>30</v>
      </c>
      <c r="H49" s="1">
        <v>600</v>
      </c>
      <c r="I49" s="9">
        <v>30</v>
      </c>
      <c r="J49" s="22" t="s">
        <v>5030</v>
      </c>
      <c r="K49" s="1" t="s">
        <v>4246</v>
      </c>
      <c r="L49" s="1" t="s">
        <v>4300</v>
      </c>
      <c r="M49" s="1" t="s">
        <v>4301</v>
      </c>
      <c r="N49" s="1" t="s">
        <v>16</v>
      </c>
      <c r="O49" s="1" t="s">
        <v>12</v>
      </c>
      <c r="P49" s="6">
        <v>45503</v>
      </c>
    </row>
    <row r="50" spans="1:16">
      <c r="A50" s="4" t="s">
        <v>572</v>
      </c>
      <c r="B50" s="9">
        <v>1167.3699999999999</v>
      </c>
      <c r="C50" s="9">
        <v>30</v>
      </c>
      <c r="D50" s="9">
        <v>894.7</v>
      </c>
      <c r="E50" s="9">
        <v>36.886000000000003</v>
      </c>
      <c r="F50" s="9">
        <v>3.3250000000000002</v>
      </c>
      <c r="G50" s="9">
        <v>30</v>
      </c>
      <c r="H50" s="1">
        <v>600</v>
      </c>
      <c r="I50" s="9">
        <v>30</v>
      </c>
      <c r="J50" s="22" t="s">
        <v>5030</v>
      </c>
      <c r="K50" s="1" t="s">
        <v>4246</v>
      </c>
      <c r="L50" s="1" t="s">
        <v>4302</v>
      </c>
      <c r="M50" s="1" t="s">
        <v>4301</v>
      </c>
      <c r="N50" s="1" t="s">
        <v>16</v>
      </c>
      <c r="O50" s="1" t="s">
        <v>12</v>
      </c>
      <c r="P50" s="6">
        <v>45503</v>
      </c>
    </row>
    <row r="51" spans="1:16">
      <c r="A51" s="4" t="s">
        <v>577</v>
      </c>
      <c r="B51" s="9">
        <v>1190.6179999999999</v>
      </c>
      <c r="C51" s="9">
        <v>30</v>
      </c>
      <c r="D51" s="9">
        <v>887.63599999999997</v>
      </c>
      <c r="E51" s="9">
        <v>34.976999999999997</v>
      </c>
      <c r="F51" s="9">
        <v>3.5369999999999999</v>
      </c>
      <c r="G51" s="9">
        <v>30</v>
      </c>
      <c r="H51" s="1">
        <v>600</v>
      </c>
      <c r="I51" s="9">
        <v>30</v>
      </c>
      <c r="J51" s="22" t="s">
        <v>5030</v>
      </c>
      <c r="K51" s="1" t="s">
        <v>4246</v>
      </c>
      <c r="L51" s="1" t="s">
        <v>4303</v>
      </c>
      <c r="M51" s="1" t="s">
        <v>4301</v>
      </c>
      <c r="N51" s="1" t="s">
        <v>8</v>
      </c>
      <c r="O51" s="1" t="s">
        <v>9</v>
      </c>
      <c r="P51" s="6">
        <v>45506</v>
      </c>
    </row>
    <row r="52" spans="1:16">
      <c r="A52" s="4" t="s">
        <v>584</v>
      </c>
      <c r="B52" s="9">
        <v>1182.8530000000001</v>
      </c>
      <c r="C52" s="9">
        <v>30</v>
      </c>
      <c r="D52" s="9">
        <v>910.46299999999997</v>
      </c>
      <c r="E52" s="9">
        <v>34.86</v>
      </c>
      <c r="F52" s="9">
        <v>3.3820000000000001</v>
      </c>
      <c r="G52" s="9">
        <v>30</v>
      </c>
      <c r="H52" s="1">
        <v>600</v>
      </c>
      <c r="I52" s="9">
        <v>30</v>
      </c>
      <c r="J52" s="22" t="s">
        <v>5030</v>
      </c>
      <c r="K52" s="1" t="s">
        <v>4246</v>
      </c>
      <c r="L52" s="1" t="s">
        <v>4304</v>
      </c>
      <c r="M52" s="1" t="s">
        <v>4301</v>
      </c>
      <c r="N52" s="1" t="s">
        <v>11</v>
      </c>
      <c r="O52" s="1" t="s">
        <v>12</v>
      </c>
      <c r="P52" s="6">
        <v>45509</v>
      </c>
    </row>
    <row r="53" spans="1:16">
      <c r="A53" s="4" t="s">
        <v>590</v>
      </c>
      <c r="B53" s="9">
        <v>1205.23</v>
      </c>
      <c r="C53" s="9">
        <v>30</v>
      </c>
      <c r="D53" s="9">
        <v>881.12099999999998</v>
      </c>
      <c r="E53" s="9">
        <v>36.701999999999998</v>
      </c>
      <c r="F53" s="9">
        <v>3.3660000000000001</v>
      </c>
      <c r="G53" s="9">
        <v>30</v>
      </c>
      <c r="H53" s="1">
        <v>600</v>
      </c>
      <c r="I53" s="9">
        <v>30</v>
      </c>
      <c r="J53" s="22" t="s">
        <v>5030</v>
      </c>
      <c r="K53" s="1" t="s">
        <v>4246</v>
      </c>
      <c r="L53" s="1" t="s">
        <v>4305</v>
      </c>
      <c r="M53" s="1" t="s">
        <v>4301</v>
      </c>
      <c r="N53" s="1" t="s">
        <v>8</v>
      </c>
      <c r="O53" s="1" t="s">
        <v>9</v>
      </c>
      <c r="P53" s="6">
        <v>45506</v>
      </c>
    </row>
    <row r="54" spans="1:16">
      <c r="A54" s="4" t="s">
        <v>594</v>
      </c>
      <c r="B54" s="9">
        <v>1193.3889999999999</v>
      </c>
      <c r="C54" s="9">
        <v>30</v>
      </c>
      <c r="D54" s="9">
        <v>886.51199999999994</v>
      </c>
      <c r="E54" s="9">
        <v>37.164999999999999</v>
      </c>
      <c r="F54" s="9">
        <v>3.47</v>
      </c>
      <c r="G54" s="9">
        <v>30</v>
      </c>
      <c r="H54" s="1">
        <v>600</v>
      </c>
      <c r="I54" s="9">
        <v>120</v>
      </c>
      <c r="J54" s="22" t="s">
        <v>5030</v>
      </c>
      <c r="K54" s="1" t="s">
        <v>4246</v>
      </c>
      <c r="L54" s="1" t="s">
        <v>4306</v>
      </c>
      <c r="M54" s="1" t="s">
        <v>4301</v>
      </c>
      <c r="N54" s="1" t="s">
        <v>11</v>
      </c>
      <c r="O54" s="1" t="s">
        <v>12</v>
      </c>
      <c r="P54" s="6">
        <v>45509</v>
      </c>
    </row>
    <row r="55" spans="1:16">
      <c r="A55" s="4" t="s">
        <v>599</v>
      </c>
      <c r="B55" s="9">
        <v>1220.925</v>
      </c>
      <c r="C55" s="9">
        <v>30</v>
      </c>
      <c r="D55" s="9">
        <v>875.83500000000004</v>
      </c>
      <c r="E55" s="9">
        <v>38.176000000000002</v>
      </c>
      <c r="F55" s="9">
        <v>3.6320000000000001</v>
      </c>
      <c r="G55" s="9">
        <v>30</v>
      </c>
      <c r="H55" s="1">
        <v>600</v>
      </c>
      <c r="I55" s="9">
        <v>120</v>
      </c>
      <c r="J55" s="22" t="s">
        <v>5030</v>
      </c>
      <c r="K55" s="1" t="s">
        <v>4246</v>
      </c>
      <c r="L55" s="1" t="s">
        <v>4307</v>
      </c>
      <c r="M55" s="1" t="s">
        <v>4301</v>
      </c>
      <c r="N55" s="1" t="s">
        <v>14</v>
      </c>
      <c r="O55" s="1" t="s">
        <v>9</v>
      </c>
      <c r="P55" s="6">
        <v>45512</v>
      </c>
    </row>
    <row r="56" spans="1:16">
      <c r="A56" s="4" t="s">
        <v>604</v>
      </c>
      <c r="B56" s="9">
        <v>1247.7550000000001</v>
      </c>
      <c r="C56" s="9">
        <v>30</v>
      </c>
      <c r="D56" s="9">
        <v>858.375</v>
      </c>
      <c r="E56" s="9">
        <v>39.694000000000003</v>
      </c>
      <c r="F56" s="9">
        <v>3.8650000000000002</v>
      </c>
      <c r="G56" s="9">
        <v>30</v>
      </c>
      <c r="H56" s="1">
        <v>600</v>
      </c>
      <c r="I56" s="9">
        <v>120</v>
      </c>
      <c r="J56" s="22" t="s">
        <v>5030</v>
      </c>
      <c r="K56" s="1" t="s">
        <v>4246</v>
      </c>
      <c r="L56" s="1" t="s">
        <v>4308</v>
      </c>
      <c r="M56" s="1" t="s">
        <v>4301</v>
      </c>
      <c r="N56" s="1" t="s">
        <v>16</v>
      </c>
      <c r="O56" s="1" t="s">
        <v>12</v>
      </c>
      <c r="P56" s="6">
        <v>45515</v>
      </c>
    </row>
    <row r="57" spans="1:16">
      <c r="A57" s="4" t="s">
        <v>610</v>
      </c>
      <c r="B57" s="9">
        <v>1224.9870000000001</v>
      </c>
      <c r="C57" s="9">
        <v>30</v>
      </c>
      <c r="D57" s="9">
        <v>876.45899999999995</v>
      </c>
      <c r="E57" s="9">
        <v>35.005000000000003</v>
      </c>
      <c r="F57" s="9">
        <v>3.6309999999999998</v>
      </c>
      <c r="G57" s="9">
        <v>30</v>
      </c>
      <c r="H57" s="1">
        <v>600</v>
      </c>
      <c r="I57" s="9">
        <v>120</v>
      </c>
      <c r="J57" s="22" t="s">
        <v>5030</v>
      </c>
      <c r="K57" s="1" t="s">
        <v>4246</v>
      </c>
      <c r="L57" s="1" t="s">
        <v>4309</v>
      </c>
      <c r="M57" s="1" t="s">
        <v>4310</v>
      </c>
      <c r="N57" s="1" t="s">
        <v>14</v>
      </c>
      <c r="O57" s="1" t="s">
        <v>9</v>
      </c>
      <c r="P57" s="6">
        <v>45512</v>
      </c>
    </row>
    <row r="58" spans="1:16">
      <c r="A58" s="4" t="s">
        <v>616</v>
      </c>
      <c r="B58" s="9">
        <v>1236.325</v>
      </c>
      <c r="C58" s="9">
        <v>30</v>
      </c>
      <c r="D58" s="9">
        <v>851.73199999999997</v>
      </c>
      <c r="E58" s="9">
        <v>35.283999999999999</v>
      </c>
      <c r="F58" s="9">
        <v>3.8239999999999998</v>
      </c>
      <c r="G58" s="9">
        <v>30</v>
      </c>
      <c r="H58" s="1">
        <v>600</v>
      </c>
      <c r="I58" s="9">
        <v>120</v>
      </c>
      <c r="J58" s="22" t="s">
        <v>5030</v>
      </c>
      <c r="K58" s="1" t="s">
        <v>4246</v>
      </c>
      <c r="L58" s="1" t="s">
        <v>4311</v>
      </c>
      <c r="M58" s="1" t="s">
        <v>4310</v>
      </c>
      <c r="N58" s="1" t="s">
        <v>16</v>
      </c>
      <c r="O58" s="1" t="s">
        <v>12</v>
      </c>
      <c r="P58" s="6">
        <v>45515</v>
      </c>
    </row>
    <row r="59" spans="1:16">
      <c r="A59" s="4" t="s">
        <v>630</v>
      </c>
      <c r="B59" s="9">
        <v>1211.9970000000001</v>
      </c>
      <c r="C59" s="9">
        <v>30</v>
      </c>
      <c r="D59" s="9">
        <v>885.81299999999999</v>
      </c>
      <c r="E59" s="9">
        <v>35.512999999999998</v>
      </c>
      <c r="F59" s="9">
        <v>3.8530000000000002</v>
      </c>
      <c r="G59" s="9">
        <v>30</v>
      </c>
      <c r="H59" s="1">
        <v>600</v>
      </c>
      <c r="I59" s="9">
        <v>120</v>
      </c>
      <c r="J59" s="22" t="s">
        <v>5030</v>
      </c>
      <c r="K59" s="1" t="s">
        <v>4246</v>
      </c>
      <c r="L59" s="1" t="s">
        <v>4312</v>
      </c>
      <c r="M59" s="1" t="s">
        <v>4310</v>
      </c>
      <c r="N59" s="1" t="s">
        <v>8</v>
      </c>
      <c r="O59" s="1" t="s">
        <v>9</v>
      </c>
      <c r="P59" s="6">
        <v>45518</v>
      </c>
    </row>
    <row r="60" spans="1:16">
      <c r="A60" s="4" t="s">
        <v>636</v>
      </c>
      <c r="B60" s="9">
        <v>1224.2529999999999</v>
      </c>
      <c r="C60" s="9">
        <v>30</v>
      </c>
      <c r="D60" s="9">
        <v>847.98199999999997</v>
      </c>
      <c r="E60" s="9">
        <v>36.061999999999998</v>
      </c>
      <c r="F60" s="9">
        <v>3.9729999999999999</v>
      </c>
      <c r="G60" s="9">
        <v>30</v>
      </c>
      <c r="H60" s="1">
        <v>600</v>
      </c>
      <c r="I60" s="9">
        <v>120</v>
      </c>
      <c r="J60" s="22" t="s">
        <v>5030</v>
      </c>
      <c r="K60" s="1" t="s">
        <v>4246</v>
      </c>
      <c r="L60" s="1" t="s">
        <v>4313</v>
      </c>
      <c r="M60" s="1" t="s">
        <v>4310</v>
      </c>
      <c r="N60" s="1" t="s">
        <v>11</v>
      </c>
      <c r="O60" s="1" t="s">
        <v>12</v>
      </c>
      <c r="P60" s="6">
        <v>45521</v>
      </c>
    </row>
    <row r="61" spans="1:16">
      <c r="A61" s="4" t="s">
        <v>644</v>
      </c>
      <c r="B61" s="9">
        <v>1200.33</v>
      </c>
      <c r="C61" s="9">
        <v>30</v>
      </c>
      <c r="D61" s="9">
        <v>865.42200000000003</v>
      </c>
      <c r="E61" s="9">
        <v>35.823999999999998</v>
      </c>
      <c r="F61" s="9">
        <v>3.8130000000000002</v>
      </c>
      <c r="G61" s="9">
        <v>30</v>
      </c>
      <c r="H61" s="1">
        <v>600</v>
      </c>
      <c r="I61" s="9">
        <v>120</v>
      </c>
      <c r="J61" s="22" t="s">
        <v>5030</v>
      </c>
      <c r="K61" s="1" t="s">
        <v>4246</v>
      </c>
      <c r="L61" s="1" t="s">
        <v>4314</v>
      </c>
      <c r="M61" s="1" t="s">
        <v>4310</v>
      </c>
      <c r="N61" s="1" t="s">
        <v>14</v>
      </c>
      <c r="O61" s="1" t="s">
        <v>9</v>
      </c>
      <c r="P61" s="6">
        <v>45524</v>
      </c>
    </row>
    <row r="62" spans="1:16">
      <c r="A62" s="4" t="s">
        <v>646</v>
      </c>
      <c r="B62" s="9">
        <v>1248.826</v>
      </c>
      <c r="C62" s="9">
        <v>30</v>
      </c>
      <c r="D62" s="9">
        <v>864.26800000000003</v>
      </c>
      <c r="E62" s="9">
        <v>37.51</v>
      </c>
      <c r="F62" s="9">
        <v>4.0039999999999996</v>
      </c>
      <c r="G62" s="9">
        <v>30</v>
      </c>
      <c r="H62" s="1">
        <v>600</v>
      </c>
      <c r="I62" s="9">
        <v>120</v>
      </c>
      <c r="J62" s="22" t="s">
        <v>5030</v>
      </c>
      <c r="K62" s="1" t="s">
        <v>4246</v>
      </c>
      <c r="L62" s="1" t="s">
        <v>4315</v>
      </c>
      <c r="M62" s="1" t="s">
        <v>4310</v>
      </c>
      <c r="N62" s="1" t="s">
        <v>16</v>
      </c>
      <c r="O62" s="1" t="s">
        <v>12</v>
      </c>
      <c r="P62" s="6">
        <v>45527</v>
      </c>
    </row>
    <row r="63" spans="1:16">
      <c r="A63" s="4" t="s">
        <v>649</v>
      </c>
      <c r="B63" s="9">
        <v>1243.385</v>
      </c>
      <c r="C63" s="9">
        <v>30</v>
      </c>
      <c r="D63" s="9">
        <v>852.44500000000005</v>
      </c>
      <c r="E63" s="9">
        <v>40.008000000000003</v>
      </c>
      <c r="F63" s="9">
        <v>3.8719999999999999</v>
      </c>
      <c r="G63" s="9">
        <v>30</v>
      </c>
      <c r="H63" s="1">
        <v>600</v>
      </c>
      <c r="I63" s="9">
        <v>120</v>
      </c>
      <c r="J63" s="22" t="s">
        <v>5030</v>
      </c>
      <c r="K63" s="1" t="s">
        <v>4246</v>
      </c>
      <c r="L63" s="1" t="s">
        <v>4316</v>
      </c>
      <c r="M63" s="1" t="s">
        <v>4310</v>
      </c>
      <c r="N63" s="1" t="s">
        <v>8</v>
      </c>
      <c r="O63" s="1" t="s">
        <v>9</v>
      </c>
      <c r="P63" s="6">
        <v>45530</v>
      </c>
    </row>
    <row r="64" spans="1:16">
      <c r="A64" s="4" t="s">
        <v>659</v>
      </c>
      <c r="B64" s="9">
        <v>1213.414</v>
      </c>
      <c r="C64" s="9">
        <v>30</v>
      </c>
      <c r="D64" s="9">
        <v>872.19799999999998</v>
      </c>
      <c r="E64" s="9">
        <v>35.091999999999999</v>
      </c>
      <c r="F64" s="9">
        <v>3.6789999999999998</v>
      </c>
      <c r="G64" s="9">
        <v>30</v>
      </c>
      <c r="H64" s="1">
        <v>600</v>
      </c>
      <c r="I64" s="9">
        <v>120</v>
      </c>
      <c r="J64" s="22" t="s">
        <v>5030</v>
      </c>
      <c r="K64" s="1" t="s">
        <v>4246</v>
      </c>
      <c r="L64" s="1" t="s">
        <v>4317</v>
      </c>
      <c r="M64" s="1" t="s">
        <v>4310</v>
      </c>
      <c r="N64" s="1" t="s">
        <v>16</v>
      </c>
      <c r="O64" s="1" t="s">
        <v>12</v>
      </c>
      <c r="P64" s="6">
        <v>45527</v>
      </c>
    </row>
    <row r="65" spans="1:16">
      <c r="A65" s="4" t="s">
        <v>664</v>
      </c>
      <c r="B65" s="9">
        <v>1190.9100000000001</v>
      </c>
      <c r="C65" s="9">
        <v>30</v>
      </c>
      <c r="D65" s="9">
        <v>922.56299999999999</v>
      </c>
      <c r="E65" s="9">
        <v>34.218000000000004</v>
      </c>
      <c r="F65" s="9">
        <v>3.4550000000000001</v>
      </c>
      <c r="G65" s="9">
        <v>30</v>
      </c>
      <c r="H65" s="1">
        <v>600</v>
      </c>
      <c r="I65" s="9">
        <v>120</v>
      </c>
      <c r="J65" s="22" t="s">
        <v>5030</v>
      </c>
      <c r="K65" s="1" t="s">
        <v>4246</v>
      </c>
      <c r="L65" s="1" t="s">
        <v>4318</v>
      </c>
      <c r="M65" s="1" t="s">
        <v>4319</v>
      </c>
      <c r="N65" s="1" t="s">
        <v>8</v>
      </c>
      <c r="O65" s="1" t="s">
        <v>9</v>
      </c>
      <c r="P65" s="6">
        <v>45530</v>
      </c>
    </row>
    <row r="66" spans="1:16">
      <c r="A66" s="4" t="s">
        <v>667</v>
      </c>
      <c r="B66" s="9">
        <v>1207.71</v>
      </c>
      <c r="C66" s="9">
        <v>30</v>
      </c>
      <c r="D66" s="9">
        <v>904.08900000000006</v>
      </c>
      <c r="E66" s="9">
        <v>35.68</v>
      </c>
      <c r="F66" s="9">
        <v>3.5619999999999998</v>
      </c>
      <c r="G66" s="9">
        <v>30</v>
      </c>
      <c r="H66" s="1">
        <v>600</v>
      </c>
      <c r="I66" s="9">
        <v>120</v>
      </c>
      <c r="J66" s="22" t="s">
        <v>5030</v>
      </c>
      <c r="K66" s="1" t="s">
        <v>4246</v>
      </c>
      <c r="L66" s="1" t="s">
        <v>4320</v>
      </c>
      <c r="M66" s="1" t="s">
        <v>4319</v>
      </c>
      <c r="N66" s="1" t="s">
        <v>8</v>
      </c>
      <c r="O66" s="1" t="s">
        <v>9</v>
      </c>
      <c r="P66" s="6">
        <v>45530</v>
      </c>
    </row>
    <row r="67" spans="1:16">
      <c r="A67" s="4" t="s">
        <v>673</v>
      </c>
      <c r="B67" s="9">
        <v>1225.8900000000001</v>
      </c>
      <c r="C67" s="9">
        <v>30</v>
      </c>
      <c r="D67" s="9">
        <v>906.01199999999994</v>
      </c>
      <c r="E67" s="9">
        <v>35.271999999999998</v>
      </c>
      <c r="F67" s="9">
        <v>3.8079999999999998</v>
      </c>
      <c r="G67" s="9">
        <v>30</v>
      </c>
      <c r="H67" s="1">
        <v>600</v>
      </c>
      <c r="I67" s="9">
        <v>120</v>
      </c>
      <c r="J67" s="22" t="s">
        <v>5030</v>
      </c>
      <c r="K67" s="1" t="s">
        <v>4246</v>
      </c>
      <c r="L67" s="1" t="s">
        <v>4321</v>
      </c>
      <c r="M67" s="1" t="s">
        <v>4319</v>
      </c>
      <c r="N67" s="1" t="s">
        <v>11</v>
      </c>
      <c r="O67" s="1" t="s">
        <v>12</v>
      </c>
      <c r="P67" s="6">
        <v>45533</v>
      </c>
    </row>
    <row r="68" spans="1:16">
      <c r="A68" s="4" t="s">
        <v>675</v>
      </c>
      <c r="B68" s="9">
        <v>1176.1569999999999</v>
      </c>
      <c r="C68" s="9">
        <v>30</v>
      </c>
      <c r="D68" s="9">
        <v>904.24800000000005</v>
      </c>
      <c r="E68" s="9">
        <v>36.268000000000001</v>
      </c>
      <c r="F68" s="9">
        <v>3.306</v>
      </c>
      <c r="G68" s="9">
        <v>30</v>
      </c>
      <c r="H68" s="1">
        <v>600</v>
      </c>
      <c r="I68" s="9">
        <v>120</v>
      </c>
      <c r="J68" s="22" t="s">
        <v>5030</v>
      </c>
      <c r="K68" s="1" t="s">
        <v>4246</v>
      </c>
      <c r="L68" s="1" t="s">
        <v>4322</v>
      </c>
      <c r="M68" s="1" t="s">
        <v>4319</v>
      </c>
      <c r="N68" s="1" t="s">
        <v>14</v>
      </c>
      <c r="O68" s="1" t="s">
        <v>9</v>
      </c>
      <c r="P68" s="6">
        <v>45536</v>
      </c>
    </row>
    <row r="69" spans="1:16">
      <c r="A69" s="4" t="s">
        <v>687</v>
      </c>
      <c r="B69" s="9">
        <v>1198.3630000000001</v>
      </c>
      <c r="C69" s="9">
        <v>30</v>
      </c>
      <c r="D69" s="9">
        <v>896.61599999999999</v>
      </c>
      <c r="E69" s="9">
        <v>35.680999999999997</v>
      </c>
      <c r="F69" s="9">
        <v>3.569</v>
      </c>
      <c r="G69" s="9">
        <v>30</v>
      </c>
      <c r="H69" s="1">
        <v>600</v>
      </c>
      <c r="I69" s="9">
        <v>120</v>
      </c>
      <c r="J69" s="22" t="s">
        <v>5030</v>
      </c>
      <c r="K69" s="1" t="s">
        <v>4246</v>
      </c>
      <c r="L69" s="1" t="s">
        <v>4323</v>
      </c>
      <c r="M69" s="1" t="s">
        <v>4319</v>
      </c>
      <c r="N69" s="1" t="s">
        <v>14</v>
      </c>
      <c r="O69" s="1" t="s">
        <v>9</v>
      </c>
      <c r="P69" s="6">
        <v>45536</v>
      </c>
    </row>
    <row r="70" spans="1:16">
      <c r="A70" s="4" t="s">
        <v>692</v>
      </c>
      <c r="B70" s="9">
        <v>1225.796</v>
      </c>
      <c r="C70" s="9">
        <v>30</v>
      </c>
      <c r="D70" s="9">
        <v>860.92399999999998</v>
      </c>
      <c r="E70" s="9">
        <v>38.902000000000001</v>
      </c>
      <c r="F70" s="9">
        <v>4.0110000000000001</v>
      </c>
      <c r="G70" s="9">
        <v>30</v>
      </c>
      <c r="H70" s="1">
        <v>600</v>
      </c>
      <c r="I70" s="9">
        <v>120</v>
      </c>
      <c r="J70" s="22" t="s">
        <v>5030</v>
      </c>
      <c r="K70" s="1" t="s">
        <v>4246</v>
      </c>
      <c r="L70" s="1" t="s">
        <v>4324</v>
      </c>
      <c r="M70" s="1" t="s">
        <v>4319</v>
      </c>
      <c r="N70" s="1" t="s">
        <v>16</v>
      </c>
      <c r="O70" s="1" t="s">
        <v>12</v>
      </c>
      <c r="P70" s="6">
        <v>45539</v>
      </c>
    </row>
    <row r="71" spans="1:16">
      <c r="A71" s="4" t="s">
        <v>700</v>
      </c>
      <c r="B71" s="9">
        <v>1179.365</v>
      </c>
      <c r="C71" s="9">
        <v>30</v>
      </c>
      <c r="D71" s="9">
        <v>911.95899999999995</v>
      </c>
      <c r="E71" s="9">
        <v>36.351999999999997</v>
      </c>
      <c r="F71" s="9">
        <v>3.3879999999999999</v>
      </c>
      <c r="G71" s="9">
        <v>30</v>
      </c>
      <c r="H71" s="1">
        <v>600</v>
      </c>
      <c r="I71" s="9">
        <v>120</v>
      </c>
      <c r="J71" s="22" t="s">
        <v>5030</v>
      </c>
      <c r="K71" s="1" t="s">
        <v>4246</v>
      </c>
      <c r="L71" s="1" t="s">
        <v>4325</v>
      </c>
      <c r="M71" s="1" t="s">
        <v>4319</v>
      </c>
      <c r="N71" s="1" t="s">
        <v>16</v>
      </c>
      <c r="O71" s="1" t="s">
        <v>12</v>
      </c>
      <c r="P71" s="6">
        <v>45539</v>
      </c>
    </row>
    <row r="72" spans="1:16">
      <c r="A72" s="4" t="s">
        <v>705</v>
      </c>
      <c r="B72" s="9">
        <v>1177.7850000000001</v>
      </c>
      <c r="C72" s="9">
        <v>30</v>
      </c>
      <c r="D72" s="9">
        <v>909.88499999999999</v>
      </c>
      <c r="E72" s="9">
        <v>33.884999999999998</v>
      </c>
      <c r="F72" s="9">
        <v>3.399</v>
      </c>
      <c r="G72" s="9">
        <v>30</v>
      </c>
      <c r="H72" s="1">
        <v>600</v>
      </c>
      <c r="I72" s="9">
        <v>120</v>
      </c>
      <c r="J72" s="22" t="s">
        <v>5030</v>
      </c>
      <c r="K72" s="1" t="s">
        <v>4246</v>
      </c>
      <c r="L72" s="1" t="s">
        <v>4326</v>
      </c>
      <c r="M72" s="1" t="s">
        <v>4319</v>
      </c>
      <c r="N72" s="1" t="s">
        <v>8</v>
      </c>
      <c r="O72" s="1" t="s">
        <v>9</v>
      </c>
      <c r="P72" s="6">
        <v>45542</v>
      </c>
    </row>
    <row r="73" spans="1:16">
      <c r="A73" s="4" t="s">
        <v>715</v>
      </c>
      <c r="B73" s="9">
        <v>1204.2280000000001</v>
      </c>
      <c r="C73" s="9">
        <v>30</v>
      </c>
      <c r="D73" s="9">
        <v>892.70100000000002</v>
      </c>
      <c r="E73" s="9">
        <v>34.813000000000002</v>
      </c>
      <c r="F73" s="9">
        <v>3.4529999999999998</v>
      </c>
      <c r="G73" s="9">
        <v>30</v>
      </c>
      <c r="H73" s="1">
        <v>600</v>
      </c>
      <c r="I73" s="9">
        <v>120</v>
      </c>
      <c r="J73" s="22" t="s">
        <v>5030</v>
      </c>
      <c r="K73" s="1" t="s">
        <v>4246</v>
      </c>
      <c r="L73" s="1" t="s">
        <v>4327</v>
      </c>
      <c r="M73" s="1" t="s">
        <v>4328</v>
      </c>
      <c r="N73" s="1" t="s">
        <v>8</v>
      </c>
      <c r="O73" s="1" t="s">
        <v>9</v>
      </c>
      <c r="P73" s="6">
        <v>45542</v>
      </c>
    </row>
    <row r="74" spans="1:16">
      <c r="A74" s="4" t="s">
        <v>726</v>
      </c>
      <c r="B74" s="9">
        <v>1231.8209999999999</v>
      </c>
      <c r="C74" s="9">
        <v>30</v>
      </c>
      <c r="D74" s="9">
        <v>904.84500000000003</v>
      </c>
      <c r="E74" s="9">
        <v>34.005000000000003</v>
      </c>
      <c r="F74" s="9">
        <v>3.504</v>
      </c>
      <c r="G74" s="9">
        <v>30</v>
      </c>
      <c r="H74" s="1">
        <v>600</v>
      </c>
      <c r="I74" s="9">
        <v>120</v>
      </c>
      <c r="J74" s="22" t="s">
        <v>5030</v>
      </c>
      <c r="K74" s="1" t="s">
        <v>4246</v>
      </c>
      <c r="L74" s="1" t="s">
        <v>4329</v>
      </c>
      <c r="M74" s="1" t="s">
        <v>4328</v>
      </c>
      <c r="N74" s="1" t="s">
        <v>11</v>
      </c>
      <c r="O74" s="1" t="s">
        <v>12</v>
      </c>
      <c r="P74" s="6">
        <v>45545</v>
      </c>
    </row>
    <row r="75" spans="1:16">
      <c r="A75" s="4" t="s">
        <v>732</v>
      </c>
      <c r="B75" s="9">
        <v>1231.578</v>
      </c>
      <c r="C75" s="9">
        <v>30</v>
      </c>
      <c r="D75" s="9">
        <v>850.27800000000002</v>
      </c>
      <c r="E75" s="9">
        <v>36.39</v>
      </c>
      <c r="F75" s="9">
        <v>4.0890000000000004</v>
      </c>
      <c r="G75" s="9">
        <v>30</v>
      </c>
      <c r="H75" s="1">
        <v>600</v>
      </c>
      <c r="I75" s="9">
        <v>120</v>
      </c>
      <c r="J75" s="22" t="s">
        <v>5030</v>
      </c>
      <c r="K75" s="1" t="s">
        <v>4246</v>
      </c>
      <c r="L75" s="1" t="s">
        <v>4330</v>
      </c>
      <c r="M75" s="1" t="s">
        <v>4328</v>
      </c>
      <c r="N75" s="1" t="s">
        <v>11</v>
      </c>
      <c r="O75" s="1" t="s">
        <v>12</v>
      </c>
      <c r="P75" s="6">
        <v>45545</v>
      </c>
    </row>
    <row r="76" spans="1:16">
      <c r="A76" s="4" t="s">
        <v>738</v>
      </c>
      <c r="B76" s="9">
        <v>1242.568</v>
      </c>
      <c r="C76" s="9">
        <v>30</v>
      </c>
      <c r="D76" s="9">
        <v>865.98199999999997</v>
      </c>
      <c r="E76" s="9">
        <v>36.872999999999998</v>
      </c>
      <c r="F76" s="9">
        <v>3.6840000000000002</v>
      </c>
      <c r="G76" s="9">
        <v>30</v>
      </c>
      <c r="H76" s="1">
        <v>600</v>
      </c>
      <c r="I76" s="9">
        <v>120</v>
      </c>
      <c r="J76" s="22" t="s">
        <v>5030</v>
      </c>
      <c r="K76" s="1" t="s">
        <v>4246</v>
      </c>
      <c r="L76" s="1" t="s">
        <v>4331</v>
      </c>
      <c r="M76" s="1" t="s">
        <v>4328</v>
      </c>
      <c r="N76" s="1" t="s">
        <v>14</v>
      </c>
      <c r="O76" s="1" t="s">
        <v>9</v>
      </c>
      <c r="P76" s="6">
        <v>45548</v>
      </c>
    </row>
    <row r="77" spans="1:16">
      <c r="A77" s="4" t="s">
        <v>743</v>
      </c>
      <c r="B77" s="9">
        <v>1210.412</v>
      </c>
      <c r="C77" s="9">
        <v>30</v>
      </c>
      <c r="D77" s="9">
        <v>882.48800000000006</v>
      </c>
      <c r="E77" s="9">
        <v>36.774999999999999</v>
      </c>
      <c r="F77" s="9">
        <v>3.6869999999999998</v>
      </c>
      <c r="G77" s="9">
        <v>30</v>
      </c>
      <c r="H77" s="1">
        <v>600</v>
      </c>
      <c r="I77" s="9">
        <v>120</v>
      </c>
      <c r="J77" s="22" t="s">
        <v>5030</v>
      </c>
      <c r="K77" s="1" t="s">
        <v>4246</v>
      </c>
      <c r="L77" s="1" t="s">
        <v>4332</v>
      </c>
      <c r="M77" s="1" t="s">
        <v>4328</v>
      </c>
      <c r="N77" s="1" t="s">
        <v>16</v>
      </c>
      <c r="O77" s="1" t="s">
        <v>12</v>
      </c>
      <c r="P77" s="6">
        <v>45551</v>
      </c>
    </row>
    <row r="78" spans="1:16">
      <c r="A78" s="4" t="s">
        <v>757</v>
      </c>
      <c r="B78" s="9">
        <v>1203.961</v>
      </c>
      <c r="C78" s="9">
        <v>30</v>
      </c>
      <c r="D78" s="9">
        <v>890.31700000000001</v>
      </c>
      <c r="E78" s="9">
        <v>35.515000000000001</v>
      </c>
      <c r="F78" s="9">
        <v>3.3610000000000002</v>
      </c>
      <c r="G78" s="9">
        <v>30</v>
      </c>
      <c r="H78" s="1">
        <v>600</v>
      </c>
      <c r="I78" s="9">
        <v>120</v>
      </c>
      <c r="J78" s="22" t="s">
        <v>5030</v>
      </c>
      <c r="K78" s="1" t="s">
        <v>4246</v>
      </c>
      <c r="L78" s="1" t="s">
        <v>4333</v>
      </c>
      <c r="M78" s="1" t="s">
        <v>4328</v>
      </c>
      <c r="N78" s="1" t="s">
        <v>16</v>
      </c>
      <c r="O78" s="1" t="s">
        <v>12</v>
      </c>
      <c r="P78" s="6">
        <v>45551</v>
      </c>
    </row>
    <row r="79" spans="1:16">
      <c r="A79" s="4" t="s">
        <v>760</v>
      </c>
      <c r="B79" s="9">
        <v>1200.318</v>
      </c>
      <c r="C79" s="9">
        <v>30</v>
      </c>
      <c r="D79" s="9">
        <v>867.43600000000004</v>
      </c>
      <c r="E79" s="9">
        <v>35.951000000000001</v>
      </c>
      <c r="F79" s="9">
        <v>3.6339999999999999</v>
      </c>
      <c r="G79" s="9">
        <v>30</v>
      </c>
      <c r="H79" s="1">
        <v>600</v>
      </c>
      <c r="I79" s="9">
        <v>30</v>
      </c>
      <c r="J79" s="22" t="s">
        <v>5030</v>
      </c>
      <c r="K79" s="1" t="s">
        <v>4246</v>
      </c>
      <c r="L79" s="1" t="s">
        <v>4334</v>
      </c>
      <c r="M79" s="1" t="s">
        <v>4328</v>
      </c>
      <c r="N79" s="1" t="s">
        <v>8</v>
      </c>
      <c r="O79" s="1" t="s">
        <v>9</v>
      </c>
      <c r="P79" s="6">
        <v>45554</v>
      </c>
    </row>
    <row r="80" spans="1:16">
      <c r="A80" s="4" t="s">
        <v>765</v>
      </c>
      <c r="B80" s="9">
        <v>1227.0740000000001</v>
      </c>
      <c r="C80" s="9">
        <v>30</v>
      </c>
      <c r="D80" s="9">
        <v>881.96400000000006</v>
      </c>
      <c r="E80" s="9">
        <v>32.939</v>
      </c>
      <c r="F80" s="9">
        <v>3.4710000000000001</v>
      </c>
      <c r="G80" s="9">
        <v>30</v>
      </c>
      <c r="H80" s="1">
        <v>600</v>
      </c>
      <c r="I80" s="9">
        <v>30</v>
      </c>
      <c r="J80" s="22" t="s">
        <v>5030</v>
      </c>
      <c r="K80" s="1" t="s">
        <v>4246</v>
      </c>
      <c r="L80" s="1" t="s">
        <v>4335</v>
      </c>
      <c r="M80" s="1" t="s">
        <v>4328</v>
      </c>
      <c r="N80" s="1" t="s">
        <v>11</v>
      </c>
      <c r="O80" s="1" t="s">
        <v>12</v>
      </c>
      <c r="P80" s="6">
        <v>45557</v>
      </c>
    </row>
    <row r="81" spans="1:16">
      <c r="A81" s="4" t="s">
        <v>768</v>
      </c>
      <c r="B81" s="9">
        <v>1204.1569999999999</v>
      </c>
      <c r="C81" s="9">
        <v>30</v>
      </c>
      <c r="D81" s="9">
        <v>894.90599999999995</v>
      </c>
      <c r="E81" s="9">
        <v>37.593000000000004</v>
      </c>
      <c r="F81" s="9">
        <v>3.645</v>
      </c>
      <c r="G81" s="9">
        <v>30</v>
      </c>
      <c r="H81" s="1">
        <v>600</v>
      </c>
      <c r="I81" s="9">
        <v>30</v>
      </c>
      <c r="J81" s="22" t="s">
        <v>5030</v>
      </c>
      <c r="K81" s="1" t="s">
        <v>4246</v>
      </c>
      <c r="L81" s="1" t="s">
        <v>4336</v>
      </c>
      <c r="M81" s="1" t="s">
        <v>4337</v>
      </c>
      <c r="N81" s="1" t="s">
        <v>11</v>
      </c>
      <c r="O81" s="1" t="s">
        <v>12</v>
      </c>
      <c r="P81" s="6">
        <v>45557</v>
      </c>
    </row>
    <row r="82" spans="1:16">
      <c r="A82" s="4" t="s">
        <v>773</v>
      </c>
      <c r="B82" s="9">
        <v>1224.452</v>
      </c>
      <c r="C82" s="9">
        <v>30</v>
      </c>
      <c r="D82" s="9">
        <v>849.48500000000001</v>
      </c>
      <c r="E82" s="9">
        <v>38.889000000000003</v>
      </c>
      <c r="F82" s="9">
        <v>3.8210000000000002</v>
      </c>
      <c r="G82" s="9">
        <v>30</v>
      </c>
      <c r="H82" s="1">
        <v>600</v>
      </c>
      <c r="I82" s="9">
        <v>30</v>
      </c>
      <c r="J82" s="22" t="s">
        <v>5030</v>
      </c>
      <c r="K82" s="1" t="s">
        <v>4246</v>
      </c>
      <c r="L82" s="1" t="s">
        <v>4338</v>
      </c>
      <c r="M82" s="1" t="s">
        <v>4337</v>
      </c>
      <c r="N82" s="1" t="s">
        <v>14</v>
      </c>
      <c r="O82" s="1" t="s">
        <v>9</v>
      </c>
      <c r="P82" s="6">
        <v>45560</v>
      </c>
    </row>
    <row r="83" spans="1:16">
      <c r="A83" s="4" t="s">
        <v>784</v>
      </c>
      <c r="B83" s="9">
        <v>1193.9349999999999</v>
      </c>
      <c r="C83" s="9">
        <v>30</v>
      </c>
      <c r="D83" s="9">
        <v>886.88699999999994</v>
      </c>
      <c r="E83" s="9">
        <v>34.683</v>
      </c>
      <c r="F83" s="9">
        <v>3.5630000000000002</v>
      </c>
      <c r="G83" s="9">
        <v>30</v>
      </c>
      <c r="H83" s="1">
        <v>600</v>
      </c>
      <c r="I83" s="9">
        <v>30</v>
      </c>
      <c r="J83" s="22" t="s">
        <v>5030</v>
      </c>
      <c r="K83" s="1" t="s">
        <v>4246</v>
      </c>
      <c r="L83" s="1" t="s">
        <v>4339</v>
      </c>
      <c r="M83" s="1" t="s">
        <v>4337</v>
      </c>
      <c r="N83" s="1" t="s">
        <v>16</v>
      </c>
      <c r="O83" s="1" t="s">
        <v>12</v>
      </c>
      <c r="P83" s="6">
        <v>45563</v>
      </c>
    </row>
    <row r="84" spans="1:16">
      <c r="A84" s="4" t="s">
        <v>790</v>
      </c>
      <c r="B84" s="9">
        <v>1239.54</v>
      </c>
      <c r="C84" s="9">
        <v>30</v>
      </c>
      <c r="D84" s="9">
        <v>876.54300000000001</v>
      </c>
      <c r="E84" s="9">
        <v>37.29</v>
      </c>
      <c r="F84" s="9">
        <v>3.6989999999999998</v>
      </c>
      <c r="G84" s="9">
        <v>30</v>
      </c>
      <c r="H84" s="1">
        <v>600</v>
      </c>
      <c r="I84" s="9">
        <v>30</v>
      </c>
      <c r="J84" s="22" t="s">
        <v>5030</v>
      </c>
      <c r="K84" s="1" t="s">
        <v>4246</v>
      </c>
      <c r="L84" s="1" t="s">
        <v>4340</v>
      </c>
      <c r="M84" s="1" t="s">
        <v>4337</v>
      </c>
      <c r="N84" s="1" t="s">
        <v>14</v>
      </c>
      <c r="O84" s="1" t="s">
        <v>9</v>
      </c>
      <c r="P84" s="6">
        <v>45560</v>
      </c>
    </row>
    <row r="85" spans="1:16">
      <c r="A85" s="4" t="s">
        <v>799</v>
      </c>
      <c r="B85" s="9">
        <v>1244.9739999999999</v>
      </c>
      <c r="C85" s="9">
        <v>30</v>
      </c>
      <c r="D85" s="9">
        <v>849.20399999999995</v>
      </c>
      <c r="E85" s="9">
        <v>37.878</v>
      </c>
      <c r="F85" s="9">
        <v>3.9529999999999998</v>
      </c>
      <c r="G85" s="9">
        <v>30</v>
      </c>
      <c r="H85" s="1">
        <v>600</v>
      </c>
      <c r="I85" s="9">
        <v>30</v>
      </c>
      <c r="J85" s="22" t="s">
        <v>5030</v>
      </c>
      <c r="K85" s="1" t="s">
        <v>4246</v>
      </c>
      <c r="L85" s="1" t="s">
        <v>4341</v>
      </c>
      <c r="M85" s="1" t="s">
        <v>4337</v>
      </c>
      <c r="N85" s="1" t="s">
        <v>16</v>
      </c>
      <c r="O85" s="1" t="s">
        <v>12</v>
      </c>
      <c r="P85" s="6">
        <v>45563</v>
      </c>
    </row>
    <row r="86" spans="1:16">
      <c r="A86" s="4" t="s">
        <v>802</v>
      </c>
      <c r="B86" s="9">
        <v>1221.2639999999999</v>
      </c>
      <c r="C86" s="9">
        <v>30</v>
      </c>
      <c r="D86" s="9">
        <v>856.68200000000002</v>
      </c>
      <c r="E86" s="9">
        <v>36.201999999999998</v>
      </c>
      <c r="F86" s="9">
        <v>3.9740000000000002</v>
      </c>
      <c r="G86" s="9">
        <v>30</v>
      </c>
      <c r="H86" s="1">
        <v>600</v>
      </c>
      <c r="I86" s="9">
        <v>30</v>
      </c>
      <c r="J86" s="22" t="s">
        <v>5030</v>
      </c>
      <c r="K86" s="1" t="s">
        <v>4246</v>
      </c>
      <c r="L86" s="1" t="s">
        <v>4342</v>
      </c>
      <c r="M86" s="1" t="s">
        <v>4337</v>
      </c>
      <c r="N86" s="1" t="s">
        <v>8</v>
      </c>
      <c r="O86" s="1" t="s">
        <v>9</v>
      </c>
      <c r="P86" s="6">
        <v>45566</v>
      </c>
    </row>
    <row r="87" spans="1:16">
      <c r="A87" s="4" t="s">
        <v>806</v>
      </c>
      <c r="B87" s="9">
        <v>1170.8420000000001</v>
      </c>
      <c r="C87" s="9">
        <v>30</v>
      </c>
      <c r="D87" s="9">
        <v>899.63300000000004</v>
      </c>
      <c r="E87" s="9">
        <v>33.468000000000004</v>
      </c>
      <c r="F87" s="9">
        <v>3.4209999999999998</v>
      </c>
      <c r="G87" s="9">
        <v>30</v>
      </c>
      <c r="H87" s="1">
        <v>600</v>
      </c>
      <c r="I87" s="9">
        <v>30</v>
      </c>
      <c r="J87" s="22" t="s">
        <v>5030</v>
      </c>
      <c r="K87" s="1" t="s">
        <v>4246</v>
      </c>
      <c r="L87" s="1" t="s">
        <v>4343</v>
      </c>
      <c r="M87" s="1" t="s">
        <v>4337</v>
      </c>
      <c r="N87" s="1" t="s">
        <v>16</v>
      </c>
      <c r="O87" s="1" t="s">
        <v>12</v>
      </c>
      <c r="P87" s="6">
        <v>45563</v>
      </c>
    </row>
    <row r="88" spans="1:16">
      <c r="A88" s="4" t="s">
        <v>813</v>
      </c>
      <c r="B88" s="9">
        <v>1185.5830000000001</v>
      </c>
      <c r="C88" s="9">
        <v>30</v>
      </c>
      <c r="D88" s="9">
        <v>875.76099999999997</v>
      </c>
      <c r="E88" s="9">
        <v>36.942999999999998</v>
      </c>
      <c r="F88" s="9">
        <v>3.6579999999999999</v>
      </c>
      <c r="G88" s="9">
        <v>30</v>
      </c>
      <c r="H88" s="1">
        <v>600</v>
      </c>
      <c r="I88" s="9">
        <v>30</v>
      </c>
      <c r="J88" s="22" t="s">
        <v>5030</v>
      </c>
      <c r="K88" s="1" t="s">
        <v>4246</v>
      </c>
      <c r="L88" s="1" t="s">
        <v>4344</v>
      </c>
      <c r="M88" s="1" t="s">
        <v>4337</v>
      </c>
      <c r="N88" s="1" t="s">
        <v>8</v>
      </c>
      <c r="O88" s="1" t="s">
        <v>9</v>
      </c>
      <c r="P88" s="6">
        <v>45566</v>
      </c>
    </row>
    <row r="89" spans="1:16">
      <c r="A89" s="4" t="s">
        <v>816</v>
      </c>
      <c r="B89" s="9">
        <v>1237.904</v>
      </c>
      <c r="C89" s="9">
        <v>30</v>
      </c>
      <c r="D89" s="9">
        <v>859.82</v>
      </c>
      <c r="E89" s="9">
        <v>39.825000000000003</v>
      </c>
      <c r="F89" s="9">
        <v>4.0090000000000003</v>
      </c>
      <c r="G89" s="9">
        <v>30</v>
      </c>
      <c r="H89" s="1">
        <v>600</v>
      </c>
      <c r="I89" s="9">
        <v>30</v>
      </c>
      <c r="J89" s="22" t="s">
        <v>5030</v>
      </c>
      <c r="K89" s="1" t="s">
        <v>4246</v>
      </c>
      <c r="L89" s="1" t="s">
        <v>4345</v>
      </c>
      <c r="M89" s="1" t="s">
        <v>4346</v>
      </c>
      <c r="N89" s="1" t="s">
        <v>8</v>
      </c>
      <c r="O89" s="1" t="s">
        <v>9</v>
      </c>
      <c r="P89" s="6">
        <v>45566</v>
      </c>
    </row>
    <row r="90" spans="1:16">
      <c r="A90" s="4" t="s">
        <v>823</v>
      </c>
      <c r="B90" s="9">
        <v>1210.7460000000001</v>
      </c>
      <c r="C90" s="9">
        <v>30</v>
      </c>
      <c r="D90" s="9">
        <v>881.048</v>
      </c>
      <c r="E90" s="9">
        <v>32.927</v>
      </c>
      <c r="F90" s="9">
        <v>3.581</v>
      </c>
      <c r="G90" s="9">
        <v>30</v>
      </c>
      <c r="H90" s="1">
        <v>600</v>
      </c>
      <c r="I90" s="9">
        <v>30</v>
      </c>
      <c r="J90" s="22" t="s">
        <v>5030</v>
      </c>
      <c r="K90" s="1" t="s">
        <v>4246</v>
      </c>
      <c r="L90" s="1" t="s">
        <v>4347</v>
      </c>
      <c r="M90" s="1" t="s">
        <v>4346</v>
      </c>
      <c r="N90" s="1" t="s">
        <v>11</v>
      </c>
      <c r="O90" s="1" t="s">
        <v>12</v>
      </c>
      <c r="P90" s="6">
        <v>45569</v>
      </c>
    </row>
    <row r="91" spans="1:16">
      <c r="A91" s="4" t="s">
        <v>833</v>
      </c>
      <c r="B91" s="9">
        <v>1230.7080000000001</v>
      </c>
      <c r="C91" s="9">
        <v>30</v>
      </c>
      <c r="D91" s="9">
        <v>877.154</v>
      </c>
      <c r="E91" s="9">
        <v>37.255000000000003</v>
      </c>
      <c r="F91" s="9">
        <v>3.6579999999999999</v>
      </c>
      <c r="G91" s="9">
        <v>30</v>
      </c>
      <c r="H91" s="1">
        <v>600</v>
      </c>
      <c r="I91" s="9">
        <v>30</v>
      </c>
      <c r="J91" s="22" t="s">
        <v>5030</v>
      </c>
      <c r="K91" s="1" t="s">
        <v>4246</v>
      </c>
      <c r="L91" s="1" t="s">
        <v>4348</v>
      </c>
      <c r="M91" s="1" t="s">
        <v>4346</v>
      </c>
      <c r="N91" s="1" t="s">
        <v>11</v>
      </c>
      <c r="O91" s="1" t="s">
        <v>12</v>
      </c>
      <c r="P91" s="6">
        <v>45569</v>
      </c>
    </row>
    <row r="92" spans="1:16">
      <c r="A92" s="4" t="s">
        <v>844</v>
      </c>
      <c r="B92" s="9">
        <v>1229.6610000000001</v>
      </c>
      <c r="C92" s="9">
        <v>30</v>
      </c>
      <c r="D92" s="9">
        <v>847.98599999999999</v>
      </c>
      <c r="E92" s="9">
        <v>36.265999999999998</v>
      </c>
      <c r="F92" s="9">
        <v>3.7029999999999998</v>
      </c>
      <c r="G92" s="9">
        <v>30</v>
      </c>
      <c r="H92" s="1">
        <v>600</v>
      </c>
      <c r="I92" s="9">
        <v>30</v>
      </c>
      <c r="J92" s="22" t="s">
        <v>5030</v>
      </c>
      <c r="K92" s="1" t="s">
        <v>4246</v>
      </c>
      <c r="L92" s="1" t="s">
        <v>4349</v>
      </c>
      <c r="M92" s="1" t="s">
        <v>4346</v>
      </c>
      <c r="N92" s="1" t="s">
        <v>14</v>
      </c>
      <c r="O92" s="1" t="s">
        <v>9</v>
      </c>
      <c r="P92" s="6">
        <v>45572</v>
      </c>
    </row>
    <row r="93" spans="1:16">
      <c r="A93" s="4" t="s">
        <v>854</v>
      </c>
      <c r="B93" s="9">
        <v>1251.6110000000001</v>
      </c>
      <c r="C93" s="9">
        <v>30</v>
      </c>
      <c r="D93" s="9">
        <v>845.36699999999996</v>
      </c>
      <c r="E93" s="9">
        <v>38.853999999999999</v>
      </c>
      <c r="F93" s="9">
        <v>3.871</v>
      </c>
      <c r="G93" s="9">
        <v>30</v>
      </c>
      <c r="H93" s="1">
        <v>600</v>
      </c>
      <c r="I93" s="9">
        <v>30</v>
      </c>
      <c r="J93" s="22" t="s">
        <v>5030</v>
      </c>
      <c r="K93" s="1" t="s">
        <v>4246</v>
      </c>
      <c r="L93" s="1" t="s">
        <v>4350</v>
      </c>
      <c r="M93" s="1" t="s">
        <v>4346</v>
      </c>
      <c r="N93" s="1" t="s">
        <v>14</v>
      </c>
      <c r="O93" s="1" t="s">
        <v>9</v>
      </c>
      <c r="P93" s="6">
        <v>45572</v>
      </c>
    </row>
    <row r="94" spans="1:16">
      <c r="A94" s="4" t="s">
        <v>859</v>
      </c>
      <c r="B94" s="9">
        <v>1247.0450000000001</v>
      </c>
      <c r="C94" s="9">
        <v>30</v>
      </c>
      <c r="D94" s="9">
        <v>832.98099999999999</v>
      </c>
      <c r="E94" s="9">
        <v>38.249000000000002</v>
      </c>
      <c r="F94" s="9">
        <v>3.9940000000000002</v>
      </c>
      <c r="G94" s="9">
        <v>30</v>
      </c>
      <c r="H94" s="1">
        <v>600</v>
      </c>
      <c r="I94" s="9">
        <v>30</v>
      </c>
      <c r="J94" s="22" t="s">
        <v>5030</v>
      </c>
      <c r="K94" s="1" t="s">
        <v>4246</v>
      </c>
      <c r="L94" s="1" t="s">
        <v>4351</v>
      </c>
      <c r="M94" s="1" t="s">
        <v>4346</v>
      </c>
      <c r="N94" s="1" t="s">
        <v>16</v>
      </c>
      <c r="O94" s="1" t="s">
        <v>12</v>
      </c>
      <c r="P94" s="6">
        <v>45575</v>
      </c>
    </row>
    <row r="95" spans="1:16">
      <c r="A95" s="4" t="s">
        <v>869</v>
      </c>
      <c r="B95" s="9">
        <v>1180.3630000000001</v>
      </c>
      <c r="C95" s="9">
        <v>30</v>
      </c>
      <c r="D95" s="9">
        <v>897.71699999999998</v>
      </c>
      <c r="E95" s="9">
        <v>33.540999999999997</v>
      </c>
      <c r="F95" s="9">
        <v>3.1120000000000001</v>
      </c>
      <c r="G95" s="9">
        <v>30</v>
      </c>
      <c r="H95" s="1">
        <v>600</v>
      </c>
      <c r="I95" s="9">
        <v>30</v>
      </c>
      <c r="J95" s="22" t="s">
        <v>5030</v>
      </c>
      <c r="K95" s="1" t="s">
        <v>4246</v>
      </c>
      <c r="L95" s="1" t="s">
        <v>4352</v>
      </c>
      <c r="M95" s="1" t="s">
        <v>4346</v>
      </c>
      <c r="N95" s="1" t="s">
        <v>16</v>
      </c>
      <c r="O95" s="1" t="s">
        <v>12</v>
      </c>
      <c r="P95" s="6">
        <v>45575</v>
      </c>
    </row>
    <row r="96" spans="1:16">
      <c r="A96" s="4" t="s">
        <v>877</v>
      </c>
      <c r="B96" s="9">
        <v>1238.9870000000001</v>
      </c>
      <c r="C96" s="9">
        <v>30</v>
      </c>
      <c r="D96" s="9">
        <v>869.524</v>
      </c>
      <c r="E96" s="9">
        <v>38.494</v>
      </c>
      <c r="F96" s="9">
        <v>3.7250000000000001</v>
      </c>
      <c r="G96" s="9">
        <v>30</v>
      </c>
      <c r="H96" s="1">
        <v>600</v>
      </c>
      <c r="I96" s="9">
        <v>30</v>
      </c>
      <c r="J96" s="22" t="s">
        <v>5030</v>
      </c>
      <c r="K96" s="1" t="s">
        <v>4246</v>
      </c>
      <c r="L96" s="1" t="s">
        <v>4353</v>
      </c>
      <c r="M96" s="1" t="s">
        <v>4346</v>
      </c>
      <c r="N96" s="1" t="s">
        <v>8</v>
      </c>
      <c r="O96" s="1" t="s">
        <v>9</v>
      </c>
      <c r="P96" s="6">
        <v>45578</v>
      </c>
    </row>
    <row r="97" spans="1:16">
      <c r="A97" s="4" t="s">
        <v>883</v>
      </c>
      <c r="B97" s="9">
        <v>1187.8800000000001</v>
      </c>
      <c r="C97" s="9">
        <v>30</v>
      </c>
      <c r="D97" s="9">
        <v>931.33399999999995</v>
      </c>
      <c r="E97" s="9">
        <v>35.411999999999999</v>
      </c>
      <c r="F97" s="9">
        <v>3.2480000000000002</v>
      </c>
      <c r="G97" s="9">
        <v>30</v>
      </c>
      <c r="H97" s="1">
        <v>600</v>
      </c>
      <c r="I97" s="9">
        <v>30</v>
      </c>
      <c r="J97" s="22" t="s">
        <v>5030</v>
      </c>
      <c r="K97" s="1" t="s">
        <v>4246</v>
      </c>
      <c r="L97" s="1" t="s">
        <v>4354</v>
      </c>
      <c r="M97" s="1" t="s">
        <v>4355</v>
      </c>
      <c r="N97" s="1" t="s">
        <v>11</v>
      </c>
      <c r="O97" s="1" t="s">
        <v>12</v>
      </c>
      <c r="P97" s="6">
        <v>45581</v>
      </c>
    </row>
    <row r="98" spans="1:16">
      <c r="A98" s="4" t="s">
        <v>892</v>
      </c>
      <c r="B98" s="9">
        <v>1249.0350000000001</v>
      </c>
      <c r="C98" s="9">
        <v>30</v>
      </c>
      <c r="D98" s="9">
        <v>840.58699999999999</v>
      </c>
      <c r="E98" s="9">
        <v>35.576999999999998</v>
      </c>
      <c r="F98" s="9">
        <v>3.87</v>
      </c>
      <c r="G98" s="9">
        <v>30</v>
      </c>
      <c r="H98" s="1">
        <v>600</v>
      </c>
      <c r="I98" s="9">
        <v>30</v>
      </c>
      <c r="J98" s="22" t="s">
        <v>5030</v>
      </c>
      <c r="K98" s="1" t="s">
        <v>4246</v>
      </c>
      <c r="L98" s="1" t="s">
        <v>4356</v>
      </c>
      <c r="M98" s="1" t="s">
        <v>4355</v>
      </c>
      <c r="N98" s="1" t="s">
        <v>14</v>
      </c>
      <c r="O98" s="1" t="s">
        <v>9</v>
      </c>
      <c r="P98" s="6">
        <v>45584</v>
      </c>
    </row>
    <row r="99" spans="1:16">
      <c r="A99" s="4" t="s">
        <v>897</v>
      </c>
      <c r="B99" s="9">
        <v>1243.2819999999999</v>
      </c>
      <c r="C99" s="9">
        <v>30</v>
      </c>
      <c r="D99" s="9">
        <v>840.86</v>
      </c>
      <c r="E99" s="9">
        <v>39.107999999999997</v>
      </c>
      <c r="F99" s="9">
        <v>3.899</v>
      </c>
      <c r="G99" s="9">
        <v>30</v>
      </c>
      <c r="H99" s="1">
        <v>600</v>
      </c>
      <c r="I99" s="9">
        <v>30</v>
      </c>
      <c r="J99" s="22" t="s">
        <v>5030</v>
      </c>
      <c r="K99" s="1" t="s">
        <v>4246</v>
      </c>
      <c r="L99" s="1" t="s">
        <v>4357</v>
      </c>
      <c r="M99" s="1" t="s">
        <v>4355</v>
      </c>
      <c r="N99" s="1" t="s">
        <v>16</v>
      </c>
      <c r="O99" s="1" t="s">
        <v>12</v>
      </c>
      <c r="P99" s="6">
        <v>45587</v>
      </c>
    </row>
    <row r="100" spans="1:16">
      <c r="A100" s="4" t="s">
        <v>900</v>
      </c>
      <c r="B100" s="9">
        <v>1208.3530000000001</v>
      </c>
      <c r="C100" s="9">
        <v>30</v>
      </c>
      <c r="D100" s="9">
        <v>887.67499999999995</v>
      </c>
      <c r="E100" s="9">
        <v>35.866999999999997</v>
      </c>
      <c r="F100" s="9">
        <v>3.508</v>
      </c>
      <c r="G100" s="9">
        <v>30</v>
      </c>
      <c r="H100" s="1">
        <v>600</v>
      </c>
      <c r="I100" s="9">
        <v>30</v>
      </c>
      <c r="J100" s="22" t="s">
        <v>5030</v>
      </c>
      <c r="K100" s="1" t="s">
        <v>4246</v>
      </c>
      <c r="L100" s="1" t="s">
        <v>4358</v>
      </c>
      <c r="M100" s="1" t="s">
        <v>4355</v>
      </c>
      <c r="N100" s="1" t="s">
        <v>14</v>
      </c>
      <c r="O100" s="1" t="s">
        <v>9</v>
      </c>
      <c r="P100" s="6">
        <v>45584</v>
      </c>
    </row>
    <row r="101" spans="1:16">
      <c r="A101" s="4" t="s">
        <v>908</v>
      </c>
      <c r="B101" s="9">
        <v>1204.8</v>
      </c>
      <c r="C101" s="9">
        <v>30</v>
      </c>
      <c r="D101" s="9">
        <v>869.44899999999996</v>
      </c>
      <c r="E101" s="9">
        <v>36.183</v>
      </c>
      <c r="F101" s="9">
        <v>3.7069999999999999</v>
      </c>
      <c r="G101" s="9">
        <v>30</v>
      </c>
      <c r="H101" s="1">
        <v>600</v>
      </c>
      <c r="I101" s="9">
        <v>30</v>
      </c>
      <c r="J101" s="22" t="s">
        <v>5030</v>
      </c>
      <c r="K101" s="1" t="s">
        <v>4246</v>
      </c>
      <c r="L101" s="1" t="s">
        <v>4359</v>
      </c>
      <c r="M101" s="1" t="s">
        <v>4355</v>
      </c>
      <c r="N101" s="1" t="s">
        <v>16</v>
      </c>
      <c r="O101" s="1" t="s">
        <v>12</v>
      </c>
      <c r="P101" s="6">
        <v>45587</v>
      </c>
    </row>
    <row r="102" spans="1:16">
      <c r="A102" s="4" t="s">
        <v>913</v>
      </c>
      <c r="B102" s="9">
        <v>1184.896</v>
      </c>
      <c r="C102" s="9">
        <v>30</v>
      </c>
      <c r="D102" s="9">
        <v>911.81799999999998</v>
      </c>
      <c r="E102" s="9">
        <v>34.283999999999999</v>
      </c>
      <c r="F102" s="9">
        <v>3.55</v>
      </c>
      <c r="G102" s="9">
        <v>30</v>
      </c>
      <c r="H102" s="1">
        <v>600</v>
      </c>
      <c r="I102" s="9">
        <v>30</v>
      </c>
      <c r="J102" s="22" t="s">
        <v>5030</v>
      </c>
      <c r="K102" s="1" t="s">
        <v>4246</v>
      </c>
      <c r="L102" s="1" t="s">
        <v>4360</v>
      </c>
      <c r="M102" s="1" t="s">
        <v>4355</v>
      </c>
      <c r="N102" s="1" t="s">
        <v>8</v>
      </c>
      <c r="O102" s="1" t="s">
        <v>9</v>
      </c>
      <c r="P102" s="6">
        <v>45590</v>
      </c>
    </row>
    <row r="103" spans="1:16">
      <c r="A103" s="4" t="s">
        <v>923</v>
      </c>
      <c r="B103" s="9">
        <v>1227.5429999999999</v>
      </c>
      <c r="C103" s="9">
        <v>30</v>
      </c>
      <c r="D103" s="9">
        <v>847.93600000000004</v>
      </c>
      <c r="E103" s="9">
        <v>37.826999999999998</v>
      </c>
      <c r="F103" s="9">
        <v>3.8159999999999998</v>
      </c>
      <c r="G103" s="9">
        <v>30</v>
      </c>
      <c r="H103" s="1">
        <v>600</v>
      </c>
      <c r="I103" s="9">
        <v>30</v>
      </c>
      <c r="J103" s="22" t="s">
        <v>5030</v>
      </c>
      <c r="K103" s="1" t="s">
        <v>4246</v>
      </c>
      <c r="L103" s="1" t="s">
        <v>4361</v>
      </c>
      <c r="M103" s="1" t="s">
        <v>4355</v>
      </c>
      <c r="N103" s="1" t="s">
        <v>8</v>
      </c>
      <c r="O103" s="1" t="s">
        <v>9</v>
      </c>
      <c r="P103" s="6">
        <v>45590</v>
      </c>
    </row>
    <row r="104" spans="1:16">
      <c r="A104" s="4" t="s">
        <v>930</v>
      </c>
      <c r="B104" s="9">
        <v>1218.624</v>
      </c>
      <c r="C104" s="9">
        <v>30</v>
      </c>
      <c r="D104" s="9">
        <v>877.84199999999998</v>
      </c>
      <c r="E104" s="9">
        <v>36.813000000000002</v>
      </c>
      <c r="F104" s="9">
        <v>3.7</v>
      </c>
      <c r="G104" s="9">
        <v>30</v>
      </c>
      <c r="H104" s="1">
        <v>600</v>
      </c>
      <c r="I104" s="9">
        <v>30</v>
      </c>
      <c r="J104" s="22" t="s">
        <v>5030</v>
      </c>
      <c r="K104" s="1" t="s">
        <v>4246</v>
      </c>
      <c r="L104" s="1" t="s">
        <v>4362</v>
      </c>
      <c r="M104" s="1" t="s">
        <v>4355</v>
      </c>
      <c r="N104" s="1" t="s">
        <v>11</v>
      </c>
      <c r="O104" s="1" t="s">
        <v>12</v>
      </c>
      <c r="P104" s="6">
        <v>45593</v>
      </c>
    </row>
    <row r="105" spans="1:16">
      <c r="A105" s="4" t="s">
        <v>940</v>
      </c>
      <c r="B105" s="9">
        <v>1258.4490000000001</v>
      </c>
      <c r="C105" s="9">
        <v>30</v>
      </c>
      <c r="D105" s="9">
        <v>845.404</v>
      </c>
      <c r="E105" s="9">
        <v>37.610999999999997</v>
      </c>
      <c r="F105" s="9">
        <v>3.778</v>
      </c>
      <c r="G105" s="9">
        <v>30</v>
      </c>
      <c r="H105" s="1">
        <v>600</v>
      </c>
      <c r="I105" s="9">
        <v>30</v>
      </c>
      <c r="J105" s="22" t="s">
        <v>5030</v>
      </c>
      <c r="K105" s="1" t="s">
        <v>4246</v>
      </c>
      <c r="L105" s="1" t="s">
        <v>4363</v>
      </c>
      <c r="M105" s="1" t="s">
        <v>4364</v>
      </c>
      <c r="N105" s="1" t="s">
        <v>11</v>
      </c>
      <c r="O105" s="1" t="s">
        <v>12</v>
      </c>
      <c r="P105" s="6">
        <v>45593</v>
      </c>
    </row>
    <row r="106" spans="1:16">
      <c r="A106" s="4" t="s">
        <v>952</v>
      </c>
      <c r="B106" s="9">
        <v>1212.1120000000001</v>
      </c>
      <c r="C106" s="9">
        <v>30</v>
      </c>
      <c r="D106" s="9">
        <v>895.52300000000002</v>
      </c>
      <c r="E106" s="9">
        <v>37.197000000000003</v>
      </c>
      <c r="F106" s="9">
        <v>3.5870000000000002</v>
      </c>
      <c r="G106" s="9">
        <v>30</v>
      </c>
      <c r="H106" s="1">
        <v>600</v>
      </c>
      <c r="I106" s="9">
        <v>30</v>
      </c>
      <c r="J106" s="22" t="s">
        <v>5030</v>
      </c>
      <c r="K106" s="1" t="s">
        <v>4246</v>
      </c>
      <c r="L106" s="1" t="s">
        <v>4365</v>
      </c>
      <c r="M106" s="1" t="s">
        <v>4364</v>
      </c>
      <c r="N106" s="1" t="s">
        <v>14</v>
      </c>
      <c r="O106" s="1" t="s">
        <v>9</v>
      </c>
      <c r="P106" s="6">
        <v>45596</v>
      </c>
    </row>
    <row r="107" spans="1:16">
      <c r="A107" s="4" t="s">
        <v>955</v>
      </c>
      <c r="B107" s="9">
        <v>1245.9490000000001</v>
      </c>
      <c r="C107" s="9">
        <v>30</v>
      </c>
      <c r="D107" s="9">
        <v>852.63699999999994</v>
      </c>
      <c r="E107" s="9">
        <v>37.238999999999997</v>
      </c>
      <c r="F107" s="9">
        <v>3.9569999999999999</v>
      </c>
      <c r="G107" s="9">
        <v>30</v>
      </c>
      <c r="H107" s="1">
        <v>600</v>
      </c>
      <c r="I107" s="9">
        <v>30</v>
      </c>
      <c r="J107" s="22" t="s">
        <v>5030</v>
      </c>
      <c r="K107" s="1" t="s">
        <v>4246</v>
      </c>
      <c r="L107" s="1" t="s">
        <v>4366</v>
      </c>
      <c r="M107" s="1" t="s">
        <v>4364</v>
      </c>
      <c r="N107" s="1" t="s">
        <v>16</v>
      </c>
      <c r="O107" s="1" t="s">
        <v>12</v>
      </c>
      <c r="P107" s="6">
        <v>45599</v>
      </c>
    </row>
    <row r="108" spans="1:16">
      <c r="A108" s="4" t="s">
        <v>965</v>
      </c>
      <c r="B108" s="9">
        <v>1186.3109999999999</v>
      </c>
      <c r="C108" s="9">
        <v>30</v>
      </c>
      <c r="D108" s="9">
        <v>899.14200000000005</v>
      </c>
      <c r="E108" s="9">
        <v>35.396999999999998</v>
      </c>
      <c r="F108" s="9">
        <v>3.3420000000000001</v>
      </c>
      <c r="G108" s="9">
        <v>30</v>
      </c>
      <c r="H108" s="1">
        <v>600</v>
      </c>
      <c r="I108" s="9">
        <v>30</v>
      </c>
      <c r="J108" s="22" t="s">
        <v>5030</v>
      </c>
      <c r="K108" s="1" t="s">
        <v>4246</v>
      </c>
      <c r="L108" s="1" t="s">
        <v>4367</v>
      </c>
      <c r="M108" s="1" t="s">
        <v>4364</v>
      </c>
      <c r="N108" s="1" t="s">
        <v>16</v>
      </c>
      <c r="O108" s="1" t="s">
        <v>12</v>
      </c>
      <c r="P108" s="6">
        <v>45599</v>
      </c>
    </row>
    <row r="109" spans="1:16">
      <c r="A109" s="4" t="s">
        <v>972</v>
      </c>
      <c r="B109" s="9">
        <v>1180.7560000000001</v>
      </c>
      <c r="C109" s="9">
        <v>30</v>
      </c>
      <c r="D109" s="9">
        <v>919.25300000000004</v>
      </c>
      <c r="E109" s="9">
        <v>35.776000000000003</v>
      </c>
      <c r="F109" s="9">
        <v>3.21</v>
      </c>
      <c r="G109" s="9">
        <v>30</v>
      </c>
      <c r="H109" s="1">
        <v>600</v>
      </c>
      <c r="I109" s="9">
        <v>30</v>
      </c>
      <c r="J109" s="22" t="s">
        <v>5030</v>
      </c>
      <c r="K109" s="1" t="s">
        <v>4246</v>
      </c>
      <c r="L109" s="1" t="s">
        <v>4368</v>
      </c>
      <c r="M109" s="1" t="s">
        <v>4364</v>
      </c>
      <c r="N109" s="1" t="s">
        <v>8</v>
      </c>
      <c r="O109" s="1" t="s">
        <v>9</v>
      </c>
      <c r="P109" s="6">
        <v>45602</v>
      </c>
    </row>
    <row r="110" spans="1:16">
      <c r="A110" s="4" t="s">
        <v>979</v>
      </c>
      <c r="B110" s="9">
        <v>1181.0239999999999</v>
      </c>
      <c r="C110" s="9">
        <v>30</v>
      </c>
      <c r="D110" s="9">
        <v>906.39200000000005</v>
      </c>
      <c r="E110" s="9">
        <v>33.841000000000001</v>
      </c>
      <c r="F110" s="9">
        <v>3.3279999999999998</v>
      </c>
      <c r="G110" s="9">
        <v>30</v>
      </c>
      <c r="H110" s="1">
        <v>600</v>
      </c>
      <c r="I110" s="9">
        <v>30</v>
      </c>
      <c r="J110" s="22" t="s">
        <v>5030</v>
      </c>
      <c r="K110" s="1" t="s">
        <v>4246</v>
      </c>
      <c r="L110" s="1" t="s">
        <v>4369</v>
      </c>
      <c r="M110" s="1" t="s">
        <v>4364</v>
      </c>
      <c r="N110" s="1" t="s">
        <v>11</v>
      </c>
      <c r="O110" s="1" t="s">
        <v>12</v>
      </c>
      <c r="P110" s="6">
        <v>45605</v>
      </c>
    </row>
    <row r="111" spans="1:16">
      <c r="A111" s="4" t="s">
        <v>985</v>
      </c>
      <c r="B111" s="9">
        <v>1227.336</v>
      </c>
      <c r="C111" s="9">
        <v>30</v>
      </c>
      <c r="D111" s="9">
        <v>880.70299999999997</v>
      </c>
      <c r="E111" s="9">
        <v>38.011000000000003</v>
      </c>
      <c r="F111" s="9">
        <v>3.72</v>
      </c>
      <c r="G111" s="9">
        <v>30</v>
      </c>
      <c r="H111" s="1">
        <v>600</v>
      </c>
      <c r="I111" s="9">
        <v>30</v>
      </c>
      <c r="J111" s="22" t="s">
        <v>5030</v>
      </c>
      <c r="K111" s="1" t="s">
        <v>4246</v>
      </c>
      <c r="L111" s="1" t="s">
        <v>4370</v>
      </c>
      <c r="M111" s="1" t="s">
        <v>4364</v>
      </c>
      <c r="N111" s="1" t="s">
        <v>8</v>
      </c>
      <c r="O111" s="1" t="s">
        <v>9</v>
      </c>
      <c r="P111" s="6">
        <v>45602</v>
      </c>
    </row>
    <row r="112" spans="1:16">
      <c r="A112" s="4" t="s">
        <v>994</v>
      </c>
      <c r="B112" s="9">
        <v>1208.0889999999999</v>
      </c>
      <c r="C112" s="9">
        <v>30</v>
      </c>
      <c r="D112" s="9">
        <v>887.99400000000003</v>
      </c>
      <c r="E112" s="9">
        <v>39.506999999999998</v>
      </c>
      <c r="F112" s="9">
        <v>3.3980000000000001</v>
      </c>
      <c r="G112" s="9">
        <v>30</v>
      </c>
      <c r="H112" s="1">
        <v>600</v>
      </c>
      <c r="I112" s="9">
        <v>30</v>
      </c>
      <c r="J112" s="22" t="s">
        <v>5030</v>
      </c>
      <c r="K112" s="1" t="s">
        <v>4246</v>
      </c>
      <c r="L112" s="1" t="s">
        <v>4371</v>
      </c>
      <c r="M112" s="1" t="s">
        <v>4364</v>
      </c>
      <c r="N112" s="1" t="s">
        <v>11</v>
      </c>
      <c r="O112" s="1" t="s">
        <v>12</v>
      </c>
      <c r="P112" s="6">
        <v>45605</v>
      </c>
    </row>
    <row r="113" spans="1:16">
      <c r="A113" s="4" t="s">
        <v>1005</v>
      </c>
      <c r="B113" s="9">
        <v>1205.0719999999999</v>
      </c>
      <c r="C113" s="9">
        <v>30</v>
      </c>
      <c r="D113" s="9">
        <v>893.81799999999998</v>
      </c>
      <c r="E113" s="9">
        <v>33.773000000000003</v>
      </c>
      <c r="F113" s="9">
        <v>3.419</v>
      </c>
      <c r="G113" s="9">
        <v>30</v>
      </c>
      <c r="H113" s="1">
        <v>600</v>
      </c>
      <c r="I113" s="9">
        <v>30</v>
      </c>
      <c r="J113" s="22" t="s">
        <v>5030</v>
      </c>
      <c r="K113" s="1" t="s">
        <v>4246</v>
      </c>
      <c r="L113" s="1" t="s">
        <v>4372</v>
      </c>
      <c r="M113" s="1" t="s">
        <v>4373</v>
      </c>
      <c r="N113" s="1" t="s">
        <v>14</v>
      </c>
      <c r="O113" s="1" t="s">
        <v>9</v>
      </c>
      <c r="P113" s="6">
        <v>45608</v>
      </c>
    </row>
    <row r="114" spans="1:16">
      <c r="A114" s="4" t="s">
        <v>1011</v>
      </c>
      <c r="B114" s="9">
        <v>1234.4449999999999</v>
      </c>
      <c r="C114" s="9">
        <v>30</v>
      </c>
      <c r="D114" s="9">
        <v>865.84400000000005</v>
      </c>
      <c r="E114" s="9">
        <v>35.155000000000001</v>
      </c>
      <c r="F114" s="9">
        <v>3.6480000000000001</v>
      </c>
      <c r="G114" s="9">
        <v>30</v>
      </c>
      <c r="H114" s="1">
        <v>600</v>
      </c>
      <c r="I114" s="9">
        <v>30</v>
      </c>
      <c r="J114" s="22" t="s">
        <v>5030</v>
      </c>
      <c r="K114" s="1" t="s">
        <v>4246</v>
      </c>
      <c r="L114" s="1" t="s">
        <v>4374</v>
      </c>
      <c r="M114" s="1" t="s">
        <v>4373</v>
      </c>
      <c r="N114" s="1" t="s">
        <v>11</v>
      </c>
      <c r="O114" s="1" t="s">
        <v>12</v>
      </c>
      <c r="P114" s="6">
        <v>45605</v>
      </c>
    </row>
    <row r="115" spans="1:16">
      <c r="A115" s="4" t="s">
        <v>1024</v>
      </c>
      <c r="B115" s="9">
        <v>1219.673</v>
      </c>
      <c r="C115" s="9">
        <v>30</v>
      </c>
      <c r="D115" s="9">
        <v>869.36599999999999</v>
      </c>
      <c r="E115" s="9">
        <v>37.970999999999997</v>
      </c>
      <c r="F115" s="9">
        <v>4.0490000000000004</v>
      </c>
      <c r="G115" s="9">
        <v>30</v>
      </c>
      <c r="H115" s="1">
        <v>600</v>
      </c>
      <c r="I115" s="9">
        <v>30</v>
      </c>
      <c r="J115" s="22" t="s">
        <v>5030</v>
      </c>
      <c r="K115" s="1" t="s">
        <v>4246</v>
      </c>
      <c r="L115" s="1" t="s">
        <v>4375</v>
      </c>
      <c r="M115" s="1" t="s">
        <v>4373</v>
      </c>
      <c r="N115" s="1" t="s">
        <v>14</v>
      </c>
      <c r="O115" s="1" t="s">
        <v>9</v>
      </c>
      <c r="P115" s="6">
        <v>45608</v>
      </c>
    </row>
    <row r="116" spans="1:16">
      <c r="A116" s="4" t="s">
        <v>1035</v>
      </c>
      <c r="B116" s="9">
        <v>1239.26</v>
      </c>
      <c r="C116" s="9">
        <v>30</v>
      </c>
      <c r="D116" s="9">
        <v>864.25</v>
      </c>
      <c r="E116" s="9">
        <v>38.206000000000003</v>
      </c>
      <c r="F116" s="9">
        <v>3.8479999999999999</v>
      </c>
      <c r="G116" s="9">
        <v>30</v>
      </c>
      <c r="H116" s="1">
        <v>600</v>
      </c>
      <c r="I116" s="9">
        <v>30</v>
      </c>
      <c r="J116" s="22" t="s">
        <v>5030</v>
      </c>
      <c r="K116" s="1" t="s">
        <v>4246</v>
      </c>
      <c r="L116" s="1" t="s">
        <v>4376</v>
      </c>
      <c r="M116" s="1" t="s">
        <v>4373</v>
      </c>
      <c r="N116" s="1" t="s">
        <v>16</v>
      </c>
      <c r="O116" s="1" t="s">
        <v>12</v>
      </c>
      <c r="P116" s="6">
        <v>45611</v>
      </c>
    </row>
    <row r="117" spans="1:16">
      <c r="A117" s="4" t="s">
        <v>1047</v>
      </c>
      <c r="B117" s="9">
        <v>1230.5830000000001</v>
      </c>
      <c r="C117" s="9">
        <v>30</v>
      </c>
      <c r="D117" s="9">
        <v>854.96799999999996</v>
      </c>
      <c r="E117" s="9">
        <v>37.707000000000001</v>
      </c>
      <c r="F117" s="9">
        <v>3.9580000000000002</v>
      </c>
      <c r="G117" s="9">
        <v>30</v>
      </c>
      <c r="H117" s="1">
        <v>600</v>
      </c>
      <c r="I117" s="9">
        <v>30</v>
      </c>
      <c r="J117" s="22" t="s">
        <v>5030</v>
      </c>
      <c r="K117" s="1" t="s">
        <v>4246</v>
      </c>
      <c r="L117" s="1" t="s">
        <v>4377</v>
      </c>
      <c r="M117" s="1" t="s">
        <v>4373</v>
      </c>
      <c r="N117" s="1" t="s">
        <v>14</v>
      </c>
      <c r="O117" s="1" t="s">
        <v>9</v>
      </c>
      <c r="P117" s="6">
        <v>45608</v>
      </c>
    </row>
    <row r="118" spans="1:16">
      <c r="A118" s="4" t="s">
        <v>1057</v>
      </c>
      <c r="B118" s="9">
        <v>1199.136</v>
      </c>
      <c r="C118" s="9">
        <v>30</v>
      </c>
      <c r="D118" s="9">
        <v>928.86699999999996</v>
      </c>
      <c r="E118" s="9">
        <v>31.745999999999999</v>
      </c>
      <c r="F118" s="9">
        <v>3.3540000000000001</v>
      </c>
      <c r="G118" s="9">
        <v>30</v>
      </c>
      <c r="H118" s="1">
        <v>600</v>
      </c>
      <c r="I118" s="9">
        <v>30</v>
      </c>
      <c r="J118" s="22" t="s">
        <v>5030</v>
      </c>
      <c r="K118" s="1" t="s">
        <v>4246</v>
      </c>
      <c r="L118" s="1" t="s">
        <v>4378</v>
      </c>
      <c r="M118" s="1" t="s">
        <v>4373</v>
      </c>
      <c r="N118" s="1" t="s">
        <v>16</v>
      </c>
      <c r="O118" s="1" t="s">
        <v>12</v>
      </c>
      <c r="P118" s="6">
        <v>45611</v>
      </c>
    </row>
    <row r="119" spans="1:16">
      <c r="A119" s="4" t="s">
        <v>1064</v>
      </c>
      <c r="B119" s="9">
        <v>1179.1869999999999</v>
      </c>
      <c r="C119" s="9">
        <v>30</v>
      </c>
      <c r="D119" s="9">
        <v>923.91099999999994</v>
      </c>
      <c r="E119" s="9">
        <v>35.869</v>
      </c>
      <c r="F119" s="9">
        <v>3.3889999999999998</v>
      </c>
      <c r="G119" s="9">
        <v>30</v>
      </c>
      <c r="H119" s="1">
        <v>600</v>
      </c>
      <c r="I119" s="9">
        <v>30</v>
      </c>
      <c r="J119" s="22" t="s">
        <v>5030</v>
      </c>
      <c r="K119" s="1" t="s">
        <v>4246</v>
      </c>
      <c r="L119" s="1" t="s">
        <v>4379</v>
      </c>
      <c r="M119" s="1" t="s">
        <v>4373</v>
      </c>
      <c r="N119" s="1" t="s">
        <v>8</v>
      </c>
      <c r="O119" s="1" t="s">
        <v>9</v>
      </c>
      <c r="P119" s="6">
        <v>45614</v>
      </c>
    </row>
    <row r="120" spans="1:16">
      <c r="A120" s="4" t="s">
        <v>1067</v>
      </c>
      <c r="B120" s="9">
        <v>1216.556</v>
      </c>
      <c r="C120" s="9">
        <v>30</v>
      </c>
      <c r="D120" s="9">
        <v>855.15300000000002</v>
      </c>
      <c r="E120" s="9">
        <v>36.344000000000001</v>
      </c>
      <c r="F120" s="9">
        <v>3.6269999999999998</v>
      </c>
      <c r="G120" s="9">
        <v>30</v>
      </c>
      <c r="H120" s="1">
        <v>600</v>
      </c>
      <c r="I120" s="9">
        <v>30</v>
      </c>
      <c r="J120" s="22" t="s">
        <v>5030</v>
      </c>
      <c r="K120" s="1" t="s">
        <v>4246</v>
      </c>
      <c r="L120" s="1" t="s">
        <v>4380</v>
      </c>
      <c r="M120" s="1" t="s">
        <v>4373</v>
      </c>
      <c r="N120" s="1" t="s">
        <v>8</v>
      </c>
      <c r="O120" s="1" t="s">
        <v>9</v>
      </c>
      <c r="P120" s="6">
        <v>45614</v>
      </c>
    </row>
    <row r="121" spans="1:16">
      <c r="A121" s="4" t="s">
        <v>1077</v>
      </c>
      <c r="B121" s="9">
        <v>1200.875</v>
      </c>
      <c r="C121" s="9">
        <v>30</v>
      </c>
      <c r="D121" s="9">
        <v>897.46100000000001</v>
      </c>
      <c r="E121" s="9">
        <v>33.040999999999997</v>
      </c>
      <c r="F121" s="9">
        <v>3.5990000000000002</v>
      </c>
      <c r="G121" s="9">
        <v>30</v>
      </c>
      <c r="H121" s="1">
        <v>600</v>
      </c>
      <c r="I121" s="9">
        <v>30</v>
      </c>
      <c r="J121" s="22" t="s">
        <v>5030</v>
      </c>
      <c r="K121" s="1" t="s">
        <v>4246</v>
      </c>
      <c r="L121" s="1" t="s">
        <v>4381</v>
      </c>
      <c r="M121" s="1" t="s">
        <v>4382</v>
      </c>
      <c r="N121" s="1" t="s">
        <v>11</v>
      </c>
      <c r="O121" s="1" t="s">
        <v>12</v>
      </c>
      <c r="P121" s="6">
        <v>45617</v>
      </c>
    </row>
    <row r="122" spans="1:16">
      <c r="A122" s="4" t="s">
        <v>1086</v>
      </c>
      <c r="B122" s="9">
        <v>1229.9179999999999</v>
      </c>
      <c r="C122" s="9">
        <v>30</v>
      </c>
      <c r="D122" s="9">
        <v>854.48</v>
      </c>
      <c r="E122" s="9">
        <v>37.061</v>
      </c>
      <c r="F122" s="9">
        <v>3.891</v>
      </c>
      <c r="G122" s="9">
        <v>30</v>
      </c>
      <c r="H122" s="1">
        <v>600</v>
      </c>
      <c r="I122" s="9">
        <v>30</v>
      </c>
      <c r="J122" s="22" t="s">
        <v>5030</v>
      </c>
      <c r="K122" s="1" t="s">
        <v>4246</v>
      </c>
      <c r="L122" s="1" t="s">
        <v>4383</v>
      </c>
      <c r="M122" s="1" t="s">
        <v>4382</v>
      </c>
      <c r="N122" s="1" t="s">
        <v>14</v>
      </c>
      <c r="O122" s="1" t="s">
        <v>9</v>
      </c>
      <c r="P122" s="6">
        <v>45620</v>
      </c>
    </row>
    <row r="123" spans="1:16">
      <c r="A123" s="4" t="s">
        <v>1099</v>
      </c>
      <c r="B123" s="9">
        <v>1229.5419999999999</v>
      </c>
      <c r="C123" s="9">
        <v>30</v>
      </c>
      <c r="D123" s="9">
        <v>893.16099999999994</v>
      </c>
      <c r="E123" s="9">
        <v>36.588000000000001</v>
      </c>
      <c r="F123" s="9">
        <v>3.7549999999999999</v>
      </c>
      <c r="G123" s="9">
        <v>30</v>
      </c>
      <c r="H123" s="1">
        <v>600</v>
      </c>
      <c r="I123" s="9">
        <v>30</v>
      </c>
      <c r="J123" s="22" t="s">
        <v>5030</v>
      </c>
      <c r="K123" s="1" t="s">
        <v>4246</v>
      </c>
      <c r="L123" s="1" t="s">
        <v>4384</v>
      </c>
      <c r="M123" s="1" t="s">
        <v>4382</v>
      </c>
      <c r="N123" s="1" t="s">
        <v>16</v>
      </c>
      <c r="O123" s="1" t="s">
        <v>12</v>
      </c>
      <c r="P123" s="6">
        <v>45623</v>
      </c>
    </row>
    <row r="124" spans="1:16">
      <c r="A124" s="4" t="s">
        <v>1105</v>
      </c>
      <c r="B124" s="9">
        <v>1217.2170000000001</v>
      </c>
      <c r="C124" s="9">
        <v>30</v>
      </c>
      <c r="D124" s="9">
        <v>836.42399999999998</v>
      </c>
      <c r="E124" s="9">
        <v>37.066000000000003</v>
      </c>
      <c r="F124" s="9">
        <v>3.5739999999999998</v>
      </c>
      <c r="G124" s="9">
        <v>30</v>
      </c>
      <c r="H124" s="1">
        <v>600</v>
      </c>
      <c r="I124" s="9">
        <v>30</v>
      </c>
      <c r="J124" s="22" t="s">
        <v>5030</v>
      </c>
      <c r="K124" s="1" t="s">
        <v>4246</v>
      </c>
      <c r="L124" s="1" t="s">
        <v>4385</v>
      </c>
      <c r="M124" s="1" t="s">
        <v>4382</v>
      </c>
      <c r="N124" s="1" t="s">
        <v>14</v>
      </c>
      <c r="O124" s="1" t="s">
        <v>9</v>
      </c>
      <c r="P124" s="6">
        <v>45620</v>
      </c>
    </row>
    <row r="125" spans="1:16">
      <c r="A125" s="4" t="s">
        <v>1116</v>
      </c>
      <c r="B125" s="9">
        <v>1228.288</v>
      </c>
      <c r="C125" s="9">
        <v>30</v>
      </c>
      <c r="D125" s="9">
        <v>847.14200000000005</v>
      </c>
      <c r="E125" s="9">
        <v>36.747999999999998</v>
      </c>
      <c r="F125" s="9">
        <v>3.6850000000000001</v>
      </c>
      <c r="G125" s="9">
        <v>30</v>
      </c>
      <c r="H125" s="1">
        <v>600</v>
      </c>
      <c r="I125" s="9">
        <v>30</v>
      </c>
      <c r="J125" s="22" t="s">
        <v>5030</v>
      </c>
      <c r="K125" s="1" t="s">
        <v>4246</v>
      </c>
      <c r="L125" s="1" t="s">
        <v>4386</v>
      </c>
      <c r="M125" s="1" t="s">
        <v>4382</v>
      </c>
      <c r="N125" s="1" t="s">
        <v>16</v>
      </c>
      <c r="O125" s="1" t="s">
        <v>12</v>
      </c>
      <c r="P125" s="6">
        <v>45623</v>
      </c>
    </row>
    <row r="126" spans="1:16">
      <c r="A126" s="4" t="s">
        <v>1122</v>
      </c>
      <c r="B126" s="9">
        <v>1184.3</v>
      </c>
      <c r="C126" s="9">
        <v>30</v>
      </c>
      <c r="D126" s="9">
        <v>896.23500000000001</v>
      </c>
      <c r="E126" s="9">
        <v>33.594999999999999</v>
      </c>
      <c r="F126" s="9">
        <v>3.2589999999999999</v>
      </c>
      <c r="G126" s="9">
        <v>30</v>
      </c>
      <c r="H126" s="1">
        <v>650</v>
      </c>
      <c r="I126" s="9">
        <v>30</v>
      </c>
      <c r="J126" s="22" t="s">
        <v>5030</v>
      </c>
      <c r="K126" s="1" t="s">
        <v>4246</v>
      </c>
      <c r="L126" s="1" t="s">
        <v>4387</v>
      </c>
      <c r="M126" s="1" t="s">
        <v>4382</v>
      </c>
      <c r="N126" s="1" t="s">
        <v>16</v>
      </c>
      <c r="O126" s="1" t="s">
        <v>12</v>
      </c>
      <c r="P126" s="6">
        <v>45623</v>
      </c>
    </row>
    <row r="127" spans="1:16">
      <c r="A127" s="4" t="s">
        <v>1131</v>
      </c>
      <c r="B127" s="9">
        <v>1183.3689999999999</v>
      </c>
      <c r="C127" s="9">
        <v>30</v>
      </c>
      <c r="D127" s="9">
        <v>911.74199999999996</v>
      </c>
      <c r="E127" s="9">
        <v>36.634</v>
      </c>
      <c r="F127" s="9">
        <v>3.2450000000000001</v>
      </c>
      <c r="G127" s="9">
        <v>30</v>
      </c>
      <c r="H127" s="1">
        <v>650</v>
      </c>
      <c r="I127" s="9">
        <v>30</v>
      </c>
      <c r="J127" s="22" t="s">
        <v>5030</v>
      </c>
      <c r="K127" s="1" t="s">
        <v>4246</v>
      </c>
      <c r="L127" s="1" t="s">
        <v>4388</v>
      </c>
      <c r="M127" s="1" t="s">
        <v>4382</v>
      </c>
      <c r="N127" s="1" t="s">
        <v>8</v>
      </c>
      <c r="O127" s="1" t="s">
        <v>9</v>
      </c>
      <c r="P127" s="6">
        <v>45626</v>
      </c>
    </row>
    <row r="128" spans="1:16">
      <c r="A128" s="4" t="s">
        <v>1135</v>
      </c>
      <c r="B128" s="9">
        <v>1231.5719999999999</v>
      </c>
      <c r="C128" s="9">
        <v>30</v>
      </c>
      <c r="D128" s="9">
        <v>847.22400000000005</v>
      </c>
      <c r="E128" s="9">
        <v>39.436999999999998</v>
      </c>
      <c r="F128" s="9">
        <v>3.9529999999999998</v>
      </c>
      <c r="G128" s="9">
        <v>30</v>
      </c>
      <c r="H128" s="1">
        <v>650</v>
      </c>
      <c r="I128" s="9">
        <v>30</v>
      </c>
      <c r="J128" s="22" t="s">
        <v>5030</v>
      </c>
      <c r="K128" s="1" t="s">
        <v>4246</v>
      </c>
      <c r="L128" s="1" t="s">
        <v>4389</v>
      </c>
      <c r="M128" s="1" t="s">
        <v>4382</v>
      </c>
      <c r="N128" s="1" t="s">
        <v>8</v>
      </c>
      <c r="O128" s="1" t="s">
        <v>9</v>
      </c>
      <c r="P128" s="6">
        <v>45626</v>
      </c>
    </row>
    <row r="129" spans="1:16">
      <c r="A129" s="4" t="s">
        <v>1144</v>
      </c>
      <c r="B129" s="9">
        <v>1222.002</v>
      </c>
      <c r="C129" s="9">
        <v>30</v>
      </c>
      <c r="D129" s="9">
        <v>900.28499999999997</v>
      </c>
      <c r="E129" s="9">
        <v>34.139000000000003</v>
      </c>
      <c r="F129" s="9">
        <v>3.5790000000000002</v>
      </c>
      <c r="G129" s="9">
        <v>30</v>
      </c>
      <c r="H129" s="1">
        <v>650</v>
      </c>
      <c r="I129" s="9">
        <v>30</v>
      </c>
      <c r="J129" s="22" t="s">
        <v>5030</v>
      </c>
      <c r="K129" s="1" t="s">
        <v>4246</v>
      </c>
      <c r="L129" s="1" t="s">
        <v>4390</v>
      </c>
      <c r="M129" s="1" t="s">
        <v>4391</v>
      </c>
      <c r="N129" s="1" t="s">
        <v>11</v>
      </c>
      <c r="O129" s="1" t="s">
        <v>12</v>
      </c>
      <c r="P129" s="6">
        <v>45629</v>
      </c>
    </row>
    <row r="130" spans="1:16">
      <c r="A130" s="4" t="s">
        <v>1150</v>
      </c>
      <c r="B130" s="9">
        <v>1171.703</v>
      </c>
      <c r="C130" s="9">
        <v>30</v>
      </c>
      <c r="D130" s="9">
        <v>914.45500000000004</v>
      </c>
      <c r="E130" s="9">
        <v>31.2</v>
      </c>
      <c r="F130" s="9">
        <v>3.4460000000000002</v>
      </c>
      <c r="G130" s="9">
        <v>30</v>
      </c>
      <c r="H130" s="1">
        <v>650</v>
      </c>
      <c r="I130" s="9">
        <v>30</v>
      </c>
      <c r="J130" s="22" t="s">
        <v>5030</v>
      </c>
      <c r="K130" s="1" t="s">
        <v>4246</v>
      </c>
      <c r="L130" s="1" t="s">
        <v>4392</v>
      </c>
      <c r="M130" s="1" t="s">
        <v>4391</v>
      </c>
      <c r="N130" s="1" t="s">
        <v>11</v>
      </c>
      <c r="O130" s="1" t="s">
        <v>12</v>
      </c>
      <c r="P130" s="6">
        <v>45629</v>
      </c>
    </row>
    <row r="131" spans="1:16">
      <c r="A131" s="4" t="s">
        <v>1155</v>
      </c>
      <c r="B131" s="9">
        <v>1216.7529999999999</v>
      </c>
      <c r="C131" s="9">
        <v>30</v>
      </c>
      <c r="D131" s="9">
        <v>887.20500000000004</v>
      </c>
      <c r="E131" s="9">
        <v>35.317999999999998</v>
      </c>
      <c r="F131" s="9">
        <v>3.56</v>
      </c>
      <c r="G131" s="9">
        <v>30</v>
      </c>
      <c r="H131" s="1">
        <v>650</v>
      </c>
      <c r="I131" s="9">
        <v>30</v>
      </c>
      <c r="J131" s="22" t="s">
        <v>5030</v>
      </c>
      <c r="K131" s="1" t="s">
        <v>4246</v>
      </c>
      <c r="L131" s="1" t="s">
        <v>4393</v>
      </c>
      <c r="M131" s="1" t="s">
        <v>4391</v>
      </c>
      <c r="N131" s="1" t="s">
        <v>14</v>
      </c>
      <c r="O131" s="1" t="s">
        <v>9</v>
      </c>
      <c r="P131" s="6">
        <v>45632</v>
      </c>
    </row>
    <row r="132" spans="1:16">
      <c r="A132" s="4" t="s">
        <v>1166</v>
      </c>
      <c r="B132" s="9">
        <v>1217.432</v>
      </c>
      <c r="C132" s="9">
        <v>30</v>
      </c>
      <c r="D132" s="9">
        <v>889.96900000000005</v>
      </c>
      <c r="E132" s="9">
        <v>35.090000000000003</v>
      </c>
      <c r="F132" s="9">
        <v>3.823</v>
      </c>
      <c r="G132" s="9">
        <v>30</v>
      </c>
      <c r="H132" s="1">
        <v>650</v>
      </c>
      <c r="I132" s="9">
        <v>30</v>
      </c>
      <c r="J132" s="22" t="s">
        <v>5030</v>
      </c>
      <c r="K132" s="1" t="s">
        <v>4246</v>
      </c>
      <c r="L132" s="1" t="s">
        <v>4394</v>
      </c>
      <c r="M132" s="1" t="s">
        <v>4391</v>
      </c>
      <c r="N132" s="1" t="s">
        <v>16</v>
      </c>
      <c r="O132" s="1" t="s">
        <v>12</v>
      </c>
      <c r="P132" s="6">
        <v>45635</v>
      </c>
    </row>
    <row r="133" spans="1:16">
      <c r="A133" s="4" t="s">
        <v>1169</v>
      </c>
      <c r="B133" s="9">
        <v>1247.492</v>
      </c>
      <c r="C133" s="9">
        <v>30</v>
      </c>
      <c r="D133" s="9">
        <v>857.82799999999997</v>
      </c>
      <c r="E133" s="9">
        <v>37.33</v>
      </c>
      <c r="F133" s="9">
        <v>3.4630000000000001</v>
      </c>
      <c r="G133" s="9">
        <v>30</v>
      </c>
      <c r="H133" s="1">
        <v>650</v>
      </c>
      <c r="I133" s="9">
        <v>30</v>
      </c>
      <c r="J133" s="22" t="s">
        <v>5030</v>
      </c>
      <c r="K133" s="1" t="s">
        <v>4246</v>
      </c>
      <c r="L133" s="1" t="s">
        <v>4395</v>
      </c>
      <c r="M133" s="1" t="s">
        <v>4391</v>
      </c>
      <c r="N133" s="1" t="s">
        <v>14</v>
      </c>
      <c r="O133" s="1" t="s">
        <v>9</v>
      </c>
      <c r="P133" s="6">
        <v>45632</v>
      </c>
    </row>
    <row r="134" spans="1:16">
      <c r="A134" s="4" t="s">
        <v>1174</v>
      </c>
      <c r="B134" s="9">
        <v>1224.5550000000001</v>
      </c>
      <c r="C134" s="9">
        <v>30</v>
      </c>
      <c r="D134" s="9">
        <v>853.68</v>
      </c>
      <c r="E134" s="9">
        <v>38.151000000000003</v>
      </c>
      <c r="F134" s="9">
        <v>3.69</v>
      </c>
      <c r="G134" s="9">
        <v>30</v>
      </c>
      <c r="H134" s="1">
        <v>650</v>
      </c>
      <c r="I134" s="9">
        <v>30</v>
      </c>
      <c r="J134" s="22" t="s">
        <v>5030</v>
      </c>
      <c r="K134" s="1" t="s">
        <v>4246</v>
      </c>
      <c r="L134" s="1" t="s">
        <v>4396</v>
      </c>
      <c r="M134" s="1" t="s">
        <v>4391</v>
      </c>
      <c r="N134" s="1" t="s">
        <v>16</v>
      </c>
      <c r="O134" s="1" t="s">
        <v>12</v>
      </c>
      <c r="P134" s="6">
        <v>45635</v>
      </c>
    </row>
    <row r="135" spans="1:16">
      <c r="A135" s="4" t="s">
        <v>1181</v>
      </c>
      <c r="B135" s="9">
        <v>1228.307</v>
      </c>
      <c r="C135" s="9">
        <v>30</v>
      </c>
      <c r="D135" s="9">
        <v>853.072</v>
      </c>
      <c r="E135" s="9">
        <v>38.116</v>
      </c>
      <c r="F135" s="9">
        <v>3.6320000000000001</v>
      </c>
      <c r="G135" s="9">
        <v>30</v>
      </c>
      <c r="H135" s="1">
        <v>650</v>
      </c>
      <c r="I135" s="9">
        <v>30</v>
      </c>
      <c r="J135" s="22" t="s">
        <v>5030</v>
      </c>
      <c r="K135" s="1" t="s">
        <v>4246</v>
      </c>
      <c r="L135" s="1" t="s">
        <v>4397</v>
      </c>
      <c r="M135" s="1" t="s">
        <v>4391</v>
      </c>
      <c r="N135" s="1" t="s">
        <v>8</v>
      </c>
      <c r="O135" s="1" t="s">
        <v>9</v>
      </c>
      <c r="P135" s="6">
        <v>45638</v>
      </c>
    </row>
    <row r="136" spans="1:16">
      <c r="A136" s="4" t="s">
        <v>1187</v>
      </c>
      <c r="B136" s="9">
        <v>1178.2270000000001</v>
      </c>
      <c r="C136" s="9">
        <v>30</v>
      </c>
      <c r="D136" s="9">
        <v>916.17700000000002</v>
      </c>
      <c r="E136" s="9">
        <v>35.134</v>
      </c>
      <c r="F136" s="9">
        <v>3.3450000000000002</v>
      </c>
      <c r="G136" s="9">
        <v>30</v>
      </c>
      <c r="H136" s="1">
        <v>650</v>
      </c>
      <c r="I136" s="9">
        <v>30</v>
      </c>
      <c r="J136" s="22" t="s">
        <v>5030</v>
      </c>
      <c r="K136" s="1" t="s">
        <v>4246</v>
      </c>
      <c r="L136" s="1" t="s">
        <v>4398</v>
      </c>
      <c r="M136" s="1" t="s">
        <v>4391</v>
      </c>
      <c r="N136" s="1" t="s">
        <v>16</v>
      </c>
      <c r="O136" s="1" t="s">
        <v>12</v>
      </c>
      <c r="P136" s="6">
        <v>45635</v>
      </c>
    </row>
    <row r="137" spans="1:16">
      <c r="A137" s="4" t="s">
        <v>1198</v>
      </c>
      <c r="B137" s="9">
        <v>1200.058</v>
      </c>
      <c r="C137" s="9">
        <v>30</v>
      </c>
      <c r="D137" s="9">
        <v>901.39700000000005</v>
      </c>
      <c r="E137" s="9">
        <v>35.029000000000003</v>
      </c>
      <c r="F137" s="9">
        <v>3.4209999999999998</v>
      </c>
      <c r="G137" s="9">
        <v>30</v>
      </c>
      <c r="H137" s="1">
        <v>650</v>
      </c>
      <c r="I137" s="9">
        <v>30</v>
      </c>
      <c r="J137" s="22" t="s">
        <v>5030</v>
      </c>
      <c r="K137" s="1" t="s">
        <v>4246</v>
      </c>
      <c r="L137" s="1" t="s">
        <v>4399</v>
      </c>
      <c r="M137" s="1" t="s">
        <v>4400</v>
      </c>
      <c r="N137" s="1" t="s">
        <v>8</v>
      </c>
      <c r="O137" s="1" t="s">
        <v>9</v>
      </c>
      <c r="P137" s="6">
        <v>45638</v>
      </c>
    </row>
    <row r="138" spans="1:16">
      <c r="A138" s="4" t="s">
        <v>1200</v>
      </c>
      <c r="B138" s="9">
        <v>1168.867</v>
      </c>
      <c r="C138" s="9">
        <v>30</v>
      </c>
      <c r="D138" s="9">
        <v>909.476</v>
      </c>
      <c r="E138" s="9">
        <v>35.645000000000003</v>
      </c>
      <c r="F138" s="9">
        <v>3.5790000000000002</v>
      </c>
      <c r="G138" s="9">
        <v>30</v>
      </c>
      <c r="H138" s="1">
        <v>650</v>
      </c>
      <c r="I138" s="9">
        <v>30</v>
      </c>
      <c r="J138" s="22" t="s">
        <v>5030</v>
      </c>
      <c r="K138" s="1" t="s">
        <v>4246</v>
      </c>
      <c r="L138" s="1" t="s">
        <v>4401</v>
      </c>
      <c r="M138" s="1" t="s">
        <v>4400</v>
      </c>
      <c r="N138" s="1" t="s">
        <v>11</v>
      </c>
      <c r="O138" s="1" t="s">
        <v>12</v>
      </c>
      <c r="P138" s="6">
        <v>45641</v>
      </c>
    </row>
    <row r="139" spans="1:16">
      <c r="A139" s="4" t="s">
        <v>1204</v>
      </c>
      <c r="B139" s="9">
        <v>1189.4749999999999</v>
      </c>
      <c r="C139" s="9">
        <v>30</v>
      </c>
      <c r="D139" s="9">
        <v>888.404</v>
      </c>
      <c r="E139" s="9">
        <v>34.978000000000002</v>
      </c>
      <c r="F139" s="9">
        <v>3.589</v>
      </c>
      <c r="G139" s="9">
        <v>30</v>
      </c>
      <c r="H139" s="1">
        <v>650</v>
      </c>
      <c r="I139" s="9">
        <v>30</v>
      </c>
      <c r="J139" s="22" t="s">
        <v>5030</v>
      </c>
      <c r="K139" s="1" t="s">
        <v>4246</v>
      </c>
      <c r="L139" s="1" t="s">
        <v>4402</v>
      </c>
      <c r="M139" s="1" t="s">
        <v>4400</v>
      </c>
      <c r="N139" s="1" t="s">
        <v>8</v>
      </c>
      <c r="O139" s="1" t="s">
        <v>9</v>
      </c>
      <c r="P139" s="6">
        <v>45638</v>
      </c>
    </row>
    <row r="140" spans="1:16">
      <c r="A140" s="4" t="s">
        <v>1213</v>
      </c>
      <c r="B140" s="9">
        <v>1223.81</v>
      </c>
      <c r="C140" s="9">
        <v>30</v>
      </c>
      <c r="D140" s="9">
        <v>852.35699999999997</v>
      </c>
      <c r="E140" s="9">
        <v>36.834000000000003</v>
      </c>
      <c r="F140" s="9">
        <v>3.6779999999999999</v>
      </c>
      <c r="G140" s="9">
        <v>30</v>
      </c>
      <c r="H140" s="1">
        <v>650</v>
      </c>
      <c r="I140" s="9">
        <v>30</v>
      </c>
      <c r="J140" s="22" t="s">
        <v>5030</v>
      </c>
      <c r="K140" s="1" t="s">
        <v>4246</v>
      </c>
      <c r="L140" s="1" t="s">
        <v>4403</v>
      </c>
      <c r="M140" s="1" t="s">
        <v>4400</v>
      </c>
      <c r="N140" s="1" t="s">
        <v>11</v>
      </c>
      <c r="O140" s="1" t="s">
        <v>12</v>
      </c>
      <c r="P140" s="6">
        <v>45641</v>
      </c>
    </row>
    <row r="141" spans="1:16">
      <c r="A141" s="4" t="s">
        <v>1225</v>
      </c>
      <c r="B141" s="9">
        <v>1247.184</v>
      </c>
      <c r="C141" s="9">
        <v>30</v>
      </c>
      <c r="D141" s="9">
        <v>846.87199999999996</v>
      </c>
      <c r="E141" s="9">
        <v>38.442</v>
      </c>
      <c r="F141" s="9">
        <v>3.9809999999999999</v>
      </c>
      <c r="G141" s="9">
        <v>30</v>
      </c>
      <c r="H141" s="1">
        <v>650</v>
      </c>
      <c r="I141" s="9">
        <v>30</v>
      </c>
      <c r="J141" s="22" t="s">
        <v>5030</v>
      </c>
      <c r="K141" s="1" t="s">
        <v>4246</v>
      </c>
      <c r="L141" s="1" t="s">
        <v>4404</v>
      </c>
      <c r="M141" s="1" t="s">
        <v>4400</v>
      </c>
      <c r="N141" s="1" t="s">
        <v>11</v>
      </c>
      <c r="O141" s="1" t="s">
        <v>12</v>
      </c>
      <c r="P141" s="6">
        <v>45641</v>
      </c>
    </row>
    <row r="142" spans="1:16">
      <c r="A142" s="4" t="s">
        <v>1235</v>
      </c>
      <c r="B142" s="9">
        <v>1201.9839999999999</v>
      </c>
      <c r="C142" s="9">
        <v>30</v>
      </c>
      <c r="D142" s="9">
        <v>879.56600000000003</v>
      </c>
      <c r="E142" s="9">
        <v>36.804000000000002</v>
      </c>
      <c r="F142" s="9">
        <v>3.524</v>
      </c>
      <c r="G142" s="9">
        <v>30</v>
      </c>
      <c r="H142" s="1">
        <v>650</v>
      </c>
      <c r="I142" s="9">
        <v>30</v>
      </c>
      <c r="J142" s="22" t="s">
        <v>5030</v>
      </c>
      <c r="K142" s="1" t="s">
        <v>4246</v>
      </c>
      <c r="L142" s="1" t="s">
        <v>4405</v>
      </c>
      <c r="M142" s="1" t="s">
        <v>4400</v>
      </c>
      <c r="N142" s="1" t="s">
        <v>14</v>
      </c>
      <c r="O142" s="1" t="s">
        <v>9</v>
      </c>
      <c r="P142" s="6">
        <v>45644</v>
      </c>
    </row>
    <row r="143" spans="1:16">
      <c r="A143" s="4" t="s">
        <v>1247</v>
      </c>
      <c r="B143" s="9">
        <v>1221.1300000000001</v>
      </c>
      <c r="C143" s="9">
        <v>30</v>
      </c>
      <c r="D143" s="9">
        <v>873.91</v>
      </c>
      <c r="E143" s="9">
        <v>38.170999999999999</v>
      </c>
      <c r="F143" s="9">
        <v>3.71</v>
      </c>
      <c r="G143" s="9">
        <v>30</v>
      </c>
      <c r="H143" s="1">
        <v>650</v>
      </c>
      <c r="I143" s="9">
        <v>30</v>
      </c>
      <c r="J143" s="22" t="s">
        <v>5030</v>
      </c>
      <c r="K143" s="1" t="s">
        <v>4246</v>
      </c>
      <c r="L143" s="1" t="s">
        <v>4406</v>
      </c>
      <c r="M143" s="1" t="s">
        <v>4400</v>
      </c>
      <c r="N143" s="1" t="s">
        <v>16</v>
      </c>
      <c r="O143" s="1" t="s">
        <v>12</v>
      </c>
      <c r="P143" s="6">
        <v>45647</v>
      </c>
    </row>
    <row r="144" spans="1:16">
      <c r="A144" s="4" t="s">
        <v>1249</v>
      </c>
      <c r="B144" s="9">
        <v>1227.751</v>
      </c>
      <c r="C144" s="9">
        <v>30</v>
      </c>
      <c r="D144" s="9">
        <v>898.15700000000004</v>
      </c>
      <c r="E144" s="9">
        <v>35.573</v>
      </c>
      <c r="F144" s="9">
        <v>3.4740000000000002</v>
      </c>
      <c r="G144" s="9">
        <v>30</v>
      </c>
      <c r="H144" s="1">
        <v>650</v>
      </c>
      <c r="I144" s="9">
        <v>30</v>
      </c>
      <c r="J144" s="22" t="s">
        <v>5030</v>
      </c>
      <c r="K144" s="1" t="s">
        <v>4246</v>
      </c>
      <c r="L144" s="1" t="s">
        <v>4407</v>
      </c>
      <c r="M144" s="1" t="s">
        <v>4400</v>
      </c>
      <c r="N144" s="1" t="s">
        <v>8</v>
      </c>
      <c r="O144" s="1" t="s">
        <v>9</v>
      </c>
      <c r="P144" s="6">
        <v>45650</v>
      </c>
    </row>
    <row r="145" spans="1:16">
      <c r="A145" s="4" t="s">
        <v>1259</v>
      </c>
      <c r="B145" s="9">
        <v>1255.7470000000001</v>
      </c>
      <c r="C145" s="9">
        <v>30</v>
      </c>
      <c r="D145" s="9">
        <v>850.23</v>
      </c>
      <c r="E145" s="9">
        <v>40.631</v>
      </c>
      <c r="F145" s="9">
        <v>3.8180000000000001</v>
      </c>
      <c r="G145" s="9">
        <v>30</v>
      </c>
      <c r="H145" s="1">
        <v>650</v>
      </c>
      <c r="I145" s="9">
        <v>30</v>
      </c>
      <c r="J145" s="22" t="s">
        <v>5030</v>
      </c>
      <c r="K145" s="1" t="s">
        <v>4246</v>
      </c>
      <c r="L145" s="1" t="s">
        <v>4408</v>
      </c>
      <c r="M145" s="1" t="s">
        <v>4409</v>
      </c>
      <c r="N145" s="1" t="s">
        <v>8</v>
      </c>
      <c r="O145" s="1" t="s">
        <v>9</v>
      </c>
      <c r="P145" s="6">
        <v>45650</v>
      </c>
    </row>
    <row r="146" spans="1:16">
      <c r="A146" s="4" t="s">
        <v>1266</v>
      </c>
      <c r="B146" s="9">
        <v>1174.7439999999999</v>
      </c>
      <c r="C146" s="9">
        <v>30</v>
      </c>
      <c r="D146" s="9">
        <v>909.95399999999995</v>
      </c>
      <c r="E146" s="9">
        <v>33.566000000000003</v>
      </c>
      <c r="F146" s="9">
        <v>3.581</v>
      </c>
      <c r="G146" s="9">
        <v>30</v>
      </c>
      <c r="H146" s="1">
        <v>650</v>
      </c>
      <c r="I146" s="9">
        <v>30</v>
      </c>
      <c r="J146" s="22" t="s">
        <v>5030</v>
      </c>
      <c r="K146" s="1" t="s">
        <v>4246</v>
      </c>
      <c r="L146" s="1" t="s">
        <v>4410</v>
      </c>
      <c r="M146" s="1" t="s">
        <v>4409</v>
      </c>
      <c r="N146" s="1" t="s">
        <v>11</v>
      </c>
      <c r="O146" s="1" t="s">
        <v>12</v>
      </c>
      <c r="P146" s="6">
        <v>45653</v>
      </c>
    </row>
    <row r="147" spans="1:16">
      <c r="A147" s="4" t="s">
        <v>1271</v>
      </c>
      <c r="B147" s="9">
        <v>1245.28</v>
      </c>
      <c r="C147" s="9">
        <v>30</v>
      </c>
      <c r="D147" s="9">
        <v>848.59400000000005</v>
      </c>
      <c r="E147" s="9">
        <v>39.780999999999999</v>
      </c>
      <c r="F147" s="9">
        <v>3.5950000000000002</v>
      </c>
      <c r="G147" s="9">
        <v>30</v>
      </c>
      <c r="H147" s="1">
        <v>650</v>
      </c>
      <c r="I147" s="9">
        <v>30</v>
      </c>
      <c r="J147" s="22" t="s">
        <v>5030</v>
      </c>
      <c r="K147" s="1" t="s">
        <v>4246</v>
      </c>
      <c r="L147" s="1" t="s">
        <v>4411</v>
      </c>
      <c r="M147" s="1" t="s">
        <v>4409</v>
      </c>
      <c r="N147" s="1" t="s">
        <v>14</v>
      </c>
      <c r="O147" s="1" t="s">
        <v>9</v>
      </c>
      <c r="P147" s="6">
        <v>45656</v>
      </c>
    </row>
    <row r="148" spans="1:16">
      <c r="A148" s="4" t="s">
        <v>1281</v>
      </c>
      <c r="B148" s="9">
        <v>1211.299</v>
      </c>
      <c r="C148" s="9">
        <v>30</v>
      </c>
      <c r="D148" s="9">
        <v>895.34199999999998</v>
      </c>
      <c r="E148" s="9">
        <v>33.655999999999999</v>
      </c>
      <c r="F148" s="9">
        <v>3.573</v>
      </c>
      <c r="G148" s="9">
        <v>30</v>
      </c>
      <c r="H148" s="1">
        <v>650</v>
      </c>
      <c r="I148" s="9">
        <v>30</v>
      </c>
      <c r="J148" s="22" t="s">
        <v>5030</v>
      </c>
      <c r="K148" s="1" t="s">
        <v>4246</v>
      </c>
      <c r="L148" s="1" t="s">
        <v>4412</v>
      </c>
      <c r="M148" s="1" t="s">
        <v>4409</v>
      </c>
      <c r="N148" s="1" t="s">
        <v>11</v>
      </c>
      <c r="O148" s="1" t="s">
        <v>12</v>
      </c>
      <c r="P148" s="6">
        <v>45653</v>
      </c>
    </row>
    <row r="149" spans="1:16">
      <c r="A149" s="4" t="s">
        <v>1286</v>
      </c>
      <c r="B149" s="9">
        <v>1235.271</v>
      </c>
      <c r="C149" s="9">
        <v>30</v>
      </c>
      <c r="D149" s="9">
        <v>855.60199999999998</v>
      </c>
      <c r="E149" s="9">
        <v>37.26</v>
      </c>
      <c r="F149" s="9">
        <v>3.9169999999999998</v>
      </c>
      <c r="G149" s="9">
        <v>30</v>
      </c>
      <c r="H149" s="1">
        <v>650</v>
      </c>
      <c r="I149" s="9">
        <v>30</v>
      </c>
      <c r="J149" s="22" t="s">
        <v>5030</v>
      </c>
      <c r="K149" s="1" t="s">
        <v>4246</v>
      </c>
      <c r="L149" s="1" t="s">
        <v>4413</v>
      </c>
      <c r="M149" s="1" t="s">
        <v>4409</v>
      </c>
      <c r="N149" s="1" t="s">
        <v>14</v>
      </c>
      <c r="O149" s="1" t="s">
        <v>9</v>
      </c>
      <c r="P149" s="6">
        <v>45656</v>
      </c>
    </row>
    <row r="150" spans="1:16">
      <c r="A150" s="4" t="s">
        <v>1295</v>
      </c>
      <c r="B150" s="9">
        <v>1254.3579999999999</v>
      </c>
      <c r="C150" s="9">
        <v>30</v>
      </c>
      <c r="D150" s="9">
        <v>858.56399999999996</v>
      </c>
      <c r="E150" s="9">
        <v>39.439</v>
      </c>
      <c r="F150" s="9">
        <v>3.7629999999999999</v>
      </c>
      <c r="G150" s="9">
        <v>30</v>
      </c>
      <c r="H150" s="1">
        <v>650</v>
      </c>
      <c r="I150" s="9">
        <v>30</v>
      </c>
      <c r="J150" s="22" t="s">
        <v>5030</v>
      </c>
      <c r="K150" s="1" t="s">
        <v>4246</v>
      </c>
      <c r="L150" s="1" t="s">
        <v>4414</v>
      </c>
      <c r="M150" s="1" t="s">
        <v>4409</v>
      </c>
      <c r="N150" s="1" t="s">
        <v>16</v>
      </c>
      <c r="O150" s="1" t="s">
        <v>12</v>
      </c>
      <c r="P150" s="6">
        <v>45659</v>
      </c>
    </row>
    <row r="151" spans="1:16">
      <c r="A151" s="4" t="s">
        <v>1301</v>
      </c>
      <c r="B151" s="9">
        <v>1213.9929999999999</v>
      </c>
      <c r="C151" s="9">
        <v>30</v>
      </c>
      <c r="D151" s="9">
        <v>895.37199999999996</v>
      </c>
      <c r="E151" s="9">
        <v>38.658999999999999</v>
      </c>
      <c r="F151" s="9">
        <v>3.5419999999999998</v>
      </c>
      <c r="G151" s="9">
        <v>30</v>
      </c>
      <c r="H151" s="1">
        <v>600</v>
      </c>
      <c r="I151" s="9">
        <v>30</v>
      </c>
      <c r="J151" s="22" t="s">
        <v>5030</v>
      </c>
      <c r="K151" s="1" t="s">
        <v>4246</v>
      </c>
      <c r="L151" s="1" t="s">
        <v>4415</v>
      </c>
      <c r="M151" s="1" t="s">
        <v>4409</v>
      </c>
      <c r="N151" s="1" t="s">
        <v>14</v>
      </c>
      <c r="O151" s="1" t="s">
        <v>9</v>
      </c>
      <c r="P151" s="6">
        <v>45656</v>
      </c>
    </row>
    <row r="152" spans="1:16">
      <c r="A152" s="4" t="s">
        <v>1306</v>
      </c>
      <c r="B152" s="9">
        <v>1229.7339999999999</v>
      </c>
      <c r="C152" s="9">
        <v>30</v>
      </c>
      <c r="D152" s="9">
        <v>857.51400000000001</v>
      </c>
      <c r="E152" s="9">
        <v>39.823</v>
      </c>
      <c r="F152" s="9">
        <v>3.7360000000000002</v>
      </c>
      <c r="G152" s="9">
        <v>30</v>
      </c>
      <c r="H152" s="1">
        <v>600</v>
      </c>
      <c r="I152" s="9">
        <v>30</v>
      </c>
      <c r="J152" s="22" t="s">
        <v>5030</v>
      </c>
      <c r="K152" s="1" t="s">
        <v>4246</v>
      </c>
      <c r="L152" s="1" t="s">
        <v>4416</v>
      </c>
      <c r="M152" s="1" t="s">
        <v>4409</v>
      </c>
      <c r="N152" s="1" t="s">
        <v>16</v>
      </c>
      <c r="O152" s="1" t="s">
        <v>12</v>
      </c>
      <c r="P152" s="6">
        <v>45659</v>
      </c>
    </row>
    <row r="153" spans="1:16">
      <c r="A153" s="4" t="s">
        <v>1316</v>
      </c>
      <c r="B153" s="9">
        <v>1190.98</v>
      </c>
      <c r="C153" s="9">
        <v>30</v>
      </c>
      <c r="D153" s="9">
        <v>905.54399999999998</v>
      </c>
      <c r="E153" s="9">
        <v>34.914000000000001</v>
      </c>
      <c r="F153" s="9">
        <v>3.4239999999999999</v>
      </c>
      <c r="G153" s="9">
        <v>30</v>
      </c>
      <c r="H153" s="1">
        <v>600</v>
      </c>
      <c r="I153" s="9">
        <v>30</v>
      </c>
      <c r="J153" s="22" t="s">
        <v>5030</v>
      </c>
      <c r="K153" s="1" t="s">
        <v>4246</v>
      </c>
      <c r="L153" s="1" t="s">
        <v>4417</v>
      </c>
      <c r="M153" s="1" t="s">
        <v>4418</v>
      </c>
      <c r="N153" s="1" t="s">
        <v>16</v>
      </c>
      <c r="O153" s="1" t="s">
        <v>12</v>
      </c>
      <c r="P153" s="6">
        <v>45659</v>
      </c>
    </row>
    <row r="154" spans="1:16">
      <c r="A154" s="4" t="s">
        <v>1323</v>
      </c>
      <c r="B154" s="9">
        <v>1206.846</v>
      </c>
      <c r="C154" s="9">
        <v>30</v>
      </c>
      <c r="D154" s="9">
        <v>910.005</v>
      </c>
      <c r="E154" s="9">
        <v>32.296999999999997</v>
      </c>
      <c r="F154" s="9">
        <v>3.222</v>
      </c>
      <c r="G154" s="9">
        <v>30</v>
      </c>
      <c r="H154" s="1">
        <v>600</v>
      </c>
      <c r="I154" s="9">
        <v>30</v>
      </c>
      <c r="J154" s="22" t="s">
        <v>5030</v>
      </c>
      <c r="K154" s="1" t="s">
        <v>4246</v>
      </c>
      <c r="L154" s="1" t="s">
        <v>4419</v>
      </c>
      <c r="M154" s="1" t="s">
        <v>4418</v>
      </c>
      <c r="N154" s="1" t="s">
        <v>8</v>
      </c>
      <c r="O154" s="1" t="s">
        <v>9</v>
      </c>
      <c r="P154" s="6">
        <v>45662</v>
      </c>
    </row>
    <row r="155" spans="1:16">
      <c r="A155" s="4" t="s">
        <v>1328</v>
      </c>
      <c r="B155" s="9">
        <v>1192.279</v>
      </c>
      <c r="C155" s="9">
        <v>30</v>
      </c>
      <c r="D155" s="9">
        <v>879.15499999999997</v>
      </c>
      <c r="E155" s="9">
        <v>37.807000000000002</v>
      </c>
      <c r="F155" s="9">
        <v>3.6880000000000002</v>
      </c>
      <c r="G155" s="9">
        <v>30</v>
      </c>
      <c r="H155" s="1">
        <v>600</v>
      </c>
      <c r="I155" s="9">
        <v>30</v>
      </c>
      <c r="J155" s="22" t="s">
        <v>5030</v>
      </c>
      <c r="K155" s="1" t="s">
        <v>4246</v>
      </c>
      <c r="L155" s="1" t="s">
        <v>4420</v>
      </c>
      <c r="M155" s="1" t="s">
        <v>4418</v>
      </c>
      <c r="N155" s="1" t="s">
        <v>11</v>
      </c>
      <c r="O155" s="1" t="s">
        <v>12</v>
      </c>
      <c r="P155" s="6">
        <v>45665</v>
      </c>
    </row>
    <row r="156" spans="1:16">
      <c r="A156" s="4" t="s">
        <v>1334</v>
      </c>
      <c r="B156" s="9">
        <v>1181.24</v>
      </c>
      <c r="C156" s="9">
        <v>30</v>
      </c>
      <c r="D156" s="9">
        <v>906.74400000000003</v>
      </c>
      <c r="E156" s="9">
        <v>34.357999999999997</v>
      </c>
      <c r="F156" s="9">
        <v>3.7349999999999999</v>
      </c>
      <c r="G156" s="9">
        <v>30</v>
      </c>
      <c r="H156" s="1">
        <v>600</v>
      </c>
      <c r="I156" s="9">
        <v>30</v>
      </c>
      <c r="J156" s="22" t="s">
        <v>5030</v>
      </c>
      <c r="K156" s="1" t="s">
        <v>4246</v>
      </c>
      <c r="L156" s="1" t="s">
        <v>4421</v>
      </c>
      <c r="M156" s="1" t="s">
        <v>4418</v>
      </c>
      <c r="N156" s="1" t="s">
        <v>8</v>
      </c>
      <c r="O156" s="1" t="s">
        <v>9</v>
      </c>
      <c r="P156" s="6">
        <v>45662</v>
      </c>
    </row>
    <row r="157" spans="1:16">
      <c r="A157" s="4" t="s">
        <v>1343</v>
      </c>
      <c r="B157" s="9">
        <v>1205.635</v>
      </c>
      <c r="C157" s="9">
        <v>30</v>
      </c>
      <c r="D157" s="9">
        <v>889.63400000000001</v>
      </c>
      <c r="E157" s="9">
        <v>36.356000000000002</v>
      </c>
      <c r="F157" s="9">
        <v>3.3530000000000002</v>
      </c>
      <c r="G157" s="9">
        <v>30</v>
      </c>
      <c r="H157" s="1">
        <v>600</v>
      </c>
      <c r="I157" s="9">
        <v>30</v>
      </c>
      <c r="J157" s="22" t="s">
        <v>5030</v>
      </c>
      <c r="K157" s="1" t="s">
        <v>4246</v>
      </c>
      <c r="L157" s="1" t="s">
        <v>4422</v>
      </c>
      <c r="M157" s="1" t="s">
        <v>4418</v>
      </c>
      <c r="N157" s="1" t="s">
        <v>11</v>
      </c>
      <c r="O157" s="1" t="s">
        <v>12</v>
      </c>
      <c r="P157" s="6">
        <v>45665</v>
      </c>
    </row>
    <row r="158" spans="1:16">
      <c r="A158" s="4" t="s">
        <v>1347</v>
      </c>
      <c r="B158" s="9">
        <v>1232.663</v>
      </c>
      <c r="C158" s="9">
        <v>30</v>
      </c>
      <c r="D158" s="9">
        <v>864.24699999999996</v>
      </c>
      <c r="E158" s="9">
        <v>40.091999999999999</v>
      </c>
      <c r="F158" s="9">
        <v>3.9340000000000002</v>
      </c>
      <c r="G158" s="9">
        <v>30</v>
      </c>
      <c r="H158" s="1">
        <v>600</v>
      </c>
      <c r="I158" s="9">
        <v>30</v>
      </c>
      <c r="J158" s="22" t="s">
        <v>5030</v>
      </c>
      <c r="K158" s="1" t="s">
        <v>4246</v>
      </c>
      <c r="L158" s="1" t="s">
        <v>4423</v>
      </c>
      <c r="M158" s="1" t="s">
        <v>4418</v>
      </c>
      <c r="N158" s="1" t="s">
        <v>14</v>
      </c>
      <c r="O158" s="1" t="s">
        <v>9</v>
      </c>
      <c r="P158" s="6">
        <v>45668</v>
      </c>
    </row>
    <row r="159" spans="1:16">
      <c r="A159" s="4" t="s">
        <v>1356</v>
      </c>
      <c r="B159" s="9">
        <v>1218.2139999999999</v>
      </c>
      <c r="C159" s="9">
        <v>30</v>
      </c>
      <c r="D159" s="9">
        <v>888.226</v>
      </c>
      <c r="E159" s="9">
        <v>32.182000000000002</v>
      </c>
      <c r="F159" s="9">
        <v>3.6619999999999999</v>
      </c>
      <c r="G159" s="9">
        <v>30</v>
      </c>
      <c r="H159" s="1">
        <v>600</v>
      </c>
      <c r="I159" s="9">
        <v>30</v>
      </c>
      <c r="J159" s="22" t="s">
        <v>5030</v>
      </c>
      <c r="K159" s="1" t="s">
        <v>4246</v>
      </c>
      <c r="L159" s="1" t="s">
        <v>4424</v>
      </c>
      <c r="M159" s="1" t="s">
        <v>4418</v>
      </c>
      <c r="N159" s="1" t="s">
        <v>16</v>
      </c>
      <c r="O159" s="1" t="s">
        <v>12</v>
      </c>
      <c r="P159" s="6">
        <v>45671</v>
      </c>
    </row>
    <row r="160" spans="1:16">
      <c r="A160" s="4" t="s">
        <v>1368</v>
      </c>
      <c r="B160" s="9">
        <v>1180.771</v>
      </c>
      <c r="C160" s="9">
        <v>30</v>
      </c>
      <c r="D160" s="9">
        <v>909.54700000000003</v>
      </c>
      <c r="E160" s="9">
        <v>34.893999999999998</v>
      </c>
      <c r="F160" s="9">
        <v>3.6339999999999999</v>
      </c>
      <c r="G160" s="9">
        <v>30</v>
      </c>
      <c r="H160" s="1">
        <v>600</v>
      </c>
      <c r="I160" s="9">
        <v>30</v>
      </c>
      <c r="J160" s="22" t="s">
        <v>5030</v>
      </c>
      <c r="K160" s="1" t="s">
        <v>4246</v>
      </c>
      <c r="L160" s="1" t="s">
        <v>4425</v>
      </c>
      <c r="M160" s="1" t="s">
        <v>4418</v>
      </c>
      <c r="N160" s="1" t="s">
        <v>16</v>
      </c>
      <c r="O160" s="1" t="s">
        <v>12</v>
      </c>
      <c r="P160" s="6">
        <v>45671</v>
      </c>
    </row>
    <row r="161" spans="1:16">
      <c r="A161" s="4" t="s">
        <v>1374</v>
      </c>
      <c r="B161" s="9">
        <v>1248.462</v>
      </c>
      <c r="C161" s="9">
        <v>30</v>
      </c>
      <c r="D161" s="9">
        <v>862.09299999999996</v>
      </c>
      <c r="E161" s="9">
        <v>38.308999999999997</v>
      </c>
      <c r="F161" s="9">
        <v>3.9470000000000001</v>
      </c>
      <c r="G161" s="9">
        <v>30</v>
      </c>
      <c r="H161" s="1">
        <v>600</v>
      </c>
      <c r="I161" s="9">
        <v>30</v>
      </c>
      <c r="J161" s="22" t="s">
        <v>5030</v>
      </c>
      <c r="K161" s="1" t="s">
        <v>4246</v>
      </c>
      <c r="L161" s="1" t="s">
        <v>4426</v>
      </c>
      <c r="M161" s="1" t="s">
        <v>4427</v>
      </c>
      <c r="N161" s="1" t="s">
        <v>8</v>
      </c>
      <c r="O161" s="1" t="s">
        <v>9</v>
      </c>
      <c r="P161" s="6">
        <v>45674</v>
      </c>
    </row>
    <row r="162" spans="1:16">
      <c r="A162" s="4" t="s">
        <v>1379</v>
      </c>
      <c r="B162" s="9">
        <v>1233.1389999999999</v>
      </c>
      <c r="C162" s="9">
        <v>30</v>
      </c>
      <c r="D162" s="9">
        <v>875.38499999999999</v>
      </c>
      <c r="E162" s="9">
        <v>37.841000000000001</v>
      </c>
      <c r="F162" s="9">
        <v>3.6429999999999998</v>
      </c>
      <c r="G162" s="9">
        <v>30</v>
      </c>
      <c r="H162" s="1">
        <v>600</v>
      </c>
      <c r="I162" s="9">
        <v>30</v>
      </c>
      <c r="J162" s="22" t="s">
        <v>5030</v>
      </c>
      <c r="K162" s="1" t="s">
        <v>4246</v>
      </c>
      <c r="L162" s="1" t="s">
        <v>4428</v>
      </c>
      <c r="M162" s="1" t="s">
        <v>4427</v>
      </c>
      <c r="N162" s="1" t="s">
        <v>11</v>
      </c>
      <c r="O162" s="1" t="s">
        <v>12</v>
      </c>
      <c r="P162" s="6">
        <v>45677</v>
      </c>
    </row>
    <row r="163" spans="1:16">
      <c r="A163" s="4" t="s">
        <v>1385</v>
      </c>
      <c r="B163" s="9">
        <v>1206.48</v>
      </c>
      <c r="C163" s="9">
        <v>30</v>
      </c>
      <c r="D163" s="9">
        <v>886.93600000000004</v>
      </c>
      <c r="E163" s="9">
        <v>33.844000000000001</v>
      </c>
      <c r="F163" s="9">
        <v>3.597</v>
      </c>
      <c r="G163" s="9">
        <v>30</v>
      </c>
      <c r="H163" s="1">
        <v>600</v>
      </c>
      <c r="I163" s="9">
        <v>30</v>
      </c>
      <c r="J163" s="22" t="s">
        <v>5030</v>
      </c>
      <c r="K163" s="1" t="s">
        <v>4246</v>
      </c>
      <c r="L163" s="1" t="s">
        <v>4429</v>
      </c>
      <c r="M163" s="1" t="s">
        <v>4427</v>
      </c>
      <c r="N163" s="1" t="s">
        <v>11</v>
      </c>
      <c r="O163" s="1" t="s">
        <v>12</v>
      </c>
      <c r="P163" s="6">
        <v>45677</v>
      </c>
    </row>
    <row r="164" spans="1:16">
      <c r="A164" s="4" t="s">
        <v>1394</v>
      </c>
      <c r="B164" s="9">
        <v>1231.748</v>
      </c>
      <c r="C164" s="9">
        <v>30</v>
      </c>
      <c r="D164" s="9">
        <v>845.28200000000004</v>
      </c>
      <c r="E164" s="9">
        <v>37.639000000000003</v>
      </c>
      <c r="F164" s="9">
        <v>3.8849999999999998</v>
      </c>
      <c r="G164" s="9">
        <v>30</v>
      </c>
      <c r="H164" s="1">
        <v>600</v>
      </c>
      <c r="I164" s="9">
        <v>30</v>
      </c>
      <c r="J164" s="22" t="s">
        <v>5030</v>
      </c>
      <c r="K164" s="1" t="s">
        <v>4246</v>
      </c>
      <c r="L164" s="1" t="s">
        <v>4430</v>
      </c>
      <c r="M164" s="1" t="s">
        <v>4427</v>
      </c>
      <c r="N164" s="1" t="s">
        <v>14</v>
      </c>
      <c r="O164" s="1" t="s">
        <v>9</v>
      </c>
      <c r="P164" s="6">
        <v>45680</v>
      </c>
    </row>
    <row r="165" spans="1:16">
      <c r="A165" s="4" t="s">
        <v>1397</v>
      </c>
      <c r="B165" s="9">
        <v>1235.03</v>
      </c>
      <c r="C165" s="9">
        <v>30</v>
      </c>
      <c r="D165" s="9">
        <v>848.04899999999998</v>
      </c>
      <c r="E165" s="9">
        <v>37.295999999999999</v>
      </c>
      <c r="F165" s="9">
        <v>3.7280000000000002</v>
      </c>
      <c r="G165" s="9">
        <v>30</v>
      </c>
      <c r="H165" s="1">
        <v>600</v>
      </c>
      <c r="I165" s="9">
        <v>30</v>
      </c>
      <c r="J165" s="22" t="s">
        <v>5030</v>
      </c>
      <c r="K165" s="1" t="s">
        <v>4246</v>
      </c>
      <c r="L165" s="1" t="s">
        <v>4431</v>
      </c>
      <c r="M165" s="1" t="s">
        <v>4427</v>
      </c>
      <c r="N165" s="1" t="s">
        <v>14</v>
      </c>
      <c r="O165" s="1" t="s">
        <v>9</v>
      </c>
      <c r="P165" s="6">
        <v>45680</v>
      </c>
    </row>
    <row r="166" spans="1:16">
      <c r="A166" s="4" t="s">
        <v>1404</v>
      </c>
      <c r="B166" s="9">
        <v>1233.2059999999999</v>
      </c>
      <c r="C166" s="9">
        <v>30</v>
      </c>
      <c r="D166" s="9">
        <v>846.923</v>
      </c>
      <c r="E166" s="9">
        <v>39.039000000000001</v>
      </c>
      <c r="F166" s="9">
        <v>3.7650000000000001</v>
      </c>
      <c r="G166" s="9">
        <v>30</v>
      </c>
      <c r="H166" s="1">
        <v>600</v>
      </c>
      <c r="I166" s="9">
        <v>30</v>
      </c>
      <c r="J166" s="22" t="s">
        <v>5030</v>
      </c>
      <c r="K166" s="1" t="s">
        <v>4246</v>
      </c>
      <c r="L166" s="1" t="s">
        <v>4432</v>
      </c>
      <c r="M166" s="1" t="s">
        <v>4427</v>
      </c>
      <c r="N166" s="1" t="s">
        <v>16</v>
      </c>
      <c r="O166" s="1" t="s">
        <v>12</v>
      </c>
      <c r="P166" s="6">
        <v>45683</v>
      </c>
    </row>
    <row r="167" spans="1:16">
      <c r="A167" s="4" t="s">
        <v>1416</v>
      </c>
      <c r="B167" s="9">
        <v>1179.1220000000001</v>
      </c>
      <c r="C167" s="9">
        <v>30</v>
      </c>
      <c r="D167" s="9">
        <v>916.07399999999996</v>
      </c>
      <c r="E167" s="9">
        <v>34.203000000000003</v>
      </c>
      <c r="F167" s="9">
        <v>3.504</v>
      </c>
      <c r="G167" s="9">
        <v>30</v>
      </c>
      <c r="H167" s="1">
        <v>600</v>
      </c>
      <c r="I167" s="9">
        <v>30</v>
      </c>
      <c r="J167" s="22" t="s">
        <v>5030</v>
      </c>
      <c r="K167" s="1" t="s">
        <v>4246</v>
      </c>
      <c r="L167" s="1" t="s">
        <v>4433</v>
      </c>
      <c r="M167" s="1" t="s">
        <v>4427</v>
      </c>
      <c r="N167" s="1" t="s">
        <v>16</v>
      </c>
      <c r="O167" s="1" t="s">
        <v>12</v>
      </c>
      <c r="P167" s="6">
        <v>45683</v>
      </c>
    </row>
    <row r="168" spans="1:16">
      <c r="A168" s="4" t="s">
        <v>1421</v>
      </c>
      <c r="B168" s="9">
        <v>1173.0150000000001</v>
      </c>
      <c r="C168" s="9">
        <v>30</v>
      </c>
      <c r="D168" s="9">
        <v>912.15899999999999</v>
      </c>
      <c r="E168" s="9">
        <v>32.311</v>
      </c>
      <c r="F168" s="9">
        <v>3.5459999999999998</v>
      </c>
      <c r="G168" s="9">
        <v>30</v>
      </c>
      <c r="H168" s="1">
        <v>600</v>
      </c>
      <c r="I168" s="9">
        <v>30</v>
      </c>
      <c r="J168" s="22" t="s">
        <v>5030</v>
      </c>
      <c r="K168" s="1" t="s">
        <v>4246</v>
      </c>
      <c r="L168" s="1" t="s">
        <v>4434</v>
      </c>
      <c r="M168" s="1" t="s">
        <v>4427</v>
      </c>
      <c r="N168" s="1" t="s">
        <v>8</v>
      </c>
      <c r="O168" s="1" t="s">
        <v>9</v>
      </c>
      <c r="P168" s="6">
        <v>45686</v>
      </c>
    </row>
    <row r="169" spans="1:16">
      <c r="A169" s="4" t="s">
        <v>1430</v>
      </c>
      <c r="B169" s="9">
        <v>1166.47</v>
      </c>
      <c r="C169" s="9">
        <v>30</v>
      </c>
      <c r="D169" s="9">
        <v>915.16200000000003</v>
      </c>
      <c r="E169" s="9">
        <v>35.462000000000003</v>
      </c>
      <c r="F169" s="9">
        <v>3.45</v>
      </c>
      <c r="G169" s="9">
        <v>30</v>
      </c>
      <c r="H169" s="1">
        <v>600</v>
      </c>
      <c r="I169" s="9">
        <v>30</v>
      </c>
      <c r="J169" s="22" t="s">
        <v>5030</v>
      </c>
      <c r="K169" s="1" t="s">
        <v>4246</v>
      </c>
      <c r="L169" s="1" t="s">
        <v>4435</v>
      </c>
      <c r="M169" s="1" t="s">
        <v>4436</v>
      </c>
      <c r="N169" s="1" t="s">
        <v>11</v>
      </c>
      <c r="O169" s="1" t="s">
        <v>12</v>
      </c>
      <c r="P169" s="6">
        <v>45689</v>
      </c>
    </row>
    <row r="170" spans="1:16">
      <c r="A170" s="4" t="s">
        <v>1436</v>
      </c>
      <c r="B170" s="9">
        <v>1216.3679999999999</v>
      </c>
      <c r="C170" s="9">
        <v>30</v>
      </c>
      <c r="D170" s="9">
        <v>888.548</v>
      </c>
      <c r="E170" s="9">
        <v>42.7</v>
      </c>
      <c r="F170" s="9">
        <v>3.7370000000000001</v>
      </c>
      <c r="G170" s="9">
        <v>30</v>
      </c>
      <c r="H170" s="1">
        <v>600</v>
      </c>
      <c r="I170" s="9">
        <v>30</v>
      </c>
      <c r="J170" s="22" t="s">
        <v>5030</v>
      </c>
      <c r="K170" s="1" t="s">
        <v>4246</v>
      </c>
      <c r="L170" s="1" t="s">
        <v>4437</v>
      </c>
      <c r="M170" s="1" t="s">
        <v>4436</v>
      </c>
      <c r="N170" s="1" t="s">
        <v>8</v>
      </c>
      <c r="O170" s="1" t="s">
        <v>9</v>
      </c>
      <c r="P170" s="6">
        <v>45686</v>
      </c>
    </row>
    <row r="171" spans="1:16">
      <c r="A171" s="4" t="s">
        <v>1445</v>
      </c>
      <c r="B171" s="9">
        <v>1175.742</v>
      </c>
      <c r="C171" s="9">
        <v>30</v>
      </c>
      <c r="D171" s="9">
        <v>921.50400000000002</v>
      </c>
      <c r="E171" s="9">
        <v>33.142000000000003</v>
      </c>
      <c r="F171" s="9">
        <v>3.41</v>
      </c>
      <c r="G171" s="9">
        <v>30</v>
      </c>
      <c r="H171" s="1">
        <v>600</v>
      </c>
      <c r="I171" s="9">
        <v>30</v>
      </c>
      <c r="J171" s="22" t="s">
        <v>5030</v>
      </c>
      <c r="K171" s="1" t="s">
        <v>4246</v>
      </c>
      <c r="L171" s="1" t="s">
        <v>4438</v>
      </c>
      <c r="M171" s="1" t="s">
        <v>4436</v>
      </c>
      <c r="N171" s="1" t="s">
        <v>11</v>
      </c>
      <c r="O171" s="1" t="s">
        <v>12</v>
      </c>
      <c r="P171" s="6">
        <v>45689</v>
      </c>
    </row>
    <row r="172" spans="1:16">
      <c r="A172" s="4" t="s">
        <v>1451</v>
      </c>
      <c r="B172" s="9">
        <v>1218.6659999999999</v>
      </c>
      <c r="C172" s="9">
        <v>30</v>
      </c>
      <c r="D172" s="9">
        <v>898.447</v>
      </c>
      <c r="E172" s="9">
        <v>32.89</v>
      </c>
      <c r="F172" s="9">
        <v>3.7749999999999999</v>
      </c>
      <c r="G172" s="9">
        <v>30</v>
      </c>
      <c r="H172" s="1">
        <v>600</v>
      </c>
      <c r="I172" s="9">
        <v>30</v>
      </c>
      <c r="J172" s="22" t="s">
        <v>5030</v>
      </c>
      <c r="K172" s="1" t="s">
        <v>4246</v>
      </c>
      <c r="L172" s="1" t="s">
        <v>4439</v>
      </c>
      <c r="M172" s="1" t="s">
        <v>4436</v>
      </c>
      <c r="N172" s="1" t="s">
        <v>11</v>
      </c>
      <c r="O172" s="1" t="s">
        <v>12</v>
      </c>
      <c r="P172" s="6">
        <v>45689</v>
      </c>
    </row>
    <row r="173" spans="1:16">
      <c r="A173" s="4" t="s">
        <v>1457</v>
      </c>
      <c r="B173" s="9">
        <v>1243.383</v>
      </c>
      <c r="C173" s="9">
        <v>30</v>
      </c>
      <c r="D173" s="9">
        <v>870.99199999999996</v>
      </c>
      <c r="E173" s="9">
        <v>36.71</v>
      </c>
      <c r="F173" s="9">
        <v>4.0259999999999998</v>
      </c>
      <c r="G173" s="9">
        <v>30</v>
      </c>
      <c r="H173" s="1">
        <v>600</v>
      </c>
      <c r="I173" s="9">
        <v>30</v>
      </c>
      <c r="J173" s="22" t="s">
        <v>5030</v>
      </c>
      <c r="K173" s="1" t="s">
        <v>4246</v>
      </c>
      <c r="L173" s="1" t="s">
        <v>4440</v>
      </c>
      <c r="M173" s="1" t="s">
        <v>4436</v>
      </c>
      <c r="N173" s="1" t="s">
        <v>14</v>
      </c>
      <c r="O173" s="1" t="s">
        <v>9</v>
      </c>
      <c r="P173" s="6">
        <v>45692</v>
      </c>
    </row>
    <row r="174" spans="1:16">
      <c r="A174" s="4" t="s">
        <v>1469</v>
      </c>
      <c r="B174" s="9">
        <v>1188.5830000000001</v>
      </c>
      <c r="C174" s="9">
        <v>30</v>
      </c>
      <c r="D174" s="9">
        <v>904.48299999999995</v>
      </c>
      <c r="E174" s="9">
        <v>32.47</v>
      </c>
      <c r="F174" s="9">
        <v>3.419</v>
      </c>
      <c r="G174" s="9">
        <v>30</v>
      </c>
      <c r="H174" s="1">
        <v>600</v>
      </c>
      <c r="I174" s="9">
        <v>30</v>
      </c>
      <c r="J174" s="22" t="s">
        <v>5030</v>
      </c>
      <c r="K174" s="1" t="s">
        <v>4246</v>
      </c>
      <c r="L174" s="1" t="s">
        <v>4441</v>
      </c>
      <c r="M174" s="1" t="s">
        <v>4436</v>
      </c>
      <c r="N174" s="1" t="s">
        <v>16</v>
      </c>
      <c r="O174" s="1" t="s">
        <v>12</v>
      </c>
      <c r="P174" s="6">
        <v>45695</v>
      </c>
    </row>
    <row r="175" spans="1:16">
      <c r="A175" s="4" t="s">
        <v>1471</v>
      </c>
      <c r="B175" s="9">
        <v>1181.8699999999999</v>
      </c>
      <c r="C175" s="9">
        <v>30</v>
      </c>
      <c r="D175" s="9">
        <v>917.10599999999999</v>
      </c>
      <c r="E175" s="9">
        <v>31.542000000000002</v>
      </c>
      <c r="F175" s="9">
        <v>3.02</v>
      </c>
      <c r="G175" s="9">
        <v>30</v>
      </c>
      <c r="H175" s="1">
        <v>600</v>
      </c>
      <c r="I175" s="9">
        <v>30</v>
      </c>
      <c r="J175" s="22" t="s">
        <v>5030</v>
      </c>
      <c r="K175" s="1" t="s">
        <v>4246</v>
      </c>
      <c r="L175" s="1" t="s">
        <v>4442</v>
      </c>
      <c r="M175" s="1" t="s">
        <v>4436</v>
      </c>
      <c r="N175" s="1" t="s">
        <v>8</v>
      </c>
      <c r="O175" s="1" t="s">
        <v>9</v>
      </c>
      <c r="P175" s="6">
        <v>45698</v>
      </c>
    </row>
    <row r="176" spans="1:16">
      <c r="A176" s="4" t="s">
        <v>1476</v>
      </c>
      <c r="B176" s="9">
        <v>1235.557</v>
      </c>
      <c r="C176" s="9">
        <v>30</v>
      </c>
      <c r="D176" s="9">
        <v>852.81700000000001</v>
      </c>
      <c r="E176" s="9">
        <v>40.762999999999998</v>
      </c>
      <c r="F176" s="9">
        <v>3.8380000000000001</v>
      </c>
      <c r="G176" s="9">
        <v>30</v>
      </c>
      <c r="H176" s="1">
        <v>600</v>
      </c>
      <c r="I176" s="9">
        <v>30</v>
      </c>
      <c r="J176" s="22" t="s">
        <v>5030</v>
      </c>
      <c r="K176" s="1" t="s">
        <v>4246</v>
      </c>
      <c r="L176" s="1" t="s">
        <v>4443</v>
      </c>
      <c r="M176" s="1" t="s">
        <v>4436</v>
      </c>
      <c r="N176" s="1" t="s">
        <v>11</v>
      </c>
      <c r="O176" s="1" t="s">
        <v>12</v>
      </c>
      <c r="P176" s="6">
        <v>45701</v>
      </c>
    </row>
    <row r="177" spans="1:16">
      <c r="A177" s="4" t="s">
        <v>1484</v>
      </c>
      <c r="B177" s="9">
        <v>1191.152</v>
      </c>
      <c r="C177" s="9">
        <v>30</v>
      </c>
      <c r="D177" s="9">
        <v>879.94399999999996</v>
      </c>
      <c r="E177" s="9">
        <v>37.506</v>
      </c>
      <c r="F177" s="9">
        <v>3.6379999999999999</v>
      </c>
      <c r="G177" s="9">
        <v>30</v>
      </c>
      <c r="H177" s="1">
        <v>600</v>
      </c>
      <c r="I177" s="9">
        <v>30</v>
      </c>
      <c r="J177" s="22" t="s">
        <v>5030</v>
      </c>
      <c r="K177" s="1" t="s">
        <v>4246</v>
      </c>
      <c r="L177" s="1" t="s">
        <v>4444</v>
      </c>
      <c r="M177" s="1" t="s">
        <v>4445</v>
      </c>
      <c r="N177" s="1" t="s">
        <v>8</v>
      </c>
      <c r="O177" s="1" t="s">
        <v>9</v>
      </c>
      <c r="P177" s="6">
        <v>45698</v>
      </c>
    </row>
    <row r="178" spans="1:16">
      <c r="A178" s="4" t="s">
        <v>1489</v>
      </c>
      <c r="B178" s="9">
        <v>1179.925</v>
      </c>
      <c r="C178" s="9">
        <v>30</v>
      </c>
      <c r="D178" s="9">
        <v>911.274</v>
      </c>
      <c r="E178" s="9">
        <v>36.642000000000003</v>
      </c>
      <c r="F178" s="9">
        <v>3.395</v>
      </c>
      <c r="G178" s="9">
        <v>30</v>
      </c>
      <c r="H178" s="1">
        <v>600</v>
      </c>
      <c r="I178" s="9">
        <v>30</v>
      </c>
      <c r="J178" s="22" t="s">
        <v>5030</v>
      </c>
      <c r="K178" s="1" t="s">
        <v>4246</v>
      </c>
      <c r="L178" s="1" t="s">
        <v>4446</v>
      </c>
      <c r="M178" s="1" t="s">
        <v>4445</v>
      </c>
      <c r="N178" s="1" t="s">
        <v>11</v>
      </c>
      <c r="O178" s="1" t="s">
        <v>12</v>
      </c>
      <c r="P178" s="6">
        <v>45701</v>
      </c>
    </row>
    <row r="179" spans="1:16">
      <c r="A179" s="4" t="s">
        <v>1497</v>
      </c>
      <c r="B179" s="9">
        <v>1252.652</v>
      </c>
      <c r="C179" s="9">
        <v>30</v>
      </c>
      <c r="D179" s="9">
        <v>862.65499999999997</v>
      </c>
      <c r="E179" s="9">
        <v>36.954999999999998</v>
      </c>
      <c r="F179" s="9">
        <v>3.9660000000000002</v>
      </c>
      <c r="G179" s="9">
        <v>30</v>
      </c>
      <c r="H179" s="1">
        <v>600</v>
      </c>
      <c r="I179" s="9">
        <v>30</v>
      </c>
      <c r="J179" s="22" t="s">
        <v>5030</v>
      </c>
      <c r="K179" s="1" t="s">
        <v>4246</v>
      </c>
      <c r="L179" s="1" t="s">
        <v>4447</v>
      </c>
      <c r="M179" s="1" t="s">
        <v>4445</v>
      </c>
      <c r="N179" s="1" t="s">
        <v>11</v>
      </c>
      <c r="O179" s="1" t="s">
        <v>12</v>
      </c>
      <c r="P179" s="6">
        <v>45701</v>
      </c>
    </row>
    <row r="180" spans="1:16">
      <c r="A180" s="4" t="s">
        <v>1506</v>
      </c>
      <c r="B180" s="9">
        <v>1203.2349999999999</v>
      </c>
      <c r="C180" s="9">
        <v>30</v>
      </c>
      <c r="D180" s="9">
        <v>886.27099999999996</v>
      </c>
      <c r="E180" s="9">
        <v>36.542000000000002</v>
      </c>
      <c r="F180" s="9">
        <v>3.3340000000000001</v>
      </c>
      <c r="G180" s="9">
        <v>30</v>
      </c>
      <c r="H180" s="1">
        <v>600</v>
      </c>
      <c r="I180" s="9">
        <v>30</v>
      </c>
      <c r="J180" s="22" t="s">
        <v>5030</v>
      </c>
      <c r="K180" s="1" t="s">
        <v>4246</v>
      </c>
      <c r="L180" s="1" t="s">
        <v>4448</v>
      </c>
      <c r="M180" s="1" t="s">
        <v>4445</v>
      </c>
      <c r="N180" s="1" t="s">
        <v>14</v>
      </c>
      <c r="O180" s="1" t="s">
        <v>9</v>
      </c>
      <c r="P180" s="6">
        <v>45704</v>
      </c>
    </row>
    <row r="181" spans="1:16">
      <c r="A181" s="4" t="s">
        <v>1512</v>
      </c>
      <c r="B181" s="9">
        <v>1213.4590000000001</v>
      </c>
      <c r="C181" s="9">
        <v>30</v>
      </c>
      <c r="D181" s="9">
        <v>881.57799999999997</v>
      </c>
      <c r="E181" s="9">
        <v>38.335999999999999</v>
      </c>
      <c r="F181" s="9">
        <v>3.4119999999999999</v>
      </c>
      <c r="G181" s="9">
        <v>30</v>
      </c>
      <c r="H181" s="1">
        <v>600</v>
      </c>
      <c r="I181" s="9">
        <v>30</v>
      </c>
      <c r="J181" s="22" t="s">
        <v>5030</v>
      </c>
      <c r="K181" s="1" t="s">
        <v>4246</v>
      </c>
      <c r="L181" s="1" t="s">
        <v>4449</v>
      </c>
      <c r="M181" s="1" t="s">
        <v>4445</v>
      </c>
      <c r="N181" s="1" t="s">
        <v>14</v>
      </c>
      <c r="O181" s="1" t="s">
        <v>9</v>
      </c>
      <c r="P181" s="6">
        <v>45704</v>
      </c>
    </row>
    <row r="182" spans="1:16">
      <c r="A182" s="4" t="s">
        <v>1517</v>
      </c>
      <c r="B182" s="9">
        <v>1258.0719999999999</v>
      </c>
      <c r="C182" s="9">
        <v>30</v>
      </c>
      <c r="D182" s="9">
        <v>866.18499999999995</v>
      </c>
      <c r="E182" s="9">
        <v>38.69</v>
      </c>
      <c r="F182" s="9">
        <v>3.5990000000000002</v>
      </c>
      <c r="G182" s="9">
        <v>30</v>
      </c>
      <c r="H182" s="1">
        <v>600</v>
      </c>
      <c r="I182" s="9">
        <v>30</v>
      </c>
      <c r="J182" s="22" t="s">
        <v>5030</v>
      </c>
      <c r="K182" s="1" t="s">
        <v>4246</v>
      </c>
      <c r="L182" s="1" t="s">
        <v>4450</v>
      </c>
      <c r="M182" s="1" t="s">
        <v>4445</v>
      </c>
      <c r="N182" s="1" t="s">
        <v>16</v>
      </c>
      <c r="O182" s="1" t="s">
        <v>12</v>
      </c>
      <c r="P182" s="6">
        <v>45707</v>
      </c>
    </row>
    <row r="183" spans="1:16">
      <c r="A183" s="4" t="s">
        <v>1523</v>
      </c>
      <c r="B183" s="9">
        <v>1192.029</v>
      </c>
      <c r="C183" s="9">
        <v>30</v>
      </c>
      <c r="D183" s="9">
        <v>906.70500000000004</v>
      </c>
      <c r="E183" s="9">
        <v>36.533000000000001</v>
      </c>
      <c r="F183" s="9">
        <v>3.1869999999999998</v>
      </c>
      <c r="G183" s="9">
        <v>30</v>
      </c>
      <c r="H183" s="1">
        <v>600</v>
      </c>
      <c r="I183" s="9">
        <v>30</v>
      </c>
      <c r="J183" s="22" t="s">
        <v>5030</v>
      </c>
      <c r="K183" s="1" t="s">
        <v>4246</v>
      </c>
      <c r="L183" s="1" t="s">
        <v>4451</v>
      </c>
      <c r="M183" s="1" t="s">
        <v>4445</v>
      </c>
      <c r="N183" s="1" t="s">
        <v>16</v>
      </c>
      <c r="O183" s="1" t="s">
        <v>12</v>
      </c>
      <c r="P183" s="6">
        <v>45707</v>
      </c>
    </row>
    <row r="184" spans="1:16">
      <c r="A184" s="4" t="s">
        <v>1531</v>
      </c>
      <c r="B184" s="9">
        <v>1209.241</v>
      </c>
      <c r="C184" s="9">
        <v>30</v>
      </c>
      <c r="D184" s="9">
        <v>899.596</v>
      </c>
      <c r="E184" s="9">
        <v>30.385000000000002</v>
      </c>
      <c r="F184" s="9">
        <v>3.53</v>
      </c>
      <c r="G184" s="9">
        <v>30</v>
      </c>
      <c r="H184" s="1">
        <v>600</v>
      </c>
      <c r="I184" s="9">
        <v>30</v>
      </c>
      <c r="J184" s="22" t="s">
        <v>5030</v>
      </c>
      <c r="K184" s="1" t="s">
        <v>4246</v>
      </c>
      <c r="L184" s="1" t="s">
        <v>4452</v>
      </c>
      <c r="M184" s="1" t="s">
        <v>4445</v>
      </c>
      <c r="N184" s="1" t="s">
        <v>8</v>
      </c>
      <c r="O184" s="1" t="s">
        <v>9</v>
      </c>
      <c r="P184" s="6">
        <v>45710</v>
      </c>
    </row>
    <row r="185" spans="1:16">
      <c r="A185" s="4" t="s">
        <v>1538</v>
      </c>
      <c r="B185" s="9">
        <v>1234.32</v>
      </c>
      <c r="C185" s="9">
        <v>30</v>
      </c>
      <c r="D185" s="9">
        <v>859.03</v>
      </c>
      <c r="E185" s="9">
        <v>36.375999999999998</v>
      </c>
      <c r="F185" s="9">
        <v>3.7989999999999999</v>
      </c>
      <c r="G185" s="9">
        <v>30</v>
      </c>
      <c r="H185" s="1">
        <v>600</v>
      </c>
      <c r="I185" s="9">
        <v>30</v>
      </c>
      <c r="J185" s="22" t="s">
        <v>5030</v>
      </c>
      <c r="K185" s="1" t="s">
        <v>4246</v>
      </c>
      <c r="L185" s="1" t="s">
        <v>4453</v>
      </c>
      <c r="M185" s="1" t="s">
        <v>4454</v>
      </c>
      <c r="N185" s="1" t="s">
        <v>11</v>
      </c>
      <c r="O185" s="1" t="s">
        <v>12</v>
      </c>
      <c r="P185" s="6">
        <v>45713</v>
      </c>
    </row>
    <row r="186" spans="1:16">
      <c r="A186" s="4" t="s">
        <v>1548</v>
      </c>
      <c r="B186" s="9">
        <v>1240.1279999999999</v>
      </c>
      <c r="C186" s="9">
        <v>30</v>
      </c>
      <c r="D186" s="9">
        <v>858.822</v>
      </c>
      <c r="E186" s="9">
        <v>40.566000000000003</v>
      </c>
      <c r="F186" s="9">
        <v>3.7210000000000001</v>
      </c>
      <c r="G186" s="9">
        <v>30</v>
      </c>
      <c r="H186" s="1">
        <v>600</v>
      </c>
      <c r="I186" s="9">
        <v>30</v>
      </c>
      <c r="J186" s="22" t="s">
        <v>5030</v>
      </c>
      <c r="K186" s="1" t="s">
        <v>4246</v>
      </c>
      <c r="L186" s="1" t="s">
        <v>4455</v>
      </c>
      <c r="M186" s="1" t="s">
        <v>4454</v>
      </c>
      <c r="N186" s="1" t="s">
        <v>11</v>
      </c>
      <c r="O186" s="1" t="s">
        <v>12</v>
      </c>
      <c r="P186" s="6">
        <v>45713</v>
      </c>
    </row>
    <row r="187" spans="1:16">
      <c r="A187" s="4" t="s">
        <v>1553</v>
      </c>
      <c r="B187" s="9">
        <v>1202.3630000000001</v>
      </c>
      <c r="C187" s="9">
        <v>30</v>
      </c>
      <c r="D187" s="9">
        <v>898.08399999999995</v>
      </c>
      <c r="E187" s="9">
        <v>37.302</v>
      </c>
      <c r="F187" s="9">
        <v>3.7010000000000001</v>
      </c>
      <c r="G187" s="9">
        <v>30</v>
      </c>
      <c r="H187" s="1">
        <v>600</v>
      </c>
      <c r="I187" s="9">
        <v>30</v>
      </c>
      <c r="J187" s="22" t="s">
        <v>5030</v>
      </c>
      <c r="K187" s="1" t="s">
        <v>4246</v>
      </c>
      <c r="L187" s="1" t="s">
        <v>4456</v>
      </c>
      <c r="M187" s="1" t="s">
        <v>4454</v>
      </c>
      <c r="N187" s="1" t="s">
        <v>14</v>
      </c>
      <c r="O187" s="1" t="s">
        <v>9</v>
      </c>
      <c r="P187" s="6">
        <v>45716</v>
      </c>
    </row>
    <row r="188" spans="1:16">
      <c r="A188" s="4" t="s">
        <v>1563</v>
      </c>
      <c r="B188" s="9">
        <v>1245.99</v>
      </c>
      <c r="C188" s="9">
        <v>30</v>
      </c>
      <c r="D188" s="9">
        <v>859.178</v>
      </c>
      <c r="E188" s="9">
        <v>35.537999999999997</v>
      </c>
      <c r="F188" s="9">
        <v>3.5510000000000002</v>
      </c>
      <c r="G188" s="9">
        <v>30</v>
      </c>
      <c r="H188" s="1">
        <v>600</v>
      </c>
      <c r="I188" s="9">
        <v>30</v>
      </c>
      <c r="J188" s="22" t="s">
        <v>5030</v>
      </c>
      <c r="K188" s="1" t="s">
        <v>4246</v>
      </c>
      <c r="L188" s="1" t="s">
        <v>4457</v>
      </c>
      <c r="M188" s="1" t="s">
        <v>4454</v>
      </c>
      <c r="N188" s="1" t="s">
        <v>14</v>
      </c>
      <c r="O188" s="1" t="s">
        <v>9</v>
      </c>
      <c r="P188" s="6">
        <v>45716</v>
      </c>
    </row>
    <row r="189" spans="1:16">
      <c r="A189" s="4" t="s">
        <v>1568</v>
      </c>
      <c r="B189" s="9">
        <v>1241.7339999999999</v>
      </c>
      <c r="C189" s="9">
        <v>30</v>
      </c>
      <c r="D189" s="9">
        <v>864.72199999999998</v>
      </c>
      <c r="E189" s="9">
        <v>40.168999999999997</v>
      </c>
      <c r="F189" s="9">
        <v>3.677</v>
      </c>
      <c r="G189" s="9">
        <v>30</v>
      </c>
      <c r="H189" s="1">
        <v>600</v>
      </c>
      <c r="I189" s="9">
        <v>30</v>
      </c>
      <c r="J189" s="22" t="s">
        <v>5030</v>
      </c>
      <c r="K189" s="1" t="s">
        <v>4246</v>
      </c>
      <c r="L189" s="1" t="s">
        <v>4458</v>
      </c>
      <c r="M189" s="1" t="s">
        <v>4454</v>
      </c>
      <c r="N189" s="1" t="s">
        <v>16</v>
      </c>
      <c r="O189" s="1" t="s">
        <v>12</v>
      </c>
      <c r="P189" s="6">
        <v>45719</v>
      </c>
    </row>
    <row r="190" spans="1:16">
      <c r="A190" s="4" t="s">
        <v>1574</v>
      </c>
      <c r="B190" s="9">
        <v>1167.6790000000001</v>
      </c>
      <c r="C190" s="9">
        <v>30</v>
      </c>
      <c r="D190" s="9">
        <v>920.61099999999999</v>
      </c>
      <c r="E190" s="9">
        <v>32.835999999999999</v>
      </c>
      <c r="F190" s="9">
        <v>3.4430000000000001</v>
      </c>
      <c r="G190" s="9">
        <v>30</v>
      </c>
      <c r="H190" s="1">
        <v>600</v>
      </c>
      <c r="I190" s="9">
        <v>30</v>
      </c>
      <c r="J190" s="22" t="s">
        <v>5030</v>
      </c>
      <c r="K190" s="1" t="s">
        <v>4246</v>
      </c>
      <c r="L190" s="1" t="s">
        <v>4459</v>
      </c>
      <c r="M190" s="1" t="s">
        <v>4454</v>
      </c>
      <c r="N190" s="1" t="s">
        <v>16</v>
      </c>
      <c r="O190" s="1" t="s">
        <v>12</v>
      </c>
      <c r="P190" s="6">
        <v>45719</v>
      </c>
    </row>
    <row r="191" spans="1:16">
      <c r="A191" s="4" t="s">
        <v>1585</v>
      </c>
      <c r="B191" s="9">
        <v>1191.588</v>
      </c>
      <c r="C191" s="9">
        <v>30</v>
      </c>
      <c r="D191" s="9">
        <v>924.57399999999996</v>
      </c>
      <c r="E191" s="9">
        <v>30.957999999999998</v>
      </c>
      <c r="F191" s="9">
        <v>3.26</v>
      </c>
      <c r="G191" s="9">
        <v>30</v>
      </c>
      <c r="H191" s="1">
        <v>600</v>
      </c>
      <c r="I191" s="9">
        <v>30</v>
      </c>
      <c r="J191" s="22" t="s">
        <v>5030</v>
      </c>
      <c r="K191" s="1" t="s">
        <v>4246</v>
      </c>
      <c r="L191" s="1" t="s">
        <v>4460</v>
      </c>
      <c r="M191" s="1" t="s">
        <v>4454</v>
      </c>
      <c r="N191" s="1" t="s">
        <v>8</v>
      </c>
      <c r="O191" s="1" t="s">
        <v>9</v>
      </c>
      <c r="P191" s="6">
        <v>45722</v>
      </c>
    </row>
    <row r="192" spans="1:16">
      <c r="A192" s="4" t="s">
        <v>1596</v>
      </c>
      <c r="B192" s="9">
        <v>1205.25</v>
      </c>
      <c r="C192" s="9">
        <v>30</v>
      </c>
      <c r="D192" s="9">
        <v>882.88099999999997</v>
      </c>
      <c r="E192" s="9">
        <v>35.814</v>
      </c>
      <c r="F192" s="9">
        <v>3.4620000000000002</v>
      </c>
      <c r="G192" s="9">
        <v>30</v>
      </c>
      <c r="H192" s="1">
        <v>600</v>
      </c>
      <c r="I192" s="9">
        <v>30</v>
      </c>
      <c r="J192" s="22" t="s">
        <v>5030</v>
      </c>
      <c r="K192" s="1" t="s">
        <v>4246</v>
      </c>
      <c r="L192" s="1" t="s">
        <v>4461</v>
      </c>
      <c r="M192" s="1" t="s">
        <v>4454</v>
      </c>
      <c r="N192" s="1" t="s">
        <v>11</v>
      </c>
      <c r="O192" s="1" t="s">
        <v>12</v>
      </c>
      <c r="P192" s="6">
        <v>45725</v>
      </c>
    </row>
    <row r="193" spans="1:16">
      <c r="A193" s="4" t="s">
        <v>1612</v>
      </c>
      <c r="B193" s="9">
        <v>1211.404</v>
      </c>
      <c r="C193" s="9">
        <v>30</v>
      </c>
      <c r="D193" s="9">
        <v>886.63800000000003</v>
      </c>
      <c r="E193" s="9">
        <v>37.317</v>
      </c>
      <c r="F193" s="9">
        <v>3.552</v>
      </c>
      <c r="G193" s="9">
        <v>30</v>
      </c>
      <c r="H193" s="1">
        <v>600</v>
      </c>
      <c r="I193" s="9">
        <v>30</v>
      </c>
      <c r="J193" s="22" t="s">
        <v>5030</v>
      </c>
      <c r="K193" s="1" t="s">
        <v>4246</v>
      </c>
      <c r="L193" s="1" t="s">
        <v>4462</v>
      </c>
      <c r="M193" s="1" t="s">
        <v>4463</v>
      </c>
      <c r="N193" s="1" t="s">
        <v>8</v>
      </c>
      <c r="O193" s="1" t="s">
        <v>9</v>
      </c>
      <c r="P193" s="6">
        <v>45722</v>
      </c>
    </row>
    <row r="194" spans="1:16">
      <c r="A194" s="4" t="s">
        <v>1620</v>
      </c>
      <c r="B194" s="9">
        <v>1240.298</v>
      </c>
      <c r="C194" s="9">
        <v>30</v>
      </c>
      <c r="D194" s="9">
        <v>854.43799999999999</v>
      </c>
      <c r="E194" s="9">
        <v>37.755000000000003</v>
      </c>
      <c r="F194" s="9">
        <v>3.4550000000000001</v>
      </c>
      <c r="G194" s="9">
        <v>30</v>
      </c>
      <c r="H194" s="1">
        <v>600</v>
      </c>
      <c r="I194" s="9">
        <v>30</v>
      </c>
      <c r="J194" s="22" t="s">
        <v>5030</v>
      </c>
      <c r="K194" s="1" t="s">
        <v>4246</v>
      </c>
      <c r="L194" s="1" t="s">
        <v>4464</v>
      </c>
      <c r="M194" s="1" t="s">
        <v>4463</v>
      </c>
      <c r="N194" s="1" t="s">
        <v>11</v>
      </c>
      <c r="O194" s="1" t="s">
        <v>12</v>
      </c>
      <c r="P194" s="6">
        <v>45725</v>
      </c>
    </row>
    <row r="195" spans="1:16">
      <c r="A195" s="4" t="s">
        <v>1629</v>
      </c>
      <c r="B195" s="9">
        <v>1238.7650000000001</v>
      </c>
      <c r="C195" s="9">
        <v>30</v>
      </c>
      <c r="D195" s="9">
        <v>886.62599999999998</v>
      </c>
      <c r="E195" s="9">
        <v>33.661000000000001</v>
      </c>
      <c r="F195" s="9">
        <v>3.468</v>
      </c>
      <c r="G195" s="9">
        <v>30</v>
      </c>
      <c r="H195" s="1">
        <v>600</v>
      </c>
      <c r="I195" s="9">
        <v>30</v>
      </c>
      <c r="J195" s="22" t="s">
        <v>5030</v>
      </c>
      <c r="K195" s="1" t="s">
        <v>4246</v>
      </c>
      <c r="L195" s="1" t="s">
        <v>4465</v>
      </c>
      <c r="M195" s="1" t="s">
        <v>4463</v>
      </c>
      <c r="N195" s="1" t="s">
        <v>14</v>
      </c>
      <c r="O195" s="1" t="s">
        <v>9</v>
      </c>
      <c r="P195" s="6">
        <v>45728</v>
      </c>
    </row>
    <row r="196" spans="1:16">
      <c r="A196" s="4" t="s">
        <v>1638</v>
      </c>
      <c r="B196" s="9">
        <v>1232.519</v>
      </c>
      <c r="C196" s="9">
        <v>30</v>
      </c>
      <c r="D196" s="9">
        <v>858.35</v>
      </c>
      <c r="E196" s="9">
        <v>35.585000000000001</v>
      </c>
      <c r="F196" s="9">
        <v>3.8330000000000002</v>
      </c>
      <c r="G196" s="9">
        <v>30</v>
      </c>
      <c r="H196" s="1">
        <v>600</v>
      </c>
      <c r="I196" s="9">
        <v>30</v>
      </c>
      <c r="J196" s="22" t="s">
        <v>5030</v>
      </c>
      <c r="K196" s="1" t="s">
        <v>4246</v>
      </c>
      <c r="L196" s="1" t="s">
        <v>4466</v>
      </c>
      <c r="M196" s="1" t="s">
        <v>4463</v>
      </c>
      <c r="N196" s="1" t="s">
        <v>16</v>
      </c>
      <c r="O196" s="1" t="s">
        <v>12</v>
      </c>
      <c r="P196" s="6">
        <v>45731</v>
      </c>
    </row>
    <row r="197" spans="1:16">
      <c r="A197" s="4" t="s">
        <v>1644</v>
      </c>
      <c r="B197" s="9">
        <v>1230.5630000000001</v>
      </c>
      <c r="C197" s="9">
        <v>30</v>
      </c>
      <c r="D197" s="9">
        <v>851.86500000000001</v>
      </c>
      <c r="E197" s="9">
        <v>40.511000000000003</v>
      </c>
      <c r="F197" s="9">
        <v>3.823</v>
      </c>
      <c r="G197" s="9">
        <v>30</v>
      </c>
      <c r="H197" s="1">
        <v>600</v>
      </c>
      <c r="I197" s="9">
        <v>30</v>
      </c>
      <c r="J197" s="22" t="s">
        <v>5030</v>
      </c>
      <c r="K197" s="1" t="s">
        <v>4246</v>
      </c>
      <c r="L197" s="1" t="s">
        <v>4467</v>
      </c>
      <c r="M197" s="1" t="s">
        <v>4463</v>
      </c>
      <c r="N197" s="1" t="s">
        <v>14</v>
      </c>
      <c r="O197" s="1" t="s">
        <v>9</v>
      </c>
      <c r="P197" s="6">
        <v>45728</v>
      </c>
    </row>
    <row r="198" spans="1:16">
      <c r="A198" s="4" t="s">
        <v>1650</v>
      </c>
      <c r="B198" s="9">
        <v>1215.915</v>
      </c>
      <c r="C198" s="9">
        <v>30</v>
      </c>
      <c r="D198" s="9">
        <v>873.70699999999999</v>
      </c>
      <c r="E198" s="9">
        <v>38.957999999999998</v>
      </c>
      <c r="F198" s="9">
        <v>3.5920000000000001</v>
      </c>
      <c r="G198" s="9">
        <v>30</v>
      </c>
      <c r="H198" s="1">
        <v>600</v>
      </c>
      <c r="I198" s="9">
        <v>30</v>
      </c>
      <c r="J198" s="22" t="s">
        <v>5030</v>
      </c>
      <c r="K198" s="1" t="s">
        <v>4246</v>
      </c>
      <c r="L198" s="1" t="s">
        <v>4468</v>
      </c>
      <c r="M198" s="1" t="s">
        <v>4463</v>
      </c>
      <c r="N198" s="1" t="s">
        <v>16</v>
      </c>
      <c r="O198" s="1" t="s">
        <v>12</v>
      </c>
      <c r="P198" s="6">
        <v>45731</v>
      </c>
    </row>
    <row r="199" spans="1:16">
      <c r="A199" s="4" t="s">
        <v>1655</v>
      </c>
      <c r="B199" s="9">
        <v>1190.768</v>
      </c>
      <c r="C199" s="9">
        <v>30</v>
      </c>
      <c r="D199" s="9">
        <v>904.05499999999995</v>
      </c>
      <c r="E199" s="9">
        <v>32.225000000000001</v>
      </c>
      <c r="F199" s="9">
        <v>3.2549999999999999</v>
      </c>
      <c r="G199" s="9">
        <v>30</v>
      </c>
      <c r="H199" s="1">
        <v>600</v>
      </c>
      <c r="I199" s="9">
        <v>30</v>
      </c>
      <c r="J199" s="22" t="s">
        <v>5030</v>
      </c>
      <c r="K199" s="1" t="s">
        <v>4246</v>
      </c>
      <c r="L199" s="1" t="s">
        <v>4469</v>
      </c>
      <c r="M199" s="1" t="s">
        <v>4463</v>
      </c>
      <c r="N199" s="1" t="s">
        <v>8</v>
      </c>
      <c r="O199" s="1" t="s">
        <v>9</v>
      </c>
      <c r="P199" s="6">
        <v>45734</v>
      </c>
    </row>
    <row r="200" spans="1:16">
      <c r="A200" s="4" t="s">
        <v>1658</v>
      </c>
      <c r="B200" s="9">
        <v>1215.039</v>
      </c>
      <c r="C200" s="9">
        <v>30</v>
      </c>
      <c r="D200" s="9">
        <v>890.87900000000002</v>
      </c>
      <c r="E200" s="9">
        <v>34.948</v>
      </c>
      <c r="F200" s="9">
        <v>3.4529999999999998</v>
      </c>
      <c r="G200" s="9">
        <v>30</v>
      </c>
      <c r="H200" s="1">
        <v>600</v>
      </c>
      <c r="I200" s="9">
        <v>30</v>
      </c>
      <c r="J200" s="22" t="s">
        <v>5030</v>
      </c>
      <c r="K200" s="1" t="s">
        <v>4246</v>
      </c>
      <c r="L200" s="1" t="s">
        <v>4470</v>
      </c>
      <c r="M200" s="1" t="s">
        <v>4463</v>
      </c>
      <c r="N200" s="1" t="s">
        <v>8</v>
      </c>
      <c r="O200" s="1" t="s">
        <v>9</v>
      </c>
      <c r="P200" s="6">
        <v>45734</v>
      </c>
    </row>
    <row r="201" spans="1:16">
      <c r="A201" s="4" t="s">
        <v>1663</v>
      </c>
      <c r="B201" s="9">
        <v>1161.421</v>
      </c>
      <c r="C201" s="9">
        <v>30</v>
      </c>
      <c r="D201" s="9">
        <v>918.78399999999999</v>
      </c>
      <c r="E201" s="9">
        <v>36.378999999999998</v>
      </c>
      <c r="F201" s="9">
        <v>3.4</v>
      </c>
      <c r="G201" s="9">
        <v>30</v>
      </c>
      <c r="H201" s="1">
        <v>600</v>
      </c>
      <c r="I201" s="9">
        <v>30</v>
      </c>
      <c r="J201" s="22" t="s">
        <v>5030</v>
      </c>
      <c r="K201" s="1" t="s">
        <v>4246</v>
      </c>
      <c r="L201" s="1" t="s">
        <v>4471</v>
      </c>
      <c r="M201" s="1" t="s">
        <v>4472</v>
      </c>
      <c r="N201" s="1" t="s">
        <v>11</v>
      </c>
      <c r="O201" s="1" t="s">
        <v>12</v>
      </c>
      <c r="P201" s="6">
        <v>45737</v>
      </c>
    </row>
    <row r="202" spans="1:16">
      <c r="A202" s="4" t="s">
        <v>1675</v>
      </c>
      <c r="B202" s="9">
        <v>1206.04</v>
      </c>
      <c r="C202" s="9">
        <v>30</v>
      </c>
      <c r="D202" s="9">
        <v>891.81</v>
      </c>
      <c r="E202" s="9">
        <v>33.475999999999999</v>
      </c>
      <c r="F202" s="9">
        <v>3.5619999999999998</v>
      </c>
      <c r="G202" s="9">
        <v>30</v>
      </c>
      <c r="H202" s="1">
        <v>600</v>
      </c>
      <c r="I202" s="9">
        <v>30</v>
      </c>
      <c r="J202" s="22" t="s">
        <v>5030</v>
      </c>
      <c r="K202" s="1" t="s">
        <v>4246</v>
      </c>
      <c r="L202" s="1" t="s">
        <v>4473</v>
      </c>
      <c r="M202" s="1" t="s">
        <v>4472</v>
      </c>
      <c r="N202" s="1" t="s">
        <v>11</v>
      </c>
      <c r="O202" s="1" t="s">
        <v>12</v>
      </c>
      <c r="P202" s="6">
        <v>45737</v>
      </c>
    </row>
    <row r="203" spans="1:16">
      <c r="A203" s="4" t="s">
        <v>1686</v>
      </c>
      <c r="B203" s="9">
        <v>1241.452</v>
      </c>
      <c r="C203" s="9">
        <v>30</v>
      </c>
      <c r="D203" s="9">
        <v>863.80600000000004</v>
      </c>
      <c r="E203" s="9">
        <v>36.844999999999999</v>
      </c>
      <c r="F203" s="9">
        <v>3.7349999999999999</v>
      </c>
      <c r="G203" s="9">
        <v>30</v>
      </c>
      <c r="H203" s="1">
        <v>600</v>
      </c>
      <c r="I203" s="9">
        <v>30</v>
      </c>
      <c r="J203" s="22" t="s">
        <v>5030</v>
      </c>
      <c r="K203" s="1" t="s">
        <v>4246</v>
      </c>
      <c r="L203" s="1" t="s">
        <v>4474</v>
      </c>
      <c r="M203" s="1" t="s">
        <v>4472</v>
      </c>
      <c r="N203" s="1" t="s">
        <v>14</v>
      </c>
      <c r="O203" s="1" t="s">
        <v>9</v>
      </c>
      <c r="P203" s="6">
        <v>45740</v>
      </c>
    </row>
    <row r="204" spans="1:16">
      <c r="A204" s="4" t="s">
        <v>1693</v>
      </c>
      <c r="B204" s="9">
        <v>1179.191</v>
      </c>
      <c r="C204" s="9">
        <v>30</v>
      </c>
      <c r="D204" s="9">
        <v>902.94500000000005</v>
      </c>
      <c r="E204" s="9">
        <v>33.340000000000003</v>
      </c>
      <c r="F204" s="9">
        <v>3.4910000000000001</v>
      </c>
      <c r="G204" s="9">
        <v>30</v>
      </c>
      <c r="H204" s="1">
        <v>600</v>
      </c>
      <c r="I204" s="9">
        <v>30</v>
      </c>
      <c r="J204" s="22" t="s">
        <v>5030</v>
      </c>
      <c r="K204" s="1" t="s">
        <v>4246</v>
      </c>
      <c r="L204" s="1" t="s">
        <v>4475</v>
      </c>
      <c r="M204" s="1" t="s">
        <v>4472</v>
      </c>
      <c r="N204" s="1" t="s">
        <v>16</v>
      </c>
      <c r="O204" s="1" t="s">
        <v>12</v>
      </c>
      <c r="P204" s="6">
        <v>45743</v>
      </c>
    </row>
    <row r="205" spans="1:16">
      <c r="A205" s="4" t="s">
        <v>1696</v>
      </c>
      <c r="B205" s="9">
        <v>1232.155</v>
      </c>
      <c r="C205" s="9">
        <v>30</v>
      </c>
      <c r="D205" s="9">
        <v>836.32399999999996</v>
      </c>
      <c r="E205" s="9">
        <v>40.738</v>
      </c>
      <c r="F205" s="9">
        <v>3.806</v>
      </c>
      <c r="G205" s="9">
        <v>30</v>
      </c>
      <c r="H205" s="1">
        <v>600</v>
      </c>
      <c r="I205" s="9">
        <v>30</v>
      </c>
      <c r="J205" s="22" t="s">
        <v>5030</v>
      </c>
      <c r="K205" s="1" t="s">
        <v>4246</v>
      </c>
      <c r="L205" s="1" t="s">
        <v>4476</v>
      </c>
      <c r="M205" s="1" t="s">
        <v>4472</v>
      </c>
      <c r="N205" s="1" t="s">
        <v>14</v>
      </c>
      <c r="O205" s="1" t="s">
        <v>9</v>
      </c>
      <c r="P205" s="6">
        <v>45740</v>
      </c>
    </row>
    <row r="206" spans="1:16">
      <c r="A206" s="4" t="s">
        <v>1698</v>
      </c>
      <c r="B206" s="9">
        <v>1221.9659999999999</v>
      </c>
      <c r="C206" s="9">
        <v>30</v>
      </c>
      <c r="D206" s="9">
        <v>858.88800000000003</v>
      </c>
      <c r="E206" s="9">
        <v>38.093000000000004</v>
      </c>
      <c r="F206" s="9">
        <v>3.7549999999999999</v>
      </c>
      <c r="G206" s="9">
        <v>30</v>
      </c>
      <c r="H206" s="1">
        <v>600</v>
      </c>
      <c r="I206" s="9">
        <v>30</v>
      </c>
      <c r="J206" s="22" t="s">
        <v>5030</v>
      </c>
      <c r="K206" s="1" t="s">
        <v>4246</v>
      </c>
      <c r="L206" s="1" t="s">
        <v>4477</v>
      </c>
      <c r="M206" s="1" t="s">
        <v>4472</v>
      </c>
      <c r="N206" s="1" t="s">
        <v>16</v>
      </c>
      <c r="O206" s="1" t="s">
        <v>12</v>
      </c>
      <c r="P206" s="6">
        <v>45743</v>
      </c>
    </row>
    <row r="207" spans="1:16">
      <c r="A207" s="4" t="s">
        <v>1708</v>
      </c>
      <c r="B207" s="9">
        <v>1242.4590000000001</v>
      </c>
      <c r="C207" s="9">
        <v>30</v>
      </c>
      <c r="D207" s="9">
        <v>857.82100000000003</v>
      </c>
      <c r="E207" s="9">
        <v>38.683999999999997</v>
      </c>
      <c r="F207" s="9">
        <v>4.0060000000000002</v>
      </c>
      <c r="G207" s="9">
        <v>30</v>
      </c>
      <c r="H207" s="1">
        <v>600</v>
      </c>
      <c r="I207" s="9">
        <v>30</v>
      </c>
      <c r="J207" s="22" t="s">
        <v>5030</v>
      </c>
      <c r="K207" s="1" t="s">
        <v>4246</v>
      </c>
      <c r="L207" s="1" t="s">
        <v>4478</v>
      </c>
      <c r="M207" s="1" t="s">
        <v>4472</v>
      </c>
      <c r="N207" s="1" t="s">
        <v>16</v>
      </c>
      <c r="O207" s="1" t="s">
        <v>12</v>
      </c>
      <c r="P207" s="6">
        <v>45743</v>
      </c>
    </row>
    <row r="208" spans="1:16">
      <c r="A208" s="4" t="s">
        <v>1717</v>
      </c>
      <c r="B208" s="9">
        <v>1161.29</v>
      </c>
      <c r="C208" s="9">
        <v>30</v>
      </c>
      <c r="D208" s="9">
        <v>909.13300000000004</v>
      </c>
      <c r="E208" s="9">
        <v>34.203000000000003</v>
      </c>
      <c r="F208" s="9">
        <v>3.363</v>
      </c>
      <c r="G208" s="9">
        <v>30</v>
      </c>
      <c r="H208" s="1">
        <v>600</v>
      </c>
      <c r="I208" s="9">
        <v>30</v>
      </c>
      <c r="J208" s="22" t="s">
        <v>5030</v>
      </c>
      <c r="K208" s="1" t="s">
        <v>4246</v>
      </c>
      <c r="L208" s="1" t="s">
        <v>4479</v>
      </c>
      <c r="M208" s="1" t="s">
        <v>4472</v>
      </c>
      <c r="N208" s="1" t="s">
        <v>8</v>
      </c>
      <c r="O208" s="1" t="s">
        <v>9</v>
      </c>
      <c r="P208" s="6">
        <v>45746</v>
      </c>
    </row>
    <row r="209" spans="1:16">
      <c r="A209" s="4" t="s">
        <v>1723</v>
      </c>
      <c r="B209" s="9">
        <v>1190.933</v>
      </c>
      <c r="C209" s="9">
        <v>30</v>
      </c>
      <c r="D209" s="9">
        <v>905.649</v>
      </c>
      <c r="E209" s="9">
        <v>33.183999999999997</v>
      </c>
      <c r="F209" s="9">
        <v>3.57</v>
      </c>
      <c r="G209" s="9">
        <v>30</v>
      </c>
      <c r="H209" s="1">
        <v>600</v>
      </c>
      <c r="I209" s="9">
        <v>30</v>
      </c>
      <c r="J209" s="22" t="s">
        <v>5030</v>
      </c>
      <c r="K209" s="1" t="s">
        <v>4246</v>
      </c>
      <c r="L209" s="1" t="s">
        <v>4480</v>
      </c>
      <c r="M209" s="1" t="s">
        <v>4481</v>
      </c>
      <c r="N209" s="1" t="s">
        <v>8</v>
      </c>
      <c r="O209" s="1" t="s">
        <v>9</v>
      </c>
      <c r="P209" s="6">
        <v>45746</v>
      </c>
    </row>
    <row r="210" spans="1:16">
      <c r="A210" s="4" t="s">
        <v>1728</v>
      </c>
      <c r="B210" s="9">
        <v>1209.367</v>
      </c>
      <c r="C210" s="9">
        <v>30</v>
      </c>
      <c r="D210" s="9">
        <v>877.96400000000006</v>
      </c>
      <c r="E210" s="9">
        <v>32.784999999999997</v>
      </c>
      <c r="F210" s="9">
        <v>3.444</v>
      </c>
      <c r="G210" s="9">
        <v>30</v>
      </c>
      <c r="H210" s="1">
        <v>600</v>
      </c>
      <c r="I210" s="9">
        <v>30</v>
      </c>
      <c r="J210" s="22" t="s">
        <v>5030</v>
      </c>
      <c r="K210" s="1" t="s">
        <v>4246</v>
      </c>
      <c r="L210" s="1" t="s">
        <v>4482</v>
      </c>
      <c r="M210" s="1" t="s">
        <v>4481</v>
      </c>
      <c r="N210" s="1" t="s">
        <v>11</v>
      </c>
      <c r="O210" s="1" t="s">
        <v>12</v>
      </c>
      <c r="P210" s="6">
        <v>45749</v>
      </c>
    </row>
    <row r="211" spans="1:16">
      <c r="A211" s="4" t="s">
        <v>1738</v>
      </c>
      <c r="B211" s="9">
        <v>1255.568</v>
      </c>
      <c r="C211" s="9">
        <v>30</v>
      </c>
      <c r="D211" s="9">
        <v>871.23699999999997</v>
      </c>
      <c r="E211" s="9">
        <v>36.32</v>
      </c>
      <c r="F211" s="9">
        <v>3.8849999999999998</v>
      </c>
      <c r="G211" s="9">
        <v>30</v>
      </c>
      <c r="H211" s="1">
        <v>600</v>
      </c>
      <c r="I211" s="9">
        <v>30</v>
      </c>
      <c r="J211" s="22" t="s">
        <v>5030</v>
      </c>
      <c r="K211" s="1" t="s">
        <v>4246</v>
      </c>
      <c r="L211" s="1" t="s">
        <v>4483</v>
      </c>
      <c r="M211" s="1" t="s">
        <v>4481</v>
      </c>
      <c r="N211" s="1" t="s">
        <v>11</v>
      </c>
      <c r="O211" s="1" t="s">
        <v>12</v>
      </c>
      <c r="P211" s="6">
        <v>45749</v>
      </c>
    </row>
    <row r="212" spans="1:16">
      <c r="A212" s="4" t="s">
        <v>1741</v>
      </c>
      <c r="B212" s="9">
        <v>1210.2080000000001</v>
      </c>
      <c r="C212" s="9">
        <v>30</v>
      </c>
      <c r="D212" s="9">
        <v>851.62800000000004</v>
      </c>
      <c r="E212" s="9">
        <v>37.307000000000002</v>
      </c>
      <c r="F212" s="9">
        <v>3.7559999999999998</v>
      </c>
      <c r="G212" s="9">
        <v>30</v>
      </c>
      <c r="H212" s="1">
        <v>600</v>
      </c>
      <c r="I212" s="9">
        <v>30</v>
      </c>
      <c r="J212" s="22" t="s">
        <v>5030</v>
      </c>
      <c r="K212" s="1" t="s">
        <v>4246</v>
      </c>
      <c r="L212" s="1" t="s">
        <v>4484</v>
      </c>
      <c r="M212" s="1" t="s">
        <v>4481</v>
      </c>
      <c r="N212" s="1" t="s">
        <v>14</v>
      </c>
      <c r="O212" s="1" t="s">
        <v>9</v>
      </c>
      <c r="P212" s="6">
        <v>45752</v>
      </c>
    </row>
    <row r="213" spans="1:16">
      <c r="A213" s="4" t="s">
        <v>1750</v>
      </c>
      <c r="B213" s="9">
        <v>1240.6949999999999</v>
      </c>
      <c r="C213" s="9">
        <v>30</v>
      </c>
      <c r="D213" s="9">
        <v>845.08799999999997</v>
      </c>
      <c r="E213" s="9">
        <v>39.566000000000003</v>
      </c>
      <c r="F213" s="9">
        <v>3.577</v>
      </c>
      <c r="G213" s="9">
        <v>30</v>
      </c>
      <c r="H213" s="1">
        <v>600</v>
      </c>
      <c r="I213" s="9">
        <v>30</v>
      </c>
      <c r="J213" s="22" t="s">
        <v>5030</v>
      </c>
      <c r="K213" s="1" t="s">
        <v>4246</v>
      </c>
      <c r="L213" s="1" t="s">
        <v>4485</v>
      </c>
      <c r="M213" s="1" t="s">
        <v>4481</v>
      </c>
      <c r="N213" s="1" t="s">
        <v>16</v>
      </c>
      <c r="O213" s="1" t="s">
        <v>12</v>
      </c>
      <c r="P213" s="6">
        <v>45755</v>
      </c>
    </row>
    <row r="214" spans="1:16">
      <c r="A214" s="4" t="s">
        <v>1762</v>
      </c>
      <c r="B214" s="9">
        <v>1178.7670000000001</v>
      </c>
      <c r="C214" s="9">
        <v>30</v>
      </c>
      <c r="D214" s="9">
        <v>914.03399999999999</v>
      </c>
      <c r="E214" s="9">
        <v>34.378999999999998</v>
      </c>
      <c r="F214" s="9">
        <v>3.38</v>
      </c>
      <c r="G214" s="9">
        <v>30</v>
      </c>
      <c r="H214" s="1">
        <v>600</v>
      </c>
      <c r="I214" s="9">
        <v>30</v>
      </c>
      <c r="J214" s="22" t="s">
        <v>5030</v>
      </c>
      <c r="K214" s="1" t="s">
        <v>4246</v>
      </c>
      <c r="L214" s="1" t="s">
        <v>4486</v>
      </c>
      <c r="M214" s="1" t="s">
        <v>4481</v>
      </c>
      <c r="N214" s="1" t="s">
        <v>16</v>
      </c>
      <c r="O214" s="1" t="s">
        <v>12</v>
      </c>
      <c r="P214" s="6">
        <v>45755</v>
      </c>
    </row>
    <row r="215" spans="1:16">
      <c r="A215" s="4" t="s">
        <v>1771</v>
      </c>
      <c r="B215" s="9">
        <v>1181.702</v>
      </c>
      <c r="C215" s="9">
        <v>30</v>
      </c>
      <c r="D215" s="9">
        <v>922.56700000000001</v>
      </c>
      <c r="E215" s="9">
        <v>35.850999999999999</v>
      </c>
      <c r="F215" s="9">
        <v>3.282</v>
      </c>
      <c r="G215" s="9">
        <v>30</v>
      </c>
      <c r="H215" s="1">
        <v>600</v>
      </c>
      <c r="I215" s="9">
        <v>30</v>
      </c>
      <c r="J215" s="22" t="s">
        <v>5030</v>
      </c>
      <c r="K215" s="1" t="s">
        <v>4246</v>
      </c>
      <c r="L215" s="1" t="s">
        <v>4487</v>
      </c>
      <c r="M215" s="1" t="s">
        <v>4481</v>
      </c>
      <c r="N215" s="1" t="s">
        <v>8</v>
      </c>
      <c r="O215" s="1" t="s">
        <v>9</v>
      </c>
      <c r="P215" s="6">
        <v>45758</v>
      </c>
    </row>
    <row r="216" spans="1:16">
      <c r="A216" s="4" t="s">
        <v>1777</v>
      </c>
      <c r="B216" s="9">
        <v>1210.954</v>
      </c>
      <c r="C216" s="9">
        <v>30</v>
      </c>
      <c r="D216" s="9">
        <v>860.58</v>
      </c>
      <c r="E216" s="9">
        <v>35.604999999999997</v>
      </c>
      <c r="F216" s="9">
        <v>3.8450000000000002</v>
      </c>
      <c r="G216" s="9">
        <v>30</v>
      </c>
      <c r="H216" s="1">
        <v>600</v>
      </c>
      <c r="I216" s="9">
        <v>30</v>
      </c>
      <c r="J216" s="22" t="s">
        <v>5030</v>
      </c>
      <c r="K216" s="1" t="s">
        <v>4246</v>
      </c>
      <c r="L216" s="1" t="s">
        <v>4488</v>
      </c>
      <c r="M216" s="1" t="s">
        <v>4481</v>
      </c>
      <c r="N216" s="1" t="s">
        <v>8</v>
      </c>
      <c r="O216" s="1" t="s">
        <v>9</v>
      </c>
      <c r="P216" s="6">
        <v>45758</v>
      </c>
    </row>
    <row r="217" spans="1:16">
      <c r="A217" s="4" t="s">
        <v>1786</v>
      </c>
      <c r="B217" s="9">
        <v>1243.8489999999999</v>
      </c>
      <c r="C217" s="9">
        <v>30</v>
      </c>
      <c r="D217" s="9">
        <v>864.226</v>
      </c>
      <c r="E217" s="9">
        <v>36.470999999999997</v>
      </c>
      <c r="F217" s="9">
        <v>3.9689999999999999</v>
      </c>
      <c r="G217" s="9">
        <v>30</v>
      </c>
      <c r="H217" s="1">
        <v>600</v>
      </c>
      <c r="I217" s="9">
        <v>30</v>
      </c>
      <c r="J217" s="22" t="s">
        <v>5030</v>
      </c>
      <c r="K217" s="1" t="s">
        <v>4246</v>
      </c>
      <c r="L217" s="1" t="s">
        <v>4489</v>
      </c>
      <c r="M217" s="1" t="s">
        <v>4490</v>
      </c>
      <c r="N217" s="1" t="s">
        <v>11</v>
      </c>
      <c r="O217" s="1" t="s">
        <v>12</v>
      </c>
      <c r="P217" s="6">
        <v>45761</v>
      </c>
    </row>
    <row r="218" spans="1:16">
      <c r="A218" s="4" t="s">
        <v>1796</v>
      </c>
      <c r="B218" s="9">
        <v>1250.3219999999999</v>
      </c>
      <c r="C218" s="9">
        <v>30</v>
      </c>
      <c r="D218" s="9">
        <v>832.08399999999995</v>
      </c>
      <c r="E218" s="9">
        <v>40.231999999999999</v>
      </c>
      <c r="F218" s="9">
        <v>3.923</v>
      </c>
      <c r="G218" s="9">
        <v>30</v>
      </c>
      <c r="H218" s="1">
        <v>600</v>
      </c>
      <c r="I218" s="9">
        <v>30</v>
      </c>
      <c r="J218" s="22" t="s">
        <v>5030</v>
      </c>
      <c r="K218" s="1" t="s">
        <v>4246</v>
      </c>
      <c r="L218" s="1" t="s">
        <v>4491</v>
      </c>
      <c r="M218" s="1" t="s">
        <v>4490</v>
      </c>
      <c r="N218" s="1" t="s">
        <v>14</v>
      </c>
      <c r="O218" s="1" t="s">
        <v>9</v>
      </c>
      <c r="P218" s="6">
        <v>45764</v>
      </c>
    </row>
    <row r="219" spans="1:16">
      <c r="A219" s="4" t="s">
        <v>1807</v>
      </c>
      <c r="B219" s="9">
        <v>1198.0840000000001</v>
      </c>
      <c r="C219" s="9">
        <v>30</v>
      </c>
      <c r="D219" s="9">
        <v>873.69799999999998</v>
      </c>
      <c r="E219" s="9">
        <v>32.978999999999999</v>
      </c>
      <c r="F219" s="9">
        <v>3.6669999999999998</v>
      </c>
      <c r="G219" s="9">
        <v>30</v>
      </c>
      <c r="H219" s="1">
        <v>600</v>
      </c>
      <c r="I219" s="9">
        <v>30</v>
      </c>
      <c r="J219" s="22" t="s">
        <v>5030</v>
      </c>
      <c r="K219" s="1" t="s">
        <v>4246</v>
      </c>
      <c r="L219" s="1" t="s">
        <v>4492</v>
      </c>
      <c r="M219" s="1" t="s">
        <v>4490</v>
      </c>
      <c r="N219" s="1" t="s">
        <v>16</v>
      </c>
      <c r="O219" s="1" t="s">
        <v>12</v>
      </c>
      <c r="P219" s="6">
        <v>45767</v>
      </c>
    </row>
    <row r="220" spans="1:16">
      <c r="A220" s="4" t="s">
        <v>1810</v>
      </c>
      <c r="B220" s="9">
        <v>1192.17</v>
      </c>
      <c r="C220" s="9">
        <v>30</v>
      </c>
      <c r="D220" s="9">
        <v>902.84199999999998</v>
      </c>
      <c r="E220" s="9">
        <v>37.136000000000003</v>
      </c>
      <c r="F220" s="9">
        <v>2.964</v>
      </c>
      <c r="G220" s="9">
        <v>30</v>
      </c>
      <c r="H220" s="1">
        <v>600</v>
      </c>
      <c r="I220" s="9">
        <v>30</v>
      </c>
      <c r="J220" s="22" t="s">
        <v>5030</v>
      </c>
      <c r="K220" s="1" t="s">
        <v>4246</v>
      </c>
      <c r="L220" s="1" t="s">
        <v>4493</v>
      </c>
      <c r="M220" s="1" t="s">
        <v>4490</v>
      </c>
      <c r="N220" s="1" t="s">
        <v>16</v>
      </c>
      <c r="O220" s="1" t="s">
        <v>12</v>
      </c>
      <c r="P220" s="6">
        <v>45767</v>
      </c>
    </row>
    <row r="221" spans="1:16">
      <c r="A221" s="4" t="s">
        <v>1816</v>
      </c>
      <c r="B221" s="9">
        <v>1227.318</v>
      </c>
      <c r="C221" s="9">
        <v>30</v>
      </c>
      <c r="D221" s="9">
        <v>894.02</v>
      </c>
      <c r="E221" s="9">
        <v>35.793999999999997</v>
      </c>
      <c r="F221" s="9">
        <v>3.44</v>
      </c>
      <c r="G221" s="9">
        <v>30</v>
      </c>
      <c r="H221" s="1">
        <v>600</v>
      </c>
      <c r="I221" s="9">
        <v>30</v>
      </c>
      <c r="J221" s="22" t="s">
        <v>5030</v>
      </c>
      <c r="K221" s="1" t="s">
        <v>4246</v>
      </c>
      <c r="L221" s="1" t="s">
        <v>4494</v>
      </c>
      <c r="M221" s="1" t="s">
        <v>4490</v>
      </c>
      <c r="N221" s="1" t="s">
        <v>8</v>
      </c>
      <c r="O221" s="1" t="s">
        <v>9</v>
      </c>
      <c r="P221" s="6">
        <v>45770</v>
      </c>
    </row>
    <row r="222" spans="1:16">
      <c r="A222" s="4" t="s">
        <v>1821</v>
      </c>
      <c r="B222" s="9">
        <v>1232.845</v>
      </c>
      <c r="C222" s="9">
        <v>30</v>
      </c>
      <c r="D222" s="9">
        <v>859.94799999999998</v>
      </c>
      <c r="E222" s="9">
        <v>37.734000000000002</v>
      </c>
      <c r="F222" s="9">
        <v>3.9470000000000001</v>
      </c>
      <c r="G222" s="9">
        <v>30</v>
      </c>
      <c r="H222" s="1">
        <v>600</v>
      </c>
      <c r="I222" s="9">
        <v>30</v>
      </c>
      <c r="J222" s="22" t="s">
        <v>5030</v>
      </c>
      <c r="K222" s="1" t="s">
        <v>4246</v>
      </c>
      <c r="L222" s="1" t="s">
        <v>4495</v>
      </c>
      <c r="M222" s="1" t="s">
        <v>4490</v>
      </c>
      <c r="N222" s="1" t="s">
        <v>11</v>
      </c>
      <c r="O222" s="1" t="s">
        <v>12</v>
      </c>
      <c r="P222" s="6">
        <v>45773</v>
      </c>
    </row>
    <row r="223" spans="1:16">
      <c r="A223" s="4" t="s">
        <v>1827</v>
      </c>
      <c r="B223" s="9">
        <v>1176.52</v>
      </c>
      <c r="C223" s="9">
        <v>30</v>
      </c>
      <c r="D223" s="9">
        <v>911.40800000000002</v>
      </c>
      <c r="E223" s="9">
        <v>34.662999999999997</v>
      </c>
      <c r="F223" s="9">
        <v>3.1019999999999999</v>
      </c>
      <c r="G223" s="9">
        <v>30</v>
      </c>
      <c r="H223" s="1">
        <v>600</v>
      </c>
      <c r="I223" s="9">
        <v>30</v>
      </c>
      <c r="J223" s="22" t="s">
        <v>5030</v>
      </c>
      <c r="K223" s="1" t="s">
        <v>4246</v>
      </c>
      <c r="L223" s="1" t="s">
        <v>4496</v>
      </c>
      <c r="M223" s="1" t="s">
        <v>4490</v>
      </c>
      <c r="N223" s="1" t="s">
        <v>11</v>
      </c>
      <c r="O223" s="1" t="s">
        <v>12</v>
      </c>
      <c r="P223" s="6">
        <v>45773</v>
      </c>
    </row>
    <row r="224" spans="1:16">
      <c r="A224" s="4" t="s">
        <v>1832</v>
      </c>
      <c r="B224" s="9">
        <v>1228.501</v>
      </c>
      <c r="C224" s="9">
        <v>30</v>
      </c>
      <c r="D224" s="9">
        <v>865.64800000000002</v>
      </c>
      <c r="E224" s="9">
        <v>39.689</v>
      </c>
      <c r="F224" s="9">
        <v>3.9119999999999999</v>
      </c>
      <c r="G224" s="9">
        <v>30</v>
      </c>
      <c r="H224" s="1">
        <v>600</v>
      </c>
      <c r="I224" s="9">
        <v>30</v>
      </c>
      <c r="J224" s="22" t="s">
        <v>5030</v>
      </c>
      <c r="K224" s="1" t="s">
        <v>4246</v>
      </c>
      <c r="L224" s="1" t="s">
        <v>4497</v>
      </c>
      <c r="M224" s="1" t="s">
        <v>4490</v>
      </c>
      <c r="N224" s="1" t="s">
        <v>14</v>
      </c>
      <c r="O224" s="1" t="s">
        <v>9</v>
      </c>
      <c r="P224" s="6">
        <v>45776</v>
      </c>
    </row>
    <row r="225" spans="1:16">
      <c r="A225" s="4" t="s">
        <v>1842</v>
      </c>
      <c r="B225" s="9">
        <v>1241.566</v>
      </c>
      <c r="C225" s="9">
        <v>30</v>
      </c>
      <c r="D225" s="9">
        <v>830.76199999999994</v>
      </c>
      <c r="E225" s="9">
        <v>37.454999999999998</v>
      </c>
      <c r="F225" s="9">
        <v>4.016</v>
      </c>
      <c r="G225" s="9">
        <v>30</v>
      </c>
      <c r="H225" s="1">
        <v>600</v>
      </c>
      <c r="I225" s="9">
        <v>30</v>
      </c>
      <c r="J225" s="22" t="s">
        <v>5030</v>
      </c>
      <c r="K225" s="1" t="s">
        <v>4246</v>
      </c>
      <c r="L225" s="1" t="s">
        <v>4498</v>
      </c>
      <c r="M225" s="1" t="s">
        <v>4499</v>
      </c>
      <c r="N225" s="1" t="s">
        <v>14</v>
      </c>
      <c r="O225" s="1" t="s">
        <v>9</v>
      </c>
      <c r="P225" s="6">
        <v>45776</v>
      </c>
    </row>
    <row r="226" spans="1:16">
      <c r="A226" s="4" t="s">
        <v>1851</v>
      </c>
      <c r="B226" s="9">
        <v>1240.559</v>
      </c>
      <c r="C226" s="9">
        <v>30</v>
      </c>
      <c r="D226" s="9">
        <v>837.06200000000001</v>
      </c>
      <c r="E226" s="9">
        <v>35.859000000000002</v>
      </c>
      <c r="F226" s="9">
        <v>3.8740000000000001</v>
      </c>
      <c r="G226" s="9">
        <v>30</v>
      </c>
      <c r="H226" s="1">
        <v>600</v>
      </c>
      <c r="I226" s="9">
        <v>30</v>
      </c>
      <c r="J226" s="22" t="s">
        <v>5030</v>
      </c>
      <c r="K226" s="1" t="s">
        <v>4246</v>
      </c>
      <c r="L226" s="1" t="s">
        <v>4500</v>
      </c>
      <c r="M226" s="1" t="s">
        <v>4499</v>
      </c>
      <c r="N226" s="1" t="s">
        <v>16</v>
      </c>
      <c r="O226" s="1" t="s">
        <v>12</v>
      </c>
      <c r="P226" s="6">
        <v>45779</v>
      </c>
    </row>
    <row r="227" spans="1:16">
      <c r="A227" s="4" t="s">
        <v>202</v>
      </c>
      <c r="B227" s="9">
        <v>1168.038</v>
      </c>
      <c r="C227" s="9">
        <v>30</v>
      </c>
      <c r="D227" s="9">
        <v>904.87300000000005</v>
      </c>
      <c r="E227" s="9">
        <v>33.317999999999998</v>
      </c>
      <c r="F227" s="9">
        <v>3.4590000000000001</v>
      </c>
      <c r="G227" s="9">
        <v>30</v>
      </c>
      <c r="H227" s="1">
        <v>600</v>
      </c>
      <c r="I227" s="9">
        <v>30</v>
      </c>
      <c r="J227" s="22" t="s">
        <v>5030</v>
      </c>
      <c r="K227" s="1" t="s">
        <v>4246</v>
      </c>
      <c r="L227" s="1" t="s">
        <v>4247</v>
      </c>
      <c r="M227" s="1" t="s">
        <v>4248</v>
      </c>
      <c r="N227" s="1" t="s">
        <v>16</v>
      </c>
      <c r="O227" s="1" t="s">
        <v>12</v>
      </c>
      <c r="P227" s="6">
        <v>45419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0"/>
  <sheetViews>
    <sheetView workbookViewId="0"/>
  </sheetViews>
  <sheetFormatPr defaultRowHeight="14.25"/>
  <cols>
    <col min="1" max="1" width="23" customWidth="1"/>
    <col min="2" max="2" width="38" customWidth="1"/>
    <col min="3" max="3" width="20.875" style="16" customWidth="1"/>
    <col min="4" max="6" width="13" customWidth="1"/>
    <col min="7" max="7" width="14" customWidth="1"/>
    <col min="8" max="8" width="13" customWidth="1"/>
    <col min="9" max="9" width="34" customWidth="1"/>
  </cols>
  <sheetData>
    <row r="1" spans="1:9" ht="32.1" customHeight="1">
      <c r="A1" s="2" t="s">
        <v>4501</v>
      </c>
      <c r="B1" s="20" t="s">
        <v>5031</v>
      </c>
      <c r="C1" s="19" t="s">
        <v>5032</v>
      </c>
      <c r="D1" s="2" t="s">
        <v>4502</v>
      </c>
      <c r="E1" s="20" t="s">
        <v>4503</v>
      </c>
      <c r="F1" s="20" t="s">
        <v>5033</v>
      </c>
      <c r="G1" s="2" t="s">
        <v>4504</v>
      </c>
      <c r="H1" s="2" t="s">
        <v>4505</v>
      </c>
      <c r="I1" s="2" t="s">
        <v>4506</v>
      </c>
    </row>
    <row r="2" spans="1:9">
      <c r="A2" s="3" t="s">
        <v>207</v>
      </c>
      <c r="B2" t="s">
        <v>4507</v>
      </c>
      <c r="C2" s="16" t="s">
        <v>4508</v>
      </c>
      <c r="D2" t="s">
        <v>4509</v>
      </c>
      <c r="E2" t="s">
        <v>4510</v>
      </c>
      <c r="F2" t="s">
        <v>4511</v>
      </c>
      <c r="G2" s="5">
        <v>45426</v>
      </c>
      <c r="H2" t="s">
        <v>4512</v>
      </c>
    </row>
    <row r="3" spans="1:9">
      <c r="A3" s="3" t="s">
        <v>212</v>
      </c>
      <c r="B3" t="s">
        <v>4513</v>
      </c>
      <c r="C3" s="16" t="s">
        <v>4508</v>
      </c>
      <c r="D3" t="s">
        <v>4509</v>
      </c>
      <c r="E3" t="s">
        <v>4510</v>
      </c>
      <c r="F3" t="s">
        <v>4511</v>
      </c>
      <c r="G3" s="5">
        <v>45429</v>
      </c>
      <c r="H3" t="s">
        <v>9</v>
      </c>
    </row>
    <row r="4" spans="1:9">
      <c r="A4" s="3" t="s">
        <v>214</v>
      </c>
      <c r="B4" t="s">
        <v>4514</v>
      </c>
      <c r="C4" s="16" t="s">
        <v>4508</v>
      </c>
      <c r="D4" t="s">
        <v>4515</v>
      </c>
      <c r="E4" t="s">
        <v>4510</v>
      </c>
      <c r="F4" t="s">
        <v>4511</v>
      </c>
      <c r="G4" s="5">
        <v>45430</v>
      </c>
      <c r="H4" t="s">
        <v>191</v>
      </c>
    </row>
    <row r="5" spans="1:9">
      <c r="A5" s="3" t="s">
        <v>216</v>
      </c>
      <c r="B5" t="s">
        <v>4516</v>
      </c>
      <c r="C5" s="16" t="s">
        <v>4508</v>
      </c>
      <c r="D5" t="s">
        <v>4517</v>
      </c>
      <c r="E5" t="s">
        <v>4518</v>
      </c>
      <c r="F5" t="s">
        <v>4519</v>
      </c>
      <c r="G5" s="5">
        <v>45431</v>
      </c>
      <c r="H5" t="s">
        <v>4520</v>
      </c>
    </row>
    <row r="6" spans="1:9">
      <c r="A6" s="3" t="s">
        <v>224</v>
      </c>
      <c r="B6" t="s">
        <v>4521</v>
      </c>
      <c r="C6" s="16" t="s">
        <v>4508</v>
      </c>
      <c r="D6" t="s">
        <v>4509</v>
      </c>
      <c r="E6" t="s">
        <v>4510</v>
      </c>
      <c r="F6" t="s">
        <v>4511</v>
      </c>
      <c r="G6" s="5">
        <v>45429</v>
      </c>
      <c r="H6" t="s">
        <v>12</v>
      </c>
    </row>
    <row r="7" spans="1:9">
      <c r="A7" s="3" t="s">
        <v>226</v>
      </c>
      <c r="B7" t="s">
        <v>4522</v>
      </c>
      <c r="C7" s="16" t="s">
        <v>4508</v>
      </c>
      <c r="D7" t="s">
        <v>4515</v>
      </c>
      <c r="E7" t="s">
        <v>4510</v>
      </c>
      <c r="F7" t="s">
        <v>4511</v>
      </c>
      <c r="G7" s="5">
        <v>45430</v>
      </c>
      <c r="H7" t="s">
        <v>4523</v>
      </c>
    </row>
    <row r="8" spans="1:9">
      <c r="A8" s="3" t="s">
        <v>228</v>
      </c>
      <c r="B8" t="s">
        <v>4524</v>
      </c>
      <c r="C8" s="16" t="s">
        <v>4508</v>
      </c>
      <c r="D8" t="s">
        <v>4517</v>
      </c>
      <c r="E8" t="s">
        <v>4518</v>
      </c>
      <c r="F8" t="s">
        <v>4519</v>
      </c>
      <c r="G8" s="5">
        <v>45431</v>
      </c>
      <c r="H8" t="s">
        <v>4512</v>
      </c>
    </row>
    <row r="9" spans="1:9">
      <c r="A9" s="3" t="s">
        <v>230</v>
      </c>
      <c r="B9" t="s">
        <v>4525</v>
      </c>
      <c r="C9" s="16" t="s">
        <v>4508</v>
      </c>
      <c r="D9" t="s">
        <v>4517</v>
      </c>
      <c r="E9" t="s">
        <v>4510</v>
      </c>
      <c r="F9" t="s">
        <v>4526</v>
      </c>
      <c r="G9" s="5">
        <v>45432</v>
      </c>
      <c r="H9" t="s">
        <v>9</v>
      </c>
    </row>
    <row r="10" spans="1:9">
      <c r="A10" s="3" t="s">
        <v>260</v>
      </c>
      <c r="B10" t="s">
        <v>4527</v>
      </c>
      <c r="C10" s="16" t="s">
        <v>4508</v>
      </c>
      <c r="D10" t="s">
        <v>4509</v>
      </c>
      <c r="E10" t="s">
        <v>4510</v>
      </c>
      <c r="F10" t="s">
        <v>4511</v>
      </c>
      <c r="G10" s="5">
        <v>45438</v>
      </c>
      <c r="H10" t="s">
        <v>191</v>
      </c>
    </row>
    <row r="11" spans="1:9">
      <c r="A11" s="3" t="s">
        <v>262</v>
      </c>
      <c r="B11" t="s">
        <v>4528</v>
      </c>
      <c r="C11" s="16" t="s">
        <v>4508</v>
      </c>
      <c r="D11" t="s">
        <v>4515</v>
      </c>
      <c r="E11" t="s">
        <v>4510</v>
      </c>
      <c r="F11" t="s">
        <v>4511</v>
      </c>
      <c r="G11" s="5">
        <v>45439</v>
      </c>
      <c r="H11" t="s">
        <v>4520</v>
      </c>
    </row>
    <row r="12" spans="1:9">
      <c r="A12" s="3" t="s">
        <v>279</v>
      </c>
      <c r="B12" t="s">
        <v>4529</v>
      </c>
      <c r="C12" s="16" t="s">
        <v>4508</v>
      </c>
      <c r="D12" t="s">
        <v>4509</v>
      </c>
      <c r="E12" t="s">
        <v>4510</v>
      </c>
      <c r="F12" t="s">
        <v>4511</v>
      </c>
      <c r="G12" s="5">
        <v>45441</v>
      </c>
      <c r="H12" t="s">
        <v>12</v>
      </c>
    </row>
    <row r="13" spans="1:9">
      <c r="A13" s="3" t="s">
        <v>281</v>
      </c>
      <c r="B13" t="s">
        <v>4530</v>
      </c>
      <c r="C13" s="16" t="s">
        <v>4508</v>
      </c>
      <c r="D13" t="s">
        <v>4515</v>
      </c>
      <c r="E13" t="s">
        <v>4510</v>
      </c>
      <c r="F13" t="s">
        <v>4511</v>
      </c>
      <c r="G13" s="5">
        <v>45442</v>
      </c>
      <c r="H13" t="s">
        <v>4523</v>
      </c>
    </row>
    <row r="14" spans="1:9">
      <c r="A14" s="3" t="s">
        <v>289</v>
      </c>
      <c r="B14" t="s">
        <v>4531</v>
      </c>
      <c r="C14" s="16" t="s">
        <v>4508</v>
      </c>
      <c r="D14" t="s">
        <v>4509</v>
      </c>
      <c r="E14" t="s">
        <v>4510</v>
      </c>
      <c r="F14" t="s">
        <v>4511</v>
      </c>
      <c r="G14" s="5">
        <v>45444</v>
      </c>
      <c r="H14" t="s">
        <v>4512</v>
      </c>
    </row>
    <row r="15" spans="1:9">
      <c r="A15" s="3" t="s">
        <v>291</v>
      </c>
      <c r="B15" t="s">
        <v>4532</v>
      </c>
      <c r="C15" s="16" t="s">
        <v>4508</v>
      </c>
      <c r="D15" t="s">
        <v>4515</v>
      </c>
      <c r="E15" t="s">
        <v>4510</v>
      </c>
      <c r="F15" t="s">
        <v>4511</v>
      </c>
      <c r="G15" s="5">
        <v>45445</v>
      </c>
      <c r="H15" t="s">
        <v>9</v>
      </c>
    </row>
    <row r="16" spans="1:9">
      <c r="A16" s="3" t="s">
        <v>293</v>
      </c>
      <c r="B16" t="s">
        <v>4533</v>
      </c>
      <c r="C16" s="16" t="s">
        <v>4508</v>
      </c>
      <c r="D16" t="s">
        <v>4517</v>
      </c>
      <c r="E16" t="s">
        <v>4518</v>
      </c>
      <c r="F16" t="s">
        <v>4519</v>
      </c>
      <c r="G16" s="5">
        <v>45446</v>
      </c>
      <c r="H16" t="s">
        <v>191</v>
      </c>
    </row>
    <row r="17" spans="1:8">
      <c r="A17" s="3" t="s">
        <v>312</v>
      </c>
      <c r="B17" t="s">
        <v>4534</v>
      </c>
      <c r="C17" s="16" t="s">
        <v>4508</v>
      </c>
      <c r="D17" t="s">
        <v>4509</v>
      </c>
      <c r="E17" t="s">
        <v>4510</v>
      </c>
      <c r="F17" t="s">
        <v>4511</v>
      </c>
      <c r="G17" s="5">
        <v>45453</v>
      </c>
      <c r="H17" t="s">
        <v>4520</v>
      </c>
    </row>
    <row r="18" spans="1:8">
      <c r="A18" s="3" t="s">
        <v>314</v>
      </c>
      <c r="B18" t="s">
        <v>4535</v>
      </c>
      <c r="C18" s="16" t="s">
        <v>4508</v>
      </c>
      <c r="D18" t="s">
        <v>4515</v>
      </c>
      <c r="E18" t="s">
        <v>4510</v>
      </c>
      <c r="F18" t="s">
        <v>4511</v>
      </c>
      <c r="G18" s="5">
        <v>45454</v>
      </c>
      <c r="H18" t="s">
        <v>12</v>
      </c>
    </row>
    <row r="19" spans="1:8">
      <c r="A19" s="3" t="s">
        <v>324</v>
      </c>
      <c r="B19" t="s">
        <v>4536</v>
      </c>
      <c r="C19" s="16" t="s">
        <v>4508</v>
      </c>
      <c r="D19" t="s">
        <v>4509</v>
      </c>
      <c r="E19" t="s">
        <v>4510</v>
      </c>
      <c r="F19" t="s">
        <v>4511</v>
      </c>
      <c r="G19" s="5">
        <v>45453</v>
      </c>
      <c r="H19" t="s">
        <v>4523</v>
      </c>
    </row>
    <row r="20" spans="1:8">
      <c r="A20" s="3" t="s">
        <v>333</v>
      </c>
      <c r="B20" t="s">
        <v>4537</v>
      </c>
      <c r="C20" s="16" t="s">
        <v>4508</v>
      </c>
      <c r="D20" t="s">
        <v>4509</v>
      </c>
      <c r="E20" t="s">
        <v>4510</v>
      </c>
      <c r="F20" t="s">
        <v>4511</v>
      </c>
      <c r="G20" s="5">
        <v>45456</v>
      </c>
      <c r="H20" t="s">
        <v>4512</v>
      </c>
    </row>
    <row r="21" spans="1:8">
      <c r="A21" s="3" t="s">
        <v>342</v>
      </c>
      <c r="B21" t="s">
        <v>4538</v>
      </c>
      <c r="C21" s="16" t="s">
        <v>4508</v>
      </c>
      <c r="D21" t="s">
        <v>4509</v>
      </c>
      <c r="E21" t="s">
        <v>4510</v>
      </c>
      <c r="F21" t="s">
        <v>4511</v>
      </c>
      <c r="G21" s="5">
        <v>45456</v>
      </c>
      <c r="H21" t="s">
        <v>9</v>
      </c>
    </row>
    <row r="22" spans="1:8">
      <c r="A22" s="3" t="s">
        <v>344</v>
      </c>
      <c r="B22" t="s">
        <v>4539</v>
      </c>
      <c r="C22" s="16" t="s">
        <v>4508</v>
      </c>
      <c r="D22" t="s">
        <v>4515</v>
      </c>
      <c r="E22" t="s">
        <v>4510</v>
      </c>
      <c r="F22" t="s">
        <v>4511</v>
      </c>
      <c r="G22" s="5">
        <v>45457</v>
      </c>
      <c r="H22" t="s">
        <v>191</v>
      </c>
    </row>
    <row r="23" spans="1:8">
      <c r="A23" s="3" t="s">
        <v>347</v>
      </c>
      <c r="B23" t="s">
        <v>4540</v>
      </c>
      <c r="C23" s="16" t="s">
        <v>4508</v>
      </c>
      <c r="D23" t="s">
        <v>4509</v>
      </c>
      <c r="E23" t="s">
        <v>4510</v>
      </c>
      <c r="F23" t="s">
        <v>4511</v>
      </c>
      <c r="G23" s="5">
        <v>45459</v>
      </c>
      <c r="H23" t="s">
        <v>4520</v>
      </c>
    </row>
    <row r="24" spans="1:8">
      <c r="A24" s="3" t="s">
        <v>349</v>
      </c>
      <c r="B24" t="s">
        <v>4541</v>
      </c>
      <c r="C24" s="16" t="s">
        <v>4508</v>
      </c>
      <c r="D24" t="s">
        <v>4515</v>
      </c>
      <c r="E24" t="s">
        <v>4510</v>
      </c>
      <c r="F24" t="s">
        <v>4511</v>
      </c>
      <c r="G24" s="5">
        <v>45460</v>
      </c>
      <c r="H24" t="s">
        <v>12</v>
      </c>
    </row>
    <row r="25" spans="1:8">
      <c r="A25" s="3" t="s">
        <v>351</v>
      </c>
      <c r="B25" t="s">
        <v>4542</v>
      </c>
      <c r="C25" s="16" t="s">
        <v>4508</v>
      </c>
      <c r="D25" t="s">
        <v>4517</v>
      </c>
      <c r="E25" t="s">
        <v>4518</v>
      </c>
      <c r="F25" t="s">
        <v>4519</v>
      </c>
      <c r="G25" s="5">
        <v>45461</v>
      </c>
      <c r="H25" t="s">
        <v>4523</v>
      </c>
    </row>
    <row r="26" spans="1:8">
      <c r="A26" s="3" t="s">
        <v>383</v>
      </c>
      <c r="B26" t="s">
        <v>4543</v>
      </c>
      <c r="C26" s="16" t="s">
        <v>4508</v>
      </c>
      <c r="D26" t="s">
        <v>4509</v>
      </c>
      <c r="E26" t="s">
        <v>4510</v>
      </c>
      <c r="F26" t="s">
        <v>4511</v>
      </c>
      <c r="G26" s="5">
        <v>45468</v>
      </c>
      <c r="H26" t="s">
        <v>4512</v>
      </c>
    </row>
    <row r="27" spans="1:8">
      <c r="A27" s="3" t="s">
        <v>385</v>
      </c>
      <c r="B27" t="s">
        <v>4544</v>
      </c>
      <c r="C27" s="16" t="s">
        <v>4508</v>
      </c>
      <c r="D27" t="s">
        <v>4515</v>
      </c>
      <c r="E27" t="s">
        <v>4510</v>
      </c>
      <c r="F27" t="s">
        <v>4511</v>
      </c>
      <c r="G27" s="5">
        <v>45469</v>
      </c>
      <c r="H27" t="s">
        <v>9</v>
      </c>
    </row>
    <row r="28" spans="1:8">
      <c r="A28" s="3" t="s">
        <v>387</v>
      </c>
      <c r="B28" t="s">
        <v>4545</v>
      </c>
      <c r="C28" s="16" t="s">
        <v>4508</v>
      </c>
      <c r="D28" t="s">
        <v>4517</v>
      </c>
      <c r="E28" t="s">
        <v>4518</v>
      </c>
      <c r="F28" t="s">
        <v>4519</v>
      </c>
      <c r="G28" s="5">
        <v>45470</v>
      </c>
      <c r="H28" t="s">
        <v>191</v>
      </c>
    </row>
    <row r="29" spans="1:8">
      <c r="A29" s="3" t="s">
        <v>395</v>
      </c>
      <c r="B29" t="s">
        <v>4546</v>
      </c>
      <c r="C29" s="16" t="s">
        <v>4508</v>
      </c>
      <c r="D29" t="s">
        <v>4509</v>
      </c>
      <c r="E29" t="s">
        <v>4510</v>
      </c>
      <c r="F29" t="s">
        <v>4511</v>
      </c>
      <c r="G29" s="5">
        <v>45468</v>
      </c>
      <c r="H29" t="s">
        <v>4520</v>
      </c>
    </row>
    <row r="30" spans="1:8">
      <c r="A30" s="3" t="s">
        <v>397</v>
      </c>
      <c r="B30" t="s">
        <v>4547</v>
      </c>
      <c r="C30" s="16" t="s">
        <v>4508</v>
      </c>
      <c r="D30" t="s">
        <v>4515</v>
      </c>
      <c r="E30" t="s">
        <v>4510</v>
      </c>
      <c r="F30" t="s">
        <v>4511</v>
      </c>
      <c r="G30" s="5">
        <v>45469</v>
      </c>
      <c r="H30" t="s">
        <v>12</v>
      </c>
    </row>
    <row r="31" spans="1:8">
      <c r="A31" s="3" t="s">
        <v>399</v>
      </c>
      <c r="B31" t="s">
        <v>4548</v>
      </c>
      <c r="C31" s="16" t="s">
        <v>4508</v>
      </c>
      <c r="D31" t="s">
        <v>4517</v>
      </c>
      <c r="E31" t="s">
        <v>4518</v>
      </c>
      <c r="F31" t="s">
        <v>4519</v>
      </c>
      <c r="G31" s="5">
        <v>45470</v>
      </c>
      <c r="H31" t="s">
        <v>4523</v>
      </c>
    </row>
    <row r="32" spans="1:8">
      <c r="A32" s="3" t="s">
        <v>441</v>
      </c>
      <c r="B32" t="s">
        <v>4549</v>
      </c>
      <c r="C32" s="16" t="s">
        <v>4508</v>
      </c>
      <c r="D32" t="s">
        <v>4509</v>
      </c>
      <c r="E32" t="s">
        <v>4510</v>
      </c>
      <c r="F32" t="s">
        <v>4511</v>
      </c>
      <c r="G32" s="5">
        <v>45483</v>
      </c>
      <c r="H32" t="s">
        <v>4512</v>
      </c>
    </row>
    <row r="33" spans="1:8">
      <c r="A33" s="3" t="s">
        <v>443</v>
      </c>
      <c r="B33" t="s">
        <v>4550</v>
      </c>
      <c r="C33" s="16" t="s">
        <v>4508</v>
      </c>
      <c r="D33" t="s">
        <v>4515</v>
      </c>
      <c r="E33" t="s">
        <v>4510</v>
      </c>
      <c r="F33" t="s">
        <v>4511</v>
      </c>
      <c r="G33" s="5">
        <v>45484</v>
      </c>
      <c r="H33" t="s">
        <v>9</v>
      </c>
    </row>
    <row r="34" spans="1:8">
      <c r="A34" s="3" t="s">
        <v>445</v>
      </c>
      <c r="B34" t="s">
        <v>4551</v>
      </c>
      <c r="C34" s="16" t="s">
        <v>4508</v>
      </c>
      <c r="D34" t="s">
        <v>4517</v>
      </c>
      <c r="E34" t="s">
        <v>4518</v>
      </c>
      <c r="F34" t="s">
        <v>4519</v>
      </c>
      <c r="G34" s="5">
        <v>45485</v>
      </c>
      <c r="H34" t="s">
        <v>191</v>
      </c>
    </row>
    <row r="35" spans="1:8">
      <c r="A35" s="3" t="s">
        <v>447</v>
      </c>
      <c r="B35" t="s">
        <v>4552</v>
      </c>
      <c r="C35" s="16" t="s">
        <v>4508</v>
      </c>
      <c r="D35" t="s">
        <v>4517</v>
      </c>
      <c r="E35" t="s">
        <v>4510</v>
      </c>
      <c r="F35" t="s">
        <v>4526</v>
      </c>
      <c r="G35" s="5">
        <v>45486</v>
      </c>
      <c r="H35" t="s">
        <v>4520</v>
      </c>
    </row>
    <row r="36" spans="1:8">
      <c r="A36" s="3" t="s">
        <v>456</v>
      </c>
      <c r="B36" t="s">
        <v>4553</v>
      </c>
      <c r="C36" s="16" t="s">
        <v>4508</v>
      </c>
      <c r="D36" t="s">
        <v>4509</v>
      </c>
      <c r="E36" t="s">
        <v>4510</v>
      </c>
      <c r="F36" t="s">
        <v>4511</v>
      </c>
      <c r="G36" s="5">
        <v>45486</v>
      </c>
      <c r="H36" t="s">
        <v>12</v>
      </c>
    </row>
    <row r="37" spans="1:8">
      <c r="A37" s="3" t="s">
        <v>458</v>
      </c>
      <c r="B37" t="s">
        <v>4554</v>
      </c>
      <c r="C37" s="16" t="s">
        <v>4508</v>
      </c>
      <c r="D37" t="s">
        <v>4515</v>
      </c>
      <c r="E37" t="s">
        <v>4510</v>
      </c>
      <c r="F37" t="s">
        <v>4511</v>
      </c>
      <c r="G37" s="5">
        <v>45487</v>
      </c>
      <c r="H37" t="s">
        <v>4523</v>
      </c>
    </row>
    <row r="38" spans="1:8">
      <c r="A38" s="3" t="s">
        <v>460</v>
      </c>
      <c r="B38" t="s">
        <v>4555</v>
      </c>
      <c r="C38" s="16" t="s">
        <v>4508</v>
      </c>
      <c r="D38" t="s">
        <v>4517</v>
      </c>
      <c r="E38" t="s">
        <v>4518</v>
      </c>
      <c r="F38" t="s">
        <v>4519</v>
      </c>
      <c r="G38" s="5">
        <v>45488</v>
      </c>
      <c r="H38" t="s">
        <v>4512</v>
      </c>
    </row>
    <row r="39" spans="1:8">
      <c r="A39" s="3" t="s">
        <v>483</v>
      </c>
      <c r="B39" t="s">
        <v>4556</v>
      </c>
      <c r="C39" s="16" t="s">
        <v>4508</v>
      </c>
      <c r="D39" t="s">
        <v>4509</v>
      </c>
      <c r="E39" t="s">
        <v>4510</v>
      </c>
      <c r="F39" t="s">
        <v>4511</v>
      </c>
      <c r="G39" s="5">
        <v>45492</v>
      </c>
      <c r="H39" t="s">
        <v>9</v>
      </c>
    </row>
    <row r="40" spans="1:8">
      <c r="A40" s="3" t="s">
        <v>485</v>
      </c>
      <c r="B40" t="s">
        <v>4557</v>
      </c>
      <c r="C40" s="16" t="s">
        <v>4508</v>
      </c>
      <c r="D40" t="s">
        <v>4515</v>
      </c>
      <c r="E40" t="s">
        <v>4510</v>
      </c>
      <c r="F40" t="s">
        <v>4511</v>
      </c>
      <c r="G40" s="5">
        <v>45493</v>
      </c>
      <c r="H40" t="s">
        <v>191</v>
      </c>
    </row>
    <row r="41" spans="1:8">
      <c r="A41" s="3" t="s">
        <v>493</v>
      </c>
      <c r="B41" t="s">
        <v>4558</v>
      </c>
      <c r="C41" s="16" t="s">
        <v>4508</v>
      </c>
      <c r="D41" t="s">
        <v>4509</v>
      </c>
      <c r="E41" t="s">
        <v>4510</v>
      </c>
      <c r="F41" t="s">
        <v>4511</v>
      </c>
      <c r="G41" s="5">
        <v>45492</v>
      </c>
      <c r="H41" t="s">
        <v>4520</v>
      </c>
    </row>
    <row r="42" spans="1:8">
      <c r="A42" s="3" t="s">
        <v>500</v>
      </c>
      <c r="B42" t="s">
        <v>4559</v>
      </c>
      <c r="C42" s="16" t="s">
        <v>4508</v>
      </c>
      <c r="D42" t="s">
        <v>4509</v>
      </c>
      <c r="E42" t="s">
        <v>4510</v>
      </c>
      <c r="F42" t="s">
        <v>4511</v>
      </c>
      <c r="G42" s="5">
        <v>45495</v>
      </c>
      <c r="H42" t="s">
        <v>12</v>
      </c>
    </row>
    <row r="43" spans="1:8">
      <c r="A43" s="3" t="s">
        <v>502</v>
      </c>
      <c r="B43" t="s">
        <v>4560</v>
      </c>
      <c r="C43" s="16" t="s">
        <v>4508</v>
      </c>
      <c r="D43" t="s">
        <v>4515</v>
      </c>
      <c r="E43" t="s">
        <v>4510</v>
      </c>
      <c r="F43" t="s">
        <v>4511</v>
      </c>
      <c r="G43" s="5">
        <v>45496</v>
      </c>
      <c r="H43" t="s">
        <v>4523</v>
      </c>
    </row>
    <row r="44" spans="1:8">
      <c r="A44" s="3" t="s">
        <v>504</v>
      </c>
      <c r="B44" t="s">
        <v>4561</v>
      </c>
      <c r="C44" s="16" t="s">
        <v>4508</v>
      </c>
      <c r="D44" t="s">
        <v>4517</v>
      </c>
      <c r="E44" t="s">
        <v>4518</v>
      </c>
      <c r="F44" t="s">
        <v>4519</v>
      </c>
      <c r="G44" s="5">
        <v>45497</v>
      </c>
      <c r="H44" t="s">
        <v>4512</v>
      </c>
    </row>
    <row r="45" spans="1:8">
      <c r="A45" s="3" t="s">
        <v>506</v>
      </c>
      <c r="B45" t="s">
        <v>4562</v>
      </c>
      <c r="C45" s="16" t="s">
        <v>4508</v>
      </c>
      <c r="D45" t="s">
        <v>4517</v>
      </c>
      <c r="E45" t="s">
        <v>4510</v>
      </c>
      <c r="F45" t="s">
        <v>4526</v>
      </c>
      <c r="G45" s="5">
        <v>45498</v>
      </c>
      <c r="H45" t="s">
        <v>9</v>
      </c>
    </row>
    <row r="46" spans="1:8">
      <c r="A46" s="3" t="s">
        <v>516</v>
      </c>
      <c r="B46" t="s">
        <v>4563</v>
      </c>
      <c r="C46" s="16" t="s">
        <v>4508</v>
      </c>
      <c r="D46" t="s">
        <v>4509</v>
      </c>
      <c r="E46" t="s">
        <v>4510</v>
      </c>
      <c r="F46" t="s">
        <v>4511</v>
      </c>
      <c r="G46" s="5">
        <v>45498</v>
      </c>
      <c r="H46" t="s">
        <v>191</v>
      </c>
    </row>
    <row r="47" spans="1:8">
      <c r="A47" s="3" t="s">
        <v>518</v>
      </c>
      <c r="B47" t="s">
        <v>4564</v>
      </c>
      <c r="C47" s="16" t="s">
        <v>4508</v>
      </c>
      <c r="D47" t="s">
        <v>4515</v>
      </c>
      <c r="E47" t="s">
        <v>4510</v>
      </c>
      <c r="F47" t="s">
        <v>4511</v>
      </c>
      <c r="G47" s="5">
        <v>45499</v>
      </c>
      <c r="H47" t="s">
        <v>4520</v>
      </c>
    </row>
    <row r="48" spans="1:8">
      <c r="A48" s="3" t="s">
        <v>528</v>
      </c>
      <c r="B48" t="s">
        <v>4565</v>
      </c>
      <c r="C48" s="16" t="s">
        <v>4508</v>
      </c>
      <c r="D48" t="s">
        <v>4509</v>
      </c>
      <c r="E48" t="s">
        <v>4510</v>
      </c>
      <c r="F48" t="s">
        <v>4511</v>
      </c>
      <c r="G48" s="5">
        <v>45498</v>
      </c>
      <c r="H48" t="s">
        <v>12</v>
      </c>
    </row>
    <row r="49" spans="1:8">
      <c r="A49" s="3" t="s">
        <v>535</v>
      </c>
      <c r="B49" t="s">
        <v>4566</v>
      </c>
      <c r="C49" s="16" t="s">
        <v>4508</v>
      </c>
      <c r="D49" t="s">
        <v>4509</v>
      </c>
      <c r="E49" t="s">
        <v>4510</v>
      </c>
      <c r="F49" t="s">
        <v>4511</v>
      </c>
      <c r="G49" s="5">
        <v>45501</v>
      </c>
      <c r="H49" t="s">
        <v>4523</v>
      </c>
    </row>
    <row r="50" spans="1:8">
      <c r="A50" s="3" t="s">
        <v>537</v>
      </c>
      <c r="B50" t="s">
        <v>4567</v>
      </c>
      <c r="C50" s="16" t="s">
        <v>4508</v>
      </c>
      <c r="D50" t="s">
        <v>4515</v>
      </c>
      <c r="E50" t="s">
        <v>4510</v>
      </c>
      <c r="F50" t="s">
        <v>4511</v>
      </c>
      <c r="G50" s="5">
        <v>45502</v>
      </c>
      <c r="H50" t="s">
        <v>4512</v>
      </c>
    </row>
    <row r="51" spans="1:8">
      <c r="A51" s="3" t="s">
        <v>539</v>
      </c>
      <c r="B51" t="s">
        <v>4568</v>
      </c>
      <c r="C51" s="16" t="s">
        <v>4508</v>
      </c>
      <c r="D51" t="s">
        <v>4517</v>
      </c>
      <c r="E51" t="s">
        <v>4518</v>
      </c>
      <c r="F51" t="s">
        <v>4519</v>
      </c>
      <c r="G51" s="5">
        <v>45503</v>
      </c>
      <c r="H51" t="s">
        <v>9</v>
      </c>
    </row>
    <row r="52" spans="1:8">
      <c r="A52" s="3" t="s">
        <v>541</v>
      </c>
      <c r="B52" t="s">
        <v>4569</v>
      </c>
      <c r="C52" s="16" t="s">
        <v>4508</v>
      </c>
      <c r="D52" t="s">
        <v>4517</v>
      </c>
      <c r="E52" t="s">
        <v>4510</v>
      </c>
      <c r="F52" t="s">
        <v>4526</v>
      </c>
      <c r="G52" s="5">
        <v>45504</v>
      </c>
      <c r="H52" t="s">
        <v>191</v>
      </c>
    </row>
    <row r="53" spans="1:8">
      <c r="A53" s="3" t="s">
        <v>550</v>
      </c>
      <c r="B53" t="s">
        <v>4570</v>
      </c>
      <c r="C53" s="16" t="s">
        <v>4508</v>
      </c>
      <c r="D53" t="s">
        <v>4509</v>
      </c>
      <c r="E53" t="s">
        <v>4510</v>
      </c>
      <c r="F53" t="s">
        <v>4511</v>
      </c>
      <c r="G53" s="5">
        <v>45501</v>
      </c>
      <c r="H53" t="s">
        <v>4520</v>
      </c>
    </row>
    <row r="54" spans="1:8">
      <c r="A54" s="3" t="s">
        <v>552</v>
      </c>
      <c r="B54" t="s">
        <v>4571</v>
      </c>
      <c r="C54" s="16" t="s">
        <v>4508</v>
      </c>
      <c r="D54" t="s">
        <v>4515</v>
      </c>
      <c r="E54" t="s">
        <v>4510</v>
      </c>
      <c r="F54" t="s">
        <v>4511</v>
      </c>
      <c r="G54" s="5">
        <v>45502</v>
      </c>
      <c r="H54" t="s">
        <v>12</v>
      </c>
    </row>
    <row r="55" spans="1:8">
      <c r="A55" s="3" t="s">
        <v>554</v>
      </c>
      <c r="B55" t="s">
        <v>4572</v>
      </c>
      <c r="C55" s="16" t="s">
        <v>4508</v>
      </c>
      <c r="D55" t="s">
        <v>4517</v>
      </c>
      <c r="E55" t="s">
        <v>4518</v>
      </c>
      <c r="F55" t="s">
        <v>4519</v>
      </c>
      <c r="G55" s="5">
        <v>45503</v>
      </c>
      <c r="H55" t="s">
        <v>4523</v>
      </c>
    </row>
    <row r="56" spans="1:8">
      <c r="A56" s="3" t="s">
        <v>611</v>
      </c>
      <c r="B56" t="s">
        <v>4573</v>
      </c>
      <c r="C56" s="16" t="s">
        <v>4508</v>
      </c>
      <c r="D56" t="s">
        <v>4509</v>
      </c>
      <c r="E56" t="s">
        <v>4510</v>
      </c>
      <c r="F56" t="s">
        <v>4511</v>
      </c>
      <c r="G56" s="5">
        <v>45519</v>
      </c>
      <c r="H56" t="s">
        <v>4512</v>
      </c>
    </row>
    <row r="57" spans="1:8">
      <c r="A57" s="3" t="s">
        <v>613</v>
      </c>
      <c r="B57" t="s">
        <v>4574</v>
      </c>
      <c r="C57" s="16" t="s">
        <v>4508</v>
      </c>
      <c r="D57" t="s">
        <v>4515</v>
      </c>
      <c r="E57" t="s">
        <v>4510</v>
      </c>
      <c r="F57" t="s">
        <v>4511</v>
      </c>
      <c r="G57" s="5">
        <v>45520</v>
      </c>
      <c r="H57" t="s">
        <v>9</v>
      </c>
    </row>
    <row r="58" spans="1:8">
      <c r="A58" s="3" t="s">
        <v>623</v>
      </c>
      <c r="B58" t="s">
        <v>4575</v>
      </c>
      <c r="C58" s="16" t="s">
        <v>4508</v>
      </c>
      <c r="D58" t="s">
        <v>4509</v>
      </c>
      <c r="E58" t="s">
        <v>4510</v>
      </c>
      <c r="F58" t="s">
        <v>4511</v>
      </c>
      <c r="G58" s="5">
        <v>45522</v>
      </c>
      <c r="H58" t="s">
        <v>191</v>
      </c>
    </row>
    <row r="59" spans="1:8">
      <c r="A59" s="3" t="s">
        <v>625</v>
      </c>
      <c r="B59" t="s">
        <v>4576</v>
      </c>
      <c r="C59" s="16" t="s">
        <v>4508</v>
      </c>
      <c r="D59" t="s">
        <v>4515</v>
      </c>
      <c r="E59" t="s">
        <v>4510</v>
      </c>
      <c r="F59" t="s">
        <v>4511</v>
      </c>
      <c r="G59" s="5">
        <v>45523</v>
      </c>
      <c r="H59" t="s">
        <v>4520</v>
      </c>
    </row>
    <row r="60" spans="1:8">
      <c r="A60" s="3" t="s">
        <v>627</v>
      </c>
      <c r="B60" t="s">
        <v>4577</v>
      </c>
      <c r="C60" s="16" t="s">
        <v>4508</v>
      </c>
      <c r="D60" t="s">
        <v>4517</v>
      </c>
      <c r="E60" t="s">
        <v>4518</v>
      </c>
      <c r="F60" t="s">
        <v>4519</v>
      </c>
      <c r="G60" s="5">
        <v>45524</v>
      </c>
      <c r="H60" t="s">
        <v>12</v>
      </c>
    </row>
    <row r="61" spans="1:8">
      <c r="A61" s="3" t="s">
        <v>637</v>
      </c>
      <c r="B61" t="s">
        <v>4578</v>
      </c>
      <c r="C61" s="16" t="s">
        <v>4508</v>
      </c>
      <c r="D61" t="s">
        <v>4509</v>
      </c>
      <c r="E61" t="s">
        <v>4510</v>
      </c>
      <c r="F61" t="s">
        <v>4511</v>
      </c>
      <c r="G61" s="5">
        <v>45528</v>
      </c>
      <c r="H61" t="s">
        <v>4523</v>
      </c>
    </row>
    <row r="62" spans="1:8">
      <c r="A62" s="3" t="s">
        <v>639</v>
      </c>
      <c r="B62" t="s">
        <v>4579</v>
      </c>
      <c r="C62" s="16" t="s">
        <v>4508</v>
      </c>
      <c r="D62" t="s">
        <v>4515</v>
      </c>
      <c r="E62" t="s">
        <v>4510</v>
      </c>
      <c r="F62" t="s">
        <v>4511</v>
      </c>
      <c r="G62" s="5">
        <v>45529</v>
      </c>
      <c r="H62" t="s">
        <v>4512</v>
      </c>
    </row>
    <row r="63" spans="1:8">
      <c r="A63" s="3" t="s">
        <v>641</v>
      </c>
      <c r="B63" t="s">
        <v>4580</v>
      </c>
      <c r="C63" s="16" t="s">
        <v>4508</v>
      </c>
      <c r="D63" t="s">
        <v>4517</v>
      </c>
      <c r="E63" t="s">
        <v>4518</v>
      </c>
      <c r="F63" t="s">
        <v>4519</v>
      </c>
      <c r="G63" s="5">
        <v>45530</v>
      </c>
      <c r="H63" t="s">
        <v>9</v>
      </c>
    </row>
    <row r="64" spans="1:8">
      <c r="A64" s="3" t="s">
        <v>650</v>
      </c>
      <c r="B64" t="s">
        <v>4581</v>
      </c>
      <c r="C64" s="16" t="s">
        <v>4508</v>
      </c>
      <c r="D64" t="s">
        <v>4509</v>
      </c>
      <c r="E64" t="s">
        <v>4510</v>
      </c>
      <c r="F64" t="s">
        <v>4511</v>
      </c>
      <c r="G64" s="5">
        <v>45537</v>
      </c>
      <c r="H64" t="s">
        <v>191</v>
      </c>
    </row>
    <row r="65" spans="1:8">
      <c r="A65" s="3" t="s">
        <v>652</v>
      </c>
      <c r="B65" t="s">
        <v>4582</v>
      </c>
      <c r="C65" s="16" t="s">
        <v>4508</v>
      </c>
      <c r="D65" t="s">
        <v>4515</v>
      </c>
      <c r="E65" t="s">
        <v>4510</v>
      </c>
      <c r="F65" t="s">
        <v>4511</v>
      </c>
      <c r="G65" s="5">
        <v>45538</v>
      </c>
      <c r="H65" t="s">
        <v>4520</v>
      </c>
    </row>
    <row r="66" spans="1:8">
      <c r="A66" s="3" t="s">
        <v>654</v>
      </c>
      <c r="B66" t="s">
        <v>4583</v>
      </c>
      <c r="C66" s="16" t="s">
        <v>4508</v>
      </c>
      <c r="D66" t="s">
        <v>4517</v>
      </c>
      <c r="E66" t="s">
        <v>4518</v>
      </c>
      <c r="F66" t="s">
        <v>4519</v>
      </c>
      <c r="G66" s="5">
        <v>45539</v>
      </c>
      <c r="H66" t="s">
        <v>12</v>
      </c>
    </row>
    <row r="67" spans="1:8">
      <c r="A67" s="3" t="s">
        <v>656</v>
      </c>
      <c r="B67" t="s">
        <v>4584</v>
      </c>
      <c r="C67" s="16" t="s">
        <v>4508</v>
      </c>
      <c r="D67" t="s">
        <v>4517</v>
      </c>
      <c r="E67" t="s">
        <v>4510</v>
      </c>
      <c r="F67" t="s">
        <v>4526</v>
      </c>
      <c r="G67" s="5">
        <v>45540</v>
      </c>
      <c r="H67" t="s">
        <v>4523</v>
      </c>
    </row>
    <row r="68" spans="1:8">
      <c r="A68" s="3" t="s">
        <v>682</v>
      </c>
      <c r="B68" t="s">
        <v>4585</v>
      </c>
      <c r="C68" s="16" t="s">
        <v>4508</v>
      </c>
      <c r="D68" t="s">
        <v>4509</v>
      </c>
      <c r="E68" t="s">
        <v>4510</v>
      </c>
      <c r="F68" t="s">
        <v>4511</v>
      </c>
      <c r="G68" s="5">
        <v>45543</v>
      </c>
      <c r="H68" t="s">
        <v>4512</v>
      </c>
    </row>
    <row r="69" spans="1:8">
      <c r="A69" s="3" t="s">
        <v>684</v>
      </c>
      <c r="B69" t="s">
        <v>4586</v>
      </c>
      <c r="C69" s="16" t="s">
        <v>4508</v>
      </c>
      <c r="D69" t="s">
        <v>4515</v>
      </c>
      <c r="E69" t="s">
        <v>4510</v>
      </c>
      <c r="F69" t="s">
        <v>4511</v>
      </c>
      <c r="G69" s="5">
        <v>45544</v>
      </c>
      <c r="H69" t="s">
        <v>9</v>
      </c>
    </row>
    <row r="70" spans="1:8">
      <c r="A70" s="3" t="s">
        <v>688</v>
      </c>
      <c r="B70" t="s">
        <v>4587</v>
      </c>
      <c r="C70" s="16" t="s">
        <v>4508</v>
      </c>
      <c r="D70" t="s">
        <v>4509</v>
      </c>
      <c r="E70" t="s">
        <v>4510</v>
      </c>
      <c r="F70" t="s">
        <v>4511</v>
      </c>
      <c r="G70" s="5">
        <v>45543</v>
      </c>
      <c r="H70" t="s">
        <v>191</v>
      </c>
    </row>
    <row r="71" spans="1:8">
      <c r="A71" s="3" t="s">
        <v>690</v>
      </c>
      <c r="B71" t="s">
        <v>4588</v>
      </c>
      <c r="C71" s="16" t="s">
        <v>4508</v>
      </c>
      <c r="D71" t="s">
        <v>4515</v>
      </c>
      <c r="E71" t="s">
        <v>4510</v>
      </c>
      <c r="F71" t="s">
        <v>4511</v>
      </c>
      <c r="G71" s="5">
        <v>45544</v>
      </c>
      <c r="H71" t="s">
        <v>4520</v>
      </c>
    </row>
    <row r="72" spans="1:8">
      <c r="A72" s="3" t="s">
        <v>706</v>
      </c>
      <c r="B72" t="s">
        <v>4589</v>
      </c>
      <c r="C72" s="16" t="s">
        <v>4508</v>
      </c>
      <c r="D72" t="s">
        <v>4509</v>
      </c>
      <c r="E72" t="s">
        <v>4510</v>
      </c>
      <c r="F72" t="s">
        <v>4511</v>
      </c>
      <c r="G72" s="5">
        <v>45549</v>
      </c>
      <c r="H72" t="s">
        <v>12</v>
      </c>
    </row>
    <row r="73" spans="1:8">
      <c r="A73" s="3" t="s">
        <v>708</v>
      </c>
      <c r="B73" t="s">
        <v>4590</v>
      </c>
      <c r="C73" s="16" t="s">
        <v>4508</v>
      </c>
      <c r="D73" t="s">
        <v>4515</v>
      </c>
      <c r="E73" t="s">
        <v>4510</v>
      </c>
      <c r="F73" t="s">
        <v>4511</v>
      </c>
      <c r="G73" s="5">
        <v>45550</v>
      </c>
      <c r="H73" t="s">
        <v>4523</v>
      </c>
    </row>
    <row r="74" spans="1:8">
      <c r="A74" s="3" t="s">
        <v>710</v>
      </c>
      <c r="B74" t="s">
        <v>4591</v>
      </c>
      <c r="C74" s="16" t="s">
        <v>4508</v>
      </c>
      <c r="D74" t="s">
        <v>4517</v>
      </c>
      <c r="E74" t="s">
        <v>4518</v>
      </c>
      <c r="F74" t="s">
        <v>4519</v>
      </c>
      <c r="G74" s="5">
        <v>45551</v>
      </c>
      <c r="H74" t="s">
        <v>4512</v>
      </c>
    </row>
    <row r="75" spans="1:8">
      <c r="A75" s="3" t="s">
        <v>712</v>
      </c>
      <c r="B75" t="s">
        <v>4592</v>
      </c>
      <c r="C75" s="16" t="s">
        <v>4508</v>
      </c>
      <c r="D75" t="s">
        <v>4517</v>
      </c>
      <c r="E75" t="s">
        <v>4510</v>
      </c>
      <c r="F75" t="s">
        <v>4526</v>
      </c>
      <c r="G75" s="5">
        <v>45552</v>
      </c>
      <c r="H75" t="s">
        <v>9</v>
      </c>
    </row>
    <row r="76" spans="1:8">
      <c r="A76" s="3" t="s">
        <v>722</v>
      </c>
      <c r="B76" t="s">
        <v>4593</v>
      </c>
      <c r="C76" s="16" t="s">
        <v>4508</v>
      </c>
      <c r="D76" t="s">
        <v>4509</v>
      </c>
      <c r="E76" t="s">
        <v>4510</v>
      </c>
      <c r="F76" t="s">
        <v>4511</v>
      </c>
      <c r="G76" s="5">
        <v>45549</v>
      </c>
      <c r="H76" t="s">
        <v>191</v>
      </c>
    </row>
    <row r="77" spans="1:8">
      <c r="A77" s="3" t="s">
        <v>724</v>
      </c>
      <c r="B77" t="s">
        <v>4594</v>
      </c>
      <c r="C77" s="16" t="s">
        <v>4508</v>
      </c>
      <c r="D77" t="s">
        <v>4515</v>
      </c>
      <c r="E77" t="s">
        <v>4510</v>
      </c>
      <c r="F77" t="s">
        <v>4511</v>
      </c>
      <c r="G77" s="5">
        <v>45550</v>
      </c>
      <c r="H77" t="s">
        <v>4520</v>
      </c>
    </row>
    <row r="78" spans="1:8">
      <c r="A78" s="3" t="s">
        <v>727</v>
      </c>
      <c r="B78" t="s">
        <v>4595</v>
      </c>
      <c r="C78" s="16" t="s">
        <v>4508</v>
      </c>
      <c r="D78" t="s">
        <v>4509</v>
      </c>
      <c r="E78" t="s">
        <v>4510</v>
      </c>
      <c r="F78" t="s">
        <v>4511</v>
      </c>
      <c r="G78" s="5">
        <v>45552</v>
      </c>
      <c r="H78" t="s">
        <v>12</v>
      </c>
    </row>
    <row r="79" spans="1:8">
      <c r="A79" s="3" t="s">
        <v>729</v>
      </c>
      <c r="B79" t="s">
        <v>4596</v>
      </c>
      <c r="C79" s="16" t="s">
        <v>4508</v>
      </c>
      <c r="D79" t="s">
        <v>4515</v>
      </c>
      <c r="E79" t="s">
        <v>4510</v>
      </c>
      <c r="F79" t="s">
        <v>4511</v>
      </c>
      <c r="G79" s="5">
        <v>45553</v>
      </c>
      <c r="H79" t="s">
        <v>4523</v>
      </c>
    </row>
    <row r="80" spans="1:8">
      <c r="A80" s="3" t="s">
        <v>748</v>
      </c>
      <c r="B80" t="s">
        <v>4597</v>
      </c>
      <c r="C80" s="16" t="s">
        <v>4508</v>
      </c>
      <c r="D80" t="s">
        <v>4509</v>
      </c>
      <c r="E80" t="s">
        <v>4510</v>
      </c>
      <c r="F80" t="s">
        <v>4511</v>
      </c>
      <c r="G80" s="5">
        <v>45558</v>
      </c>
      <c r="H80" t="s">
        <v>4512</v>
      </c>
    </row>
    <row r="81" spans="1:8">
      <c r="A81" s="3" t="s">
        <v>750</v>
      </c>
      <c r="B81" t="s">
        <v>4598</v>
      </c>
      <c r="C81" s="16" t="s">
        <v>4508</v>
      </c>
      <c r="D81" t="s">
        <v>4515</v>
      </c>
      <c r="E81" t="s">
        <v>4510</v>
      </c>
      <c r="F81" t="s">
        <v>4511</v>
      </c>
      <c r="G81" s="5">
        <v>45559</v>
      </c>
      <c r="H81" t="s">
        <v>9</v>
      </c>
    </row>
    <row r="82" spans="1:8">
      <c r="A82" s="3" t="s">
        <v>752</v>
      </c>
      <c r="B82" t="s">
        <v>4599</v>
      </c>
      <c r="C82" s="16" t="s">
        <v>4508</v>
      </c>
      <c r="D82" t="s">
        <v>4517</v>
      </c>
      <c r="E82" t="s">
        <v>4518</v>
      </c>
      <c r="F82" t="s">
        <v>4519</v>
      </c>
      <c r="G82" s="5">
        <v>45560</v>
      </c>
      <c r="H82" t="s">
        <v>191</v>
      </c>
    </row>
    <row r="83" spans="1:8">
      <c r="A83" s="3" t="s">
        <v>754</v>
      </c>
      <c r="B83" t="s">
        <v>4600</v>
      </c>
      <c r="C83" s="16" t="s">
        <v>4508</v>
      </c>
      <c r="D83" t="s">
        <v>4517</v>
      </c>
      <c r="E83" t="s">
        <v>4510</v>
      </c>
      <c r="F83" t="s">
        <v>4526</v>
      </c>
      <c r="G83" s="5">
        <v>45561</v>
      </c>
      <c r="H83" t="s">
        <v>4520</v>
      </c>
    </row>
    <row r="84" spans="1:8">
      <c r="A84" s="3" t="s">
        <v>763</v>
      </c>
      <c r="B84" t="s">
        <v>4601</v>
      </c>
      <c r="C84" s="16" t="s">
        <v>4508</v>
      </c>
      <c r="D84" t="s">
        <v>4509</v>
      </c>
      <c r="E84" t="s">
        <v>4510</v>
      </c>
      <c r="F84" t="s">
        <v>4511</v>
      </c>
      <c r="G84" s="5">
        <v>45561</v>
      </c>
      <c r="H84" t="s">
        <v>12</v>
      </c>
    </row>
    <row r="85" spans="1:8">
      <c r="A85" s="3" t="s">
        <v>780</v>
      </c>
      <c r="B85" t="s">
        <v>4602</v>
      </c>
      <c r="C85" s="16" t="s">
        <v>4508</v>
      </c>
      <c r="D85" t="s">
        <v>4509</v>
      </c>
      <c r="E85" t="s">
        <v>4510</v>
      </c>
      <c r="F85" t="s">
        <v>4511</v>
      </c>
      <c r="G85" s="5">
        <v>45567</v>
      </c>
      <c r="H85" t="s">
        <v>4523</v>
      </c>
    </row>
    <row r="86" spans="1:8">
      <c r="A86" s="3" t="s">
        <v>782</v>
      </c>
      <c r="B86" t="s">
        <v>4603</v>
      </c>
      <c r="C86" s="16" t="s">
        <v>4508</v>
      </c>
      <c r="D86" t="s">
        <v>4515</v>
      </c>
      <c r="E86" t="s">
        <v>4510</v>
      </c>
      <c r="F86" t="s">
        <v>4511</v>
      </c>
      <c r="G86" s="5">
        <v>45568</v>
      </c>
      <c r="H86" t="s">
        <v>4512</v>
      </c>
    </row>
    <row r="87" spans="1:8">
      <c r="A87" s="3" t="s">
        <v>795</v>
      </c>
      <c r="B87" t="s">
        <v>4604</v>
      </c>
      <c r="C87" s="16" t="s">
        <v>4508</v>
      </c>
      <c r="D87" t="s">
        <v>4509</v>
      </c>
      <c r="E87" t="s">
        <v>4510</v>
      </c>
      <c r="F87" t="s">
        <v>4511</v>
      </c>
      <c r="G87" s="5">
        <v>45567</v>
      </c>
      <c r="H87" t="s">
        <v>9</v>
      </c>
    </row>
    <row r="88" spans="1:8">
      <c r="A88" s="3" t="s">
        <v>797</v>
      </c>
      <c r="B88" t="s">
        <v>4605</v>
      </c>
      <c r="C88" s="16" t="s">
        <v>4508</v>
      </c>
      <c r="D88" t="s">
        <v>4515</v>
      </c>
      <c r="E88" t="s">
        <v>4510</v>
      </c>
      <c r="F88" t="s">
        <v>4511</v>
      </c>
      <c r="G88" s="5">
        <v>45568</v>
      </c>
      <c r="H88" t="s">
        <v>191</v>
      </c>
    </row>
    <row r="89" spans="1:8">
      <c r="A89" s="3" t="s">
        <v>803</v>
      </c>
      <c r="B89" t="s">
        <v>4606</v>
      </c>
      <c r="C89" s="16" t="s">
        <v>4508</v>
      </c>
      <c r="D89" t="s">
        <v>4509</v>
      </c>
      <c r="E89" t="s">
        <v>4510</v>
      </c>
      <c r="F89" t="s">
        <v>4511</v>
      </c>
      <c r="G89" s="5">
        <v>45573</v>
      </c>
      <c r="H89" t="s">
        <v>4520</v>
      </c>
    </row>
    <row r="90" spans="1:8">
      <c r="A90" s="3" t="s">
        <v>811</v>
      </c>
      <c r="B90" t="s">
        <v>4607</v>
      </c>
      <c r="C90" s="16" t="s">
        <v>4508</v>
      </c>
      <c r="D90" t="s">
        <v>4509</v>
      </c>
      <c r="E90" t="s">
        <v>4510</v>
      </c>
      <c r="F90" t="s">
        <v>4511</v>
      </c>
      <c r="G90" s="5">
        <v>45570</v>
      </c>
      <c r="H90" t="s">
        <v>12</v>
      </c>
    </row>
    <row r="91" spans="1:8">
      <c r="A91" s="3" t="s">
        <v>828</v>
      </c>
      <c r="B91" t="s">
        <v>4608</v>
      </c>
      <c r="C91" s="16" t="s">
        <v>4508</v>
      </c>
      <c r="D91" t="s">
        <v>4509</v>
      </c>
      <c r="E91" t="s">
        <v>4510</v>
      </c>
      <c r="F91" t="s">
        <v>4511</v>
      </c>
      <c r="G91" s="5">
        <v>45576</v>
      </c>
      <c r="H91" t="s">
        <v>4523</v>
      </c>
    </row>
    <row r="92" spans="1:8">
      <c r="A92" s="3" t="s">
        <v>830</v>
      </c>
      <c r="B92" t="s">
        <v>4609</v>
      </c>
      <c r="C92" s="16" t="s">
        <v>4508</v>
      </c>
      <c r="D92" t="s">
        <v>4515</v>
      </c>
      <c r="E92" t="s">
        <v>4510</v>
      </c>
      <c r="F92" t="s">
        <v>4511</v>
      </c>
      <c r="G92" s="5">
        <v>45577</v>
      </c>
      <c r="H92" t="s">
        <v>4512</v>
      </c>
    </row>
    <row r="93" spans="1:8">
      <c r="A93" s="3" t="s">
        <v>838</v>
      </c>
      <c r="B93" t="s">
        <v>4610</v>
      </c>
      <c r="C93" s="16" t="s">
        <v>4508</v>
      </c>
      <c r="D93" t="s">
        <v>4509</v>
      </c>
      <c r="E93" t="s">
        <v>4510</v>
      </c>
      <c r="F93" t="s">
        <v>4511</v>
      </c>
      <c r="G93" s="5">
        <v>45576</v>
      </c>
      <c r="H93" t="s">
        <v>9</v>
      </c>
    </row>
    <row r="94" spans="1:8">
      <c r="A94" s="3" t="s">
        <v>840</v>
      </c>
      <c r="B94" t="s">
        <v>4611</v>
      </c>
      <c r="C94" s="16" t="s">
        <v>4508</v>
      </c>
      <c r="D94" t="s">
        <v>4515</v>
      </c>
      <c r="E94" t="s">
        <v>4510</v>
      </c>
      <c r="F94" t="s">
        <v>4511</v>
      </c>
      <c r="G94" s="5">
        <v>45577</v>
      </c>
      <c r="H94" t="s">
        <v>191</v>
      </c>
    </row>
    <row r="95" spans="1:8">
      <c r="A95" s="3" t="s">
        <v>842</v>
      </c>
      <c r="B95" t="s">
        <v>4612</v>
      </c>
      <c r="C95" s="16" t="s">
        <v>4508</v>
      </c>
      <c r="D95" t="s">
        <v>4517</v>
      </c>
      <c r="E95" t="s">
        <v>4518</v>
      </c>
      <c r="F95" t="s">
        <v>4519</v>
      </c>
      <c r="G95" s="5">
        <v>45578</v>
      </c>
      <c r="H95" t="s">
        <v>4520</v>
      </c>
    </row>
    <row r="96" spans="1:8">
      <c r="A96" s="3" t="s">
        <v>849</v>
      </c>
      <c r="B96" t="s">
        <v>4613</v>
      </c>
      <c r="C96" s="16" t="s">
        <v>4508</v>
      </c>
      <c r="D96" t="s">
        <v>4509</v>
      </c>
      <c r="E96" t="s">
        <v>4510</v>
      </c>
      <c r="F96" t="s">
        <v>4511</v>
      </c>
      <c r="G96" s="5">
        <v>45579</v>
      </c>
      <c r="H96" t="s">
        <v>12</v>
      </c>
    </row>
    <row r="97" spans="1:8">
      <c r="A97" s="3" t="s">
        <v>851</v>
      </c>
      <c r="B97" t="s">
        <v>4614</v>
      </c>
      <c r="C97" s="16" t="s">
        <v>4508</v>
      </c>
      <c r="D97" t="s">
        <v>4515</v>
      </c>
      <c r="E97" t="s">
        <v>4510</v>
      </c>
      <c r="F97" t="s">
        <v>4511</v>
      </c>
      <c r="G97" s="5">
        <v>45580</v>
      </c>
      <c r="H97" t="s">
        <v>4523</v>
      </c>
    </row>
    <row r="98" spans="1:8">
      <c r="A98" s="3" t="s">
        <v>864</v>
      </c>
      <c r="B98" t="s">
        <v>4615</v>
      </c>
      <c r="C98" s="16" t="s">
        <v>4508</v>
      </c>
      <c r="D98" t="s">
        <v>4509</v>
      </c>
      <c r="E98" t="s">
        <v>4510</v>
      </c>
      <c r="F98" t="s">
        <v>4511</v>
      </c>
      <c r="G98" s="5">
        <v>45582</v>
      </c>
      <c r="H98" t="s">
        <v>4512</v>
      </c>
    </row>
    <row r="99" spans="1:8">
      <c r="A99" s="3" t="s">
        <v>866</v>
      </c>
      <c r="B99" t="s">
        <v>4616</v>
      </c>
      <c r="C99" s="16" t="s">
        <v>4508</v>
      </c>
      <c r="D99" t="s">
        <v>4515</v>
      </c>
      <c r="E99" t="s">
        <v>4510</v>
      </c>
      <c r="F99" t="s">
        <v>4511</v>
      </c>
      <c r="G99" s="5">
        <v>45583</v>
      </c>
      <c r="H99" t="s">
        <v>9</v>
      </c>
    </row>
    <row r="100" spans="1:8">
      <c r="A100" s="3" t="s">
        <v>874</v>
      </c>
      <c r="B100" t="s">
        <v>4617</v>
      </c>
      <c r="C100" s="16" t="s">
        <v>4508</v>
      </c>
      <c r="D100" t="s">
        <v>4509</v>
      </c>
      <c r="E100" t="s">
        <v>4510</v>
      </c>
      <c r="F100" t="s">
        <v>4511</v>
      </c>
      <c r="G100" s="5">
        <v>45582</v>
      </c>
      <c r="H100" t="s">
        <v>191</v>
      </c>
    </row>
    <row r="101" spans="1:8">
      <c r="A101" s="3" t="s">
        <v>888</v>
      </c>
      <c r="B101" t="s">
        <v>4618</v>
      </c>
      <c r="C101" s="16" t="s">
        <v>4508</v>
      </c>
      <c r="D101" t="s">
        <v>4509</v>
      </c>
      <c r="E101" t="s">
        <v>4510</v>
      </c>
      <c r="F101" t="s">
        <v>4511</v>
      </c>
      <c r="G101" s="5">
        <v>45588</v>
      </c>
      <c r="H101" t="s">
        <v>4520</v>
      </c>
    </row>
    <row r="102" spans="1:8">
      <c r="A102" s="3" t="s">
        <v>890</v>
      </c>
      <c r="B102" t="s">
        <v>4619</v>
      </c>
      <c r="C102" s="16" t="s">
        <v>4508</v>
      </c>
      <c r="D102" t="s">
        <v>4515</v>
      </c>
      <c r="E102" t="s">
        <v>4510</v>
      </c>
      <c r="F102" t="s">
        <v>4511</v>
      </c>
      <c r="G102" s="5">
        <v>45589</v>
      </c>
      <c r="H102" t="s">
        <v>12</v>
      </c>
    </row>
    <row r="103" spans="1:8">
      <c r="A103" s="3" t="s">
        <v>903</v>
      </c>
      <c r="B103" t="s">
        <v>4620</v>
      </c>
      <c r="C103" s="16" t="s">
        <v>4508</v>
      </c>
      <c r="D103" t="s">
        <v>4509</v>
      </c>
      <c r="E103" t="s">
        <v>4510</v>
      </c>
      <c r="F103" t="s">
        <v>4511</v>
      </c>
      <c r="G103" s="5">
        <v>45591</v>
      </c>
      <c r="H103" t="s">
        <v>4523</v>
      </c>
    </row>
    <row r="104" spans="1:8">
      <c r="A104" s="3" t="s">
        <v>905</v>
      </c>
      <c r="B104" t="s">
        <v>4621</v>
      </c>
      <c r="C104" s="16" t="s">
        <v>4508</v>
      </c>
      <c r="D104" t="s">
        <v>4515</v>
      </c>
      <c r="E104" t="s">
        <v>4510</v>
      </c>
      <c r="F104" t="s">
        <v>4511</v>
      </c>
      <c r="G104" s="5">
        <v>45592</v>
      </c>
      <c r="H104" t="s">
        <v>4512</v>
      </c>
    </row>
    <row r="105" spans="1:8">
      <c r="A105" s="3" t="s">
        <v>918</v>
      </c>
      <c r="B105" t="s">
        <v>4622</v>
      </c>
      <c r="C105" s="16" t="s">
        <v>4508</v>
      </c>
      <c r="D105" t="s">
        <v>4509</v>
      </c>
      <c r="E105" t="s">
        <v>4510</v>
      </c>
      <c r="F105" t="s">
        <v>4511</v>
      </c>
      <c r="G105" s="5">
        <v>45597</v>
      </c>
      <c r="H105" t="s">
        <v>9</v>
      </c>
    </row>
    <row r="106" spans="1:8">
      <c r="A106" s="3" t="s">
        <v>920</v>
      </c>
      <c r="B106" t="s">
        <v>4623</v>
      </c>
      <c r="C106" s="16" t="s">
        <v>4508</v>
      </c>
      <c r="D106" t="s">
        <v>4515</v>
      </c>
      <c r="E106" t="s">
        <v>4510</v>
      </c>
      <c r="F106" t="s">
        <v>4511</v>
      </c>
      <c r="G106" s="5">
        <v>45598</v>
      </c>
      <c r="H106" t="s">
        <v>191</v>
      </c>
    </row>
    <row r="107" spans="1:8">
      <c r="A107" s="3" t="s">
        <v>931</v>
      </c>
      <c r="B107" t="s">
        <v>4624</v>
      </c>
      <c r="C107" s="16" t="s">
        <v>4508</v>
      </c>
      <c r="D107" t="s">
        <v>4509</v>
      </c>
      <c r="E107" t="s">
        <v>4510</v>
      </c>
      <c r="F107" t="s">
        <v>4511</v>
      </c>
      <c r="G107" s="5">
        <v>45600</v>
      </c>
      <c r="H107" t="s">
        <v>4520</v>
      </c>
    </row>
    <row r="108" spans="1:8">
      <c r="A108" s="3" t="s">
        <v>933</v>
      </c>
      <c r="B108" t="s">
        <v>4625</v>
      </c>
      <c r="C108" s="16" t="s">
        <v>4508</v>
      </c>
      <c r="D108" t="s">
        <v>4515</v>
      </c>
      <c r="E108" t="s">
        <v>4510</v>
      </c>
      <c r="F108" t="s">
        <v>4511</v>
      </c>
      <c r="G108" s="5">
        <v>45601</v>
      </c>
      <c r="H108" t="s">
        <v>12</v>
      </c>
    </row>
    <row r="109" spans="1:8">
      <c r="A109" s="3" t="s">
        <v>935</v>
      </c>
      <c r="B109" t="s">
        <v>4626</v>
      </c>
      <c r="C109" s="16" t="s">
        <v>4508</v>
      </c>
      <c r="D109" t="s">
        <v>4517</v>
      </c>
      <c r="E109" t="s">
        <v>4518</v>
      </c>
      <c r="F109" t="s">
        <v>4519</v>
      </c>
      <c r="G109" s="5">
        <v>45602</v>
      </c>
      <c r="H109" t="s">
        <v>4523</v>
      </c>
    </row>
    <row r="110" spans="1:8">
      <c r="A110" s="3" t="s">
        <v>937</v>
      </c>
      <c r="B110" t="s">
        <v>4627</v>
      </c>
      <c r="C110" s="16" t="s">
        <v>4508</v>
      </c>
      <c r="D110" t="s">
        <v>4517</v>
      </c>
      <c r="E110" t="s">
        <v>4510</v>
      </c>
      <c r="F110" t="s">
        <v>4526</v>
      </c>
      <c r="G110" s="5">
        <v>45603</v>
      </c>
      <c r="H110" t="s">
        <v>4512</v>
      </c>
    </row>
    <row r="111" spans="1:8">
      <c r="A111" s="3" t="s">
        <v>945</v>
      </c>
      <c r="B111" t="s">
        <v>4628</v>
      </c>
      <c r="C111" s="16" t="s">
        <v>4508</v>
      </c>
      <c r="D111" t="s">
        <v>4509</v>
      </c>
      <c r="E111" t="s">
        <v>4510</v>
      </c>
      <c r="F111" t="s">
        <v>4511</v>
      </c>
      <c r="G111" s="5">
        <v>45600</v>
      </c>
      <c r="H111" t="s">
        <v>9</v>
      </c>
    </row>
    <row r="112" spans="1:8">
      <c r="A112" s="3" t="s">
        <v>947</v>
      </c>
      <c r="B112" t="s">
        <v>4629</v>
      </c>
      <c r="C112" s="16" t="s">
        <v>4508</v>
      </c>
      <c r="D112" t="s">
        <v>4515</v>
      </c>
      <c r="E112" t="s">
        <v>4510</v>
      </c>
      <c r="F112" t="s">
        <v>4511</v>
      </c>
      <c r="G112" s="5">
        <v>45601</v>
      </c>
      <c r="H112" t="s">
        <v>191</v>
      </c>
    </row>
    <row r="113" spans="1:8">
      <c r="A113" s="3" t="s">
        <v>949</v>
      </c>
      <c r="B113" t="s">
        <v>4630</v>
      </c>
      <c r="C113" s="16" t="s">
        <v>4508</v>
      </c>
      <c r="D113" t="s">
        <v>4517</v>
      </c>
      <c r="E113" t="s">
        <v>4518</v>
      </c>
      <c r="F113" t="s">
        <v>4519</v>
      </c>
      <c r="G113" s="5">
        <v>45602</v>
      </c>
      <c r="H113" t="s">
        <v>4520</v>
      </c>
    </row>
    <row r="114" spans="1:8">
      <c r="A114" s="3" t="s">
        <v>960</v>
      </c>
      <c r="B114" t="s">
        <v>4631</v>
      </c>
      <c r="C114" s="16" t="s">
        <v>4508</v>
      </c>
      <c r="D114" t="s">
        <v>4509</v>
      </c>
      <c r="E114" t="s">
        <v>4510</v>
      </c>
      <c r="F114" t="s">
        <v>4511</v>
      </c>
      <c r="G114" s="5">
        <v>45606</v>
      </c>
      <c r="H114" t="s">
        <v>12</v>
      </c>
    </row>
    <row r="115" spans="1:8">
      <c r="A115" s="3" t="s">
        <v>962</v>
      </c>
      <c r="B115" t="s">
        <v>4632</v>
      </c>
      <c r="C115" s="16" t="s">
        <v>4508</v>
      </c>
      <c r="D115" t="s">
        <v>4515</v>
      </c>
      <c r="E115" t="s">
        <v>4510</v>
      </c>
      <c r="F115" t="s">
        <v>4511</v>
      </c>
      <c r="G115" s="5">
        <v>45607</v>
      </c>
      <c r="H115" t="s">
        <v>4523</v>
      </c>
    </row>
    <row r="116" spans="1:8">
      <c r="A116" s="3" t="s">
        <v>970</v>
      </c>
      <c r="B116" t="s">
        <v>4633</v>
      </c>
      <c r="C116" s="16" t="s">
        <v>4508</v>
      </c>
      <c r="D116" t="s">
        <v>4509</v>
      </c>
      <c r="E116" t="s">
        <v>4510</v>
      </c>
      <c r="F116" t="s">
        <v>4511</v>
      </c>
      <c r="G116" s="5">
        <v>45606</v>
      </c>
      <c r="H116" t="s">
        <v>4512</v>
      </c>
    </row>
    <row r="117" spans="1:8">
      <c r="A117" s="3" t="s">
        <v>973</v>
      </c>
      <c r="B117" t="s">
        <v>4634</v>
      </c>
      <c r="C117" s="16" t="s">
        <v>4508</v>
      </c>
      <c r="D117" t="s">
        <v>4509</v>
      </c>
      <c r="E117" t="s">
        <v>4510</v>
      </c>
      <c r="F117" t="s">
        <v>4511</v>
      </c>
      <c r="G117" s="5">
        <v>45609</v>
      </c>
      <c r="H117" t="s">
        <v>9</v>
      </c>
    </row>
    <row r="118" spans="1:8">
      <c r="A118" s="3" t="s">
        <v>975</v>
      </c>
      <c r="B118" t="s">
        <v>4635</v>
      </c>
      <c r="C118" s="16" t="s">
        <v>4508</v>
      </c>
      <c r="D118" t="s">
        <v>4515</v>
      </c>
      <c r="E118" t="s">
        <v>4510</v>
      </c>
      <c r="F118" t="s">
        <v>4511</v>
      </c>
      <c r="G118" s="5">
        <v>45610</v>
      </c>
      <c r="H118" t="s">
        <v>191</v>
      </c>
    </row>
    <row r="119" spans="1:8">
      <c r="A119" s="3" t="s">
        <v>977</v>
      </c>
      <c r="B119" t="s">
        <v>4636</v>
      </c>
      <c r="C119" s="16" t="s">
        <v>4508</v>
      </c>
      <c r="D119" t="s">
        <v>4517</v>
      </c>
      <c r="E119" t="s">
        <v>4518</v>
      </c>
      <c r="F119" t="s">
        <v>4519</v>
      </c>
      <c r="G119" s="5">
        <v>45611</v>
      </c>
      <c r="H119" t="s">
        <v>4520</v>
      </c>
    </row>
    <row r="120" spans="1:8">
      <c r="A120" s="3" t="s">
        <v>990</v>
      </c>
      <c r="B120" t="s">
        <v>4637</v>
      </c>
      <c r="C120" s="16" t="s">
        <v>4508</v>
      </c>
      <c r="D120" t="s">
        <v>4509</v>
      </c>
      <c r="E120" t="s">
        <v>4510</v>
      </c>
      <c r="F120" t="s">
        <v>4511</v>
      </c>
      <c r="G120" s="5">
        <v>45609</v>
      </c>
      <c r="H120" t="s">
        <v>12</v>
      </c>
    </row>
    <row r="121" spans="1:8">
      <c r="A121" s="3" t="s">
        <v>992</v>
      </c>
      <c r="B121" t="s">
        <v>4638</v>
      </c>
      <c r="C121" s="16" t="s">
        <v>4508</v>
      </c>
      <c r="D121" t="s">
        <v>4515</v>
      </c>
      <c r="E121" t="s">
        <v>4510</v>
      </c>
      <c r="F121" t="s">
        <v>4511</v>
      </c>
      <c r="G121" s="5">
        <v>45610</v>
      </c>
      <c r="H121" t="s">
        <v>4523</v>
      </c>
    </row>
    <row r="122" spans="1:8">
      <c r="A122" s="3" t="s">
        <v>1001</v>
      </c>
      <c r="B122" t="s">
        <v>4639</v>
      </c>
      <c r="C122" s="16" t="s">
        <v>4508</v>
      </c>
      <c r="D122" t="s">
        <v>4509</v>
      </c>
      <c r="E122" t="s">
        <v>4510</v>
      </c>
      <c r="F122" t="s">
        <v>4511</v>
      </c>
      <c r="G122" s="5">
        <v>45612</v>
      </c>
      <c r="H122" t="s">
        <v>4512</v>
      </c>
    </row>
    <row r="123" spans="1:8">
      <c r="A123" s="3" t="s">
        <v>1003</v>
      </c>
      <c r="B123" t="s">
        <v>4640</v>
      </c>
      <c r="C123" s="16" t="s">
        <v>4508</v>
      </c>
      <c r="D123" t="s">
        <v>4515</v>
      </c>
      <c r="E123" t="s">
        <v>4510</v>
      </c>
      <c r="F123" t="s">
        <v>4511</v>
      </c>
      <c r="G123" s="5">
        <v>45613</v>
      </c>
      <c r="H123" t="s">
        <v>9</v>
      </c>
    </row>
    <row r="124" spans="1:8">
      <c r="A124" s="3" t="s">
        <v>1018</v>
      </c>
      <c r="B124" t="s">
        <v>4641</v>
      </c>
      <c r="C124" s="16" t="s">
        <v>4508</v>
      </c>
      <c r="D124" t="s">
        <v>4509</v>
      </c>
      <c r="E124" t="s">
        <v>4510</v>
      </c>
      <c r="F124" t="s">
        <v>4511</v>
      </c>
      <c r="G124" s="5">
        <v>45612</v>
      </c>
      <c r="H124" t="s">
        <v>191</v>
      </c>
    </row>
    <row r="125" spans="1:8">
      <c r="A125" s="3" t="s">
        <v>1020</v>
      </c>
      <c r="B125" t="s">
        <v>4642</v>
      </c>
      <c r="C125" s="16" t="s">
        <v>4508</v>
      </c>
      <c r="D125" t="s">
        <v>4515</v>
      </c>
      <c r="E125" t="s">
        <v>4510</v>
      </c>
      <c r="F125" t="s">
        <v>4511</v>
      </c>
      <c r="G125" s="5">
        <v>45613</v>
      </c>
      <c r="H125" t="s">
        <v>4520</v>
      </c>
    </row>
    <row r="126" spans="1:8">
      <c r="A126" s="3" t="s">
        <v>1022</v>
      </c>
      <c r="B126" t="s">
        <v>4643</v>
      </c>
      <c r="C126" s="16" t="s">
        <v>4508</v>
      </c>
      <c r="D126" t="s">
        <v>4517</v>
      </c>
      <c r="E126" t="s">
        <v>4518</v>
      </c>
      <c r="F126" t="s">
        <v>4519</v>
      </c>
      <c r="G126" s="5">
        <v>45614</v>
      </c>
      <c r="H126" t="s">
        <v>12</v>
      </c>
    </row>
    <row r="127" spans="1:8">
      <c r="A127" s="3" t="s">
        <v>1027</v>
      </c>
      <c r="B127" t="s">
        <v>4644</v>
      </c>
      <c r="C127" s="16" t="s">
        <v>4508</v>
      </c>
      <c r="D127" t="s">
        <v>4509</v>
      </c>
      <c r="E127" t="s">
        <v>4510</v>
      </c>
      <c r="F127" t="s">
        <v>4511</v>
      </c>
      <c r="G127" s="5">
        <v>45615</v>
      </c>
      <c r="H127" t="s">
        <v>4523</v>
      </c>
    </row>
    <row r="128" spans="1:8">
      <c r="A128" s="3" t="s">
        <v>1029</v>
      </c>
      <c r="B128" t="s">
        <v>4645</v>
      </c>
      <c r="C128" s="16" t="s">
        <v>4508</v>
      </c>
      <c r="D128" t="s">
        <v>4515</v>
      </c>
      <c r="E128" t="s">
        <v>4510</v>
      </c>
      <c r="F128" t="s">
        <v>4511</v>
      </c>
      <c r="G128" s="5">
        <v>45616</v>
      </c>
      <c r="H128" t="s">
        <v>4512</v>
      </c>
    </row>
    <row r="129" spans="1:8">
      <c r="A129" s="3" t="s">
        <v>1031</v>
      </c>
      <c r="B129" t="s">
        <v>4646</v>
      </c>
      <c r="C129" s="16" t="s">
        <v>4508</v>
      </c>
      <c r="D129" t="s">
        <v>4517</v>
      </c>
      <c r="E129" t="s">
        <v>4518</v>
      </c>
      <c r="F129" t="s">
        <v>4519</v>
      </c>
      <c r="G129" s="5">
        <v>45617</v>
      </c>
      <c r="H129" t="s">
        <v>9</v>
      </c>
    </row>
    <row r="130" spans="1:8">
      <c r="A130" s="3" t="s">
        <v>1033</v>
      </c>
      <c r="B130" t="s">
        <v>4647</v>
      </c>
      <c r="C130" s="16" t="s">
        <v>4508</v>
      </c>
      <c r="D130" t="s">
        <v>4517</v>
      </c>
      <c r="E130" t="s">
        <v>4510</v>
      </c>
      <c r="F130" t="s">
        <v>4526</v>
      </c>
      <c r="G130" s="5">
        <v>45618</v>
      </c>
      <c r="H130" t="s">
        <v>191</v>
      </c>
    </row>
    <row r="131" spans="1:8">
      <c r="A131" s="3" t="s">
        <v>1040</v>
      </c>
      <c r="B131" t="s">
        <v>4648</v>
      </c>
      <c r="C131" s="16" t="s">
        <v>4508</v>
      </c>
      <c r="D131" t="s">
        <v>4509</v>
      </c>
      <c r="E131" t="s">
        <v>4510</v>
      </c>
      <c r="F131" t="s">
        <v>4511</v>
      </c>
      <c r="G131" s="5">
        <v>45618</v>
      </c>
      <c r="H131" t="s">
        <v>4520</v>
      </c>
    </row>
    <row r="132" spans="1:8">
      <c r="A132" s="3" t="s">
        <v>1042</v>
      </c>
      <c r="B132" t="s">
        <v>4649</v>
      </c>
      <c r="C132" s="16" t="s">
        <v>4508</v>
      </c>
      <c r="D132" t="s">
        <v>4515</v>
      </c>
      <c r="E132" t="s">
        <v>4510</v>
      </c>
      <c r="F132" t="s">
        <v>4511</v>
      </c>
      <c r="G132" s="5">
        <v>45619</v>
      </c>
      <c r="H132" t="s">
        <v>12</v>
      </c>
    </row>
    <row r="133" spans="1:8">
      <c r="A133" s="3" t="s">
        <v>1044</v>
      </c>
      <c r="B133" t="s">
        <v>4650</v>
      </c>
      <c r="C133" s="16" t="s">
        <v>4508</v>
      </c>
      <c r="D133" t="s">
        <v>4517</v>
      </c>
      <c r="E133" t="s">
        <v>4518</v>
      </c>
      <c r="F133" t="s">
        <v>4519</v>
      </c>
      <c r="G133" s="5">
        <v>45620</v>
      </c>
      <c r="H133" t="s">
        <v>4523</v>
      </c>
    </row>
    <row r="134" spans="1:8">
      <c r="A134" s="3" t="s">
        <v>1052</v>
      </c>
      <c r="B134" t="s">
        <v>4651</v>
      </c>
      <c r="C134" s="16" t="s">
        <v>4508</v>
      </c>
      <c r="D134" t="s">
        <v>4509</v>
      </c>
      <c r="E134" t="s">
        <v>4510</v>
      </c>
      <c r="F134" t="s">
        <v>4511</v>
      </c>
      <c r="G134" s="5">
        <v>45615</v>
      </c>
      <c r="H134" t="s">
        <v>4512</v>
      </c>
    </row>
    <row r="135" spans="1:8">
      <c r="A135" s="3" t="s">
        <v>1054</v>
      </c>
      <c r="B135" t="s">
        <v>4652</v>
      </c>
      <c r="C135" s="16" t="s">
        <v>4508</v>
      </c>
      <c r="D135" t="s">
        <v>4515</v>
      </c>
      <c r="E135" t="s">
        <v>4510</v>
      </c>
      <c r="F135" t="s">
        <v>4511</v>
      </c>
      <c r="G135" s="5">
        <v>45616</v>
      </c>
      <c r="H135" t="s">
        <v>9</v>
      </c>
    </row>
    <row r="136" spans="1:8">
      <c r="A136" s="3" t="s">
        <v>1062</v>
      </c>
      <c r="B136" t="s">
        <v>4653</v>
      </c>
      <c r="C136" s="16" t="s">
        <v>4508</v>
      </c>
      <c r="D136" t="s">
        <v>4509</v>
      </c>
      <c r="E136" t="s">
        <v>4510</v>
      </c>
      <c r="F136" t="s">
        <v>4511</v>
      </c>
      <c r="G136" s="5">
        <v>45618</v>
      </c>
      <c r="H136" t="s">
        <v>191</v>
      </c>
    </row>
    <row r="137" spans="1:8">
      <c r="A137" s="3" t="s">
        <v>1072</v>
      </c>
      <c r="B137" t="s">
        <v>4654</v>
      </c>
      <c r="C137" s="16" t="s">
        <v>4508</v>
      </c>
      <c r="D137" t="s">
        <v>4509</v>
      </c>
      <c r="E137" t="s">
        <v>4510</v>
      </c>
      <c r="F137" t="s">
        <v>4511</v>
      </c>
      <c r="G137" s="5">
        <v>45621</v>
      </c>
      <c r="H137" t="s">
        <v>4520</v>
      </c>
    </row>
    <row r="138" spans="1:8">
      <c r="A138" s="3" t="s">
        <v>1074</v>
      </c>
      <c r="B138" t="s">
        <v>4655</v>
      </c>
      <c r="C138" s="16" t="s">
        <v>4508</v>
      </c>
      <c r="D138" t="s">
        <v>4515</v>
      </c>
      <c r="E138" t="s">
        <v>4510</v>
      </c>
      <c r="F138" t="s">
        <v>4511</v>
      </c>
      <c r="G138" s="5">
        <v>45622</v>
      </c>
      <c r="H138" t="s">
        <v>12</v>
      </c>
    </row>
    <row r="139" spans="1:8">
      <c r="A139" s="3" t="s">
        <v>1082</v>
      </c>
      <c r="B139" t="s">
        <v>4656</v>
      </c>
      <c r="C139" s="16" t="s">
        <v>4508</v>
      </c>
      <c r="D139" t="s">
        <v>4509</v>
      </c>
      <c r="E139" t="s">
        <v>4510</v>
      </c>
      <c r="F139" t="s">
        <v>4511</v>
      </c>
      <c r="G139" s="5">
        <v>45624</v>
      </c>
      <c r="H139" t="s">
        <v>4523</v>
      </c>
    </row>
    <row r="140" spans="1:8">
      <c r="A140" s="3" t="s">
        <v>1084</v>
      </c>
      <c r="B140" t="s">
        <v>4657</v>
      </c>
      <c r="C140" s="16" t="s">
        <v>4508</v>
      </c>
      <c r="D140" t="s">
        <v>4515</v>
      </c>
      <c r="E140" t="s">
        <v>4510</v>
      </c>
      <c r="F140" t="s">
        <v>4511</v>
      </c>
      <c r="G140" s="5">
        <v>45625</v>
      </c>
      <c r="H140" t="s">
        <v>4512</v>
      </c>
    </row>
    <row r="141" spans="1:8">
      <c r="A141" s="3" t="s">
        <v>1091</v>
      </c>
      <c r="B141" t="s">
        <v>4658</v>
      </c>
      <c r="C141" s="16" t="s">
        <v>4508</v>
      </c>
      <c r="D141" t="s">
        <v>4509</v>
      </c>
      <c r="E141" t="s">
        <v>4510</v>
      </c>
      <c r="F141" t="s">
        <v>4511</v>
      </c>
      <c r="G141" s="5">
        <v>45627</v>
      </c>
      <c r="H141" t="s">
        <v>9</v>
      </c>
    </row>
    <row r="142" spans="1:8">
      <c r="A142" s="3" t="s">
        <v>1093</v>
      </c>
      <c r="B142" t="s">
        <v>4659</v>
      </c>
      <c r="C142" s="16" t="s">
        <v>4508</v>
      </c>
      <c r="D142" t="s">
        <v>4515</v>
      </c>
      <c r="E142" t="s">
        <v>4510</v>
      </c>
      <c r="F142" t="s">
        <v>4511</v>
      </c>
      <c r="G142" s="5">
        <v>45628</v>
      </c>
      <c r="H142" t="s">
        <v>191</v>
      </c>
    </row>
    <row r="143" spans="1:8">
      <c r="A143" s="3" t="s">
        <v>1095</v>
      </c>
      <c r="B143" t="s">
        <v>4660</v>
      </c>
      <c r="C143" s="16" t="s">
        <v>4508</v>
      </c>
      <c r="D143" t="s">
        <v>4517</v>
      </c>
      <c r="E143" t="s">
        <v>4518</v>
      </c>
      <c r="F143" t="s">
        <v>4519</v>
      </c>
      <c r="G143" s="5">
        <v>45629</v>
      </c>
      <c r="H143" t="s">
        <v>4520</v>
      </c>
    </row>
    <row r="144" spans="1:8">
      <c r="A144" s="3" t="s">
        <v>1097</v>
      </c>
      <c r="B144" t="s">
        <v>4661</v>
      </c>
      <c r="C144" s="16" t="s">
        <v>4508</v>
      </c>
      <c r="D144" t="s">
        <v>4517</v>
      </c>
      <c r="E144" t="s">
        <v>4510</v>
      </c>
      <c r="F144" t="s">
        <v>4526</v>
      </c>
      <c r="G144" s="5">
        <v>45630</v>
      </c>
      <c r="H144" t="s">
        <v>12</v>
      </c>
    </row>
    <row r="145" spans="1:8">
      <c r="A145" s="3" t="s">
        <v>1112</v>
      </c>
      <c r="B145" t="s">
        <v>4662</v>
      </c>
      <c r="C145" s="16" t="s">
        <v>4508</v>
      </c>
      <c r="D145" t="s">
        <v>4509</v>
      </c>
      <c r="E145" t="s">
        <v>4510</v>
      </c>
      <c r="F145" t="s">
        <v>4511</v>
      </c>
      <c r="G145" s="5">
        <v>45627</v>
      </c>
      <c r="H145" t="s">
        <v>4523</v>
      </c>
    </row>
    <row r="146" spans="1:8">
      <c r="A146" s="3" t="s">
        <v>1114</v>
      </c>
      <c r="B146" t="s">
        <v>4663</v>
      </c>
      <c r="C146" s="16" t="s">
        <v>4508</v>
      </c>
      <c r="D146" t="s">
        <v>4515</v>
      </c>
      <c r="E146" t="s">
        <v>4510</v>
      </c>
      <c r="F146" t="s">
        <v>4511</v>
      </c>
      <c r="G146" s="5">
        <v>45628</v>
      </c>
      <c r="H146" t="s">
        <v>4512</v>
      </c>
    </row>
    <row r="147" spans="1:8">
      <c r="A147" s="3" t="s">
        <v>1127</v>
      </c>
      <c r="B147" t="s">
        <v>4664</v>
      </c>
      <c r="C147" s="16" t="s">
        <v>4508</v>
      </c>
      <c r="D147" t="s">
        <v>4509</v>
      </c>
      <c r="E147" t="s">
        <v>4510</v>
      </c>
      <c r="F147" t="s">
        <v>4511</v>
      </c>
      <c r="G147" s="5">
        <v>45630</v>
      </c>
      <c r="H147" t="s">
        <v>9</v>
      </c>
    </row>
    <row r="148" spans="1:8">
      <c r="A148" s="3" t="s">
        <v>1129</v>
      </c>
      <c r="B148" t="s">
        <v>4665</v>
      </c>
      <c r="C148" s="16" t="s">
        <v>4508</v>
      </c>
      <c r="D148" t="s">
        <v>4515</v>
      </c>
      <c r="E148" t="s">
        <v>4510</v>
      </c>
      <c r="F148" t="s">
        <v>4511</v>
      </c>
      <c r="G148" s="5">
        <v>45631</v>
      </c>
      <c r="H148" t="s">
        <v>191</v>
      </c>
    </row>
    <row r="149" spans="1:8">
      <c r="A149" s="3" t="s">
        <v>1140</v>
      </c>
      <c r="B149" t="s">
        <v>4666</v>
      </c>
      <c r="C149" s="16" t="s">
        <v>4508</v>
      </c>
      <c r="D149" t="s">
        <v>4509</v>
      </c>
      <c r="E149" t="s">
        <v>4510</v>
      </c>
      <c r="F149" t="s">
        <v>4511</v>
      </c>
      <c r="G149" s="5">
        <v>45633</v>
      </c>
      <c r="H149" t="s">
        <v>4520</v>
      </c>
    </row>
    <row r="150" spans="1:8">
      <c r="A150" s="3" t="s">
        <v>1142</v>
      </c>
      <c r="B150" t="s">
        <v>4667</v>
      </c>
      <c r="C150" s="16" t="s">
        <v>4508</v>
      </c>
      <c r="D150" t="s">
        <v>4515</v>
      </c>
      <c r="E150" t="s">
        <v>4510</v>
      </c>
      <c r="F150" t="s">
        <v>4511</v>
      </c>
      <c r="G150" s="5">
        <v>45634</v>
      </c>
      <c r="H150" t="s">
        <v>12</v>
      </c>
    </row>
    <row r="151" spans="1:8">
      <c r="A151" s="3" t="s">
        <v>1160</v>
      </c>
      <c r="B151" t="s">
        <v>4668</v>
      </c>
      <c r="C151" s="16" t="s">
        <v>4508</v>
      </c>
      <c r="D151" t="s">
        <v>4509</v>
      </c>
      <c r="E151" t="s">
        <v>4510</v>
      </c>
      <c r="F151" t="s">
        <v>4511</v>
      </c>
      <c r="G151" s="5">
        <v>45639</v>
      </c>
      <c r="H151" t="s">
        <v>4523</v>
      </c>
    </row>
    <row r="152" spans="1:8">
      <c r="A152" s="3" t="s">
        <v>1162</v>
      </c>
      <c r="B152" t="s">
        <v>4669</v>
      </c>
      <c r="C152" s="16" t="s">
        <v>4508</v>
      </c>
      <c r="D152" t="s">
        <v>4515</v>
      </c>
      <c r="E152" t="s">
        <v>4510</v>
      </c>
      <c r="F152" t="s">
        <v>4511</v>
      </c>
      <c r="G152" s="5">
        <v>45640</v>
      </c>
      <c r="H152" t="s">
        <v>4512</v>
      </c>
    </row>
    <row r="153" spans="1:8">
      <c r="A153" s="3" t="s">
        <v>1164</v>
      </c>
      <c r="B153" t="s">
        <v>4670</v>
      </c>
      <c r="C153" s="16" t="s">
        <v>4508</v>
      </c>
      <c r="D153" t="s">
        <v>4517</v>
      </c>
      <c r="E153" t="s">
        <v>4518</v>
      </c>
      <c r="F153" t="s">
        <v>4519</v>
      </c>
      <c r="G153" s="5">
        <v>45641</v>
      </c>
      <c r="H153" t="s">
        <v>9</v>
      </c>
    </row>
    <row r="154" spans="1:8">
      <c r="A154" s="3" t="s">
        <v>1175</v>
      </c>
      <c r="B154" t="s">
        <v>4671</v>
      </c>
      <c r="C154" s="16" t="s">
        <v>4508</v>
      </c>
      <c r="D154" t="s">
        <v>4509</v>
      </c>
      <c r="E154" t="s">
        <v>4510</v>
      </c>
      <c r="F154" t="s">
        <v>4511</v>
      </c>
      <c r="G154" s="5">
        <v>45642</v>
      </c>
      <c r="H154" t="s">
        <v>191</v>
      </c>
    </row>
    <row r="155" spans="1:8">
      <c r="A155" s="3" t="s">
        <v>1177</v>
      </c>
      <c r="B155" t="s">
        <v>4672</v>
      </c>
      <c r="C155" s="16" t="s">
        <v>4508</v>
      </c>
      <c r="D155" t="s">
        <v>4515</v>
      </c>
      <c r="E155" t="s">
        <v>4510</v>
      </c>
      <c r="F155" t="s">
        <v>4511</v>
      </c>
      <c r="G155" s="5">
        <v>45643</v>
      </c>
      <c r="H155" t="s">
        <v>4520</v>
      </c>
    </row>
    <row r="156" spans="1:8">
      <c r="A156" s="3" t="s">
        <v>1179</v>
      </c>
      <c r="B156" t="s">
        <v>4673</v>
      </c>
      <c r="C156" s="16" t="s">
        <v>4508</v>
      </c>
      <c r="D156" t="s">
        <v>4517</v>
      </c>
      <c r="E156" t="s">
        <v>4518</v>
      </c>
      <c r="F156" t="s">
        <v>4519</v>
      </c>
      <c r="G156" s="5">
        <v>45644</v>
      </c>
      <c r="H156" t="s">
        <v>12</v>
      </c>
    </row>
    <row r="157" spans="1:8">
      <c r="A157" s="3" t="s">
        <v>1192</v>
      </c>
      <c r="B157" t="s">
        <v>4674</v>
      </c>
      <c r="C157" s="16" t="s">
        <v>4508</v>
      </c>
      <c r="D157" t="s">
        <v>4509</v>
      </c>
      <c r="E157" t="s">
        <v>4510</v>
      </c>
      <c r="F157" t="s">
        <v>4511</v>
      </c>
      <c r="G157" s="5">
        <v>45642</v>
      </c>
      <c r="H157" t="s">
        <v>4523</v>
      </c>
    </row>
    <row r="158" spans="1:8">
      <c r="A158" s="3" t="s">
        <v>1194</v>
      </c>
      <c r="B158" t="s">
        <v>4675</v>
      </c>
      <c r="C158" s="16" t="s">
        <v>4508</v>
      </c>
      <c r="D158" t="s">
        <v>4515</v>
      </c>
      <c r="E158" t="s">
        <v>4510</v>
      </c>
      <c r="F158" t="s">
        <v>4511</v>
      </c>
      <c r="G158" s="5">
        <v>45643</v>
      </c>
      <c r="H158" t="s">
        <v>4512</v>
      </c>
    </row>
    <row r="159" spans="1:8">
      <c r="A159" s="3" t="s">
        <v>1196</v>
      </c>
      <c r="B159" t="s">
        <v>4676</v>
      </c>
      <c r="C159" s="16" t="s">
        <v>4508</v>
      </c>
      <c r="D159" t="s">
        <v>4517</v>
      </c>
      <c r="E159" t="s">
        <v>4518</v>
      </c>
      <c r="F159" t="s">
        <v>4519</v>
      </c>
      <c r="G159" s="5">
        <v>45644</v>
      </c>
      <c r="H159" t="s">
        <v>9</v>
      </c>
    </row>
    <row r="160" spans="1:8">
      <c r="A160" s="3" t="s">
        <v>1209</v>
      </c>
      <c r="B160" t="s">
        <v>4677</v>
      </c>
      <c r="C160" s="16" t="s">
        <v>4508</v>
      </c>
      <c r="D160" t="s">
        <v>4509</v>
      </c>
      <c r="E160" t="s">
        <v>4510</v>
      </c>
      <c r="F160" t="s">
        <v>4511</v>
      </c>
      <c r="G160" s="5">
        <v>45645</v>
      </c>
      <c r="H160" t="s">
        <v>191</v>
      </c>
    </row>
    <row r="161" spans="1:8">
      <c r="A161" s="3" t="s">
        <v>1211</v>
      </c>
      <c r="B161" t="s">
        <v>4678</v>
      </c>
      <c r="C161" s="16" t="s">
        <v>4508</v>
      </c>
      <c r="D161" t="s">
        <v>4515</v>
      </c>
      <c r="E161" t="s">
        <v>4510</v>
      </c>
      <c r="F161" t="s">
        <v>4511</v>
      </c>
      <c r="G161" s="5">
        <v>45646</v>
      </c>
      <c r="H161" t="s">
        <v>4520</v>
      </c>
    </row>
    <row r="162" spans="1:8">
      <c r="A162" s="3" t="s">
        <v>1218</v>
      </c>
      <c r="B162" t="s">
        <v>4679</v>
      </c>
      <c r="C162" s="16" t="s">
        <v>4508</v>
      </c>
      <c r="D162" t="s">
        <v>4509</v>
      </c>
      <c r="E162" t="s">
        <v>4510</v>
      </c>
      <c r="F162" t="s">
        <v>4511</v>
      </c>
      <c r="G162" s="5">
        <v>45648</v>
      </c>
      <c r="H162" t="s">
        <v>12</v>
      </c>
    </row>
    <row r="163" spans="1:8">
      <c r="A163" s="3" t="s">
        <v>1220</v>
      </c>
      <c r="B163" t="s">
        <v>4680</v>
      </c>
      <c r="C163" s="16" t="s">
        <v>4508</v>
      </c>
      <c r="D163" t="s">
        <v>4515</v>
      </c>
      <c r="E163" t="s">
        <v>4510</v>
      </c>
      <c r="F163" t="s">
        <v>4511</v>
      </c>
      <c r="G163" s="5">
        <v>45649</v>
      </c>
      <c r="H163" t="s">
        <v>4523</v>
      </c>
    </row>
    <row r="164" spans="1:8">
      <c r="A164" s="3" t="s">
        <v>1222</v>
      </c>
      <c r="B164" t="s">
        <v>4681</v>
      </c>
      <c r="C164" s="16" t="s">
        <v>4508</v>
      </c>
      <c r="D164" t="s">
        <v>4517</v>
      </c>
      <c r="E164" t="s">
        <v>4518</v>
      </c>
      <c r="F164" t="s">
        <v>4519</v>
      </c>
      <c r="G164" s="5">
        <v>45650</v>
      </c>
      <c r="H164" t="s">
        <v>4512</v>
      </c>
    </row>
    <row r="165" spans="1:8">
      <c r="A165" s="3" t="s">
        <v>1230</v>
      </c>
      <c r="B165" t="s">
        <v>4682</v>
      </c>
      <c r="C165" s="16" t="s">
        <v>4508</v>
      </c>
      <c r="D165" t="s">
        <v>4509</v>
      </c>
      <c r="E165" t="s">
        <v>4510</v>
      </c>
      <c r="F165" t="s">
        <v>4511</v>
      </c>
      <c r="G165" s="5">
        <v>45648</v>
      </c>
      <c r="H165" t="s">
        <v>9</v>
      </c>
    </row>
    <row r="166" spans="1:8">
      <c r="A166" s="3" t="s">
        <v>1232</v>
      </c>
      <c r="B166" t="s">
        <v>4683</v>
      </c>
      <c r="C166" s="16" t="s">
        <v>4508</v>
      </c>
      <c r="D166" t="s">
        <v>4515</v>
      </c>
      <c r="E166" t="s">
        <v>4510</v>
      </c>
      <c r="F166" t="s">
        <v>4511</v>
      </c>
      <c r="G166" s="5">
        <v>45649</v>
      </c>
      <c r="H166" t="s">
        <v>191</v>
      </c>
    </row>
    <row r="167" spans="1:8">
      <c r="A167" s="3" t="s">
        <v>1240</v>
      </c>
      <c r="B167" t="s">
        <v>4684</v>
      </c>
      <c r="C167" s="16" t="s">
        <v>4508</v>
      </c>
      <c r="D167" t="s">
        <v>4509</v>
      </c>
      <c r="E167" t="s">
        <v>4510</v>
      </c>
      <c r="F167" t="s">
        <v>4511</v>
      </c>
      <c r="G167" s="5">
        <v>45651</v>
      </c>
      <c r="H167" t="s">
        <v>4520</v>
      </c>
    </row>
    <row r="168" spans="1:8">
      <c r="A168" s="3" t="s">
        <v>1242</v>
      </c>
      <c r="B168" t="s">
        <v>4685</v>
      </c>
      <c r="C168" s="16" t="s">
        <v>4508</v>
      </c>
      <c r="D168" t="s">
        <v>4515</v>
      </c>
      <c r="E168" t="s">
        <v>4510</v>
      </c>
      <c r="F168" t="s">
        <v>4511</v>
      </c>
      <c r="G168" s="5">
        <v>45652</v>
      </c>
      <c r="H168" t="s">
        <v>12</v>
      </c>
    </row>
    <row r="169" spans="1:8">
      <c r="A169" s="3" t="s">
        <v>1244</v>
      </c>
      <c r="B169" t="s">
        <v>4686</v>
      </c>
      <c r="C169" s="16" t="s">
        <v>4508</v>
      </c>
      <c r="D169" t="s">
        <v>4517</v>
      </c>
      <c r="E169" t="s">
        <v>4518</v>
      </c>
      <c r="F169" t="s">
        <v>4519</v>
      </c>
      <c r="G169" s="5">
        <v>45653</v>
      </c>
      <c r="H169" t="s">
        <v>4523</v>
      </c>
    </row>
    <row r="170" spans="1:8">
      <c r="A170" s="3" t="s">
        <v>1254</v>
      </c>
      <c r="B170" t="s">
        <v>4687</v>
      </c>
      <c r="C170" s="16" t="s">
        <v>4508</v>
      </c>
      <c r="D170" t="s">
        <v>4509</v>
      </c>
      <c r="E170" t="s">
        <v>4510</v>
      </c>
      <c r="F170" t="s">
        <v>4511</v>
      </c>
      <c r="G170" s="5">
        <v>45657</v>
      </c>
      <c r="H170" t="s">
        <v>4512</v>
      </c>
    </row>
    <row r="171" spans="1:8">
      <c r="A171" s="3" t="s">
        <v>1256</v>
      </c>
      <c r="B171" t="s">
        <v>4688</v>
      </c>
      <c r="C171" s="16" t="s">
        <v>4508</v>
      </c>
      <c r="D171" t="s">
        <v>4515</v>
      </c>
      <c r="E171" t="s">
        <v>4510</v>
      </c>
      <c r="F171" t="s">
        <v>4511</v>
      </c>
      <c r="G171" s="5">
        <v>45658</v>
      </c>
      <c r="H171" t="s">
        <v>9</v>
      </c>
    </row>
    <row r="172" spans="1:8">
      <c r="A172" s="3" t="s">
        <v>1264</v>
      </c>
      <c r="B172" t="s">
        <v>4689</v>
      </c>
      <c r="C172" s="16" t="s">
        <v>4508</v>
      </c>
      <c r="D172" t="s">
        <v>4509</v>
      </c>
      <c r="E172" t="s">
        <v>4510</v>
      </c>
      <c r="F172" t="s">
        <v>4511</v>
      </c>
      <c r="G172" s="5">
        <v>45657</v>
      </c>
      <c r="H172" t="s">
        <v>191</v>
      </c>
    </row>
    <row r="173" spans="1:8">
      <c r="A173" s="3" t="s">
        <v>1276</v>
      </c>
      <c r="B173" t="s">
        <v>4690</v>
      </c>
      <c r="C173" s="16" t="s">
        <v>4508</v>
      </c>
      <c r="D173" t="s">
        <v>4509</v>
      </c>
      <c r="E173" t="s">
        <v>4510</v>
      </c>
      <c r="F173" t="s">
        <v>4511</v>
      </c>
      <c r="G173" s="5">
        <v>45663</v>
      </c>
      <c r="H173" t="s">
        <v>4520</v>
      </c>
    </row>
    <row r="174" spans="1:8">
      <c r="A174" s="3" t="s">
        <v>1278</v>
      </c>
      <c r="B174" t="s">
        <v>4691</v>
      </c>
      <c r="C174" s="16" t="s">
        <v>4508</v>
      </c>
      <c r="D174" t="s">
        <v>4515</v>
      </c>
      <c r="E174" t="s">
        <v>4510</v>
      </c>
      <c r="F174" t="s">
        <v>4511</v>
      </c>
      <c r="G174" s="5">
        <v>45664</v>
      </c>
      <c r="H174" t="s">
        <v>12</v>
      </c>
    </row>
    <row r="175" spans="1:8">
      <c r="A175" s="3" t="s">
        <v>1291</v>
      </c>
      <c r="B175" t="s">
        <v>4692</v>
      </c>
      <c r="C175" s="16" t="s">
        <v>4508</v>
      </c>
      <c r="D175" t="s">
        <v>4509</v>
      </c>
      <c r="E175" t="s">
        <v>4510</v>
      </c>
      <c r="F175" t="s">
        <v>4511</v>
      </c>
      <c r="G175" s="5">
        <v>45663</v>
      </c>
      <c r="H175" t="s">
        <v>4523</v>
      </c>
    </row>
    <row r="176" spans="1:8">
      <c r="A176" s="3" t="s">
        <v>1293</v>
      </c>
      <c r="B176" t="s">
        <v>4693</v>
      </c>
      <c r="C176" s="16" t="s">
        <v>4508</v>
      </c>
      <c r="D176" t="s">
        <v>4515</v>
      </c>
      <c r="E176" t="s">
        <v>4510</v>
      </c>
      <c r="F176" t="s">
        <v>4511</v>
      </c>
      <c r="G176" s="5">
        <v>45664</v>
      </c>
      <c r="H176" t="s">
        <v>4512</v>
      </c>
    </row>
    <row r="177" spans="1:8">
      <c r="A177" s="3" t="s">
        <v>1311</v>
      </c>
      <c r="B177" t="s">
        <v>4694</v>
      </c>
      <c r="C177" s="16" t="s">
        <v>4508</v>
      </c>
      <c r="D177" t="s">
        <v>4509</v>
      </c>
      <c r="E177" t="s">
        <v>4510</v>
      </c>
      <c r="F177" t="s">
        <v>4511</v>
      </c>
      <c r="G177" s="5">
        <v>45666</v>
      </c>
      <c r="H177" t="s">
        <v>9</v>
      </c>
    </row>
    <row r="178" spans="1:8">
      <c r="A178" s="3" t="s">
        <v>1313</v>
      </c>
      <c r="B178" t="s">
        <v>4695</v>
      </c>
      <c r="C178" s="16" t="s">
        <v>4508</v>
      </c>
      <c r="D178" t="s">
        <v>4515</v>
      </c>
      <c r="E178" t="s">
        <v>4510</v>
      </c>
      <c r="F178" t="s">
        <v>4511</v>
      </c>
      <c r="G178" s="5">
        <v>45667</v>
      </c>
      <c r="H178" t="s">
        <v>191</v>
      </c>
    </row>
    <row r="179" spans="1:8">
      <c r="A179" s="3" t="s">
        <v>1326</v>
      </c>
      <c r="B179" t="s">
        <v>4696</v>
      </c>
      <c r="C179" s="16" t="s">
        <v>4508</v>
      </c>
      <c r="D179" t="s">
        <v>4509</v>
      </c>
      <c r="E179" t="s">
        <v>4510</v>
      </c>
      <c r="F179" t="s">
        <v>4511</v>
      </c>
      <c r="G179" s="5">
        <v>45669</v>
      </c>
      <c r="H179" t="s">
        <v>4520</v>
      </c>
    </row>
    <row r="180" spans="1:8">
      <c r="A180" s="3" t="s">
        <v>1331</v>
      </c>
      <c r="B180" t="s">
        <v>4697</v>
      </c>
      <c r="C180" s="16" t="s">
        <v>4508</v>
      </c>
      <c r="D180" t="s">
        <v>4509</v>
      </c>
      <c r="E180" t="s">
        <v>4510</v>
      </c>
      <c r="F180" t="s">
        <v>4511</v>
      </c>
      <c r="G180" s="5">
        <v>45672</v>
      </c>
      <c r="H180" t="s">
        <v>12</v>
      </c>
    </row>
    <row r="181" spans="1:8">
      <c r="A181" s="3" t="s">
        <v>1337</v>
      </c>
      <c r="B181" t="s">
        <v>4698</v>
      </c>
      <c r="C181" s="16" t="s">
        <v>4508</v>
      </c>
      <c r="D181" t="s">
        <v>4509</v>
      </c>
      <c r="E181" t="s">
        <v>4510</v>
      </c>
      <c r="F181" t="s">
        <v>4511</v>
      </c>
      <c r="G181" s="5">
        <v>45669</v>
      </c>
      <c r="H181" t="s">
        <v>4523</v>
      </c>
    </row>
    <row r="182" spans="1:8">
      <c r="A182" s="3" t="s">
        <v>1339</v>
      </c>
      <c r="B182" t="s">
        <v>4699</v>
      </c>
      <c r="C182" s="16" t="s">
        <v>4508</v>
      </c>
      <c r="D182" t="s">
        <v>4515</v>
      </c>
      <c r="E182" t="s">
        <v>4510</v>
      </c>
      <c r="F182" t="s">
        <v>4511</v>
      </c>
      <c r="G182" s="5">
        <v>45670</v>
      </c>
      <c r="H182" t="s">
        <v>4512</v>
      </c>
    </row>
    <row r="183" spans="1:8">
      <c r="A183" s="3" t="s">
        <v>1341</v>
      </c>
      <c r="B183" t="s">
        <v>4700</v>
      </c>
      <c r="C183" s="16" t="s">
        <v>4508</v>
      </c>
      <c r="D183" t="s">
        <v>4517</v>
      </c>
      <c r="E183" t="s">
        <v>4518</v>
      </c>
      <c r="F183" t="s">
        <v>4519</v>
      </c>
      <c r="G183" s="5">
        <v>45671</v>
      </c>
      <c r="H183" t="s">
        <v>9</v>
      </c>
    </row>
    <row r="184" spans="1:8">
      <c r="A184" s="3" t="s">
        <v>1344</v>
      </c>
      <c r="B184" t="s">
        <v>4701</v>
      </c>
      <c r="C184" s="16" t="s">
        <v>4508</v>
      </c>
      <c r="D184" t="s">
        <v>4509</v>
      </c>
      <c r="E184" t="s">
        <v>4510</v>
      </c>
      <c r="F184" t="s">
        <v>4511</v>
      </c>
      <c r="G184" s="5">
        <v>45672</v>
      </c>
      <c r="H184" t="s">
        <v>191</v>
      </c>
    </row>
    <row r="185" spans="1:8">
      <c r="A185" s="3" t="s">
        <v>1352</v>
      </c>
      <c r="B185" t="s">
        <v>4702</v>
      </c>
      <c r="C185" s="16" t="s">
        <v>4508</v>
      </c>
      <c r="D185" t="s">
        <v>4509</v>
      </c>
      <c r="E185" t="s">
        <v>4510</v>
      </c>
      <c r="F185" t="s">
        <v>4511</v>
      </c>
      <c r="G185" s="5">
        <v>45675</v>
      </c>
      <c r="H185" t="s">
        <v>4520</v>
      </c>
    </row>
    <row r="186" spans="1:8">
      <c r="A186" s="3" t="s">
        <v>1354</v>
      </c>
      <c r="B186" t="s">
        <v>4703</v>
      </c>
      <c r="C186" s="16" t="s">
        <v>4508</v>
      </c>
      <c r="D186" t="s">
        <v>4515</v>
      </c>
      <c r="E186" t="s">
        <v>4510</v>
      </c>
      <c r="F186" t="s">
        <v>4511</v>
      </c>
      <c r="G186" s="5">
        <v>45676</v>
      </c>
      <c r="H186" t="s">
        <v>12</v>
      </c>
    </row>
    <row r="187" spans="1:8">
      <c r="A187" s="3" t="s">
        <v>1361</v>
      </c>
      <c r="B187" t="s">
        <v>4704</v>
      </c>
      <c r="C187" s="16" t="s">
        <v>4508</v>
      </c>
      <c r="D187" t="s">
        <v>4509</v>
      </c>
      <c r="E187" t="s">
        <v>4510</v>
      </c>
      <c r="F187" t="s">
        <v>4511</v>
      </c>
      <c r="G187" s="5">
        <v>45678</v>
      </c>
      <c r="H187" t="s">
        <v>4523</v>
      </c>
    </row>
    <row r="188" spans="1:8">
      <c r="A188" s="3" t="s">
        <v>1363</v>
      </c>
      <c r="B188" t="s">
        <v>4705</v>
      </c>
      <c r="C188" s="16" t="s">
        <v>4508</v>
      </c>
      <c r="D188" t="s">
        <v>4515</v>
      </c>
      <c r="E188" t="s">
        <v>4510</v>
      </c>
      <c r="F188" t="s">
        <v>4511</v>
      </c>
      <c r="G188" s="5">
        <v>45679</v>
      </c>
      <c r="H188" t="s">
        <v>4512</v>
      </c>
    </row>
    <row r="189" spans="1:8">
      <c r="A189" s="3" t="s">
        <v>1365</v>
      </c>
      <c r="B189" t="s">
        <v>4706</v>
      </c>
      <c r="C189" s="16" t="s">
        <v>4508</v>
      </c>
      <c r="D189" t="s">
        <v>4517</v>
      </c>
      <c r="E189" t="s">
        <v>4518</v>
      </c>
      <c r="F189" t="s">
        <v>4519</v>
      </c>
      <c r="G189" s="5">
        <v>45680</v>
      </c>
      <c r="H189" t="s">
        <v>9</v>
      </c>
    </row>
    <row r="190" spans="1:8">
      <c r="A190" s="3" t="s">
        <v>1386</v>
      </c>
      <c r="B190" t="s">
        <v>4707</v>
      </c>
      <c r="C190" s="16" t="s">
        <v>4508</v>
      </c>
      <c r="D190" t="s">
        <v>4509</v>
      </c>
      <c r="E190" t="s">
        <v>4510</v>
      </c>
      <c r="F190" t="s">
        <v>4511</v>
      </c>
      <c r="G190" s="5">
        <v>45684</v>
      </c>
      <c r="H190" t="s">
        <v>191</v>
      </c>
    </row>
    <row r="191" spans="1:8">
      <c r="A191" s="3" t="s">
        <v>1388</v>
      </c>
      <c r="B191" t="s">
        <v>4708</v>
      </c>
      <c r="C191" s="16" t="s">
        <v>4508</v>
      </c>
      <c r="D191" t="s">
        <v>4515</v>
      </c>
      <c r="E191" t="s">
        <v>4510</v>
      </c>
      <c r="F191" t="s">
        <v>4511</v>
      </c>
      <c r="G191" s="5">
        <v>45685</v>
      </c>
      <c r="H191" t="s">
        <v>4520</v>
      </c>
    </row>
    <row r="192" spans="1:8">
      <c r="A192" s="3" t="s">
        <v>1390</v>
      </c>
      <c r="B192" t="s">
        <v>4709</v>
      </c>
      <c r="C192" s="16" t="s">
        <v>4508</v>
      </c>
      <c r="D192" t="s">
        <v>4517</v>
      </c>
      <c r="E192" t="s">
        <v>4518</v>
      </c>
      <c r="F192" t="s">
        <v>4519</v>
      </c>
      <c r="G192" s="5">
        <v>45686</v>
      </c>
      <c r="H192" t="s">
        <v>12</v>
      </c>
    </row>
    <row r="193" spans="1:8">
      <c r="A193" s="3" t="s">
        <v>1392</v>
      </c>
      <c r="B193" t="s">
        <v>4710</v>
      </c>
      <c r="C193" s="16" t="s">
        <v>4508</v>
      </c>
      <c r="D193" t="s">
        <v>4517</v>
      </c>
      <c r="E193" t="s">
        <v>4510</v>
      </c>
      <c r="F193" t="s">
        <v>4526</v>
      </c>
      <c r="G193" s="5">
        <v>45687</v>
      </c>
      <c r="H193" t="s">
        <v>4523</v>
      </c>
    </row>
    <row r="194" spans="1:8">
      <c r="A194" s="3" t="s">
        <v>1407</v>
      </c>
      <c r="B194" t="s">
        <v>4711</v>
      </c>
      <c r="C194" s="16" t="s">
        <v>4508</v>
      </c>
      <c r="D194" t="s">
        <v>4509</v>
      </c>
      <c r="E194" t="s">
        <v>4510</v>
      </c>
      <c r="F194" t="s">
        <v>4511</v>
      </c>
      <c r="G194" s="5">
        <v>45690</v>
      </c>
      <c r="H194" t="s">
        <v>4512</v>
      </c>
    </row>
    <row r="195" spans="1:8">
      <c r="A195" s="3" t="s">
        <v>1409</v>
      </c>
      <c r="B195" t="s">
        <v>4712</v>
      </c>
      <c r="C195" s="16" t="s">
        <v>4508</v>
      </c>
      <c r="D195" t="s">
        <v>4515</v>
      </c>
      <c r="E195" t="s">
        <v>4510</v>
      </c>
      <c r="F195" t="s">
        <v>4511</v>
      </c>
      <c r="G195" s="5">
        <v>45691</v>
      </c>
      <c r="H195" t="s">
        <v>9</v>
      </c>
    </row>
    <row r="196" spans="1:8">
      <c r="A196" s="3" t="s">
        <v>1411</v>
      </c>
      <c r="B196" t="s">
        <v>4713</v>
      </c>
      <c r="C196" s="16" t="s">
        <v>4508</v>
      </c>
      <c r="D196" t="s">
        <v>4517</v>
      </c>
      <c r="E196" t="s">
        <v>4518</v>
      </c>
      <c r="F196" t="s">
        <v>4519</v>
      </c>
      <c r="G196" s="5">
        <v>45692</v>
      </c>
      <c r="H196" t="s">
        <v>191</v>
      </c>
    </row>
    <row r="197" spans="1:8">
      <c r="A197" s="3" t="s">
        <v>1413</v>
      </c>
      <c r="B197" t="s">
        <v>4714</v>
      </c>
      <c r="C197" s="16" t="s">
        <v>4508</v>
      </c>
      <c r="D197" t="s">
        <v>4517</v>
      </c>
      <c r="E197" t="s">
        <v>4510</v>
      </c>
      <c r="F197" t="s">
        <v>4526</v>
      </c>
      <c r="G197" s="5">
        <v>45693</v>
      </c>
      <c r="H197" t="s">
        <v>4520</v>
      </c>
    </row>
    <row r="198" spans="1:8">
      <c r="A198" s="3" t="s">
        <v>1424</v>
      </c>
      <c r="B198" t="s">
        <v>4715</v>
      </c>
      <c r="C198" s="16" t="s">
        <v>4508</v>
      </c>
      <c r="D198" t="s">
        <v>4509</v>
      </c>
      <c r="E198" t="s">
        <v>4510</v>
      </c>
      <c r="F198" t="s">
        <v>4511</v>
      </c>
      <c r="G198" s="5">
        <v>45693</v>
      </c>
      <c r="H198" t="s">
        <v>12</v>
      </c>
    </row>
    <row r="199" spans="1:8">
      <c r="A199" s="3" t="s">
        <v>1426</v>
      </c>
      <c r="B199" t="s">
        <v>4716</v>
      </c>
      <c r="C199" s="16" t="s">
        <v>4508</v>
      </c>
      <c r="D199" t="s">
        <v>4515</v>
      </c>
      <c r="E199" t="s">
        <v>4510</v>
      </c>
      <c r="F199" t="s">
        <v>4511</v>
      </c>
      <c r="G199" s="5">
        <v>45694</v>
      </c>
      <c r="H199" t="s">
        <v>4523</v>
      </c>
    </row>
    <row r="200" spans="1:8">
      <c r="A200" s="3" t="s">
        <v>1428</v>
      </c>
      <c r="B200" t="s">
        <v>4717</v>
      </c>
      <c r="C200" s="16" t="s">
        <v>4508</v>
      </c>
      <c r="D200" t="s">
        <v>4517</v>
      </c>
      <c r="E200" t="s">
        <v>4518</v>
      </c>
      <c r="F200" t="s">
        <v>4519</v>
      </c>
      <c r="G200" s="5">
        <v>45695</v>
      </c>
      <c r="H200" t="s">
        <v>4512</v>
      </c>
    </row>
    <row r="201" spans="1:8">
      <c r="A201" s="3" t="s">
        <v>1441</v>
      </c>
      <c r="B201" t="s">
        <v>4718</v>
      </c>
      <c r="C201" s="16" t="s">
        <v>4508</v>
      </c>
      <c r="D201" t="s">
        <v>4509</v>
      </c>
      <c r="E201" t="s">
        <v>4510</v>
      </c>
      <c r="F201" t="s">
        <v>4511</v>
      </c>
      <c r="G201" s="5">
        <v>45693</v>
      </c>
      <c r="H201" t="s">
        <v>9</v>
      </c>
    </row>
    <row r="202" spans="1:8">
      <c r="A202" s="3" t="s">
        <v>1443</v>
      </c>
      <c r="B202" t="s">
        <v>4719</v>
      </c>
      <c r="C202" s="16" t="s">
        <v>4508</v>
      </c>
      <c r="D202" t="s">
        <v>4515</v>
      </c>
      <c r="E202" t="s">
        <v>4510</v>
      </c>
      <c r="F202" t="s">
        <v>4511</v>
      </c>
      <c r="G202" s="5">
        <v>45694</v>
      </c>
      <c r="H202" t="s">
        <v>191</v>
      </c>
    </row>
    <row r="203" spans="1:8">
      <c r="A203" s="3" t="s">
        <v>1464</v>
      </c>
      <c r="B203" t="s">
        <v>4720</v>
      </c>
      <c r="C203" s="16" t="s">
        <v>4508</v>
      </c>
      <c r="D203" t="s">
        <v>4509</v>
      </c>
      <c r="E203" t="s">
        <v>4510</v>
      </c>
      <c r="F203" t="s">
        <v>4511</v>
      </c>
      <c r="G203" s="5">
        <v>45699</v>
      </c>
      <c r="H203" t="s">
        <v>4520</v>
      </c>
    </row>
    <row r="204" spans="1:8">
      <c r="A204" s="3" t="s">
        <v>1466</v>
      </c>
      <c r="B204" t="s">
        <v>4721</v>
      </c>
      <c r="C204" s="16" t="s">
        <v>4508</v>
      </c>
      <c r="D204" t="s">
        <v>4515</v>
      </c>
      <c r="E204" t="s">
        <v>4510</v>
      </c>
      <c r="F204" t="s">
        <v>4511</v>
      </c>
      <c r="G204" s="5">
        <v>45700</v>
      </c>
      <c r="H204" t="s">
        <v>12</v>
      </c>
    </row>
    <row r="205" spans="1:8">
      <c r="A205" s="3" t="s">
        <v>1494</v>
      </c>
      <c r="B205" t="s">
        <v>4722</v>
      </c>
      <c r="C205" s="16" t="s">
        <v>4508</v>
      </c>
      <c r="D205" t="s">
        <v>4509</v>
      </c>
      <c r="E205" t="s">
        <v>4510</v>
      </c>
      <c r="F205" t="s">
        <v>4511</v>
      </c>
      <c r="G205" s="5">
        <v>45708</v>
      </c>
      <c r="H205" t="s">
        <v>4523</v>
      </c>
    </row>
    <row r="206" spans="1:8">
      <c r="A206" s="3" t="s">
        <v>1502</v>
      </c>
      <c r="B206" t="s">
        <v>4723</v>
      </c>
      <c r="C206" s="16" t="s">
        <v>4508</v>
      </c>
      <c r="D206" t="s">
        <v>4509</v>
      </c>
      <c r="E206" t="s">
        <v>4510</v>
      </c>
      <c r="F206" t="s">
        <v>4511</v>
      </c>
      <c r="G206" s="5">
        <v>45708</v>
      </c>
      <c r="H206" t="s">
        <v>4512</v>
      </c>
    </row>
    <row r="207" spans="1:8">
      <c r="A207" s="3" t="s">
        <v>1504</v>
      </c>
      <c r="B207" t="s">
        <v>4724</v>
      </c>
      <c r="C207" s="16" t="s">
        <v>4508</v>
      </c>
      <c r="D207" t="s">
        <v>4515</v>
      </c>
      <c r="E207" t="s">
        <v>4510</v>
      </c>
      <c r="F207" t="s">
        <v>4511</v>
      </c>
      <c r="G207" s="5">
        <v>45709</v>
      </c>
      <c r="H207" t="s">
        <v>9</v>
      </c>
    </row>
    <row r="208" spans="1:8">
      <c r="A208" s="3" t="s">
        <v>1536</v>
      </c>
      <c r="B208" t="s">
        <v>4725</v>
      </c>
      <c r="C208" s="16" t="s">
        <v>4508</v>
      </c>
      <c r="D208" t="s">
        <v>4509</v>
      </c>
      <c r="E208" t="s">
        <v>4510</v>
      </c>
      <c r="F208" t="s">
        <v>4511</v>
      </c>
      <c r="G208" s="5">
        <v>45717</v>
      </c>
      <c r="H208" t="s">
        <v>191</v>
      </c>
    </row>
    <row r="209" spans="1:8">
      <c r="A209" s="3" t="s">
        <v>1543</v>
      </c>
      <c r="B209" t="s">
        <v>4726</v>
      </c>
      <c r="C209" s="16" t="s">
        <v>4508</v>
      </c>
      <c r="D209" t="s">
        <v>4509</v>
      </c>
      <c r="E209" t="s">
        <v>4510</v>
      </c>
      <c r="F209" t="s">
        <v>4511</v>
      </c>
      <c r="G209" s="5">
        <v>45720</v>
      </c>
      <c r="H209" t="s">
        <v>4520</v>
      </c>
    </row>
    <row r="210" spans="1:8">
      <c r="A210" s="3" t="s">
        <v>1545</v>
      </c>
      <c r="B210" t="s">
        <v>4727</v>
      </c>
      <c r="C210" s="16" t="s">
        <v>4508</v>
      </c>
      <c r="D210" t="s">
        <v>4515</v>
      </c>
      <c r="E210" t="s">
        <v>4510</v>
      </c>
      <c r="F210" t="s">
        <v>4511</v>
      </c>
      <c r="G210" s="5">
        <v>45721</v>
      </c>
      <c r="H210" t="s">
        <v>12</v>
      </c>
    </row>
    <row r="211" spans="1:8">
      <c r="A211" s="3" t="s">
        <v>1560</v>
      </c>
      <c r="B211" t="s">
        <v>4728</v>
      </c>
      <c r="C211" s="16" t="s">
        <v>4508</v>
      </c>
      <c r="D211" t="s">
        <v>4509</v>
      </c>
      <c r="E211" t="s">
        <v>4510</v>
      </c>
      <c r="F211" t="s">
        <v>4511</v>
      </c>
      <c r="G211" s="5">
        <v>45723</v>
      </c>
      <c r="H211" t="s">
        <v>4523</v>
      </c>
    </row>
    <row r="212" spans="1:8">
      <c r="A212" s="3" t="s">
        <v>1579</v>
      </c>
      <c r="B212" t="s">
        <v>4729</v>
      </c>
      <c r="C212" s="16" t="s">
        <v>4508</v>
      </c>
      <c r="D212" t="s">
        <v>4509</v>
      </c>
      <c r="E212" t="s">
        <v>4510</v>
      </c>
      <c r="F212" t="s">
        <v>4511</v>
      </c>
      <c r="G212" s="5">
        <v>45726</v>
      </c>
      <c r="H212" t="s">
        <v>4512</v>
      </c>
    </row>
    <row r="213" spans="1:8">
      <c r="A213" s="3" t="s">
        <v>1581</v>
      </c>
      <c r="B213" t="s">
        <v>4730</v>
      </c>
      <c r="C213" s="16" t="s">
        <v>4508</v>
      </c>
      <c r="D213" t="s">
        <v>4515</v>
      </c>
      <c r="E213" t="s">
        <v>4510</v>
      </c>
      <c r="F213" t="s">
        <v>4511</v>
      </c>
      <c r="G213" s="5">
        <v>45727</v>
      </c>
      <c r="H213" t="s">
        <v>9</v>
      </c>
    </row>
    <row r="214" spans="1:8">
      <c r="A214" s="3" t="s">
        <v>1583</v>
      </c>
      <c r="B214" t="s">
        <v>4731</v>
      </c>
      <c r="C214" s="16" t="s">
        <v>4508</v>
      </c>
      <c r="D214" t="s">
        <v>4517</v>
      </c>
      <c r="E214" t="s">
        <v>4518</v>
      </c>
      <c r="F214" t="s">
        <v>4519</v>
      </c>
      <c r="G214" s="5">
        <v>45728</v>
      </c>
      <c r="H214" t="s">
        <v>191</v>
      </c>
    </row>
    <row r="215" spans="1:8">
      <c r="A215" s="3" t="s">
        <v>1592</v>
      </c>
      <c r="B215" t="s">
        <v>4732</v>
      </c>
      <c r="C215" s="16" t="s">
        <v>4508</v>
      </c>
      <c r="D215" t="s">
        <v>4509</v>
      </c>
      <c r="E215" t="s">
        <v>4510</v>
      </c>
      <c r="F215" t="s">
        <v>4511</v>
      </c>
      <c r="G215" s="5">
        <v>45729</v>
      </c>
      <c r="H215" t="s">
        <v>4520</v>
      </c>
    </row>
    <row r="216" spans="1:8">
      <c r="A216" s="3" t="s">
        <v>1594</v>
      </c>
      <c r="B216" t="s">
        <v>4733</v>
      </c>
      <c r="C216" s="16" t="s">
        <v>4508</v>
      </c>
      <c r="D216" t="s">
        <v>4515</v>
      </c>
      <c r="E216" t="s">
        <v>4510</v>
      </c>
      <c r="F216" t="s">
        <v>4511</v>
      </c>
      <c r="G216" s="5">
        <v>45730</v>
      </c>
      <c r="H216" t="s">
        <v>12</v>
      </c>
    </row>
    <row r="217" spans="1:8">
      <c r="A217" s="3" t="s">
        <v>1603</v>
      </c>
      <c r="B217" t="s">
        <v>4734</v>
      </c>
      <c r="C217" s="16" t="s">
        <v>4508</v>
      </c>
      <c r="D217" t="s">
        <v>4509</v>
      </c>
      <c r="E217" t="s">
        <v>4510</v>
      </c>
      <c r="F217" t="s">
        <v>4511</v>
      </c>
      <c r="G217" s="5">
        <v>45732</v>
      </c>
      <c r="H217" t="s">
        <v>4523</v>
      </c>
    </row>
    <row r="218" spans="1:8">
      <c r="A218" s="3" t="s">
        <v>1605</v>
      </c>
      <c r="B218" t="s">
        <v>4735</v>
      </c>
      <c r="C218" s="16" t="s">
        <v>4508</v>
      </c>
      <c r="D218" t="s">
        <v>4515</v>
      </c>
      <c r="E218" t="s">
        <v>4510</v>
      </c>
      <c r="F218" t="s">
        <v>4511</v>
      </c>
      <c r="G218" s="5">
        <v>45733</v>
      </c>
      <c r="H218" t="s">
        <v>4512</v>
      </c>
    </row>
    <row r="219" spans="1:8">
      <c r="A219" s="3" t="s">
        <v>1607</v>
      </c>
      <c r="B219" t="s">
        <v>4736</v>
      </c>
      <c r="C219" s="16" t="s">
        <v>4508</v>
      </c>
      <c r="D219" t="s">
        <v>4517</v>
      </c>
      <c r="E219" t="s">
        <v>4518</v>
      </c>
      <c r="F219" t="s">
        <v>4519</v>
      </c>
      <c r="G219" s="5">
        <v>45734</v>
      </c>
      <c r="H219" t="s">
        <v>9</v>
      </c>
    </row>
    <row r="220" spans="1:8">
      <c r="A220" s="3" t="s">
        <v>1609</v>
      </c>
      <c r="B220" t="s">
        <v>4737</v>
      </c>
      <c r="C220" s="16" t="s">
        <v>4508</v>
      </c>
      <c r="D220" t="s">
        <v>4517</v>
      </c>
      <c r="E220" t="s">
        <v>4510</v>
      </c>
      <c r="F220" t="s">
        <v>4526</v>
      </c>
      <c r="G220" s="5">
        <v>45735</v>
      </c>
      <c r="H220" t="s">
        <v>191</v>
      </c>
    </row>
    <row r="221" spans="1:8">
      <c r="A221" s="3" t="s">
        <v>1625</v>
      </c>
      <c r="B221" t="s">
        <v>4738</v>
      </c>
      <c r="C221" s="16" t="s">
        <v>4508</v>
      </c>
      <c r="D221" t="s">
        <v>4509</v>
      </c>
      <c r="E221" t="s">
        <v>4510</v>
      </c>
      <c r="F221" t="s">
        <v>4511</v>
      </c>
      <c r="G221" s="5">
        <v>45732</v>
      </c>
      <c r="H221" t="s">
        <v>4520</v>
      </c>
    </row>
    <row r="222" spans="1:8">
      <c r="A222" s="3" t="s">
        <v>1627</v>
      </c>
      <c r="B222" t="s">
        <v>4739</v>
      </c>
      <c r="C222" s="16" t="s">
        <v>4508</v>
      </c>
      <c r="D222" t="s">
        <v>4515</v>
      </c>
      <c r="E222" t="s">
        <v>4510</v>
      </c>
      <c r="F222" t="s">
        <v>4511</v>
      </c>
      <c r="G222" s="5">
        <v>45733</v>
      </c>
      <c r="H222" t="s">
        <v>12</v>
      </c>
    </row>
    <row r="223" spans="1:8">
      <c r="A223" s="3" t="s">
        <v>1634</v>
      </c>
      <c r="B223" t="s">
        <v>4740</v>
      </c>
      <c r="C223" s="16" t="s">
        <v>4508</v>
      </c>
      <c r="D223" t="s">
        <v>4509</v>
      </c>
      <c r="E223" t="s">
        <v>4510</v>
      </c>
      <c r="F223" t="s">
        <v>4511</v>
      </c>
      <c r="G223" s="5">
        <v>45735</v>
      </c>
      <c r="H223" t="s">
        <v>4523</v>
      </c>
    </row>
    <row r="224" spans="1:8">
      <c r="A224" s="3" t="s">
        <v>1636</v>
      </c>
      <c r="B224" t="s">
        <v>4741</v>
      </c>
      <c r="C224" s="16" t="s">
        <v>4508</v>
      </c>
      <c r="D224" t="s">
        <v>4515</v>
      </c>
      <c r="E224" t="s">
        <v>4510</v>
      </c>
      <c r="F224" t="s">
        <v>4511</v>
      </c>
      <c r="G224" s="5">
        <v>45736</v>
      </c>
      <c r="H224" t="s">
        <v>4512</v>
      </c>
    </row>
    <row r="225" spans="1:8">
      <c r="A225" s="3" t="s">
        <v>1659</v>
      </c>
      <c r="B225" t="s">
        <v>4742</v>
      </c>
      <c r="C225" s="16" t="s">
        <v>4508</v>
      </c>
      <c r="D225" t="s">
        <v>4509</v>
      </c>
      <c r="E225" t="s">
        <v>4510</v>
      </c>
      <c r="F225" t="s">
        <v>4511</v>
      </c>
      <c r="G225" s="5">
        <v>45741</v>
      </c>
      <c r="H225" t="s">
        <v>9</v>
      </c>
    </row>
    <row r="226" spans="1:8">
      <c r="A226" s="3" t="s">
        <v>1661</v>
      </c>
      <c r="B226" t="s">
        <v>4743</v>
      </c>
      <c r="C226" s="16" t="s">
        <v>4508</v>
      </c>
      <c r="D226" t="s">
        <v>4515</v>
      </c>
      <c r="E226" t="s">
        <v>4510</v>
      </c>
      <c r="F226" t="s">
        <v>4511</v>
      </c>
      <c r="G226" s="5">
        <v>45742</v>
      </c>
      <c r="H226" t="s">
        <v>191</v>
      </c>
    </row>
    <row r="227" spans="1:8">
      <c r="A227" s="3" t="s">
        <v>1670</v>
      </c>
      <c r="B227" t="s">
        <v>4744</v>
      </c>
      <c r="C227" s="16" t="s">
        <v>4508</v>
      </c>
      <c r="D227" t="s">
        <v>4509</v>
      </c>
      <c r="E227" t="s">
        <v>4510</v>
      </c>
      <c r="F227" t="s">
        <v>4511</v>
      </c>
      <c r="G227" s="5">
        <v>45744</v>
      </c>
      <c r="H227" t="s">
        <v>4520</v>
      </c>
    </row>
    <row r="228" spans="1:8">
      <c r="A228" s="3" t="s">
        <v>1672</v>
      </c>
      <c r="B228" t="s">
        <v>4745</v>
      </c>
      <c r="C228" s="16" t="s">
        <v>4508</v>
      </c>
      <c r="D228" t="s">
        <v>4515</v>
      </c>
      <c r="E228" t="s">
        <v>4510</v>
      </c>
      <c r="F228" t="s">
        <v>4511</v>
      </c>
      <c r="G228" s="5">
        <v>45745</v>
      </c>
      <c r="H228" t="s">
        <v>12</v>
      </c>
    </row>
    <row r="229" spans="1:8">
      <c r="A229" s="3" t="s">
        <v>1682</v>
      </c>
      <c r="B229" t="s">
        <v>4746</v>
      </c>
      <c r="C229" s="16" t="s">
        <v>4508</v>
      </c>
      <c r="D229" t="s">
        <v>4509</v>
      </c>
      <c r="E229" t="s">
        <v>4510</v>
      </c>
      <c r="F229" t="s">
        <v>4511</v>
      </c>
      <c r="G229" s="5">
        <v>45744</v>
      </c>
      <c r="H229" t="s">
        <v>4523</v>
      </c>
    </row>
    <row r="230" spans="1:8">
      <c r="A230" s="3" t="s">
        <v>1684</v>
      </c>
      <c r="B230" t="s">
        <v>4747</v>
      </c>
      <c r="C230" s="16" t="s">
        <v>4508</v>
      </c>
      <c r="D230" t="s">
        <v>4515</v>
      </c>
      <c r="E230" t="s">
        <v>4510</v>
      </c>
      <c r="F230" t="s">
        <v>4511</v>
      </c>
      <c r="G230" s="5">
        <v>45745</v>
      </c>
      <c r="H230" t="s">
        <v>4512</v>
      </c>
    </row>
    <row r="231" spans="1:8">
      <c r="A231" s="3" t="s">
        <v>1689</v>
      </c>
      <c r="B231" t="s">
        <v>4748</v>
      </c>
      <c r="C231" s="16" t="s">
        <v>4508</v>
      </c>
      <c r="D231" t="s">
        <v>4509</v>
      </c>
      <c r="E231" t="s">
        <v>4510</v>
      </c>
      <c r="F231" t="s">
        <v>4511</v>
      </c>
      <c r="G231" s="5">
        <v>45747</v>
      </c>
      <c r="H231" t="s">
        <v>9</v>
      </c>
    </row>
    <row r="232" spans="1:8">
      <c r="A232" s="3" t="s">
        <v>1691</v>
      </c>
      <c r="B232" t="s">
        <v>4749</v>
      </c>
      <c r="C232" s="16" t="s">
        <v>4508</v>
      </c>
      <c r="D232" t="s">
        <v>4515</v>
      </c>
      <c r="E232" t="s">
        <v>4510</v>
      </c>
      <c r="F232" t="s">
        <v>4511</v>
      </c>
      <c r="G232" s="5">
        <v>45748</v>
      </c>
      <c r="H232" t="s">
        <v>191</v>
      </c>
    </row>
    <row r="233" spans="1:8">
      <c r="A233" s="3" t="s">
        <v>1701</v>
      </c>
      <c r="B233" t="s">
        <v>4750</v>
      </c>
      <c r="C233" s="16" t="s">
        <v>4508</v>
      </c>
      <c r="D233" t="s">
        <v>4509</v>
      </c>
      <c r="E233" t="s">
        <v>4510</v>
      </c>
      <c r="F233" t="s">
        <v>4511</v>
      </c>
      <c r="G233" s="5">
        <v>45750</v>
      </c>
      <c r="H233" t="s">
        <v>4520</v>
      </c>
    </row>
    <row r="234" spans="1:8">
      <c r="A234" s="3" t="s">
        <v>1703</v>
      </c>
      <c r="B234" t="s">
        <v>4751</v>
      </c>
      <c r="C234" s="16" t="s">
        <v>4508</v>
      </c>
      <c r="D234" t="s">
        <v>4515</v>
      </c>
      <c r="E234" t="s">
        <v>4510</v>
      </c>
      <c r="F234" t="s">
        <v>4511</v>
      </c>
      <c r="G234" s="5">
        <v>45751</v>
      </c>
      <c r="H234" t="s">
        <v>12</v>
      </c>
    </row>
    <row r="235" spans="1:8">
      <c r="A235" s="3" t="s">
        <v>1705</v>
      </c>
      <c r="B235" t="s">
        <v>4752</v>
      </c>
      <c r="C235" s="16" t="s">
        <v>4508</v>
      </c>
      <c r="D235" t="s">
        <v>4517</v>
      </c>
      <c r="E235" t="s">
        <v>4518</v>
      </c>
      <c r="F235" t="s">
        <v>4519</v>
      </c>
      <c r="G235" s="5">
        <v>45752</v>
      </c>
      <c r="H235" t="s">
        <v>4523</v>
      </c>
    </row>
    <row r="236" spans="1:8">
      <c r="A236" s="3" t="s">
        <v>1713</v>
      </c>
      <c r="B236" t="s">
        <v>4753</v>
      </c>
      <c r="C236" s="16" t="s">
        <v>4508</v>
      </c>
      <c r="D236" t="s">
        <v>4509</v>
      </c>
      <c r="E236" t="s">
        <v>4510</v>
      </c>
      <c r="F236" t="s">
        <v>4511</v>
      </c>
      <c r="G236" s="5">
        <v>45750</v>
      </c>
      <c r="H236" t="s">
        <v>4512</v>
      </c>
    </row>
    <row r="237" spans="1:8">
      <c r="A237" s="3" t="s">
        <v>1715</v>
      </c>
      <c r="B237" t="s">
        <v>4754</v>
      </c>
      <c r="C237" s="16" t="s">
        <v>4508</v>
      </c>
      <c r="D237" t="s">
        <v>4515</v>
      </c>
      <c r="E237" t="s">
        <v>4510</v>
      </c>
      <c r="F237" t="s">
        <v>4511</v>
      </c>
      <c r="G237" s="5">
        <v>45751</v>
      </c>
      <c r="H237" t="s">
        <v>9</v>
      </c>
    </row>
    <row r="238" spans="1:8">
      <c r="A238" s="3" t="s">
        <v>1724</v>
      </c>
      <c r="B238" t="s">
        <v>4755</v>
      </c>
      <c r="C238" s="16" t="s">
        <v>4508</v>
      </c>
      <c r="D238" t="s">
        <v>4509</v>
      </c>
      <c r="E238" t="s">
        <v>4510</v>
      </c>
      <c r="F238" t="s">
        <v>4511</v>
      </c>
      <c r="G238" s="5">
        <v>45753</v>
      </c>
      <c r="H238" t="s">
        <v>191</v>
      </c>
    </row>
    <row r="239" spans="1:8">
      <c r="A239" s="3" t="s">
        <v>1726</v>
      </c>
      <c r="B239" t="s">
        <v>4756</v>
      </c>
      <c r="C239" s="16" t="s">
        <v>4508</v>
      </c>
      <c r="D239" t="s">
        <v>4515</v>
      </c>
      <c r="E239" t="s">
        <v>4510</v>
      </c>
      <c r="F239" t="s">
        <v>4511</v>
      </c>
      <c r="G239" s="5">
        <v>45754</v>
      </c>
      <c r="H239" t="s">
        <v>4520</v>
      </c>
    </row>
    <row r="240" spans="1:8">
      <c r="A240" s="3" t="s">
        <v>1733</v>
      </c>
      <c r="B240" t="s">
        <v>4757</v>
      </c>
      <c r="C240" s="16" t="s">
        <v>4508</v>
      </c>
      <c r="D240" t="s">
        <v>4509</v>
      </c>
      <c r="E240" t="s">
        <v>4510</v>
      </c>
      <c r="F240" t="s">
        <v>4511</v>
      </c>
      <c r="G240" s="5">
        <v>45756</v>
      </c>
      <c r="H240" t="s">
        <v>12</v>
      </c>
    </row>
    <row r="241" spans="1:8">
      <c r="A241" s="3" t="s">
        <v>1735</v>
      </c>
      <c r="B241" t="s">
        <v>4758</v>
      </c>
      <c r="C241" s="16" t="s">
        <v>4508</v>
      </c>
      <c r="D241" t="s">
        <v>4515</v>
      </c>
      <c r="E241" t="s">
        <v>4510</v>
      </c>
      <c r="F241" t="s">
        <v>4511</v>
      </c>
      <c r="G241" s="5">
        <v>45757</v>
      </c>
      <c r="H241" t="s">
        <v>4523</v>
      </c>
    </row>
    <row r="242" spans="1:8">
      <c r="A242" s="3" t="s">
        <v>1746</v>
      </c>
      <c r="B242" t="s">
        <v>4759</v>
      </c>
      <c r="C242" s="16" t="s">
        <v>4508</v>
      </c>
      <c r="D242" t="s">
        <v>4509</v>
      </c>
      <c r="E242" t="s">
        <v>4510</v>
      </c>
      <c r="F242" t="s">
        <v>4511</v>
      </c>
      <c r="G242" s="5">
        <v>45759</v>
      </c>
      <c r="H242" t="s">
        <v>4512</v>
      </c>
    </row>
    <row r="243" spans="1:8">
      <c r="A243" s="3" t="s">
        <v>1748</v>
      </c>
      <c r="B243" t="s">
        <v>4760</v>
      </c>
      <c r="C243" s="16" t="s">
        <v>4508</v>
      </c>
      <c r="D243" t="s">
        <v>4515</v>
      </c>
      <c r="E243" t="s">
        <v>4510</v>
      </c>
      <c r="F243" t="s">
        <v>4511</v>
      </c>
      <c r="G243" s="5">
        <v>45760</v>
      </c>
      <c r="H243" t="s">
        <v>9</v>
      </c>
    </row>
    <row r="244" spans="1:8">
      <c r="A244" s="3" t="s">
        <v>1755</v>
      </c>
      <c r="B244" t="s">
        <v>4761</v>
      </c>
      <c r="C244" s="16" t="s">
        <v>4508</v>
      </c>
      <c r="D244" t="s">
        <v>4509</v>
      </c>
      <c r="E244" t="s">
        <v>4510</v>
      </c>
      <c r="F244" t="s">
        <v>4511</v>
      </c>
      <c r="G244" s="5">
        <v>45762</v>
      </c>
      <c r="H244" t="s">
        <v>191</v>
      </c>
    </row>
    <row r="245" spans="1:8">
      <c r="A245" s="3" t="s">
        <v>1757</v>
      </c>
      <c r="B245" t="s">
        <v>4762</v>
      </c>
      <c r="C245" s="16" t="s">
        <v>4508</v>
      </c>
      <c r="D245" t="s">
        <v>4515</v>
      </c>
      <c r="E245" t="s">
        <v>4510</v>
      </c>
      <c r="F245" t="s">
        <v>4511</v>
      </c>
      <c r="G245" s="5">
        <v>45763</v>
      </c>
      <c r="H245" t="s">
        <v>4520</v>
      </c>
    </row>
    <row r="246" spans="1:8">
      <c r="A246" s="3" t="s">
        <v>1759</v>
      </c>
      <c r="B246" t="s">
        <v>4763</v>
      </c>
      <c r="C246" s="16" t="s">
        <v>4508</v>
      </c>
      <c r="D246" t="s">
        <v>4517</v>
      </c>
      <c r="E246" t="s">
        <v>4518</v>
      </c>
      <c r="F246" t="s">
        <v>4519</v>
      </c>
      <c r="G246" s="5">
        <v>45764</v>
      </c>
      <c r="H246" t="s">
        <v>12</v>
      </c>
    </row>
    <row r="247" spans="1:8">
      <c r="A247" s="3" t="s">
        <v>1767</v>
      </c>
      <c r="B247" t="s">
        <v>4764</v>
      </c>
      <c r="C247" s="16" t="s">
        <v>4508</v>
      </c>
      <c r="D247" t="s">
        <v>4509</v>
      </c>
      <c r="E247" t="s">
        <v>4510</v>
      </c>
      <c r="F247" t="s">
        <v>4511</v>
      </c>
      <c r="G247" s="5">
        <v>45762</v>
      </c>
      <c r="H247" t="s">
        <v>4523</v>
      </c>
    </row>
    <row r="248" spans="1:8">
      <c r="A248" s="3" t="s">
        <v>1769</v>
      </c>
      <c r="B248" t="s">
        <v>4765</v>
      </c>
      <c r="C248" s="16" t="s">
        <v>4508</v>
      </c>
      <c r="D248" t="s">
        <v>4515</v>
      </c>
      <c r="E248" t="s">
        <v>4510</v>
      </c>
      <c r="F248" t="s">
        <v>4511</v>
      </c>
      <c r="G248" s="5">
        <v>45763</v>
      </c>
      <c r="H248" t="s">
        <v>4512</v>
      </c>
    </row>
    <row r="249" spans="1:8">
      <c r="A249" s="3" t="s">
        <v>1782</v>
      </c>
      <c r="B249" t="s">
        <v>4766</v>
      </c>
      <c r="C249" s="16" t="s">
        <v>4508</v>
      </c>
      <c r="D249" t="s">
        <v>4509</v>
      </c>
      <c r="E249" t="s">
        <v>4510</v>
      </c>
      <c r="F249" t="s">
        <v>4511</v>
      </c>
      <c r="G249" s="5">
        <v>45765</v>
      </c>
      <c r="H249" t="s">
        <v>9</v>
      </c>
    </row>
    <row r="250" spans="1:8">
      <c r="A250" s="3" t="s">
        <v>1784</v>
      </c>
      <c r="B250" t="s">
        <v>4767</v>
      </c>
      <c r="C250" s="16" t="s">
        <v>4508</v>
      </c>
      <c r="D250" t="s">
        <v>4515</v>
      </c>
      <c r="E250" t="s">
        <v>4510</v>
      </c>
      <c r="F250" t="s">
        <v>4511</v>
      </c>
      <c r="G250" s="5">
        <v>45766</v>
      </c>
      <c r="H250" t="s">
        <v>191</v>
      </c>
    </row>
    <row r="251" spans="1:8">
      <c r="A251" s="3" t="s">
        <v>1791</v>
      </c>
      <c r="B251" t="s">
        <v>4768</v>
      </c>
      <c r="C251" s="16" t="s">
        <v>4508</v>
      </c>
      <c r="D251" t="s">
        <v>4509</v>
      </c>
      <c r="E251" t="s">
        <v>4510</v>
      </c>
      <c r="F251" t="s">
        <v>4511</v>
      </c>
      <c r="G251" s="5">
        <v>45768</v>
      </c>
      <c r="H251" t="s">
        <v>4520</v>
      </c>
    </row>
    <row r="252" spans="1:8">
      <c r="A252" s="3" t="s">
        <v>1793</v>
      </c>
      <c r="B252" t="s">
        <v>4769</v>
      </c>
      <c r="C252" s="16" t="s">
        <v>4508</v>
      </c>
      <c r="D252" t="s">
        <v>4515</v>
      </c>
      <c r="E252" t="s">
        <v>4510</v>
      </c>
      <c r="F252" t="s">
        <v>4511</v>
      </c>
      <c r="G252" s="5">
        <v>45769</v>
      </c>
      <c r="H252" t="s">
        <v>12</v>
      </c>
    </row>
    <row r="253" spans="1:8">
      <c r="A253" s="3" t="s">
        <v>1803</v>
      </c>
      <c r="B253" t="s">
        <v>4770</v>
      </c>
      <c r="C253" s="16" t="s">
        <v>4508</v>
      </c>
      <c r="D253" t="s">
        <v>4509</v>
      </c>
      <c r="E253" t="s">
        <v>4510</v>
      </c>
      <c r="F253" t="s">
        <v>4511</v>
      </c>
      <c r="G253" s="5">
        <v>45771</v>
      </c>
      <c r="H253" t="s">
        <v>4523</v>
      </c>
    </row>
    <row r="254" spans="1:8">
      <c r="A254" s="3" t="s">
        <v>1805</v>
      </c>
      <c r="B254" t="s">
        <v>4771</v>
      </c>
      <c r="C254" s="16" t="s">
        <v>4508</v>
      </c>
      <c r="D254" t="s">
        <v>4515</v>
      </c>
      <c r="E254" t="s">
        <v>4510</v>
      </c>
      <c r="F254" t="s">
        <v>4511</v>
      </c>
      <c r="G254" s="5">
        <v>45772</v>
      </c>
      <c r="H254" t="s">
        <v>4512</v>
      </c>
    </row>
    <row r="255" spans="1:8">
      <c r="A255" s="3" t="s">
        <v>1828</v>
      </c>
      <c r="B255" t="s">
        <v>4772</v>
      </c>
      <c r="C255" s="16" t="s">
        <v>4508</v>
      </c>
      <c r="D255" t="s">
        <v>4509</v>
      </c>
      <c r="E255" t="s">
        <v>4510</v>
      </c>
      <c r="F255" t="s">
        <v>4511</v>
      </c>
      <c r="G255" s="5">
        <v>45780</v>
      </c>
      <c r="H255" t="s">
        <v>9</v>
      </c>
    </row>
    <row r="256" spans="1:8">
      <c r="A256" s="3" t="s">
        <v>1830</v>
      </c>
      <c r="B256" t="s">
        <v>4773</v>
      </c>
      <c r="C256" s="16" t="s">
        <v>4508</v>
      </c>
      <c r="D256" t="s">
        <v>4515</v>
      </c>
      <c r="E256" t="s">
        <v>4510</v>
      </c>
      <c r="F256" t="s">
        <v>4511</v>
      </c>
      <c r="G256" s="5">
        <v>45781</v>
      </c>
      <c r="H256" t="s">
        <v>191</v>
      </c>
    </row>
    <row r="257" spans="1:8">
      <c r="A257" s="3" t="s">
        <v>1837</v>
      </c>
      <c r="B257" t="s">
        <v>4774</v>
      </c>
      <c r="C257" s="16" t="s">
        <v>4508</v>
      </c>
      <c r="D257" t="s">
        <v>4509</v>
      </c>
      <c r="E257" t="s">
        <v>4510</v>
      </c>
      <c r="F257" t="s">
        <v>4511</v>
      </c>
      <c r="G257" s="5">
        <v>45783</v>
      </c>
      <c r="H257" t="s">
        <v>4520</v>
      </c>
    </row>
    <row r="258" spans="1:8">
      <c r="A258" s="3" t="s">
        <v>1839</v>
      </c>
      <c r="B258" t="s">
        <v>4775</v>
      </c>
      <c r="C258" s="16" t="s">
        <v>4508</v>
      </c>
      <c r="D258" t="s">
        <v>4515</v>
      </c>
      <c r="E258" t="s">
        <v>4510</v>
      </c>
      <c r="F258" t="s">
        <v>4511</v>
      </c>
      <c r="G258" s="5">
        <v>45784</v>
      </c>
      <c r="H258" t="s">
        <v>12</v>
      </c>
    </row>
    <row r="259" spans="1:8">
      <c r="A259" s="3" t="s">
        <v>1847</v>
      </c>
      <c r="B259" t="s">
        <v>4776</v>
      </c>
      <c r="C259" s="16" t="s">
        <v>4508</v>
      </c>
      <c r="D259" t="s">
        <v>4509</v>
      </c>
      <c r="E259" t="s">
        <v>4510</v>
      </c>
      <c r="F259" t="s">
        <v>4511</v>
      </c>
      <c r="G259" s="5">
        <v>45783</v>
      </c>
      <c r="H259" t="s">
        <v>4523</v>
      </c>
    </row>
    <row r="260" spans="1:8">
      <c r="A260" s="3" t="s">
        <v>1849</v>
      </c>
      <c r="B260" t="s">
        <v>4777</v>
      </c>
      <c r="C260" s="16" t="s">
        <v>4508</v>
      </c>
      <c r="D260" t="s">
        <v>4515</v>
      </c>
      <c r="E260" t="s">
        <v>4510</v>
      </c>
      <c r="F260" t="s">
        <v>4511</v>
      </c>
      <c r="G260" s="5">
        <v>45784</v>
      </c>
      <c r="H260" t="s">
        <v>4512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89"/>
  <sheetViews>
    <sheetView workbookViewId="0"/>
  </sheetViews>
  <sheetFormatPr defaultRowHeight="14.25"/>
  <cols>
    <col min="1" max="1" width="23" customWidth="1"/>
    <col min="2" max="3" width="13" customWidth="1"/>
    <col min="4" max="4" width="13" style="16" customWidth="1"/>
    <col min="5" max="9" width="13" customWidth="1"/>
    <col min="10" max="10" width="23" customWidth="1"/>
    <col min="11" max="11" width="14" customWidth="1"/>
    <col min="12" max="12" width="13" customWidth="1"/>
  </cols>
  <sheetData>
    <row r="1" spans="1:12" ht="32.1" customHeight="1">
      <c r="A1" s="12" t="s">
        <v>195</v>
      </c>
      <c r="B1" s="18" t="s">
        <v>4778</v>
      </c>
      <c r="C1" s="18" t="s">
        <v>4779</v>
      </c>
      <c r="D1" s="23" t="s">
        <v>4780</v>
      </c>
      <c r="E1" s="18" t="s">
        <v>4781</v>
      </c>
      <c r="F1" s="2" t="s">
        <v>4782</v>
      </c>
      <c r="G1" s="2" t="s">
        <v>4783</v>
      </c>
      <c r="H1" s="2" t="s">
        <v>4784</v>
      </c>
      <c r="I1" s="2" t="s">
        <v>4785</v>
      </c>
      <c r="J1" s="2" t="s">
        <v>4786</v>
      </c>
      <c r="K1" s="2" t="s">
        <v>4787</v>
      </c>
      <c r="L1" s="2" t="s">
        <v>4506</v>
      </c>
    </row>
    <row r="2" spans="1:12">
      <c r="A2" s="3" t="s">
        <v>203</v>
      </c>
      <c r="B2" s="8">
        <v>391.99700000000001</v>
      </c>
      <c r="C2" s="8">
        <v>311.43599999999998</v>
      </c>
      <c r="D2" s="9"/>
      <c r="E2" s="8">
        <v>42.271999999999998</v>
      </c>
      <c r="F2" s="8">
        <v>27.856000000000002</v>
      </c>
      <c r="G2" t="s">
        <v>4788</v>
      </c>
      <c r="H2" s="8">
        <v>50</v>
      </c>
      <c r="I2" t="s">
        <v>4789</v>
      </c>
      <c r="J2" s="5">
        <v>45424</v>
      </c>
      <c r="K2" t="s">
        <v>9</v>
      </c>
    </row>
    <row r="3" spans="1:12">
      <c r="A3" s="3" t="s">
        <v>205</v>
      </c>
      <c r="B3" s="8">
        <v>389.84100000000001</v>
      </c>
      <c r="C3" s="8">
        <v>318.75099999999998</v>
      </c>
      <c r="D3" s="9"/>
      <c r="E3" s="8">
        <v>43.063000000000002</v>
      </c>
      <c r="F3" s="8">
        <v>31.600999999999999</v>
      </c>
      <c r="G3" t="s">
        <v>4788</v>
      </c>
      <c r="H3" s="8">
        <v>50</v>
      </c>
      <c r="I3" t="s">
        <v>4790</v>
      </c>
      <c r="J3" s="5">
        <v>45425</v>
      </c>
      <c r="K3" t="s">
        <v>191</v>
      </c>
    </row>
    <row r="4" spans="1:12">
      <c r="A4" s="3" t="s">
        <v>210</v>
      </c>
      <c r="B4" s="8">
        <v>400.149</v>
      </c>
      <c r="C4" s="8">
        <v>309.774</v>
      </c>
      <c r="D4" s="9"/>
      <c r="E4" s="8">
        <v>41.756999999999998</v>
      </c>
      <c r="F4" s="8">
        <v>28.959</v>
      </c>
      <c r="G4" t="s">
        <v>4788</v>
      </c>
      <c r="H4" s="8">
        <v>50</v>
      </c>
      <c r="I4" t="s">
        <v>4789</v>
      </c>
      <c r="J4" s="5">
        <v>45427</v>
      </c>
      <c r="K4" t="s">
        <v>4520</v>
      </c>
    </row>
    <row r="5" spans="1:12">
      <c r="A5" s="3" t="s">
        <v>220</v>
      </c>
      <c r="B5" s="8">
        <v>454.947</v>
      </c>
      <c r="C5" s="8">
        <v>360.11900000000003</v>
      </c>
      <c r="D5" s="9"/>
      <c r="E5" s="8">
        <v>40.362000000000002</v>
      </c>
      <c r="F5" s="8">
        <v>27.396999999999998</v>
      </c>
      <c r="G5" t="s">
        <v>4788</v>
      </c>
      <c r="H5" s="8">
        <v>50</v>
      </c>
      <c r="I5" t="s">
        <v>4789</v>
      </c>
      <c r="J5" s="5">
        <v>45427</v>
      </c>
      <c r="K5" t="s">
        <v>12</v>
      </c>
    </row>
    <row r="6" spans="1:12">
      <c r="A6" s="3" t="s">
        <v>222</v>
      </c>
      <c r="B6" s="8">
        <v>464.69600000000003</v>
      </c>
      <c r="C6" s="8">
        <v>354.827</v>
      </c>
      <c r="D6" s="9"/>
      <c r="E6" s="8">
        <v>41.155999999999999</v>
      </c>
      <c r="F6" s="8">
        <v>24.529</v>
      </c>
      <c r="G6" t="s">
        <v>4788</v>
      </c>
      <c r="H6" s="8">
        <v>50</v>
      </c>
      <c r="I6" t="s">
        <v>4789</v>
      </c>
      <c r="J6" s="5">
        <v>45428</v>
      </c>
      <c r="K6" t="s">
        <v>4523</v>
      </c>
    </row>
    <row r="7" spans="1:12">
      <c r="A7" s="3" t="s">
        <v>234</v>
      </c>
      <c r="B7" s="8">
        <v>557.68899999999996</v>
      </c>
      <c r="C7" s="8">
        <v>429.16699999999997</v>
      </c>
      <c r="D7" s="9"/>
      <c r="E7" s="8">
        <v>34.938000000000002</v>
      </c>
      <c r="F7" s="8">
        <v>22.795999999999999</v>
      </c>
      <c r="G7" t="s">
        <v>4791</v>
      </c>
      <c r="H7" s="8">
        <v>50</v>
      </c>
      <c r="I7" t="s">
        <v>4791</v>
      </c>
      <c r="J7" s="5">
        <v>45430</v>
      </c>
      <c r="K7" t="s">
        <v>4512</v>
      </c>
    </row>
    <row r="8" spans="1:12">
      <c r="A8" s="3" t="s">
        <v>236</v>
      </c>
      <c r="B8" s="8">
        <v>576.77800000000002</v>
      </c>
      <c r="C8" s="8">
        <v>432.423</v>
      </c>
      <c r="D8" s="9"/>
      <c r="E8" s="8">
        <v>36.081000000000003</v>
      </c>
      <c r="F8" s="8">
        <v>23.593</v>
      </c>
      <c r="G8" t="s">
        <v>4788</v>
      </c>
      <c r="H8" s="8">
        <v>50</v>
      </c>
      <c r="I8" t="s">
        <v>4789</v>
      </c>
      <c r="J8" s="5">
        <v>45431</v>
      </c>
      <c r="K8" t="s">
        <v>9</v>
      </c>
    </row>
    <row r="9" spans="1:12">
      <c r="A9" s="3" t="s">
        <v>239</v>
      </c>
      <c r="B9" s="8">
        <v>576.875</v>
      </c>
      <c r="C9" s="8">
        <v>440.51499999999999</v>
      </c>
      <c r="D9" s="9"/>
      <c r="E9" s="8">
        <v>36.22</v>
      </c>
      <c r="F9" s="8">
        <v>24.667999999999999</v>
      </c>
      <c r="G9" t="s">
        <v>4788</v>
      </c>
      <c r="H9" s="8">
        <v>50</v>
      </c>
      <c r="I9" t="s">
        <v>4790</v>
      </c>
      <c r="J9" s="5">
        <v>45433</v>
      </c>
      <c r="K9" t="s">
        <v>191</v>
      </c>
    </row>
    <row r="10" spans="1:12">
      <c r="A10" s="3" t="s">
        <v>241</v>
      </c>
      <c r="B10" s="8">
        <v>561.27200000000005</v>
      </c>
      <c r="C10" s="8">
        <v>436.78300000000002</v>
      </c>
      <c r="D10" s="9"/>
      <c r="E10" s="8">
        <v>36.250999999999998</v>
      </c>
      <c r="F10" s="8">
        <v>24.817</v>
      </c>
      <c r="G10" t="s">
        <v>4791</v>
      </c>
      <c r="H10" s="8">
        <v>50</v>
      </c>
      <c r="I10" t="s">
        <v>4789</v>
      </c>
      <c r="J10" s="5">
        <v>45434</v>
      </c>
      <c r="K10" t="s">
        <v>4520</v>
      </c>
    </row>
    <row r="11" spans="1:12">
      <c r="A11" s="3" t="s">
        <v>243</v>
      </c>
      <c r="B11" s="8">
        <v>567.14099999999996</v>
      </c>
      <c r="C11" s="8">
        <v>434.82799999999997</v>
      </c>
      <c r="D11" s="9"/>
      <c r="E11" s="8">
        <v>36.457000000000001</v>
      </c>
      <c r="F11" s="8">
        <v>24.253</v>
      </c>
      <c r="G11" t="s">
        <v>4788</v>
      </c>
      <c r="H11" s="8">
        <v>50</v>
      </c>
      <c r="I11" t="s">
        <v>4789</v>
      </c>
      <c r="J11" s="5">
        <v>45435</v>
      </c>
      <c r="K11" t="s">
        <v>12</v>
      </c>
    </row>
    <row r="12" spans="1:12">
      <c r="A12" s="3" t="s">
        <v>247</v>
      </c>
      <c r="B12" s="8">
        <v>645.745</v>
      </c>
      <c r="C12" s="8">
        <v>491.60500000000002</v>
      </c>
      <c r="D12" s="9"/>
      <c r="E12" s="8">
        <v>33.472999999999999</v>
      </c>
      <c r="F12" s="8">
        <v>21.550999999999998</v>
      </c>
      <c r="G12" t="s">
        <v>4788</v>
      </c>
      <c r="H12" s="8">
        <v>50</v>
      </c>
      <c r="I12" t="s">
        <v>4789</v>
      </c>
      <c r="J12" s="5">
        <v>45433</v>
      </c>
      <c r="K12" t="s">
        <v>4523</v>
      </c>
    </row>
    <row r="13" spans="1:12">
      <c r="A13" s="3" t="s">
        <v>250</v>
      </c>
      <c r="B13" s="8">
        <v>635.67999999999995</v>
      </c>
      <c r="C13" s="8">
        <v>497.11799999999999</v>
      </c>
      <c r="D13" s="9"/>
      <c r="E13" s="8">
        <v>33.716000000000001</v>
      </c>
      <c r="F13" s="8">
        <v>23.745000000000001</v>
      </c>
      <c r="G13" t="s">
        <v>4791</v>
      </c>
      <c r="H13" s="8">
        <v>50</v>
      </c>
      <c r="I13" t="s">
        <v>4789</v>
      </c>
      <c r="J13" s="5">
        <v>45436</v>
      </c>
      <c r="K13" t="s">
        <v>4512</v>
      </c>
    </row>
    <row r="14" spans="1:12">
      <c r="A14" s="3" t="s">
        <v>252</v>
      </c>
      <c r="B14" s="8">
        <v>647.02599999999995</v>
      </c>
      <c r="C14" s="8">
        <v>492.745</v>
      </c>
      <c r="D14" s="9"/>
      <c r="E14" s="8">
        <v>32.796999999999997</v>
      </c>
      <c r="F14" s="8">
        <v>20.617000000000001</v>
      </c>
      <c r="G14" t="s">
        <v>4788</v>
      </c>
      <c r="H14" s="8">
        <v>50</v>
      </c>
      <c r="I14" t="s">
        <v>4789</v>
      </c>
      <c r="J14" s="5">
        <v>45437</v>
      </c>
      <c r="K14" t="s">
        <v>9</v>
      </c>
      <c r="L14" t="s">
        <v>4792</v>
      </c>
    </row>
    <row r="15" spans="1:12">
      <c r="A15" s="3" t="s">
        <v>256</v>
      </c>
      <c r="B15" s="8">
        <v>388.51799999999997</v>
      </c>
      <c r="C15" s="8">
        <v>307.44299999999998</v>
      </c>
      <c r="D15" s="9"/>
      <c r="E15" s="8">
        <v>42.76</v>
      </c>
      <c r="F15" s="8">
        <v>30.97</v>
      </c>
      <c r="G15" t="s">
        <v>4788</v>
      </c>
      <c r="H15" s="8">
        <v>50</v>
      </c>
      <c r="I15" t="s">
        <v>4789</v>
      </c>
      <c r="J15" s="5">
        <v>45436</v>
      </c>
      <c r="K15" t="s">
        <v>191</v>
      </c>
    </row>
    <row r="16" spans="1:12">
      <c r="A16" s="3" t="s">
        <v>258</v>
      </c>
      <c r="B16" s="8">
        <v>382.322</v>
      </c>
      <c r="C16" s="8">
        <v>306.48500000000001</v>
      </c>
      <c r="D16" s="9"/>
      <c r="E16" s="8">
        <v>42.618000000000002</v>
      </c>
      <c r="F16" s="8">
        <v>30.283999999999999</v>
      </c>
      <c r="G16" t="s">
        <v>4788</v>
      </c>
      <c r="H16" s="8">
        <v>50</v>
      </c>
      <c r="I16" t="s">
        <v>4789</v>
      </c>
      <c r="J16" s="5">
        <v>45437</v>
      </c>
      <c r="K16" t="s">
        <v>4520</v>
      </c>
    </row>
    <row r="17" spans="1:11">
      <c r="A17" s="3" t="s">
        <v>265</v>
      </c>
      <c r="B17" s="8">
        <v>389.166</v>
      </c>
      <c r="C17" s="8">
        <v>307.06799999999998</v>
      </c>
      <c r="D17" s="9"/>
      <c r="E17" s="8">
        <v>43.725000000000001</v>
      </c>
      <c r="F17" s="8">
        <v>26.167999999999999</v>
      </c>
      <c r="G17" t="s">
        <v>4788</v>
      </c>
      <c r="H17" s="8">
        <v>50</v>
      </c>
      <c r="I17" t="s">
        <v>4789</v>
      </c>
      <c r="J17" s="5">
        <v>45439</v>
      </c>
      <c r="K17" t="s">
        <v>12</v>
      </c>
    </row>
    <row r="18" spans="1:11">
      <c r="A18" s="3" t="s">
        <v>267</v>
      </c>
      <c r="B18" s="8">
        <v>389.51799999999997</v>
      </c>
      <c r="C18" s="8">
        <v>303.35000000000002</v>
      </c>
      <c r="D18" s="9"/>
      <c r="E18" s="8">
        <v>42.518999999999998</v>
      </c>
      <c r="F18" s="8">
        <v>25.553999999999998</v>
      </c>
      <c r="G18" t="s">
        <v>4788</v>
      </c>
      <c r="H18" s="8">
        <v>50</v>
      </c>
      <c r="I18" t="s">
        <v>4789</v>
      </c>
      <c r="J18" s="5">
        <v>45440</v>
      </c>
      <c r="K18" t="s">
        <v>4523</v>
      </c>
    </row>
    <row r="19" spans="1:11">
      <c r="A19" s="3" t="s">
        <v>269</v>
      </c>
      <c r="B19" s="8">
        <v>384.09699999999998</v>
      </c>
      <c r="C19" s="8">
        <v>297.12400000000002</v>
      </c>
      <c r="D19" s="9"/>
      <c r="E19" s="8">
        <v>43.529000000000003</v>
      </c>
      <c r="F19" s="8">
        <v>25.794</v>
      </c>
      <c r="G19" t="s">
        <v>4788</v>
      </c>
      <c r="H19" s="8">
        <v>50</v>
      </c>
      <c r="I19" t="s">
        <v>4789</v>
      </c>
      <c r="J19" s="5">
        <v>45441</v>
      </c>
      <c r="K19" t="s">
        <v>4512</v>
      </c>
    </row>
    <row r="20" spans="1:11">
      <c r="A20" s="3" t="s">
        <v>273</v>
      </c>
      <c r="B20" s="8">
        <v>461.85899999999998</v>
      </c>
      <c r="C20" s="8">
        <v>367.57600000000002</v>
      </c>
      <c r="D20" s="9"/>
      <c r="E20" s="8">
        <v>40.145000000000003</v>
      </c>
      <c r="F20" s="8">
        <v>28.433</v>
      </c>
      <c r="G20" t="s">
        <v>4788</v>
      </c>
      <c r="H20" s="8">
        <v>50</v>
      </c>
      <c r="I20" t="s">
        <v>4789</v>
      </c>
      <c r="J20" s="5">
        <v>45439</v>
      </c>
      <c r="K20" t="s">
        <v>9</v>
      </c>
    </row>
    <row r="21" spans="1:11">
      <c r="A21" s="3" t="s">
        <v>275</v>
      </c>
      <c r="B21" s="8">
        <v>471.678</v>
      </c>
      <c r="C21" s="8">
        <v>370.06099999999998</v>
      </c>
      <c r="D21" s="9"/>
      <c r="E21" s="8">
        <v>39.4</v>
      </c>
      <c r="F21" s="8">
        <v>23.658999999999999</v>
      </c>
      <c r="G21" t="s">
        <v>4788</v>
      </c>
      <c r="H21" s="8">
        <v>50</v>
      </c>
      <c r="I21" t="s">
        <v>4789</v>
      </c>
      <c r="J21" s="5">
        <v>45440</v>
      </c>
      <c r="K21" t="s">
        <v>191</v>
      </c>
    </row>
    <row r="22" spans="1:11">
      <c r="A22" s="3" t="s">
        <v>277</v>
      </c>
      <c r="B22" s="8">
        <v>473.51799999999997</v>
      </c>
      <c r="D22" s="8">
        <v>366.375</v>
      </c>
      <c r="E22" s="8">
        <v>40.082000000000001</v>
      </c>
      <c r="F22" s="8">
        <v>29.408999999999999</v>
      </c>
      <c r="G22" t="s">
        <v>4788</v>
      </c>
      <c r="H22" s="8">
        <v>50</v>
      </c>
      <c r="I22" t="s">
        <v>4789</v>
      </c>
      <c r="J22" s="5">
        <v>45441</v>
      </c>
      <c r="K22" t="s">
        <v>4520</v>
      </c>
    </row>
    <row r="23" spans="1:11">
      <c r="A23" s="3" t="s">
        <v>285</v>
      </c>
      <c r="B23" s="8">
        <v>604.279</v>
      </c>
      <c r="D23" s="8">
        <v>463.81400000000002</v>
      </c>
      <c r="E23" s="8">
        <v>35.018999999999998</v>
      </c>
      <c r="F23" s="8">
        <v>25.181000000000001</v>
      </c>
      <c r="G23" t="s">
        <v>4788</v>
      </c>
      <c r="H23" s="8">
        <v>50</v>
      </c>
      <c r="I23" t="s">
        <v>4789</v>
      </c>
      <c r="J23" s="5">
        <v>45442</v>
      </c>
      <c r="K23" t="s">
        <v>12</v>
      </c>
    </row>
    <row r="24" spans="1:11">
      <c r="A24" s="3" t="s">
        <v>287</v>
      </c>
      <c r="B24" s="8">
        <v>619.78099999999995</v>
      </c>
      <c r="D24" s="8">
        <v>466.113</v>
      </c>
      <c r="E24" s="8">
        <v>35.552</v>
      </c>
      <c r="F24" s="8">
        <v>20.593</v>
      </c>
      <c r="G24" t="s">
        <v>4788</v>
      </c>
      <c r="H24" s="8">
        <v>50</v>
      </c>
      <c r="I24" t="s">
        <v>4789</v>
      </c>
      <c r="J24" s="5">
        <v>45443</v>
      </c>
      <c r="K24" t="s">
        <v>4523</v>
      </c>
    </row>
    <row r="25" spans="1:11">
      <c r="A25" s="3" t="s">
        <v>297</v>
      </c>
      <c r="B25" s="8">
        <v>5223.3010000000004</v>
      </c>
      <c r="D25" s="8">
        <v>3827.5709999999999</v>
      </c>
      <c r="E25" s="8">
        <v>-128.67099999999999</v>
      </c>
      <c r="F25" s="8">
        <v>-75.807000000000002</v>
      </c>
      <c r="G25" t="s">
        <v>4788</v>
      </c>
      <c r="H25" s="8">
        <v>50</v>
      </c>
      <c r="I25" t="s">
        <v>4789</v>
      </c>
      <c r="J25" s="5">
        <v>45445</v>
      </c>
      <c r="K25" t="s">
        <v>4512</v>
      </c>
    </row>
    <row r="26" spans="1:11">
      <c r="A26" s="3" t="s">
        <v>299</v>
      </c>
      <c r="B26" s="8">
        <v>5361.7030000000004</v>
      </c>
      <c r="D26" s="8">
        <v>3826.7080000000001</v>
      </c>
      <c r="E26" s="8">
        <v>-128.26400000000001</v>
      </c>
      <c r="F26" s="8">
        <v>-83.983000000000004</v>
      </c>
      <c r="G26" t="s">
        <v>4788</v>
      </c>
      <c r="H26" s="8">
        <v>50</v>
      </c>
      <c r="I26" t="s">
        <v>4789</v>
      </c>
      <c r="J26" s="5">
        <v>45446</v>
      </c>
      <c r="K26" t="s">
        <v>9</v>
      </c>
    </row>
    <row r="27" spans="1:11">
      <c r="A27" s="3" t="s">
        <v>303</v>
      </c>
      <c r="B27" s="8">
        <v>378.72399999999999</v>
      </c>
      <c r="D27" s="8">
        <v>296.78699999999998</v>
      </c>
      <c r="E27" s="8">
        <v>41.536000000000001</v>
      </c>
      <c r="F27" s="8">
        <v>30.024000000000001</v>
      </c>
      <c r="G27" t="s">
        <v>4791</v>
      </c>
      <c r="H27" s="8">
        <v>50</v>
      </c>
      <c r="I27" t="s">
        <v>4789</v>
      </c>
      <c r="J27" s="5">
        <v>45448</v>
      </c>
      <c r="K27" t="s">
        <v>191</v>
      </c>
    </row>
    <row r="28" spans="1:11">
      <c r="A28" s="3" t="s">
        <v>305</v>
      </c>
      <c r="B28" s="8">
        <v>363.86799999999999</v>
      </c>
      <c r="D28" s="8">
        <v>290.10599999999999</v>
      </c>
      <c r="E28" s="8">
        <v>43.087000000000003</v>
      </c>
      <c r="F28" s="8">
        <v>30.279</v>
      </c>
      <c r="G28" t="s">
        <v>4791</v>
      </c>
      <c r="H28" s="8">
        <v>50</v>
      </c>
      <c r="I28" t="s">
        <v>4789</v>
      </c>
      <c r="J28" s="5">
        <v>45449</v>
      </c>
      <c r="K28" t="s">
        <v>4520</v>
      </c>
    </row>
    <row r="29" spans="1:11">
      <c r="A29" s="3" t="s">
        <v>308</v>
      </c>
      <c r="B29" s="8">
        <v>376.85300000000001</v>
      </c>
      <c r="D29" s="8">
        <v>293.87900000000002</v>
      </c>
      <c r="E29" s="8">
        <v>42.77</v>
      </c>
      <c r="F29" s="8">
        <v>26.321999999999999</v>
      </c>
      <c r="G29" t="s">
        <v>4788</v>
      </c>
      <c r="H29" s="8">
        <v>50</v>
      </c>
      <c r="I29" t="s">
        <v>4789</v>
      </c>
      <c r="J29" s="5">
        <v>45451</v>
      </c>
      <c r="K29" t="s">
        <v>12</v>
      </c>
    </row>
    <row r="30" spans="1:11">
      <c r="A30" s="3" t="s">
        <v>310</v>
      </c>
      <c r="B30" s="8">
        <v>376.95699999999999</v>
      </c>
      <c r="D30" s="8">
        <v>295.096</v>
      </c>
      <c r="E30" s="8">
        <v>43.183</v>
      </c>
      <c r="F30" s="8">
        <v>25.190999999999999</v>
      </c>
      <c r="G30" t="s">
        <v>4788</v>
      </c>
      <c r="H30" s="8">
        <v>50</v>
      </c>
      <c r="I30" t="s">
        <v>4789</v>
      </c>
      <c r="J30" s="5">
        <v>45452</v>
      </c>
      <c r="K30" t="s">
        <v>4523</v>
      </c>
    </row>
    <row r="31" spans="1:11">
      <c r="A31" s="3" t="s">
        <v>318</v>
      </c>
      <c r="B31" s="8">
        <v>509.12599999999998</v>
      </c>
      <c r="D31" s="8">
        <v>396.642</v>
      </c>
      <c r="E31" s="8">
        <v>37.862000000000002</v>
      </c>
      <c r="F31" s="8">
        <v>26.978999999999999</v>
      </c>
      <c r="G31" t="s">
        <v>4791</v>
      </c>
      <c r="H31" s="8">
        <v>50</v>
      </c>
      <c r="I31" t="s">
        <v>4789</v>
      </c>
      <c r="J31" s="5">
        <v>45451</v>
      </c>
      <c r="K31" t="s">
        <v>4512</v>
      </c>
    </row>
    <row r="32" spans="1:11">
      <c r="A32" s="3" t="s">
        <v>320</v>
      </c>
      <c r="B32" s="8">
        <v>504.23700000000002</v>
      </c>
      <c r="D32" s="8">
        <v>389.50099999999998</v>
      </c>
      <c r="E32" s="8">
        <v>39.415999999999997</v>
      </c>
      <c r="F32" s="8">
        <v>24.948</v>
      </c>
      <c r="G32" t="s">
        <v>4791</v>
      </c>
      <c r="H32" s="8">
        <v>50</v>
      </c>
      <c r="I32" t="s">
        <v>4789</v>
      </c>
      <c r="J32" s="5">
        <v>45452</v>
      </c>
      <c r="K32" t="s">
        <v>9</v>
      </c>
    </row>
    <row r="33" spans="1:11">
      <c r="A33" s="3" t="s">
        <v>322</v>
      </c>
      <c r="B33" s="8">
        <v>505.02199999999999</v>
      </c>
      <c r="D33" s="8">
        <v>390.74</v>
      </c>
      <c r="E33" s="8">
        <v>36.923999999999999</v>
      </c>
      <c r="F33" s="8">
        <v>21.948</v>
      </c>
      <c r="G33" t="s">
        <v>4791</v>
      </c>
      <c r="H33" s="8">
        <v>50</v>
      </c>
      <c r="I33" t="s">
        <v>4789</v>
      </c>
      <c r="J33" s="5">
        <v>45453</v>
      </c>
      <c r="K33" t="s">
        <v>191</v>
      </c>
    </row>
    <row r="34" spans="1:11">
      <c r="A34" s="3" t="s">
        <v>327</v>
      </c>
      <c r="B34" s="8">
        <v>439.017</v>
      </c>
      <c r="D34" s="8">
        <v>340.39499999999998</v>
      </c>
      <c r="E34" s="8">
        <v>41.152999999999999</v>
      </c>
      <c r="F34" s="8">
        <v>29.547999999999998</v>
      </c>
      <c r="G34" t="s">
        <v>4788</v>
      </c>
      <c r="H34" s="8">
        <v>50</v>
      </c>
      <c r="I34" t="s">
        <v>4789</v>
      </c>
      <c r="J34" s="5">
        <v>45454</v>
      </c>
      <c r="K34" t="s">
        <v>4520</v>
      </c>
    </row>
    <row r="35" spans="1:11">
      <c r="A35" s="3" t="s">
        <v>329</v>
      </c>
      <c r="B35" s="8">
        <v>443.31200000000001</v>
      </c>
      <c r="D35" s="8">
        <v>354.75400000000002</v>
      </c>
      <c r="E35" s="8">
        <v>40.695</v>
      </c>
      <c r="F35" s="8">
        <v>30.465</v>
      </c>
      <c r="G35" t="s">
        <v>4788</v>
      </c>
      <c r="H35" s="8">
        <v>50</v>
      </c>
      <c r="I35" t="s">
        <v>4789</v>
      </c>
      <c r="J35" s="5">
        <v>45455</v>
      </c>
      <c r="K35" t="s">
        <v>12</v>
      </c>
    </row>
    <row r="36" spans="1:11">
      <c r="A36" s="3" t="s">
        <v>331</v>
      </c>
      <c r="B36" s="8">
        <v>444.35199999999998</v>
      </c>
      <c r="D36" s="8">
        <v>347.274</v>
      </c>
      <c r="E36" s="8">
        <v>40.847000000000001</v>
      </c>
      <c r="F36" s="8">
        <v>28.506</v>
      </c>
      <c r="G36" t="s">
        <v>4788</v>
      </c>
      <c r="H36" s="8">
        <v>50</v>
      </c>
      <c r="I36" t="s">
        <v>4789</v>
      </c>
      <c r="J36" s="5">
        <v>45456</v>
      </c>
      <c r="K36" t="s">
        <v>4523</v>
      </c>
    </row>
    <row r="37" spans="1:11">
      <c r="A37" s="3" t="s">
        <v>336</v>
      </c>
      <c r="B37" s="8">
        <v>554.69200000000001</v>
      </c>
      <c r="D37" s="8">
        <v>421.678</v>
      </c>
      <c r="E37" s="8">
        <v>36.253</v>
      </c>
      <c r="F37" s="8">
        <v>26.812000000000001</v>
      </c>
      <c r="G37" t="s">
        <v>4788</v>
      </c>
      <c r="H37" s="8">
        <v>50</v>
      </c>
      <c r="I37" t="s">
        <v>4789</v>
      </c>
      <c r="J37" s="5">
        <v>45454</v>
      </c>
      <c r="K37" t="s">
        <v>4512</v>
      </c>
    </row>
    <row r="38" spans="1:11">
      <c r="A38" s="3" t="s">
        <v>338</v>
      </c>
      <c r="B38" s="8">
        <v>556.37400000000002</v>
      </c>
      <c r="D38" s="8">
        <v>431.75799999999998</v>
      </c>
      <c r="E38" s="8">
        <v>36.85</v>
      </c>
      <c r="F38" s="8">
        <v>25.042999999999999</v>
      </c>
      <c r="G38" t="s">
        <v>4788</v>
      </c>
      <c r="H38" s="8">
        <v>50</v>
      </c>
      <c r="I38" t="s">
        <v>4789</v>
      </c>
      <c r="J38" s="5">
        <v>45455</v>
      </c>
      <c r="K38" t="s">
        <v>9</v>
      </c>
    </row>
    <row r="39" spans="1:11">
      <c r="A39" s="3" t="s">
        <v>340</v>
      </c>
      <c r="B39" s="8">
        <v>555.34799999999996</v>
      </c>
      <c r="D39" s="8">
        <v>432.00599999999997</v>
      </c>
      <c r="E39" s="8">
        <v>36.241</v>
      </c>
      <c r="F39" s="8">
        <v>21.056999999999999</v>
      </c>
      <c r="G39" t="s">
        <v>4788</v>
      </c>
      <c r="H39" s="8">
        <v>50</v>
      </c>
      <c r="I39" t="s">
        <v>4789</v>
      </c>
      <c r="J39" s="5">
        <v>45456</v>
      </c>
      <c r="K39" t="s">
        <v>191</v>
      </c>
    </row>
    <row r="40" spans="1:11">
      <c r="A40" s="3" t="s">
        <v>358</v>
      </c>
      <c r="B40" s="8">
        <v>397.85599999999999</v>
      </c>
      <c r="D40" s="8">
        <v>310.73899999999998</v>
      </c>
      <c r="E40" s="8">
        <v>42.756</v>
      </c>
      <c r="F40" s="8">
        <v>29.097000000000001</v>
      </c>
      <c r="G40" t="s">
        <v>4791</v>
      </c>
      <c r="H40" s="8">
        <v>50</v>
      </c>
      <c r="I40" t="s">
        <v>4789</v>
      </c>
      <c r="J40" s="5">
        <v>45460</v>
      </c>
      <c r="K40" t="s">
        <v>4520</v>
      </c>
    </row>
    <row r="41" spans="1:11">
      <c r="A41" s="3" t="s">
        <v>360</v>
      </c>
      <c r="B41" s="8">
        <v>396.43099999999998</v>
      </c>
      <c r="D41" s="8">
        <v>315.36900000000003</v>
      </c>
      <c r="E41" s="8">
        <v>41.972000000000001</v>
      </c>
      <c r="F41" s="8">
        <v>29.763999999999999</v>
      </c>
      <c r="G41" t="s">
        <v>4788</v>
      </c>
      <c r="H41" s="8">
        <v>50</v>
      </c>
      <c r="I41" t="s">
        <v>4789</v>
      </c>
      <c r="J41" s="5">
        <v>45461</v>
      </c>
      <c r="K41" t="s">
        <v>12</v>
      </c>
    </row>
    <row r="42" spans="1:11">
      <c r="A42" s="3" t="s">
        <v>363</v>
      </c>
      <c r="B42" s="8">
        <v>374.64499999999998</v>
      </c>
      <c r="D42" s="8">
        <v>294.43200000000002</v>
      </c>
      <c r="E42" s="8">
        <v>41.704999999999998</v>
      </c>
      <c r="F42" s="8">
        <v>25.442</v>
      </c>
      <c r="G42" t="s">
        <v>4788</v>
      </c>
      <c r="H42" s="8">
        <v>50</v>
      </c>
      <c r="I42" t="s">
        <v>4789</v>
      </c>
      <c r="J42" s="5">
        <v>45463</v>
      </c>
      <c r="K42" t="s">
        <v>4523</v>
      </c>
    </row>
    <row r="43" spans="1:11">
      <c r="A43" s="3" t="s">
        <v>365</v>
      </c>
      <c r="B43" s="8">
        <v>362.78500000000003</v>
      </c>
      <c r="D43" s="8">
        <v>289.34399999999999</v>
      </c>
      <c r="E43" s="8">
        <v>43.225999999999999</v>
      </c>
      <c r="F43" s="8">
        <v>30.265000000000001</v>
      </c>
      <c r="G43" t="s">
        <v>4788</v>
      </c>
      <c r="H43" s="8">
        <v>50</v>
      </c>
      <c r="I43" t="s">
        <v>4789</v>
      </c>
      <c r="J43" s="5">
        <v>45464</v>
      </c>
      <c r="K43" t="s">
        <v>4512</v>
      </c>
    </row>
    <row r="44" spans="1:11">
      <c r="A44" s="3" t="s">
        <v>368</v>
      </c>
      <c r="B44" s="8">
        <v>364.10899999999998</v>
      </c>
      <c r="D44" s="8">
        <v>287.01900000000001</v>
      </c>
      <c r="E44" s="8">
        <v>44.113999999999997</v>
      </c>
      <c r="F44" s="8">
        <v>32.695999999999998</v>
      </c>
      <c r="G44" t="s">
        <v>4788</v>
      </c>
      <c r="H44" s="8">
        <v>50</v>
      </c>
      <c r="I44" t="s">
        <v>4789</v>
      </c>
      <c r="J44" s="5">
        <v>45466</v>
      </c>
      <c r="K44" t="s">
        <v>9</v>
      </c>
    </row>
    <row r="45" spans="1:11">
      <c r="A45" s="3" t="s">
        <v>370</v>
      </c>
      <c r="B45" s="8">
        <v>369.82299999999998</v>
      </c>
      <c r="D45" s="8">
        <v>295.72000000000003</v>
      </c>
      <c r="E45" s="8">
        <v>43.192</v>
      </c>
      <c r="F45" s="8">
        <v>25.248000000000001</v>
      </c>
      <c r="G45" t="s">
        <v>4788</v>
      </c>
      <c r="H45" s="8">
        <v>50</v>
      </c>
      <c r="I45" t="s">
        <v>4789</v>
      </c>
      <c r="J45" s="5">
        <v>45467</v>
      </c>
      <c r="K45" t="s">
        <v>191</v>
      </c>
    </row>
    <row r="46" spans="1:11">
      <c r="A46" s="3" t="s">
        <v>374</v>
      </c>
      <c r="B46" s="8">
        <v>534.93299999999999</v>
      </c>
      <c r="D46" s="8">
        <v>419.50599999999997</v>
      </c>
      <c r="E46" s="8">
        <v>37.064</v>
      </c>
      <c r="F46" s="8">
        <v>27.556999999999999</v>
      </c>
      <c r="G46" t="s">
        <v>4791</v>
      </c>
      <c r="H46" s="8">
        <v>50</v>
      </c>
      <c r="I46" t="s">
        <v>4789</v>
      </c>
      <c r="J46" s="5">
        <v>45463</v>
      </c>
      <c r="K46" t="s">
        <v>4520</v>
      </c>
    </row>
    <row r="47" spans="1:11">
      <c r="A47" s="3" t="s">
        <v>376</v>
      </c>
      <c r="B47" s="8">
        <v>527.125</v>
      </c>
      <c r="D47" s="8">
        <v>411.04700000000003</v>
      </c>
      <c r="E47" s="8">
        <v>36.795999999999999</v>
      </c>
      <c r="F47" s="8">
        <v>25.558</v>
      </c>
      <c r="G47" t="s">
        <v>4791</v>
      </c>
      <c r="H47" s="8">
        <v>50</v>
      </c>
      <c r="I47" t="s">
        <v>4789</v>
      </c>
      <c r="J47" s="5">
        <v>45464</v>
      </c>
      <c r="K47" t="s">
        <v>12</v>
      </c>
    </row>
    <row r="48" spans="1:11">
      <c r="A48" s="3" t="s">
        <v>379</v>
      </c>
      <c r="B48" s="8">
        <v>485.28399999999999</v>
      </c>
      <c r="D48" s="8">
        <v>390.46</v>
      </c>
      <c r="E48" s="8">
        <v>40.429000000000002</v>
      </c>
      <c r="F48" s="8">
        <v>28.425999999999998</v>
      </c>
      <c r="G48" t="s">
        <v>4788</v>
      </c>
      <c r="H48" s="8">
        <v>50</v>
      </c>
      <c r="I48" t="s">
        <v>4789</v>
      </c>
      <c r="J48" s="5">
        <v>45466</v>
      </c>
      <c r="K48" t="s">
        <v>4523</v>
      </c>
    </row>
    <row r="49" spans="1:11">
      <c r="A49" s="3" t="s">
        <v>381</v>
      </c>
      <c r="B49" s="8">
        <v>492.185</v>
      </c>
      <c r="D49" s="8">
        <v>381.18</v>
      </c>
      <c r="E49" s="8">
        <v>39.979999999999997</v>
      </c>
      <c r="F49" s="8">
        <v>29.198</v>
      </c>
      <c r="G49" t="s">
        <v>4788</v>
      </c>
      <c r="H49" s="8">
        <v>50</v>
      </c>
      <c r="I49" t="s">
        <v>4790</v>
      </c>
      <c r="J49" s="5">
        <v>45467</v>
      </c>
      <c r="K49" t="s">
        <v>4512</v>
      </c>
    </row>
    <row r="50" spans="1:11">
      <c r="A50" s="3" t="s">
        <v>391</v>
      </c>
      <c r="B50" s="8">
        <v>602.24300000000005</v>
      </c>
      <c r="D50" s="8">
        <v>464.50799999999998</v>
      </c>
      <c r="E50" s="8">
        <v>33.284999999999997</v>
      </c>
      <c r="F50" s="8">
        <v>21.186</v>
      </c>
      <c r="G50" t="s">
        <v>4788</v>
      </c>
      <c r="H50" s="8">
        <v>50</v>
      </c>
      <c r="I50" t="s">
        <v>4789</v>
      </c>
      <c r="J50" s="5">
        <v>45466</v>
      </c>
      <c r="K50" t="s">
        <v>9</v>
      </c>
    </row>
    <row r="51" spans="1:11">
      <c r="A51" s="3" t="s">
        <v>393</v>
      </c>
      <c r="B51" s="8">
        <v>604.54999999999995</v>
      </c>
      <c r="D51" s="8">
        <v>467.12900000000002</v>
      </c>
      <c r="E51" s="8">
        <v>33.738999999999997</v>
      </c>
      <c r="F51" s="8">
        <v>20.14</v>
      </c>
      <c r="G51" t="s">
        <v>4791</v>
      </c>
      <c r="H51" s="8">
        <v>50</v>
      </c>
      <c r="I51" t="s">
        <v>4789</v>
      </c>
      <c r="J51" s="5">
        <v>45467</v>
      </c>
      <c r="K51" t="s">
        <v>191</v>
      </c>
    </row>
    <row r="52" spans="1:11">
      <c r="A52" s="3" t="s">
        <v>403</v>
      </c>
      <c r="B52" s="8">
        <v>638.327</v>
      </c>
      <c r="D52" s="8">
        <v>487.85700000000003</v>
      </c>
      <c r="E52" s="8">
        <v>33.723999999999997</v>
      </c>
      <c r="F52" s="8">
        <v>22.16</v>
      </c>
      <c r="G52" t="s">
        <v>4788</v>
      </c>
      <c r="H52" s="8">
        <v>50</v>
      </c>
      <c r="I52" t="s">
        <v>4789</v>
      </c>
      <c r="J52" s="5">
        <v>45469</v>
      </c>
      <c r="K52" t="s">
        <v>4520</v>
      </c>
    </row>
    <row r="53" spans="1:11">
      <c r="A53" s="3" t="s">
        <v>405</v>
      </c>
      <c r="B53" s="8">
        <v>652.45699999999999</v>
      </c>
      <c r="D53" s="8">
        <v>496.01299999999998</v>
      </c>
      <c r="E53" s="8">
        <v>33.066000000000003</v>
      </c>
      <c r="F53" s="8">
        <v>19.282</v>
      </c>
      <c r="G53" t="s">
        <v>4788</v>
      </c>
      <c r="H53" s="8">
        <v>50</v>
      </c>
      <c r="I53" t="s">
        <v>4789</v>
      </c>
      <c r="J53" s="5">
        <v>45470</v>
      </c>
      <c r="K53" t="s">
        <v>12</v>
      </c>
    </row>
    <row r="54" spans="1:11">
      <c r="A54" s="3" t="s">
        <v>409</v>
      </c>
      <c r="B54" s="8">
        <v>373.94</v>
      </c>
      <c r="D54" s="8">
        <v>291.024</v>
      </c>
      <c r="E54" s="8">
        <v>42.64</v>
      </c>
      <c r="F54" s="8">
        <v>27.446999999999999</v>
      </c>
      <c r="G54" t="s">
        <v>4788</v>
      </c>
      <c r="H54" s="8">
        <v>50</v>
      </c>
      <c r="I54" t="s">
        <v>4789</v>
      </c>
      <c r="J54" s="5">
        <v>45472</v>
      </c>
      <c r="K54" t="s">
        <v>4523</v>
      </c>
    </row>
    <row r="55" spans="1:11">
      <c r="A55" s="3" t="s">
        <v>413</v>
      </c>
      <c r="B55" s="8">
        <v>470.10500000000002</v>
      </c>
      <c r="D55" s="8">
        <v>375.08300000000003</v>
      </c>
      <c r="E55" s="8">
        <v>39.747999999999998</v>
      </c>
      <c r="F55" s="8">
        <v>25.109000000000002</v>
      </c>
      <c r="G55" t="s">
        <v>4788</v>
      </c>
      <c r="H55" s="8">
        <v>50</v>
      </c>
      <c r="I55" t="s">
        <v>4789</v>
      </c>
      <c r="J55" s="5">
        <v>45475</v>
      </c>
      <c r="K55" t="s">
        <v>4512</v>
      </c>
    </row>
    <row r="56" spans="1:11">
      <c r="A56" s="3" t="s">
        <v>415</v>
      </c>
      <c r="B56" s="8">
        <v>479.74</v>
      </c>
      <c r="D56" s="8">
        <v>374.14400000000001</v>
      </c>
      <c r="E56" s="8">
        <v>39.228000000000002</v>
      </c>
      <c r="F56" s="8">
        <v>27.69</v>
      </c>
      <c r="G56" t="s">
        <v>4788</v>
      </c>
      <c r="H56" s="8">
        <v>50</v>
      </c>
      <c r="I56" t="s">
        <v>4789</v>
      </c>
      <c r="J56" s="5">
        <v>45476</v>
      </c>
      <c r="K56" t="s">
        <v>9</v>
      </c>
    </row>
    <row r="57" spans="1:11">
      <c r="A57" s="3" t="s">
        <v>417</v>
      </c>
      <c r="B57" s="8">
        <v>484.19600000000003</v>
      </c>
      <c r="D57" s="8">
        <v>373.61399999999998</v>
      </c>
      <c r="E57" s="8">
        <v>38.506999999999998</v>
      </c>
      <c r="F57" s="8">
        <v>27.385999999999999</v>
      </c>
      <c r="G57" t="s">
        <v>4788</v>
      </c>
      <c r="H57" s="8">
        <v>50</v>
      </c>
      <c r="I57" t="s">
        <v>4789</v>
      </c>
      <c r="J57" s="5">
        <v>45477</v>
      </c>
      <c r="K57" t="s">
        <v>191</v>
      </c>
    </row>
    <row r="58" spans="1:11">
      <c r="A58" s="3" t="s">
        <v>420</v>
      </c>
      <c r="B58" s="8">
        <v>474.28100000000001</v>
      </c>
      <c r="D58" s="8">
        <v>371.553</v>
      </c>
      <c r="E58" s="8">
        <v>39.908999999999999</v>
      </c>
      <c r="F58" s="8">
        <v>22.571000000000002</v>
      </c>
      <c r="G58" t="s">
        <v>4791</v>
      </c>
      <c r="H58" s="8">
        <v>50</v>
      </c>
      <c r="I58" t="s">
        <v>4789</v>
      </c>
      <c r="J58" s="5">
        <v>45478</v>
      </c>
      <c r="K58" t="s">
        <v>4520</v>
      </c>
    </row>
    <row r="59" spans="1:11">
      <c r="A59" s="3" t="s">
        <v>422</v>
      </c>
      <c r="B59" s="8">
        <v>484.18299999999999</v>
      </c>
      <c r="D59" s="8">
        <v>372.916</v>
      </c>
      <c r="E59" s="8">
        <v>39.554000000000002</v>
      </c>
      <c r="F59" s="8">
        <v>24.959</v>
      </c>
      <c r="G59" t="s">
        <v>4791</v>
      </c>
      <c r="H59" s="8">
        <v>50</v>
      </c>
      <c r="I59" t="s">
        <v>4789</v>
      </c>
      <c r="J59" s="5">
        <v>45479</v>
      </c>
      <c r="K59" t="s">
        <v>12</v>
      </c>
    </row>
    <row r="60" spans="1:11">
      <c r="A60" s="3" t="s">
        <v>425</v>
      </c>
      <c r="B60" s="8">
        <v>504.75700000000001</v>
      </c>
      <c r="D60" s="8">
        <v>396.11099999999999</v>
      </c>
      <c r="E60" s="8">
        <v>38.421999999999997</v>
      </c>
      <c r="F60" s="8">
        <v>23.407</v>
      </c>
      <c r="G60" t="s">
        <v>4788</v>
      </c>
      <c r="H60" s="8">
        <v>50</v>
      </c>
      <c r="I60" t="s">
        <v>4789</v>
      </c>
      <c r="J60" s="5">
        <v>45481</v>
      </c>
      <c r="K60" t="s">
        <v>4523</v>
      </c>
    </row>
    <row r="61" spans="1:11">
      <c r="A61" s="3" t="s">
        <v>427</v>
      </c>
      <c r="B61" s="8">
        <v>504.44200000000001</v>
      </c>
      <c r="D61" s="8">
        <v>391.01</v>
      </c>
      <c r="E61" s="8">
        <v>38.880000000000003</v>
      </c>
      <c r="F61" s="8">
        <v>25.893999999999998</v>
      </c>
      <c r="G61" t="s">
        <v>4788</v>
      </c>
      <c r="H61" s="8">
        <v>50</v>
      </c>
      <c r="I61" t="s">
        <v>4789</v>
      </c>
      <c r="J61" s="5">
        <v>45482</v>
      </c>
      <c r="K61" t="s">
        <v>4512</v>
      </c>
    </row>
    <row r="62" spans="1:11">
      <c r="A62" s="3" t="s">
        <v>431</v>
      </c>
      <c r="B62" s="8">
        <v>579.72400000000005</v>
      </c>
      <c r="D62" s="8">
        <v>440.66500000000002</v>
      </c>
      <c r="E62" s="8">
        <v>35.738</v>
      </c>
      <c r="F62" s="8">
        <v>26.148</v>
      </c>
      <c r="G62" t="s">
        <v>4788</v>
      </c>
      <c r="H62" s="8">
        <v>50</v>
      </c>
      <c r="I62" t="s">
        <v>4789</v>
      </c>
      <c r="J62" s="5">
        <v>45478</v>
      </c>
      <c r="K62" t="s">
        <v>9</v>
      </c>
    </row>
    <row r="63" spans="1:11">
      <c r="A63" s="3" t="s">
        <v>433</v>
      </c>
      <c r="B63" s="8">
        <v>579.91499999999996</v>
      </c>
      <c r="D63" s="8">
        <v>442.90699999999998</v>
      </c>
      <c r="E63" s="8">
        <v>35.273000000000003</v>
      </c>
      <c r="F63" s="8">
        <v>25.946000000000002</v>
      </c>
      <c r="G63" t="s">
        <v>4791</v>
      </c>
      <c r="H63" s="8">
        <v>50</v>
      </c>
      <c r="I63" t="s">
        <v>4789</v>
      </c>
      <c r="J63" s="5">
        <v>45479</v>
      </c>
      <c r="K63" t="s">
        <v>191</v>
      </c>
    </row>
    <row r="64" spans="1:11">
      <c r="A64" s="3" t="s">
        <v>437</v>
      </c>
      <c r="B64" s="8">
        <v>654.88400000000001</v>
      </c>
      <c r="D64" s="8">
        <v>495.18400000000003</v>
      </c>
      <c r="E64" s="8">
        <v>33.511000000000003</v>
      </c>
      <c r="F64" s="8">
        <v>21.073</v>
      </c>
      <c r="G64" t="s">
        <v>4788</v>
      </c>
      <c r="H64" s="8">
        <v>50</v>
      </c>
      <c r="I64" t="s">
        <v>4789</v>
      </c>
      <c r="J64" s="5">
        <v>45481</v>
      </c>
      <c r="K64" t="s">
        <v>4520</v>
      </c>
    </row>
    <row r="65" spans="1:11">
      <c r="A65" s="3" t="s">
        <v>439</v>
      </c>
      <c r="B65" s="8">
        <v>651.07500000000005</v>
      </c>
      <c r="D65" s="8">
        <v>501.76100000000002</v>
      </c>
      <c r="E65" s="8">
        <v>32.741</v>
      </c>
      <c r="F65" s="8">
        <v>24.370999999999999</v>
      </c>
      <c r="G65" t="s">
        <v>4788</v>
      </c>
      <c r="H65" s="8">
        <v>50</v>
      </c>
      <c r="I65" t="s">
        <v>4789</v>
      </c>
      <c r="J65" s="5">
        <v>45482</v>
      </c>
      <c r="K65" t="s">
        <v>12</v>
      </c>
    </row>
    <row r="66" spans="1:11">
      <c r="A66" s="3" t="s">
        <v>450</v>
      </c>
      <c r="B66" s="8">
        <v>627.39</v>
      </c>
      <c r="D66" s="8">
        <v>480.28699999999998</v>
      </c>
      <c r="E66" s="8">
        <v>32.155000000000001</v>
      </c>
      <c r="F66" s="8">
        <v>20.722000000000001</v>
      </c>
      <c r="G66" t="s">
        <v>4788</v>
      </c>
      <c r="H66" s="8">
        <v>50</v>
      </c>
      <c r="I66" t="s">
        <v>4789</v>
      </c>
      <c r="J66" s="5">
        <v>45484</v>
      </c>
      <c r="K66" t="s">
        <v>4523</v>
      </c>
    </row>
    <row r="67" spans="1:11">
      <c r="A67" s="3" t="s">
        <v>452</v>
      </c>
      <c r="B67" s="8">
        <v>613.76400000000001</v>
      </c>
      <c r="D67" s="8">
        <v>481.32400000000001</v>
      </c>
      <c r="E67" s="8">
        <v>33.585999999999999</v>
      </c>
      <c r="F67" s="8">
        <v>24.571000000000002</v>
      </c>
      <c r="G67" t="s">
        <v>4788</v>
      </c>
      <c r="H67" s="8">
        <v>50</v>
      </c>
      <c r="I67" t="s">
        <v>4789</v>
      </c>
      <c r="J67" s="5">
        <v>45485</v>
      </c>
      <c r="K67" t="s">
        <v>4512</v>
      </c>
    </row>
    <row r="68" spans="1:11">
      <c r="A68" s="3" t="s">
        <v>454</v>
      </c>
      <c r="B68" s="8">
        <v>620.81100000000004</v>
      </c>
      <c r="D68" s="8">
        <v>478.61399999999998</v>
      </c>
      <c r="E68" s="8">
        <v>32.951000000000001</v>
      </c>
      <c r="F68" s="8">
        <v>22.536999999999999</v>
      </c>
      <c r="G68" t="s">
        <v>4788</v>
      </c>
      <c r="H68" s="8">
        <v>50</v>
      </c>
      <c r="I68" t="s">
        <v>4789</v>
      </c>
      <c r="J68" s="5">
        <v>45486</v>
      </c>
      <c r="K68" t="s">
        <v>9</v>
      </c>
    </row>
    <row r="69" spans="1:11">
      <c r="A69" s="3" t="s">
        <v>464</v>
      </c>
      <c r="B69" s="8">
        <v>371.51100000000002</v>
      </c>
      <c r="D69" s="8">
        <v>299.33</v>
      </c>
      <c r="E69" s="8">
        <v>42.35</v>
      </c>
      <c r="F69" s="8">
        <v>28.216999999999999</v>
      </c>
      <c r="G69" t="s">
        <v>4788</v>
      </c>
      <c r="H69" s="8">
        <v>50</v>
      </c>
      <c r="I69" t="s">
        <v>4789</v>
      </c>
      <c r="J69" s="5">
        <v>45484</v>
      </c>
      <c r="K69" t="s">
        <v>191</v>
      </c>
    </row>
    <row r="70" spans="1:11">
      <c r="A70" s="3" t="s">
        <v>466</v>
      </c>
      <c r="B70" s="8">
        <v>379.87900000000002</v>
      </c>
      <c r="D70" s="8">
        <v>296.54000000000002</v>
      </c>
      <c r="E70" s="8">
        <v>42.588000000000001</v>
      </c>
      <c r="F70" s="8">
        <v>30.027999999999999</v>
      </c>
      <c r="G70" t="s">
        <v>4788</v>
      </c>
      <c r="H70" s="8">
        <v>50</v>
      </c>
      <c r="I70" t="s">
        <v>4789</v>
      </c>
      <c r="J70" s="5">
        <v>45485</v>
      </c>
      <c r="K70" t="s">
        <v>4520</v>
      </c>
    </row>
    <row r="71" spans="1:11">
      <c r="A71" s="3" t="s">
        <v>470</v>
      </c>
      <c r="B71" s="8">
        <v>454.56599999999997</v>
      </c>
      <c r="D71" s="8">
        <v>357.97300000000001</v>
      </c>
      <c r="E71" s="8">
        <v>40.183999999999997</v>
      </c>
      <c r="F71" s="8">
        <v>29.076000000000001</v>
      </c>
      <c r="G71" t="s">
        <v>4788</v>
      </c>
      <c r="H71" s="8">
        <v>50</v>
      </c>
      <c r="I71" t="s">
        <v>4789</v>
      </c>
      <c r="J71" s="5">
        <v>45487</v>
      </c>
      <c r="K71" t="s">
        <v>12</v>
      </c>
    </row>
    <row r="72" spans="1:11">
      <c r="A72" s="3" t="s">
        <v>472</v>
      </c>
      <c r="B72" s="8">
        <v>465.87599999999998</v>
      </c>
      <c r="D72" s="8">
        <v>360.17200000000003</v>
      </c>
      <c r="E72" s="8">
        <v>39.837000000000003</v>
      </c>
      <c r="F72" s="8">
        <v>27.867999999999999</v>
      </c>
      <c r="G72" t="s">
        <v>4788</v>
      </c>
      <c r="H72" s="8">
        <v>50</v>
      </c>
      <c r="I72" t="s">
        <v>4789</v>
      </c>
      <c r="J72" s="5">
        <v>45488</v>
      </c>
      <c r="K72" t="s">
        <v>4523</v>
      </c>
    </row>
    <row r="73" spans="1:11">
      <c r="A73" s="3" t="s">
        <v>474</v>
      </c>
      <c r="B73" s="8">
        <v>454.36099999999999</v>
      </c>
      <c r="D73" s="8">
        <v>364.49900000000002</v>
      </c>
      <c r="E73" s="8">
        <v>39.527000000000001</v>
      </c>
      <c r="F73" s="8">
        <v>25.707000000000001</v>
      </c>
      <c r="G73" t="s">
        <v>4788</v>
      </c>
      <c r="H73" s="8">
        <v>50</v>
      </c>
      <c r="I73" t="s">
        <v>4789</v>
      </c>
      <c r="J73" s="5">
        <v>45489</v>
      </c>
      <c r="K73" t="s">
        <v>4512</v>
      </c>
    </row>
    <row r="74" spans="1:11">
      <c r="A74" s="3" t="s">
        <v>477</v>
      </c>
      <c r="B74" s="8">
        <v>484.73</v>
      </c>
      <c r="D74" s="8">
        <v>387.08199999999999</v>
      </c>
      <c r="E74" s="8">
        <v>37.701000000000001</v>
      </c>
      <c r="F74" s="8">
        <v>28.056999999999999</v>
      </c>
      <c r="G74" t="s">
        <v>4788</v>
      </c>
      <c r="H74" s="8">
        <v>50</v>
      </c>
      <c r="I74" t="s">
        <v>4789</v>
      </c>
      <c r="J74" s="5">
        <v>45490</v>
      </c>
      <c r="K74" t="s">
        <v>9</v>
      </c>
    </row>
    <row r="75" spans="1:11">
      <c r="A75" s="3" t="s">
        <v>479</v>
      </c>
      <c r="B75" s="8">
        <v>502.66800000000001</v>
      </c>
      <c r="D75" s="8">
        <v>387.565</v>
      </c>
      <c r="E75" s="8">
        <v>38.567</v>
      </c>
      <c r="F75" s="8">
        <v>22.684999999999999</v>
      </c>
      <c r="G75" t="s">
        <v>4791</v>
      </c>
      <c r="H75" s="8">
        <v>50</v>
      </c>
      <c r="I75" t="s">
        <v>4789</v>
      </c>
      <c r="J75" s="5">
        <v>45491</v>
      </c>
      <c r="K75" t="s">
        <v>191</v>
      </c>
    </row>
    <row r="76" spans="1:11">
      <c r="A76" s="3" t="s">
        <v>481</v>
      </c>
      <c r="B76" s="8">
        <v>496.80700000000002</v>
      </c>
      <c r="D76" s="8">
        <v>380.142</v>
      </c>
      <c r="E76" s="8">
        <v>38.789000000000001</v>
      </c>
      <c r="F76" s="8">
        <v>23.652000000000001</v>
      </c>
      <c r="G76" t="s">
        <v>4788</v>
      </c>
      <c r="H76" s="8">
        <v>50</v>
      </c>
      <c r="I76" t="s">
        <v>4789</v>
      </c>
      <c r="J76" s="5">
        <v>45492</v>
      </c>
      <c r="K76" t="s">
        <v>4520</v>
      </c>
    </row>
    <row r="77" spans="1:11">
      <c r="A77" s="3" t="s">
        <v>489</v>
      </c>
      <c r="B77" s="8">
        <v>534.75300000000004</v>
      </c>
      <c r="D77" s="8">
        <v>413.96</v>
      </c>
      <c r="E77" s="8">
        <v>37.600999999999999</v>
      </c>
      <c r="F77" s="8">
        <v>21.544</v>
      </c>
      <c r="G77" t="s">
        <v>4788</v>
      </c>
      <c r="H77" s="8">
        <v>50</v>
      </c>
      <c r="I77" t="s">
        <v>4789</v>
      </c>
      <c r="J77" s="5">
        <v>45490</v>
      </c>
      <c r="K77" t="s">
        <v>12</v>
      </c>
    </row>
    <row r="78" spans="1:11">
      <c r="A78" s="3" t="s">
        <v>491</v>
      </c>
      <c r="B78" s="8">
        <v>540.85900000000004</v>
      </c>
      <c r="D78" s="8">
        <v>422.48500000000001</v>
      </c>
      <c r="E78" s="8">
        <v>37.49</v>
      </c>
      <c r="F78" s="8">
        <v>24.47</v>
      </c>
      <c r="G78" t="s">
        <v>4788</v>
      </c>
      <c r="H78" s="8">
        <v>50</v>
      </c>
      <c r="I78" t="s">
        <v>4789</v>
      </c>
      <c r="J78" s="5">
        <v>45491</v>
      </c>
      <c r="K78" t="s">
        <v>4523</v>
      </c>
    </row>
    <row r="79" spans="1:11">
      <c r="A79" s="3" t="s">
        <v>496</v>
      </c>
      <c r="B79" s="8">
        <v>564.15099999999995</v>
      </c>
      <c r="D79" s="8">
        <v>433.07799999999997</v>
      </c>
      <c r="E79" s="8">
        <v>35.744</v>
      </c>
      <c r="F79" s="8">
        <v>20.614999999999998</v>
      </c>
      <c r="G79" t="s">
        <v>4788</v>
      </c>
      <c r="H79" s="8">
        <v>50</v>
      </c>
      <c r="I79" t="s">
        <v>4789</v>
      </c>
      <c r="J79" s="5">
        <v>45493</v>
      </c>
      <c r="K79" t="s">
        <v>4512</v>
      </c>
    </row>
    <row r="80" spans="1:11">
      <c r="A80" s="3" t="s">
        <v>498</v>
      </c>
      <c r="B80" s="8">
        <v>558.13900000000001</v>
      </c>
      <c r="D80" s="8">
        <v>430.21800000000002</v>
      </c>
      <c r="E80" s="8">
        <v>36.048999999999999</v>
      </c>
      <c r="F80" s="8">
        <v>25.876000000000001</v>
      </c>
      <c r="G80" t="s">
        <v>4788</v>
      </c>
      <c r="H80" s="8">
        <v>50</v>
      </c>
      <c r="I80" t="s">
        <v>4789</v>
      </c>
      <c r="J80" s="5">
        <v>45494</v>
      </c>
      <c r="K80" t="s">
        <v>9</v>
      </c>
    </row>
    <row r="81" spans="1:12">
      <c r="A81" s="3" t="s">
        <v>512</v>
      </c>
      <c r="B81" s="8">
        <v>653.64</v>
      </c>
      <c r="D81" s="8">
        <v>500.65600000000001</v>
      </c>
      <c r="E81" s="8">
        <v>33.057000000000002</v>
      </c>
      <c r="F81" s="8">
        <v>23.007000000000001</v>
      </c>
      <c r="G81" t="s">
        <v>4788</v>
      </c>
      <c r="H81" s="8">
        <v>50</v>
      </c>
      <c r="I81" t="s">
        <v>4789</v>
      </c>
      <c r="J81" s="5">
        <v>45496</v>
      </c>
      <c r="K81" t="s">
        <v>191</v>
      </c>
    </row>
    <row r="82" spans="1:12">
      <c r="A82" s="3" t="s">
        <v>514</v>
      </c>
      <c r="B82" s="8">
        <v>659.62900000000002</v>
      </c>
      <c r="D82" s="8">
        <v>493.25799999999998</v>
      </c>
      <c r="E82" s="8">
        <v>34.335000000000001</v>
      </c>
      <c r="F82" s="8">
        <v>19.366</v>
      </c>
      <c r="G82" t="s">
        <v>4788</v>
      </c>
      <c r="H82" s="8">
        <v>50</v>
      </c>
      <c r="I82" t="s">
        <v>4789</v>
      </c>
      <c r="J82" s="5">
        <v>45497</v>
      </c>
      <c r="K82" t="s">
        <v>4520</v>
      </c>
    </row>
    <row r="83" spans="1:12">
      <c r="A83" s="3" t="s">
        <v>524</v>
      </c>
      <c r="B83" s="8">
        <v>383.74799999999999</v>
      </c>
      <c r="D83" s="8">
        <v>303.68900000000002</v>
      </c>
      <c r="E83" s="8">
        <v>42.262</v>
      </c>
      <c r="F83" s="8">
        <v>26.724</v>
      </c>
      <c r="G83" t="s">
        <v>4791</v>
      </c>
      <c r="H83" s="8">
        <v>50</v>
      </c>
      <c r="I83" t="s">
        <v>4789</v>
      </c>
      <c r="J83" s="5">
        <v>45496</v>
      </c>
      <c r="K83" t="s">
        <v>12</v>
      </c>
      <c r="L83" t="s">
        <v>4792</v>
      </c>
    </row>
    <row r="84" spans="1:12">
      <c r="A84" s="3" t="s">
        <v>526</v>
      </c>
      <c r="B84" s="8">
        <v>387.55</v>
      </c>
      <c r="C84" s="8">
        <v>305.50599999999997</v>
      </c>
      <c r="D84" s="9"/>
      <c r="E84" s="8">
        <v>41.973999999999997</v>
      </c>
      <c r="F84" s="8">
        <v>23.221</v>
      </c>
      <c r="G84" t="s">
        <v>4788</v>
      </c>
      <c r="H84" s="8">
        <v>50</v>
      </c>
      <c r="I84" t="s">
        <v>4789</v>
      </c>
      <c r="J84" s="5">
        <v>45497</v>
      </c>
      <c r="K84" t="s">
        <v>4523</v>
      </c>
    </row>
    <row r="85" spans="1:12">
      <c r="A85" s="3" t="s">
        <v>531</v>
      </c>
      <c r="B85" s="8">
        <v>376.20400000000001</v>
      </c>
      <c r="C85" s="8">
        <v>303.25</v>
      </c>
      <c r="D85" s="9"/>
      <c r="E85" s="8">
        <v>42.648000000000003</v>
      </c>
      <c r="F85" s="8">
        <v>24.963999999999999</v>
      </c>
      <c r="G85" t="s">
        <v>4788</v>
      </c>
      <c r="H85" s="8">
        <v>50</v>
      </c>
      <c r="I85" t="s">
        <v>4791</v>
      </c>
      <c r="J85" s="5">
        <v>45499</v>
      </c>
      <c r="K85" t="s">
        <v>4512</v>
      </c>
    </row>
    <row r="86" spans="1:12">
      <c r="A86" s="3" t="s">
        <v>533</v>
      </c>
      <c r="B86" s="8">
        <v>383.488</v>
      </c>
      <c r="C86" s="8">
        <v>307.26900000000001</v>
      </c>
      <c r="D86" s="9"/>
      <c r="E86" s="8">
        <v>41.756999999999998</v>
      </c>
      <c r="F86" s="8">
        <v>23.151</v>
      </c>
      <c r="G86" t="s">
        <v>4788</v>
      </c>
      <c r="H86" s="8">
        <v>50</v>
      </c>
      <c r="I86" t="s">
        <v>4789</v>
      </c>
      <c r="J86" s="5">
        <v>45500</v>
      </c>
      <c r="K86" t="s">
        <v>9</v>
      </c>
    </row>
    <row r="87" spans="1:12">
      <c r="A87" s="3" t="s">
        <v>544</v>
      </c>
      <c r="B87" s="8">
        <v>413.78899999999999</v>
      </c>
      <c r="C87" s="8">
        <v>321.94799999999998</v>
      </c>
      <c r="D87" s="9"/>
      <c r="E87" s="8">
        <v>40.698999999999998</v>
      </c>
      <c r="F87" s="8">
        <v>28.228000000000002</v>
      </c>
      <c r="G87" t="s">
        <v>4791</v>
      </c>
      <c r="H87" s="8">
        <v>50</v>
      </c>
      <c r="I87" t="s">
        <v>4789</v>
      </c>
      <c r="J87" s="5">
        <v>45502</v>
      </c>
      <c r="K87" t="s">
        <v>191</v>
      </c>
    </row>
    <row r="88" spans="1:12">
      <c r="A88" s="3" t="s">
        <v>546</v>
      </c>
      <c r="B88" s="8">
        <v>409.36200000000002</v>
      </c>
      <c r="C88" s="8">
        <v>321.80799999999999</v>
      </c>
      <c r="D88" s="9"/>
      <c r="E88" s="8">
        <v>40.832000000000001</v>
      </c>
      <c r="F88" s="8">
        <v>23.123000000000001</v>
      </c>
      <c r="G88" t="s">
        <v>4791</v>
      </c>
      <c r="H88" s="8">
        <v>50</v>
      </c>
      <c r="I88" t="s">
        <v>4789</v>
      </c>
      <c r="J88" s="5">
        <v>45503</v>
      </c>
      <c r="K88" t="s">
        <v>4520</v>
      </c>
    </row>
    <row r="89" spans="1:12">
      <c r="A89" s="3" t="s">
        <v>558</v>
      </c>
      <c r="B89" s="8">
        <v>596.71400000000006</v>
      </c>
      <c r="C89" s="8">
        <v>464.85199999999998</v>
      </c>
      <c r="D89" s="9"/>
      <c r="E89" s="8">
        <v>34.799999999999997</v>
      </c>
      <c r="F89" s="8">
        <v>21.899000000000001</v>
      </c>
      <c r="G89" t="s">
        <v>4788</v>
      </c>
      <c r="H89" s="8">
        <v>50</v>
      </c>
      <c r="I89" t="s">
        <v>4789</v>
      </c>
      <c r="J89" s="5">
        <v>45502</v>
      </c>
      <c r="K89" t="s">
        <v>12</v>
      </c>
    </row>
    <row r="90" spans="1:12">
      <c r="A90" s="3" t="s">
        <v>562</v>
      </c>
      <c r="B90" s="8">
        <v>638.86800000000005</v>
      </c>
      <c r="C90" s="8">
        <v>486.86200000000002</v>
      </c>
      <c r="D90" s="9"/>
      <c r="E90" s="8">
        <v>32.92</v>
      </c>
      <c r="F90" s="8">
        <v>20.757000000000001</v>
      </c>
      <c r="G90" t="s">
        <v>4788</v>
      </c>
      <c r="H90" s="8">
        <v>50</v>
      </c>
      <c r="I90" t="s">
        <v>4789</v>
      </c>
      <c r="J90" s="5">
        <v>45505</v>
      </c>
      <c r="K90" t="s">
        <v>4523</v>
      </c>
    </row>
    <row r="91" spans="1:12">
      <c r="A91" s="3" t="s">
        <v>564</v>
      </c>
      <c r="B91" s="8">
        <v>639.46299999999997</v>
      </c>
      <c r="C91" s="8">
        <v>482.39499999999998</v>
      </c>
      <c r="D91" s="9"/>
      <c r="E91" s="8">
        <v>33.146999999999998</v>
      </c>
      <c r="F91" s="8">
        <v>19.137</v>
      </c>
      <c r="G91" t="s">
        <v>4788</v>
      </c>
      <c r="H91" s="8">
        <v>50</v>
      </c>
      <c r="I91" t="s">
        <v>4789</v>
      </c>
      <c r="J91" s="5">
        <v>45506</v>
      </c>
      <c r="K91" t="s">
        <v>4512</v>
      </c>
    </row>
    <row r="92" spans="1:12">
      <c r="A92" s="3" t="s">
        <v>567</v>
      </c>
      <c r="B92" s="8">
        <v>674.20100000000002</v>
      </c>
      <c r="C92" s="8">
        <v>503.91399999999999</v>
      </c>
      <c r="D92" s="9"/>
      <c r="E92" s="8">
        <v>31.788</v>
      </c>
      <c r="F92" s="8">
        <v>19.68</v>
      </c>
      <c r="G92" t="s">
        <v>4788</v>
      </c>
      <c r="H92" s="8">
        <v>50</v>
      </c>
      <c r="I92" t="s">
        <v>4789</v>
      </c>
      <c r="J92" s="5">
        <v>45508</v>
      </c>
      <c r="K92" t="s">
        <v>9</v>
      </c>
    </row>
    <row r="93" spans="1:12">
      <c r="A93" s="3" t="s">
        <v>569</v>
      </c>
      <c r="B93" s="8">
        <v>673.32100000000003</v>
      </c>
      <c r="C93" s="8">
        <v>519.57500000000005</v>
      </c>
      <c r="D93" s="9"/>
      <c r="E93" s="8">
        <v>32.087000000000003</v>
      </c>
      <c r="F93" s="8">
        <v>23.376000000000001</v>
      </c>
      <c r="G93" t="s">
        <v>4788</v>
      </c>
      <c r="H93" s="8">
        <v>50</v>
      </c>
      <c r="I93" t="s">
        <v>4789</v>
      </c>
      <c r="J93" s="5">
        <v>45509</v>
      </c>
      <c r="K93" t="s">
        <v>191</v>
      </c>
    </row>
    <row r="94" spans="1:12">
      <c r="A94" s="3" t="s">
        <v>573</v>
      </c>
      <c r="B94" s="8">
        <v>381.81900000000002</v>
      </c>
      <c r="C94" s="8">
        <v>315.57799999999997</v>
      </c>
      <c r="D94" s="9"/>
      <c r="E94" s="8">
        <v>42.561</v>
      </c>
      <c r="F94" s="8">
        <v>25.925000000000001</v>
      </c>
      <c r="G94" t="s">
        <v>4788</v>
      </c>
      <c r="H94" s="8">
        <v>50</v>
      </c>
      <c r="I94" t="s">
        <v>4789</v>
      </c>
      <c r="J94" s="5">
        <v>45508</v>
      </c>
      <c r="K94" t="s">
        <v>4520</v>
      </c>
    </row>
    <row r="95" spans="1:12">
      <c r="A95" s="3" t="s">
        <v>575</v>
      </c>
      <c r="B95" s="8">
        <v>391.65800000000002</v>
      </c>
      <c r="C95" s="8">
        <v>311.02699999999999</v>
      </c>
      <c r="D95" s="9"/>
      <c r="E95" s="8">
        <v>42.551000000000002</v>
      </c>
      <c r="F95" s="8">
        <v>26.564</v>
      </c>
      <c r="G95" t="s">
        <v>4788</v>
      </c>
      <c r="H95" s="8">
        <v>50</v>
      </c>
      <c r="I95" t="s">
        <v>4789</v>
      </c>
      <c r="J95" s="5">
        <v>45509</v>
      </c>
      <c r="K95" t="s">
        <v>12</v>
      </c>
    </row>
    <row r="96" spans="1:12">
      <c r="A96" s="3" t="s">
        <v>578</v>
      </c>
      <c r="B96" s="8">
        <v>424.78100000000001</v>
      </c>
      <c r="C96" s="8">
        <v>334.97800000000001</v>
      </c>
      <c r="D96" s="9"/>
      <c r="E96" s="8">
        <v>40.790999999999997</v>
      </c>
      <c r="F96" s="8">
        <v>25.763999999999999</v>
      </c>
      <c r="G96" t="s">
        <v>4788</v>
      </c>
      <c r="H96" s="8">
        <v>50</v>
      </c>
      <c r="I96" t="s">
        <v>4789</v>
      </c>
      <c r="J96" s="5">
        <v>45511</v>
      </c>
      <c r="K96" t="s">
        <v>4523</v>
      </c>
    </row>
    <row r="97" spans="1:12">
      <c r="A97" s="3" t="s">
        <v>580</v>
      </c>
      <c r="B97" s="8">
        <v>423.54899999999998</v>
      </c>
      <c r="C97" s="8">
        <v>328.03300000000002</v>
      </c>
      <c r="D97" s="9"/>
      <c r="E97" s="8">
        <v>41.691000000000003</v>
      </c>
      <c r="F97" s="8">
        <v>23.09</v>
      </c>
      <c r="G97" t="s">
        <v>4788</v>
      </c>
      <c r="H97" s="8">
        <v>50</v>
      </c>
      <c r="I97" t="s">
        <v>4789</v>
      </c>
      <c r="J97" s="5">
        <v>45512</v>
      </c>
      <c r="K97" t="s">
        <v>4512</v>
      </c>
    </row>
    <row r="98" spans="1:12">
      <c r="A98" s="3" t="s">
        <v>582</v>
      </c>
      <c r="B98" s="8">
        <v>414.64400000000001</v>
      </c>
      <c r="C98" s="8">
        <v>330.899</v>
      </c>
      <c r="D98" s="9"/>
      <c r="E98" s="8">
        <v>42.453000000000003</v>
      </c>
      <c r="F98" s="8">
        <v>29.105</v>
      </c>
      <c r="G98" t="s">
        <v>4788</v>
      </c>
      <c r="H98" s="8">
        <v>50</v>
      </c>
      <c r="I98" t="s">
        <v>4789</v>
      </c>
      <c r="J98" s="5">
        <v>45513</v>
      </c>
      <c r="K98" t="s">
        <v>9</v>
      </c>
    </row>
    <row r="99" spans="1:12">
      <c r="A99" s="3" t="s">
        <v>585</v>
      </c>
      <c r="B99" s="8">
        <v>397.17399999999998</v>
      </c>
      <c r="C99" s="8">
        <v>313.75400000000002</v>
      </c>
      <c r="D99" s="9"/>
      <c r="E99" s="8">
        <v>41.923999999999999</v>
      </c>
      <c r="F99" s="8">
        <v>29.927</v>
      </c>
      <c r="G99" t="s">
        <v>4788</v>
      </c>
      <c r="H99" s="8">
        <v>50</v>
      </c>
      <c r="I99" t="s">
        <v>4789</v>
      </c>
      <c r="J99" s="5">
        <v>45514</v>
      </c>
      <c r="K99" t="s">
        <v>191</v>
      </c>
    </row>
    <row r="100" spans="1:12">
      <c r="A100" s="3" t="s">
        <v>587</v>
      </c>
      <c r="B100" s="8">
        <v>393.68599999999998</v>
      </c>
      <c r="C100" s="8">
        <v>305.02499999999998</v>
      </c>
      <c r="D100" s="9"/>
      <c r="E100" s="8">
        <v>44.750999999999998</v>
      </c>
      <c r="F100" s="8">
        <v>28.638999999999999</v>
      </c>
      <c r="G100" t="s">
        <v>4788</v>
      </c>
      <c r="H100" s="8">
        <v>50</v>
      </c>
      <c r="I100" t="s">
        <v>4789</v>
      </c>
      <c r="J100" s="5">
        <v>45515</v>
      </c>
      <c r="K100" t="s">
        <v>4520</v>
      </c>
    </row>
    <row r="101" spans="1:12">
      <c r="A101" s="3" t="s">
        <v>591</v>
      </c>
      <c r="B101" s="8">
        <v>469.85199999999998</v>
      </c>
      <c r="C101" s="8">
        <v>373.49200000000002</v>
      </c>
      <c r="D101" s="9"/>
      <c r="E101" s="8">
        <v>39.008000000000003</v>
      </c>
      <c r="F101" s="8">
        <v>24.106999999999999</v>
      </c>
      <c r="G101" t="s">
        <v>4788</v>
      </c>
      <c r="H101" s="8">
        <v>50</v>
      </c>
      <c r="I101" t="s">
        <v>4790</v>
      </c>
      <c r="J101" s="5">
        <v>45511</v>
      </c>
      <c r="K101" t="s">
        <v>12</v>
      </c>
    </row>
    <row r="102" spans="1:12">
      <c r="A102" s="3" t="s">
        <v>595</v>
      </c>
      <c r="B102" s="8">
        <v>581.70899999999995</v>
      </c>
      <c r="C102" s="8">
        <v>457.90300000000002</v>
      </c>
      <c r="D102" s="9"/>
      <c r="E102" s="8">
        <v>36.597999999999999</v>
      </c>
      <c r="F102" s="8">
        <v>23.102</v>
      </c>
      <c r="G102" t="s">
        <v>4788</v>
      </c>
      <c r="H102" s="8">
        <v>50</v>
      </c>
      <c r="I102" t="s">
        <v>4789</v>
      </c>
      <c r="J102" s="5">
        <v>45514</v>
      </c>
      <c r="K102" t="s">
        <v>4523</v>
      </c>
      <c r="L102" t="s">
        <v>4792</v>
      </c>
    </row>
    <row r="103" spans="1:12">
      <c r="A103" s="3" t="s">
        <v>597</v>
      </c>
      <c r="B103" s="8">
        <v>580.61400000000003</v>
      </c>
      <c r="C103" s="8">
        <v>440.226</v>
      </c>
      <c r="D103" s="9"/>
      <c r="E103" s="8">
        <v>36.209000000000003</v>
      </c>
      <c r="F103" s="8">
        <v>25.18</v>
      </c>
      <c r="G103" t="s">
        <v>4791</v>
      </c>
      <c r="H103" s="8">
        <v>50</v>
      </c>
      <c r="I103" t="s">
        <v>4789</v>
      </c>
      <c r="J103" s="5">
        <v>45515</v>
      </c>
      <c r="K103" t="s">
        <v>4512</v>
      </c>
    </row>
    <row r="104" spans="1:12">
      <c r="A104" s="3" t="s">
        <v>600</v>
      </c>
      <c r="B104" s="8">
        <v>574.78899999999999</v>
      </c>
      <c r="C104" s="8">
        <v>442.54500000000002</v>
      </c>
      <c r="D104" s="9"/>
      <c r="E104" s="8">
        <v>34.533000000000001</v>
      </c>
      <c r="F104" s="8">
        <v>23.24</v>
      </c>
      <c r="G104" t="s">
        <v>4788</v>
      </c>
      <c r="H104" s="8">
        <v>50</v>
      </c>
      <c r="I104" t="s">
        <v>4789</v>
      </c>
      <c r="J104" s="5">
        <v>45517</v>
      </c>
      <c r="K104" t="s">
        <v>9</v>
      </c>
    </row>
    <row r="105" spans="1:12">
      <c r="A105" s="3" t="s">
        <v>602</v>
      </c>
      <c r="B105" s="8">
        <v>589.32799999999997</v>
      </c>
      <c r="C105" s="8">
        <v>450.99099999999999</v>
      </c>
      <c r="D105" s="9"/>
      <c r="E105" s="8">
        <v>36.636000000000003</v>
      </c>
      <c r="F105" s="8">
        <v>20.6</v>
      </c>
      <c r="G105" t="s">
        <v>4788</v>
      </c>
      <c r="H105" s="8">
        <v>50</v>
      </c>
      <c r="I105" t="s">
        <v>4790</v>
      </c>
      <c r="J105" s="5">
        <v>45518</v>
      </c>
      <c r="K105" t="s">
        <v>191</v>
      </c>
    </row>
    <row r="106" spans="1:12">
      <c r="A106" s="3" t="s">
        <v>605</v>
      </c>
      <c r="B106" s="8">
        <v>612.57399999999996</v>
      </c>
      <c r="C106" s="8">
        <v>473.28100000000001</v>
      </c>
      <c r="D106" s="9"/>
      <c r="E106" s="8">
        <v>34.843000000000004</v>
      </c>
      <c r="F106" s="8">
        <v>20.622</v>
      </c>
      <c r="G106" t="s">
        <v>4788</v>
      </c>
      <c r="H106" s="8">
        <v>50</v>
      </c>
      <c r="I106" t="s">
        <v>4789</v>
      </c>
      <c r="J106" s="5">
        <v>45520</v>
      </c>
      <c r="K106" t="s">
        <v>4520</v>
      </c>
    </row>
    <row r="107" spans="1:12">
      <c r="A107" s="3" t="s">
        <v>607</v>
      </c>
      <c r="B107" s="8">
        <v>605.06299999999999</v>
      </c>
      <c r="C107" s="8">
        <v>460.60700000000003</v>
      </c>
      <c r="D107" s="9"/>
      <c r="E107" s="8">
        <v>34.957999999999998</v>
      </c>
      <c r="F107" s="8">
        <v>19.78</v>
      </c>
      <c r="G107" t="s">
        <v>4788</v>
      </c>
      <c r="H107" s="8">
        <v>50</v>
      </c>
      <c r="I107" t="s">
        <v>4789</v>
      </c>
      <c r="J107" s="5">
        <v>45521</v>
      </c>
      <c r="K107" t="s">
        <v>12</v>
      </c>
    </row>
    <row r="108" spans="1:12">
      <c r="A108" s="3" t="s">
        <v>617</v>
      </c>
      <c r="B108" s="8">
        <v>445.04399999999998</v>
      </c>
      <c r="C108" s="8">
        <v>340.77499999999998</v>
      </c>
      <c r="D108" s="9"/>
      <c r="E108" s="8">
        <v>40.966999999999999</v>
      </c>
      <c r="F108" s="8">
        <v>23.908999999999999</v>
      </c>
      <c r="G108" t="s">
        <v>4788</v>
      </c>
      <c r="H108" s="8">
        <v>50</v>
      </c>
      <c r="I108" t="s">
        <v>4789</v>
      </c>
      <c r="J108" s="5">
        <v>45520</v>
      </c>
      <c r="K108" t="s">
        <v>4523</v>
      </c>
    </row>
    <row r="109" spans="1:12">
      <c r="A109" s="3" t="s">
        <v>619</v>
      </c>
      <c r="B109" s="8">
        <v>429.52499999999998</v>
      </c>
      <c r="C109" s="8">
        <v>342.12599999999998</v>
      </c>
      <c r="D109" s="9"/>
      <c r="E109" s="8">
        <v>41.491999999999997</v>
      </c>
      <c r="F109" s="8">
        <v>23.416</v>
      </c>
      <c r="G109" t="s">
        <v>4791</v>
      </c>
      <c r="H109" s="8">
        <v>50</v>
      </c>
      <c r="I109" t="s">
        <v>4789</v>
      </c>
      <c r="J109" s="5">
        <v>45521</v>
      </c>
      <c r="K109" t="s">
        <v>4512</v>
      </c>
    </row>
    <row r="110" spans="1:12">
      <c r="A110" s="3" t="s">
        <v>621</v>
      </c>
      <c r="B110" s="8">
        <v>440.32</v>
      </c>
      <c r="C110" s="8">
        <v>337.38600000000002</v>
      </c>
      <c r="D110" s="9"/>
      <c r="E110" s="8">
        <v>40.204999999999998</v>
      </c>
      <c r="F110" s="8">
        <v>23.661999999999999</v>
      </c>
      <c r="G110" t="s">
        <v>4791</v>
      </c>
      <c r="H110" s="8">
        <v>50</v>
      </c>
      <c r="I110" t="s">
        <v>4789</v>
      </c>
      <c r="J110" s="5">
        <v>45522</v>
      </c>
      <c r="K110" t="s">
        <v>9</v>
      </c>
    </row>
    <row r="111" spans="1:12">
      <c r="A111" s="3" t="s">
        <v>631</v>
      </c>
      <c r="B111" s="8">
        <v>475.779</v>
      </c>
      <c r="C111" s="8">
        <v>376.77699999999999</v>
      </c>
      <c r="D111" s="9"/>
      <c r="E111" s="8">
        <v>40.128999999999998</v>
      </c>
      <c r="F111" s="8">
        <v>28.195</v>
      </c>
      <c r="G111" t="s">
        <v>4791</v>
      </c>
      <c r="H111" s="8">
        <v>50</v>
      </c>
      <c r="I111" t="s">
        <v>4789</v>
      </c>
      <c r="J111" s="5">
        <v>45523</v>
      </c>
      <c r="K111" t="s">
        <v>191</v>
      </c>
    </row>
    <row r="112" spans="1:12">
      <c r="A112" s="3" t="s">
        <v>633</v>
      </c>
      <c r="B112" s="8">
        <v>477.39100000000002</v>
      </c>
      <c r="C112" s="8">
        <v>357.95600000000002</v>
      </c>
      <c r="D112" s="9"/>
      <c r="E112" s="8">
        <v>39.107999999999997</v>
      </c>
      <c r="F112" s="8">
        <v>25.704999999999998</v>
      </c>
      <c r="G112" t="s">
        <v>4788</v>
      </c>
      <c r="H112" s="8">
        <v>50</v>
      </c>
      <c r="I112" t="s">
        <v>4789</v>
      </c>
      <c r="J112" s="5">
        <v>45524</v>
      </c>
      <c r="K112" t="s">
        <v>4520</v>
      </c>
    </row>
    <row r="113" spans="1:11">
      <c r="A113" s="3" t="s">
        <v>647</v>
      </c>
      <c r="B113" s="8">
        <v>657.10799999999995</v>
      </c>
      <c r="C113" s="8">
        <v>495.84199999999998</v>
      </c>
      <c r="D113" s="9"/>
      <c r="E113" s="8">
        <v>32.755000000000003</v>
      </c>
      <c r="F113" s="8">
        <v>22.78</v>
      </c>
      <c r="G113" t="s">
        <v>4791</v>
      </c>
      <c r="H113" s="8">
        <v>50</v>
      </c>
      <c r="I113" t="s">
        <v>4789</v>
      </c>
      <c r="J113" s="5">
        <v>45532</v>
      </c>
      <c r="K113" t="s">
        <v>12</v>
      </c>
    </row>
    <row r="114" spans="1:11">
      <c r="A114" s="3" t="s">
        <v>660</v>
      </c>
      <c r="B114" s="8">
        <v>418.714</v>
      </c>
      <c r="C114" s="8">
        <v>319.66899999999998</v>
      </c>
      <c r="D114" s="9"/>
      <c r="E114" s="8">
        <v>42.905999999999999</v>
      </c>
      <c r="F114" s="8">
        <v>27.963999999999999</v>
      </c>
      <c r="G114" t="s">
        <v>4788</v>
      </c>
      <c r="H114" s="8">
        <v>50</v>
      </c>
      <c r="I114" t="s">
        <v>4789</v>
      </c>
      <c r="J114" s="5">
        <v>45532</v>
      </c>
      <c r="K114" t="s">
        <v>4523</v>
      </c>
    </row>
    <row r="115" spans="1:11">
      <c r="A115" s="3" t="s">
        <v>662</v>
      </c>
      <c r="B115" s="8">
        <v>404.3</v>
      </c>
      <c r="C115" s="8">
        <v>317.226</v>
      </c>
      <c r="D115" s="9"/>
      <c r="E115" s="8">
        <v>41.661000000000001</v>
      </c>
      <c r="F115" s="8">
        <v>29.64</v>
      </c>
      <c r="G115" t="s">
        <v>4788</v>
      </c>
      <c r="H115" s="8">
        <v>50</v>
      </c>
      <c r="I115" t="s">
        <v>4789</v>
      </c>
      <c r="J115" s="5">
        <v>45533</v>
      </c>
      <c r="K115" t="s">
        <v>4512</v>
      </c>
    </row>
    <row r="116" spans="1:11">
      <c r="A116" s="3" t="s">
        <v>668</v>
      </c>
      <c r="B116" s="8">
        <v>480.49</v>
      </c>
      <c r="C116" s="8">
        <v>375.06400000000002</v>
      </c>
      <c r="D116" s="9"/>
      <c r="E116" s="8">
        <v>39.142000000000003</v>
      </c>
      <c r="F116" s="8">
        <v>26.943999999999999</v>
      </c>
      <c r="G116" t="s">
        <v>4788</v>
      </c>
      <c r="H116" s="8">
        <v>50</v>
      </c>
      <c r="I116" t="s">
        <v>4789</v>
      </c>
      <c r="J116" s="5">
        <v>45535</v>
      </c>
      <c r="K116" t="s">
        <v>9</v>
      </c>
    </row>
    <row r="117" spans="1:11">
      <c r="A117" s="3" t="s">
        <v>670</v>
      </c>
      <c r="B117" s="8">
        <v>481.14499999999998</v>
      </c>
      <c r="C117" s="8">
        <v>368.24200000000002</v>
      </c>
      <c r="D117" s="9"/>
      <c r="E117" s="8">
        <v>39.732999999999997</v>
      </c>
      <c r="F117" s="8">
        <v>26.276</v>
      </c>
      <c r="G117" t="s">
        <v>4788</v>
      </c>
      <c r="H117" s="8">
        <v>50</v>
      </c>
      <c r="I117" t="s">
        <v>4789</v>
      </c>
      <c r="J117" s="5">
        <v>45536</v>
      </c>
      <c r="K117" t="s">
        <v>191</v>
      </c>
    </row>
    <row r="118" spans="1:11">
      <c r="A118" s="3" t="s">
        <v>676</v>
      </c>
      <c r="B118" s="8">
        <v>565.14</v>
      </c>
      <c r="C118" s="8">
        <v>439.96600000000001</v>
      </c>
      <c r="D118" s="9"/>
      <c r="E118" s="8">
        <v>36.243000000000002</v>
      </c>
      <c r="F118" s="8">
        <v>25</v>
      </c>
      <c r="G118" t="s">
        <v>4788</v>
      </c>
      <c r="H118" s="8">
        <v>50</v>
      </c>
      <c r="I118" t="s">
        <v>4789</v>
      </c>
      <c r="J118" s="5">
        <v>45541</v>
      </c>
      <c r="K118" t="s">
        <v>4520</v>
      </c>
    </row>
    <row r="119" spans="1:11">
      <c r="A119" s="3" t="s">
        <v>678</v>
      </c>
      <c r="B119" s="8">
        <v>571.69200000000001</v>
      </c>
      <c r="C119" s="8">
        <v>440.661</v>
      </c>
      <c r="D119" s="9"/>
      <c r="E119" s="8">
        <v>36.817999999999998</v>
      </c>
      <c r="F119" s="8">
        <v>25.492000000000001</v>
      </c>
      <c r="G119" t="s">
        <v>4791</v>
      </c>
      <c r="H119" s="8">
        <v>50</v>
      </c>
      <c r="I119" t="s">
        <v>4789</v>
      </c>
      <c r="J119" s="5">
        <v>45542</v>
      </c>
      <c r="K119" t="s">
        <v>12</v>
      </c>
    </row>
    <row r="120" spans="1:11">
      <c r="A120" s="3" t="s">
        <v>680</v>
      </c>
      <c r="B120" s="8">
        <v>574.34900000000005</v>
      </c>
      <c r="C120" s="8">
        <v>455.72800000000001</v>
      </c>
      <c r="D120" s="9"/>
      <c r="E120" s="8">
        <v>35.131</v>
      </c>
      <c r="F120" s="8">
        <v>24.55</v>
      </c>
      <c r="G120" t="s">
        <v>4788</v>
      </c>
      <c r="H120" s="8">
        <v>50</v>
      </c>
      <c r="I120" t="s">
        <v>4789</v>
      </c>
      <c r="J120" s="5">
        <v>45543</v>
      </c>
      <c r="K120" t="s">
        <v>4523</v>
      </c>
    </row>
    <row r="121" spans="1:11">
      <c r="A121" s="3" t="s">
        <v>693</v>
      </c>
      <c r="B121" s="8">
        <v>654.59</v>
      </c>
      <c r="C121" s="8">
        <v>503.63</v>
      </c>
      <c r="D121" s="9"/>
      <c r="E121" s="8">
        <v>32.326000000000001</v>
      </c>
      <c r="F121" s="8">
        <v>18.535</v>
      </c>
      <c r="G121" t="s">
        <v>4788</v>
      </c>
      <c r="H121" s="8">
        <v>50</v>
      </c>
      <c r="I121" t="s">
        <v>4789</v>
      </c>
      <c r="J121" s="5">
        <v>45544</v>
      </c>
      <c r="K121" t="s">
        <v>4512</v>
      </c>
    </row>
    <row r="122" spans="1:11">
      <c r="A122" s="3" t="s">
        <v>695</v>
      </c>
      <c r="B122" s="8">
        <v>659.32299999999998</v>
      </c>
      <c r="C122" s="8">
        <v>508.077</v>
      </c>
      <c r="D122" s="9"/>
      <c r="E122" s="8">
        <v>32.551000000000002</v>
      </c>
      <c r="F122" s="8">
        <v>23.071000000000002</v>
      </c>
      <c r="G122" t="s">
        <v>4791</v>
      </c>
      <c r="H122" s="8">
        <v>50</v>
      </c>
      <c r="I122" t="s">
        <v>4789</v>
      </c>
      <c r="J122" s="5">
        <v>45545</v>
      </c>
      <c r="K122" t="s">
        <v>9</v>
      </c>
    </row>
    <row r="123" spans="1:11">
      <c r="A123" s="3" t="s">
        <v>697</v>
      </c>
      <c r="B123" s="8">
        <v>663.01900000000001</v>
      </c>
      <c r="C123" s="8">
        <v>510.52300000000002</v>
      </c>
      <c r="D123" s="9"/>
      <c r="E123" s="8">
        <v>32.853000000000002</v>
      </c>
      <c r="F123" s="8">
        <v>24.343</v>
      </c>
      <c r="G123" t="s">
        <v>4788</v>
      </c>
      <c r="H123" s="8">
        <v>50</v>
      </c>
      <c r="I123" t="s">
        <v>4789</v>
      </c>
      <c r="J123" s="5">
        <v>45546</v>
      </c>
      <c r="K123" t="s">
        <v>191</v>
      </c>
    </row>
    <row r="124" spans="1:11">
      <c r="A124" s="3" t="s">
        <v>701</v>
      </c>
      <c r="B124" s="8">
        <v>370.20499999999998</v>
      </c>
      <c r="C124" s="8">
        <v>298.85399999999998</v>
      </c>
      <c r="D124" s="9"/>
      <c r="E124" s="8">
        <v>42.44</v>
      </c>
      <c r="F124" s="8">
        <v>28.728999999999999</v>
      </c>
      <c r="G124" t="s">
        <v>4788</v>
      </c>
      <c r="H124" s="8">
        <v>50</v>
      </c>
      <c r="I124" t="s">
        <v>4789</v>
      </c>
      <c r="J124" s="5">
        <v>45544</v>
      </c>
      <c r="K124" t="s">
        <v>4520</v>
      </c>
    </row>
    <row r="125" spans="1:11">
      <c r="A125" s="3" t="s">
        <v>703</v>
      </c>
      <c r="B125" s="8">
        <v>374.05099999999999</v>
      </c>
      <c r="C125" s="8">
        <v>291.71499999999997</v>
      </c>
      <c r="D125" s="9"/>
      <c r="E125" s="8">
        <v>41.847999999999999</v>
      </c>
      <c r="F125" s="8">
        <v>27.271000000000001</v>
      </c>
      <c r="G125" t="s">
        <v>4788</v>
      </c>
      <c r="H125" s="8">
        <v>50</v>
      </c>
      <c r="I125" t="s">
        <v>4789</v>
      </c>
      <c r="J125" s="5">
        <v>45545</v>
      </c>
      <c r="K125" t="s">
        <v>12</v>
      </c>
    </row>
    <row r="126" spans="1:11">
      <c r="A126" s="3" t="s">
        <v>716</v>
      </c>
      <c r="B126" s="8">
        <v>482.548</v>
      </c>
      <c r="C126" s="8">
        <v>374.58199999999999</v>
      </c>
      <c r="D126" s="9"/>
      <c r="E126" s="8">
        <v>40.005000000000003</v>
      </c>
      <c r="F126" s="8">
        <v>24.001000000000001</v>
      </c>
      <c r="G126" t="s">
        <v>4788</v>
      </c>
      <c r="H126" s="8">
        <v>50</v>
      </c>
      <c r="I126" t="s">
        <v>4789</v>
      </c>
      <c r="J126" s="5">
        <v>45547</v>
      </c>
      <c r="K126" t="s">
        <v>4523</v>
      </c>
    </row>
    <row r="127" spans="1:11">
      <c r="A127" s="3" t="s">
        <v>718</v>
      </c>
      <c r="B127" s="8">
        <v>461.78899999999999</v>
      </c>
      <c r="C127" s="8">
        <v>368.05500000000001</v>
      </c>
      <c r="D127" s="9"/>
      <c r="E127" s="8">
        <v>38.982999999999997</v>
      </c>
      <c r="F127" s="8">
        <v>23.044</v>
      </c>
      <c r="G127" t="s">
        <v>4788</v>
      </c>
      <c r="H127" s="8">
        <v>50</v>
      </c>
      <c r="I127" t="s">
        <v>4789</v>
      </c>
      <c r="J127" s="5">
        <v>45548</v>
      </c>
      <c r="K127" t="s">
        <v>4512</v>
      </c>
    </row>
    <row r="128" spans="1:11">
      <c r="A128" s="3" t="s">
        <v>720</v>
      </c>
      <c r="B128" s="8">
        <v>465.85599999999999</v>
      </c>
      <c r="C128" s="8">
        <v>371.63499999999999</v>
      </c>
      <c r="D128" s="9"/>
      <c r="E128" s="8">
        <v>39.462000000000003</v>
      </c>
      <c r="F128" s="8">
        <v>24.638999999999999</v>
      </c>
      <c r="G128" t="s">
        <v>4788</v>
      </c>
      <c r="H128" s="8">
        <v>50</v>
      </c>
      <c r="I128" t="s">
        <v>4789</v>
      </c>
      <c r="J128" s="5">
        <v>45549</v>
      </c>
      <c r="K128" t="s">
        <v>9</v>
      </c>
    </row>
    <row r="129" spans="1:12">
      <c r="A129" s="3" t="s">
        <v>733</v>
      </c>
      <c r="B129" s="8">
        <v>595.10500000000002</v>
      </c>
      <c r="C129" s="8">
        <v>466.75</v>
      </c>
      <c r="D129" s="9"/>
      <c r="E129" s="8">
        <v>34.433999999999997</v>
      </c>
      <c r="F129" s="8">
        <v>20.971</v>
      </c>
      <c r="G129" t="s">
        <v>4788</v>
      </c>
      <c r="H129" s="8">
        <v>50</v>
      </c>
      <c r="I129" t="s">
        <v>4789</v>
      </c>
      <c r="J129" s="5">
        <v>45550</v>
      </c>
      <c r="K129" t="s">
        <v>191</v>
      </c>
    </row>
    <row r="130" spans="1:12">
      <c r="A130" s="3" t="s">
        <v>735</v>
      </c>
      <c r="B130" s="8">
        <v>607.24300000000005</v>
      </c>
      <c r="C130" s="8">
        <v>454.31900000000002</v>
      </c>
      <c r="D130" s="9"/>
      <c r="E130" s="8">
        <v>33.756999999999998</v>
      </c>
      <c r="F130" s="8">
        <v>25.113</v>
      </c>
      <c r="G130" t="s">
        <v>4788</v>
      </c>
      <c r="H130" s="8">
        <v>50</v>
      </c>
      <c r="I130" t="s">
        <v>4790</v>
      </c>
      <c r="J130" s="5">
        <v>45551</v>
      </c>
      <c r="K130" t="s">
        <v>4520</v>
      </c>
      <c r="L130" t="s">
        <v>4792</v>
      </c>
    </row>
    <row r="131" spans="1:12">
      <c r="A131" s="3" t="s">
        <v>739</v>
      </c>
      <c r="B131" s="8">
        <v>652.94299999999998</v>
      </c>
      <c r="C131" s="8">
        <v>498.51499999999999</v>
      </c>
      <c r="D131" s="9"/>
      <c r="E131" s="8">
        <v>32.201000000000001</v>
      </c>
      <c r="F131" s="8">
        <v>23.925000000000001</v>
      </c>
      <c r="G131" t="s">
        <v>4788</v>
      </c>
      <c r="H131" s="8">
        <v>50</v>
      </c>
      <c r="I131" t="s">
        <v>4789</v>
      </c>
      <c r="J131" s="5">
        <v>45553</v>
      </c>
      <c r="K131" t="s">
        <v>12</v>
      </c>
    </row>
    <row r="132" spans="1:12">
      <c r="A132" s="3" t="s">
        <v>741</v>
      </c>
      <c r="B132" s="8">
        <v>667.95600000000002</v>
      </c>
      <c r="C132" s="8">
        <v>509.16500000000002</v>
      </c>
      <c r="D132" s="9"/>
      <c r="E132" s="8">
        <v>32.853000000000002</v>
      </c>
      <c r="F132" s="8">
        <v>20.687999999999999</v>
      </c>
      <c r="G132" t="s">
        <v>4788</v>
      </c>
      <c r="H132" s="8">
        <v>50</v>
      </c>
      <c r="I132" t="s">
        <v>4789</v>
      </c>
      <c r="J132" s="5">
        <v>45554</v>
      </c>
      <c r="K132" t="s">
        <v>4523</v>
      </c>
    </row>
    <row r="133" spans="1:12">
      <c r="A133" s="3" t="s">
        <v>744</v>
      </c>
      <c r="B133" s="8">
        <v>616.88599999999997</v>
      </c>
      <c r="C133" s="8">
        <v>477.976</v>
      </c>
      <c r="D133" s="9"/>
      <c r="E133" s="8">
        <v>33.307000000000002</v>
      </c>
      <c r="F133" s="8">
        <v>20.350999999999999</v>
      </c>
      <c r="G133" t="s">
        <v>4788</v>
      </c>
      <c r="H133" s="8">
        <v>50</v>
      </c>
      <c r="I133" t="s">
        <v>4789</v>
      </c>
      <c r="J133" s="5">
        <v>45556</v>
      </c>
      <c r="K133" t="s">
        <v>4512</v>
      </c>
    </row>
    <row r="134" spans="1:12">
      <c r="A134" s="3" t="s">
        <v>746</v>
      </c>
      <c r="B134" s="8">
        <v>631.74900000000002</v>
      </c>
      <c r="C134" s="8">
        <v>480.54700000000003</v>
      </c>
      <c r="D134" s="9"/>
      <c r="E134" s="8">
        <v>34.655000000000001</v>
      </c>
      <c r="F134" s="8">
        <v>25.087</v>
      </c>
      <c r="G134" t="s">
        <v>4788</v>
      </c>
      <c r="H134" s="8">
        <v>50</v>
      </c>
      <c r="I134" t="s">
        <v>4789</v>
      </c>
      <c r="J134" s="5">
        <v>45557</v>
      </c>
      <c r="K134" t="s">
        <v>9</v>
      </c>
    </row>
    <row r="135" spans="1:12">
      <c r="A135" s="3" t="s">
        <v>761</v>
      </c>
      <c r="B135" s="8">
        <v>468.69099999999997</v>
      </c>
      <c r="C135" s="8">
        <v>374.63099999999997</v>
      </c>
      <c r="D135" s="9"/>
      <c r="E135" s="8">
        <v>39.622999999999998</v>
      </c>
      <c r="F135" s="8">
        <v>29.448</v>
      </c>
      <c r="G135" t="s">
        <v>4788</v>
      </c>
      <c r="H135" s="8">
        <v>50</v>
      </c>
      <c r="I135" t="s">
        <v>4789</v>
      </c>
      <c r="J135" s="5">
        <v>45559</v>
      </c>
      <c r="K135" t="s">
        <v>191</v>
      </c>
    </row>
    <row r="136" spans="1:12">
      <c r="A136" s="3" t="s">
        <v>769</v>
      </c>
      <c r="B136" s="8">
        <v>565.18100000000004</v>
      </c>
      <c r="C136" s="8">
        <v>437.59100000000001</v>
      </c>
      <c r="D136" s="9"/>
      <c r="E136" s="8">
        <v>35.94</v>
      </c>
      <c r="F136" s="8">
        <v>25.152000000000001</v>
      </c>
      <c r="G136" t="s">
        <v>4788</v>
      </c>
      <c r="H136" s="8">
        <v>50</v>
      </c>
      <c r="I136" t="s">
        <v>4789</v>
      </c>
      <c r="J136" s="5">
        <v>45562</v>
      </c>
      <c r="K136" t="s">
        <v>4520</v>
      </c>
    </row>
    <row r="137" spans="1:12">
      <c r="A137" s="3" t="s">
        <v>771</v>
      </c>
      <c r="B137" s="8">
        <v>571.24400000000003</v>
      </c>
      <c r="C137" s="8">
        <v>437.31099999999998</v>
      </c>
      <c r="D137" s="9"/>
      <c r="E137" s="8">
        <v>35.655999999999999</v>
      </c>
      <c r="F137" s="8">
        <v>25.26</v>
      </c>
      <c r="G137" t="s">
        <v>4788</v>
      </c>
      <c r="H137" s="8">
        <v>50</v>
      </c>
      <c r="I137" t="s">
        <v>4789</v>
      </c>
      <c r="J137" s="5">
        <v>45563</v>
      </c>
      <c r="K137" t="s">
        <v>12</v>
      </c>
    </row>
    <row r="138" spans="1:12">
      <c r="A138" s="3" t="s">
        <v>774</v>
      </c>
      <c r="B138" s="8">
        <v>598.41</v>
      </c>
      <c r="C138" s="8">
        <v>458.98899999999998</v>
      </c>
      <c r="D138" s="9"/>
      <c r="E138" s="8">
        <v>33.845999999999997</v>
      </c>
      <c r="F138" s="8">
        <v>21.454999999999998</v>
      </c>
      <c r="G138" t="s">
        <v>4788</v>
      </c>
      <c r="H138" s="8">
        <v>50</v>
      </c>
      <c r="I138" t="s">
        <v>4789</v>
      </c>
      <c r="J138" s="5">
        <v>45565</v>
      </c>
      <c r="K138" t="s">
        <v>4523</v>
      </c>
    </row>
    <row r="139" spans="1:12">
      <c r="A139" s="3" t="s">
        <v>776</v>
      </c>
      <c r="B139" s="8">
        <v>594.54300000000001</v>
      </c>
      <c r="C139" s="8">
        <v>459.43299999999999</v>
      </c>
      <c r="D139" s="9"/>
      <c r="E139" s="8">
        <v>35.204999999999998</v>
      </c>
      <c r="F139" s="8">
        <v>24.292999999999999</v>
      </c>
      <c r="G139" t="s">
        <v>4788</v>
      </c>
      <c r="H139" s="8">
        <v>50</v>
      </c>
      <c r="I139" t="s">
        <v>4789</v>
      </c>
      <c r="J139" s="5">
        <v>45566</v>
      </c>
      <c r="K139" t="s">
        <v>4512</v>
      </c>
    </row>
    <row r="140" spans="1:12">
      <c r="A140" s="3" t="s">
        <v>778</v>
      </c>
      <c r="B140" s="8"/>
      <c r="C140" s="8"/>
      <c r="D140" s="9"/>
      <c r="E140" s="8"/>
      <c r="F140" s="8"/>
      <c r="G140" t="s">
        <v>4788</v>
      </c>
      <c r="H140" s="8">
        <v>50</v>
      </c>
      <c r="I140" t="s">
        <v>4789</v>
      </c>
      <c r="J140" s="5">
        <v>45567</v>
      </c>
      <c r="K140" t="s">
        <v>9</v>
      </c>
    </row>
    <row r="141" spans="1:12">
      <c r="A141" s="3" t="s">
        <v>785</v>
      </c>
      <c r="B141" s="8"/>
      <c r="C141" s="8"/>
      <c r="D141" s="9"/>
      <c r="E141" s="8"/>
      <c r="F141" s="8"/>
      <c r="G141" t="s">
        <v>4788</v>
      </c>
      <c r="H141" s="8">
        <v>50</v>
      </c>
      <c r="I141" t="s">
        <v>4789</v>
      </c>
      <c r="J141" s="5">
        <v>45568</v>
      </c>
      <c r="K141" t="s">
        <v>191</v>
      </c>
    </row>
    <row r="142" spans="1:12">
      <c r="A142" s="3" t="s">
        <v>787</v>
      </c>
      <c r="B142" s="8"/>
      <c r="C142" s="8"/>
      <c r="D142" s="9"/>
      <c r="E142" s="8"/>
      <c r="F142" s="8"/>
      <c r="G142" t="s">
        <v>4788</v>
      </c>
      <c r="H142" s="8">
        <v>50</v>
      </c>
      <c r="I142" t="s">
        <v>4789</v>
      </c>
      <c r="J142" s="5">
        <v>45569</v>
      </c>
      <c r="K142" t="s">
        <v>4520</v>
      </c>
    </row>
    <row r="143" spans="1:12">
      <c r="A143" s="3" t="s">
        <v>791</v>
      </c>
      <c r="B143" s="8"/>
      <c r="C143" s="8"/>
      <c r="D143" s="9"/>
      <c r="E143" s="8"/>
      <c r="F143" s="8"/>
      <c r="G143" t="s">
        <v>4788</v>
      </c>
      <c r="H143" s="8">
        <v>50</v>
      </c>
      <c r="I143" t="s">
        <v>4789</v>
      </c>
      <c r="J143" s="5">
        <v>45565</v>
      </c>
      <c r="K143" t="s">
        <v>12</v>
      </c>
    </row>
    <row r="144" spans="1:12">
      <c r="A144" s="3" t="s">
        <v>793</v>
      </c>
      <c r="B144" s="8"/>
      <c r="C144" s="8"/>
      <c r="D144" s="9"/>
      <c r="E144" s="8"/>
      <c r="F144" s="8"/>
      <c r="G144" t="s">
        <v>4791</v>
      </c>
      <c r="H144" s="8">
        <v>50</v>
      </c>
      <c r="I144" t="s">
        <v>4789</v>
      </c>
      <c r="J144" s="5">
        <v>45566</v>
      </c>
      <c r="K144" t="s">
        <v>4523</v>
      </c>
    </row>
    <row r="145" spans="1:11">
      <c r="A145" s="3" t="s">
        <v>800</v>
      </c>
      <c r="B145" s="8"/>
      <c r="C145" s="8"/>
      <c r="D145" s="9"/>
      <c r="E145" s="8"/>
      <c r="F145" s="8"/>
      <c r="G145" t="s">
        <v>4788</v>
      </c>
      <c r="H145" s="8">
        <v>50</v>
      </c>
      <c r="I145" t="s">
        <v>4789</v>
      </c>
      <c r="J145" s="5">
        <v>45568</v>
      </c>
      <c r="K145" t="s">
        <v>4512</v>
      </c>
    </row>
    <row r="146" spans="1:11">
      <c r="A146" s="3" t="s">
        <v>807</v>
      </c>
      <c r="B146" s="8"/>
      <c r="C146" s="8"/>
      <c r="D146" s="9"/>
      <c r="E146" s="8"/>
      <c r="F146" s="8"/>
      <c r="G146" t="s">
        <v>4788</v>
      </c>
      <c r="H146" s="8">
        <v>50</v>
      </c>
      <c r="I146" t="s">
        <v>4789</v>
      </c>
      <c r="J146" s="5">
        <v>45568</v>
      </c>
      <c r="K146" t="s">
        <v>9</v>
      </c>
    </row>
    <row r="147" spans="1:11">
      <c r="A147" s="3" t="s">
        <v>809</v>
      </c>
      <c r="B147" s="8"/>
      <c r="C147" s="8"/>
      <c r="D147" s="9"/>
      <c r="E147" s="8"/>
      <c r="F147" s="8"/>
      <c r="G147" t="s">
        <v>4791</v>
      </c>
      <c r="H147" s="8">
        <v>50</v>
      </c>
      <c r="I147" t="s">
        <v>4789</v>
      </c>
      <c r="J147" s="5">
        <v>45569</v>
      </c>
      <c r="K147" t="s">
        <v>191</v>
      </c>
    </row>
    <row r="148" spans="1:11">
      <c r="A148" s="3" t="s">
        <v>817</v>
      </c>
      <c r="B148" s="8"/>
      <c r="C148" s="8"/>
      <c r="D148" s="9"/>
      <c r="E148" s="8"/>
      <c r="F148" s="8"/>
      <c r="G148" t="s">
        <v>4791</v>
      </c>
      <c r="H148" s="8">
        <v>50</v>
      </c>
      <c r="I148" t="s">
        <v>4789</v>
      </c>
      <c r="J148" s="5">
        <v>45571</v>
      </c>
      <c r="K148" t="s">
        <v>4520</v>
      </c>
    </row>
    <row r="149" spans="1:11">
      <c r="A149" s="3" t="s">
        <v>819</v>
      </c>
      <c r="B149" s="8"/>
      <c r="C149" s="8"/>
      <c r="D149" s="9"/>
      <c r="E149" s="8"/>
      <c r="F149" s="8"/>
      <c r="G149" t="s">
        <v>4788</v>
      </c>
      <c r="H149" s="8">
        <v>50</v>
      </c>
      <c r="I149" t="s">
        <v>4789</v>
      </c>
      <c r="J149" s="5">
        <v>45572</v>
      </c>
      <c r="K149" t="s">
        <v>12</v>
      </c>
    </row>
    <row r="150" spans="1:11">
      <c r="A150" s="3" t="s">
        <v>821</v>
      </c>
      <c r="B150" s="8"/>
      <c r="C150" s="8"/>
      <c r="D150" s="9"/>
      <c r="E150" s="8"/>
      <c r="F150" s="8"/>
      <c r="G150" t="s">
        <v>4788</v>
      </c>
      <c r="H150" s="8">
        <v>50</v>
      </c>
      <c r="I150" t="s">
        <v>4789</v>
      </c>
      <c r="J150" s="5">
        <v>45573</v>
      </c>
      <c r="K150" t="s">
        <v>4523</v>
      </c>
    </row>
    <row r="151" spans="1:11">
      <c r="A151" s="3" t="s">
        <v>824</v>
      </c>
      <c r="B151" s="8"/>
      <c r="C151" s="8"/>
      <c r="D151" s="9"/>
      <c r="E151" s="8"/>
      <c r="F151" s="8"/>
      <c r="G151" t="s">
        <v>4788</v>
      </c>
      <c r="H151" s="8">
        <v>50</v>
      </c>
      <c r="I151" t="s">
        <v>4789</v>
      </c>
      <c r="J151" s="5">
        <v>45574</v>
      </c>
      <c r="K151" t="s">
        <v>4512</v>
      </c>
    </row>
    <row r="152" spans="1:11">
      <c r="A152" s="3" t="s">
        <v>826</v>
      </c>
      <c r="B152" s="8"/>
      <c r="C152" s="8"/>
      <c r="D152" s="9"/>
      <c r="E152" s="8"/>
      <c r="F152" s="8"/>
      <c r="G152" t="s">
        <v>4788</v>
      </c>
      <c r="H152" s="8">
        <v>50</v>
      </c>
      <c r="I152" t="s">
        <v>4790</v>
      </c>
      <c r="J152" s="5">
        <v>45575</v>
      </c>
      <c r="K152" t="s">
        <v>9</v>
      </c>
    </row>
    <row r="153" spans="1:11">
      <c r="A153" s="3" t="s">
        <v>834</v>
      </c>
      <c r="B153" s="8"/>
      <c r="C153" s="8"/>
      <c r="D153" s="9"/>
      <c r="E153" s="8"/>
      <c r="F153" s="8"/>
      <c r="G153" t="s">
        <v>4788</v>
      </c>
      <c r="H153" s="8">
        <v>50</v>
      </c>
      <c r="I153" t="s">
        <v>4789</v>
      </c>
      <c r="J153" s="5">
        <v>45574</v>
      </c>
      <c r="K153" t="s">
        <v>191</v>
      </c>
    </row>
    <row r="154" spans="1:11">
      <c r="A154" s="3" t="s">
        <v>836</v>
      </c>
      <c r="B154" s="8"/>
      <c r="C154" s="8"/>
      <c r="D154" s="9"/>
      <c r="E154" s="8"/>
      <c r="F154" s="8"/>
      <c r="G154" t="s">
        <v>4788</v>
      </c>
      <c r="H154" s="8">
        <v>50</v>
      </c>
      <c r="I154" t="s">
        <v>4789</v>
      </c>
      <c r="J154" s="5">
        <v>45575</v>
      </c>
      <c r="K154" t="s">
        <v>4520</v>
      </c>
    </row>
    <row r="155" spans="1:11">
      <c r="A155" s="3" t="s">
        <v>845</v>
      </c>
      <c r="B155" s="8"/>
      <c r="C155" s="8"/>
      <c r="D155" s="9"/>
      <c r="E155" s="8"/>
      <c r="F155" s="8"/>
      <c r="G155" t="s">
        <v>4791</v>
      </c>
      <c r="H155" s="8">
        <v>50</v>
      </c>
      <c r="I155" t="s">
        <v>4789</v>
      </c>
      <c r="J155" s="5">
        <v>45577</v>
      </c>
      <c r="K155" t="s">
        <v>12</v>
      </c>
    </row>
    <row r="156" spans="1:11">
      <c r="A156" s="3" t="s">
        <v>847</v>
      </c>
      <c r="B156" s="8"/>
      <c r="C156" s="8"/>
      <c r="D156" s="9"/>
      <c r="E156" s="8"/>
      <c r="F156" s="8"/>
      <c r="G156" t="s">
        <v>4788</v>
      </c>
      <c r="H156" s="8">
        <v>50</v>
      </c>
      <c r="I156" t="s">
        <v>4790</v>
      </c>
      <c r="J156" s="5">
        <v>45578</v>
      </c>
      <c r="K156" t="s">
        <v>4523</v>
      </c>
    </row>
    <row r="157" spans="1:11">
      <c r="A157" s="3" t="s">
        <v>855</v>
      </c>
      <c r="B157" s="8"/>
      <c r="C157" s="8"/>
      <c r="D157" s="9"/>
      <c r="E157" s="8"/>
      <c r="F157" s="8"/>
      <c r="G157" t="s">
        <v>4788</v>
      </c>
      <c r="H157" s="8">
        <v>50</v>
      </c>
      <c r="I157" t="s">
        <v>4789</v>
      </c>
      <c r="J157" s="5">
        <v>45577</v>
      </c>
      <c r="K157" t="s">
        <v>4512</v>
      </c>
    </row>
    <row r="158" spans="1:11">
      <c r="A158" s="3" t="s">
        <v>857</v>
      </c>
      <c r="B158" s="8"/>
      <c r="C158" s="8"/>
      <c r="D158" s="9"/>
      <c r="E158" s="8"/>
      <c r="F158" s="8"/>
      <c r="G158" t="s">
        <v>4788</v>
      </c>
      <c r="H158" s="8">
        <v>50</v>
      </c>
      <c r="I158" t="s">
        <v>4789</v>
      </c>
      <c r="J158" s="5">
        <v>45578</v>
      </c>
      <c r="K158" t="s">
        <v>9</v>
      </c>
    </row>
    <row r="159" spans="1:11">
      <c r="A159" s="3" t="s">
        <v>860</v>
      </c>
      <c r="B159" s="8"/>
      <c r="C159" s="8"/>
      <c r="D159" s="9"/>
      <c r="E159" s="8"/>
      <c r="F159" s="8"/>
      <c r="G159" t="s">
        <v>4791</v>
      </c>
      <c r="H159" s="8">
        <v>50</v>
      </c>
      <c r="I159" t="s">
        <v>4789</v>
      </c>
      <c r="J159" s="5">
        <v>45580</v>
      </c>
      <c r="K159" t="s">
        <v>191</v>
      </c>
    </row>
    <row r="160" spans="1:11">
      <c r="A160" s="3" t="s">
        <v>862</v>
      </c>
      <c r="B160" s="8">
        <v>669.76300000000003</v>
      </c>
      <c r="C160" s="8">
        <v>503.92700000000002</v>
      </c>
      <c r="D160" s="9"/>
      <c r="E160" s="8">
        <v>33.066000000000003</v>
      </c>
      <c r="F160" s="8">
        <v>18.936</v>
      </c>
      <c r="G160" t="s">
        <v>4791</v>
      </c>
      <c r="H160" s="8">
        <v>50</v>
      </c>
      <c r="I160" t="s">
        <v>4789</v>
      </c>
      <c r="J160" s="5">
        <v>45581</v>
      </c>
      <c r="K160" t="s">
        <v>4520</v>
      </c>
    </row>
    <row r="161" spans="1:12">
      <c r="A161" s="3" t="s">
        <v>870</v>
      </c>
      <c r="B161" s="8">
        <v>401.11500000000001</v>
      </c>
      <c r="C161" s="8">
        <v>315.553</v>
      </c>
      <c r="D161" s="9"/>
      <c r="E161" s="8">
        <v>42.926000000000002</v>
      </c>
      <c r="F161" s="8">
        <v>30.187000000000001</v>
      </c>
      <c r="G161" t="s">
        <v>4788</v>
      </c>
      <c r="H161" s="8">
        <v>50</v>
      </c>
      <c r="I161" t="s">
        <v>4789</v>
      </c>
      <c r="J161" s="5">
        <v>45580</v>
      </c>
      <c r="K161" t="s">
        <v>12</v>
      </c>
    </row>
    <row r="162" spans="1:12">
      <c r="A162" s="3" t="s">
        <v>872</v>
      </c>
      <c r="B162" s="8">
        <v>400.47300000000001</v>
      </c>
      <c r="C162" s="8">
        <v>320.27600000000001</v>
      </c>
      <c r="D162" s="9"/>
      <c r="E162" s="8">
        <v>42.917999999999999</v>
      </c>
      <c r="F162" s="8">
        <v>24.577999999999999</v>
      </c>
      <c r="G162" t="s">
        <v>4788</v>
      </c>
      <c r="H162" s="8">
        <v>50</v>
      </c>
      <c r="I162" t="s">
        <v>4789</v>
      </c>
      <c r="J162" s="5">
        <v>45581</v>
      </c>
      <c r="K162" t="s">
        <v>4523</v>
      </c>
    </row>
    <row r="163" spans="1:12">
      <c r="A163" s="3" t="s">
        <v>878</v>
      </c>
      <c r="B163" s="8">
        <v>505.69799999999998</v>
      </c>
      <c r="C163" s="8">
        <v>396.65199999999999</v>
      </c>
      <c r="D163" s="9"/>
      <c r="E163" s="8">
        <v>38.673000000000002</v>
      </c>
      <c r="F163" s="8">
        <v>25.535</v>
      </c>
      <c r="G163" t="s">
        <v>4791</v>
      </c>
      <c r="H163" s="8">
        <v>50</v>
      </c>
      <c r="I163" t="s">
        <v>4789</v>
      </c>
      <c r="J163" s="5">
        <v>45583</v>
      </c>
      <c r="K163" t="s">
        <v>4512</v>
      </c>
      <c r="L163" t="s">
        <v>4792</v>
      </c>
    </row>
    <row r="164" spans="1:12">
      <c r="A164" s="3" t="s">
        <v>880</v>
      </c>
      <c r="B164" s="8">
        <v>510.61200000000002</v>
      </c>
      <c r="C164" s="8">
        <v>393.17</v>
      </c>
      <c r="D164" s="9"/>
      <c r="E164" s="8">
        <v>37.917000000000002</v>
      </c>
      <c r="F164" s="8">
        <v>22.327000000000002</v>
      </c>
      <c r="G164" t="s">
        <v>4791</v>
      </c>
      <c r="H164" s="8">
        <v>50</v>
      </c>
      <c r="I164" t="s">
        <v>4789</v>
      </c>
      <c r="J164" s="5">
        <v>45584</v>
      </c>
      <c r="K164" t="s">
        <v>9</v>
      </c>
    </row>
    <row r="165" spans="1:12">
      <c r="A165" s="3" t="s">
        <v>884</v>
      </c>
      <c r="B165" s="8">
        <v>572.71900000000005</v>
      </c>
      <c r="C165" s="8">
        <v>433.15</v>
      </c>
      <c r="D165" s="9"/>
      <c r="E165" s="8">
        <v>35.496000000000002</v>
      </c>
      <c r="F165" s="8">
        <v>19.614999999999998</v>
      </c>
      <c r="G165" t="s">
        <v>4788</v>
      </c>
      <c r="H165" s="8">
        <v>50</v>
      </c>
      <c r="I165" t="s">
        <v>4789</v>
      </c>
      <c r="J165" s="5">
        <v>45586</v>
      </c>
      <c r="K165" t="s">
        <v>191</v>
      </c>
    </row>
    <row r="166" spans="1:12">
      <c r="A166" s="3" t="s">
        <v>886</v>
      </c>
      <c r="B166" s="8">
        <v>557.29899999999998</v>
      </c>
      <c r="C166" s="8">
        <v>430.14499999999998</v>
      </c>
      <c r="D166" s="9"/>
      <c r="E166" s="8">
        <v>36.268999999999998</v>
      </c>
      <c r="F166" s="8">
        <v>21.734000000000002</v>
      </c>
      <c r="G166" t="s">
        <v>4788</v>
      </c>
      <c r="H166" s="8">
        <v>50</v>
      </c>
      <c r="I166" t="s">
        <v>4789</v>
      </c>
      <c r="J166" s="5">
        <v>45587</v>
      </c>
      <c r="K166" t="s">
        <v>4520</v>
      </c>
    </row>
    <row r="167" spans="1:12">
      <c r="A167" s="3" t="s">
        <v>893</v>
      </c>
      <c r="B167" s="8">
        <v>624.49099999999999</v>
      </c>
      <c r="C167" s="8">
        <v>478.40499999999997</v>
      </c>
      <c r="D167" s="9"/>
      <c r="E167" s="8">
        <v>33.725000000000001</v>
      </c>
      <c r="F167" s="8">
        <v>22.187000000000001</v>
      </c>
      <c r="G167" t="s">
        <v>4788</v>
      </c>
      <c r="H167" s="8">
        <v>50</v>
      </c>
      <c r="I167" t="s">
        <v>4789</v>
      </c>
      <c r="J167" s="5">
        <v>45589</v>
      </c>
      <c r="K167" t="s">
        <v>12</v>
      </c>
    </row>
    <row r="168" spans="1:12">
      <c r="A168" s="3" t="s">
        <v>895</v>
      </c>
      <c r="B168" s="8">
        <v>636.13</v>
      </c>
      <c r="C168" s="8">
        <v>478.82</v>
      </c>
      <c r="D168" s="9"/>
      <c r="E168" s="8">
        <v>32.942999999999998</v>
      </c>
      <c r="F168" s="8">
        <v>18.965</v>
      </c>
      <c r="G168" t="s">
        <v>4788</v>
      </c>
      <c r="H168" s="8">
        <v>50</v>
      </c>
      <c r="I168" t="s">
        <v>4789</v>
      </c>
      <c r="J168" s="5">
        <v>45590</v>
      </c>
      <c r="K168" t="s">
        <v>4523</v>
      </c>
    </row>
    <row r="169" spans="1:12">
      <c r="A169" s="3" t="s">
        <v>901</v>
      </c>
      <c r="B169" s="8">
        <v>631.32299999999998</v>
      </c>
      <c r="C169" s="8">
        <v>473.29</v>
      </c>
      <c r="D169" s="9"/>
      <c r="E169" s="8">
        <v>35.259</v>
      </c>
      <c r="F169" s="8">
        <v>20.436</v>
      </c>
      <c r="G169" t="s">
        <v>4788</v>
      </c>
      <c r="H169" s="8">
        <v>50</v>
      </c>
      <c r="I169" t="s">
        <v>4789</v>
      </c>
      <c r="J169" s="5">
        <v>45589</v>
      </c>
      <c r="K169" t="s">
        <v>4512</v>
      </c>
    </row>
    <row r="170" spans="1:12">
      <c r="A170" s="3" t="s">
        <v>909</v>
      </c>
      <c r="B170" s="8">
        <v>393.22500000000002</v>
      </c>
      <c r="C170" s="8">
        <v>314.53699999999998</v>
      </c>
      <c r="D170" s="9"/>
      <c r="E170" s="8">
        <v>40.015000000000001</v>
      </c>
      <c r="F170" s="8">
        <v>27.407</v>
      </c>
      <c r="G170" t="s">
        <v>4788</v>
      </c>
      <c r="H170" s="8">
        <v>50</v>
      </c>
      <c r="I170" t="s">
        <v>4789</v>
      </c>
      <c r="J170" s="5">
        <v>45592</v>
      </c>
      <c r="K170" t="s">
        <v>9</v>
      </c>
    </row>
    <row r="171" spans="1:12">
      <c r="A171" s="3" t="s">
        <v>911</v>
      </c>
      <c r="B171" s="8">
        <v>396.86500000000001</v>
      </c>
      <c r="C171" s="8">
        <v>321.08800000000002</v>
      </c>
      <c r="D171" s="9"/>
      <c r="E171" s="8">
        <v>42.804000000000002</v>
      </c>
      <c r="F171" s="8">
        <v>29.035</v>
      </c>
      <c r="G171" t="s">
        <v>4788</v>
      </c>
      <c r="H171" s="8">
        <v>50</v>
      </c>
      <c r="I171" t="s">
        <v>4789</v>
      </c>
      <c r="J171" s="5">
        <v>45593</v>
      </c>
      <c r="K171" t="s">
        <v>191</v>
      </c>
    </row>
    <row r="172" spans="1:12">
      <c r="A172" s="3" t="s">
        <v>914</v>
      </c>
      <c r="B172" s="8">
        <v>365.24099999999999</v>
      </c>
      <c r="C172" s="8">
        <v>282.005</v>
      </c>
      <c r="D172" s="9"/>
      <c r="E172" s="8">
        <v>44.142000000000003</v>
      </c>
      <c r="F172" s="8">
        <v>26.664999999999999</v>
      </c>
      <c r="G172" t="s">
        <v>4788</v>
      </c>
      <c r="H172" s="8">
        <v>50</v>
      </c>
      <c r="I172" t="s">
        <v>4789</v>
      </c>
      <c r="J172" s="5">
        <v>45595</v>
      </c>
      <c r="K172" t="s">
        <v>4520</v>
      </c>
    </row>
    <row r="173" spans="1:12">
      <c r="A173" s="3" t="s">
        <v>916</v>
      </c>
      <c r="B173" s="8">
        <v>363.99299999999999</v>
      </c>
      <c r="C173" s="8">
        <v>298.77100000000002</v>
      </c>
      <c r="D173" s="9"/>
      <c r="E173" s="8">
        <v>43.62</v>
      </c>
      <c r="F173" s="8">
        <v>26.701000000000001</v>
      </c>
      <c r="G173" t="s">
        <v>4788</v>
      </c>
      <c r="H173" s="8">
        <v>50</v>
      </c>
      <c r="I173" t="s">
        <v>4789</v>
      </c>
      <c r="J173" s="5">
        <v>45596</v>
      </c>
      <c r="K173" t="s">
        <v>12</v>
      </c>
    </row>
    <row r="174" spans="1:12">
      <c r="A174" s="3" t="s">
        <v>924</v>
      </c>
      <c r="B174" s="8">
        <v>517.75300000000004</v>
      </c>
      <c r="C174" s="8">
        <v>403.40199999999999</v>
      </c>
      <c r="D174" s="9"/>
      <c r="E174" s="8">
        <v>38.869</v>
      </c>
      <c r="F174" s="8">
        <v>23.196999999999999</v>
      </c>
      <c r="G174" t="s">
        <v>4788</v>
      </c>
      <c r="H174" s="8">
        <v>50</v>
      </c>
      <c r="I174" t="s">
        <v>4789</v>
      </c>
      <c r="J174" s="5">
        <v>45595</v>
      </c>
      <c r="K174" t="s">
        <v>4523</v>
      </c>
    </row>
    <row r="175" spans="1:12">
      <c r="A175" s="3" t="s">
        <v>926</v>
      </c>
      <c r="B175" s="8">
        <v>508.02699999999999</v>
      </c>
      <c r="C175" s="8">
        <v>392.48599999999999</v>
      </c>
      <c r="D175" s="9"/>
      <c r="E175" s="8">
        <v>38.561999999999998</v>
      </c>
      <c r="F175" s="8">
        <v>26.504000000000001</v>
      </c>
      <c r="G175" t="s">
        <v>4788</v>
      </c>
      <c r="H175" s="8">
        <v>50</v>
      </c>
      <c r="I175" t="s">
        <v>4789</v>
      </c>
      <c r="J175" s="5">
        <v>45596</v>
      </c>
      <c r="K175" t="s">
        <v>4512</v>
      </c>
    </row>
    <row r="176" spans="1:12">
      <c r="A176" s="3" t="s">
        <v>928</v>
      </c>
      <c r="B176" s="8">
        <v>506.73099999999999</v>
      </c>
      <c r="C176" s="8">
        <v>392.35399999999998</v>
      </c>
      <c r="D176" s="9"/>
      <c r="E176" s="8">
        <v>37.814</v>
      </c>
      <c r="F176" s="8">
        <v>22.544</v>
      </c>
      <c r="G176" t="s">
        <v>4788</v>
      </c>
      <c r="H176" s="8">
        <v>50</v>
      </c>
      <c r="I176" t="s">
        <v>4789</v>
      </c>
      <c r="J176" s="5">
        <v>45597</v>
      </c>
      <c r="K176" t="s">
        <v>9</v>
      </c>
    </row>
    <row r="177" spans="1:11">
      <c r="A177" s="3" t="s">
        <v>941</v>
      </c>
      <c r="B177" s="8">
        <v>597.46199999999999</v>
      </c>
      <c r="C177" s="8">
        <v>464.471</v>
      </c>
      <c r="D177" s="9"/>
      <c r="E177" s="8">
        <v>34.340000000000003</v>
      </c>
      <c r="F177" s="8">
        <v>22.567</v>
      </c>
      <c r="G177" t="s">
        <v>4788</v>
      </c>
      <c r="H177" s="8">
        <v>50</v>
      </c>
      <c r="I177" t="s">
        <v>4789</v>
      </c>
      <c r="J177" s="5">
        <v>45598</v>
      </c>
      <c r="K177" t="s">
        <v>191</v>
      </c>
    </row>
    <row r="178" spans="1:11">
      <c r="A178" s="3" t="s">
        <v>943</v>
      </c>
      <c r="B178" s="8">
        <v>585.84500000000003</v>
      </c>
      <c r="C178" s="8">
        <v>448.47300000000001</v>
      </c>
      <c r="D178" s="9"/>
      <c r="E178" s="8">
        <v>34.151000000000003</v>
      </c>
      <c r="F178" s="8">
        <v>21.137</v>
      </c>
      <c r="G178" t="s">
        <v>4788</v>
      </c>
      <c r="H178" s="8">
        <v>50</v>
      </c>
      <c r="I178" t="s">
        <v>4790</v>
      </c>
      <c r="J178" s="5">
        <v>45599</v>
      </c>
      <c r="K178" t="s">
        <v>4520</v>
      </c>
    </row>
    <row r="179" spans="1:11">
      <c r="A179" s="3" t="s">
        <v>953</v>
      </c>
      <c r="B179" s="8">
        <v>629.86800000000005</v>
      </c>
      <c r="C179" s="8">
        <v>493.53899999999999</v>
      </c>
      <c r="D179" s="9"/>
      <c r="E179" s="8">
        <v>33.503</v>
      </c>
      <c r="F179" s="8">
        <v>24.417999999999999</v>
      </c>
      <c r="G179" t="s">
        <v>4791</v>
      </c>
      <c r="H179" s="8">
        <v>50</v>
      </c>
      <c r="I179" t="s">
        <v>4789</v>
      </c>
      <c r="J179" s="5">
        <v>45601</v>
      </c>
      <c r="K179" t="s">
        <v>12</v>
      </c>
    </row>
    <row r="180" spans="1:11">
      <c r="A180" s="3" t="s">
        <v>956</v>
      </c>
      <c r="B180" s="8">
        <v>668.61400000000003</v>
      </c>
      <c r="C180" s="8">
        <v>510.56799999999998</v>
      </c>
      <c r="D180" s="9"/>
      <c r="E180" s="8">
        <v>33.737000000000002</v>
      </c>
      <c r="F180" s="8">
        <v>18.917999999999999</v>
      </c>
      <c r="G180" t="s">
        <v>4788</v>
      </c>
      <c r="H180" s="8">
        <v>50</v>
      </c>
      <c r="I180" t="s">
        <v>4789</v>
      </c>
      <c r="J180" s="5">
        <v>45604</v>
      </c>
      <c r="K180" t="s">
        <v>4523</v>
      </c>
    </row>
    <row r="181" spans="1:11">
      <c r="A181" s="3" t="s">
        <v>958</v>
      </c>
      <c r="B181" s="8">
        <v>669.226</v>
      </c>
      <c r="C181" s="8">
        <v>492.755</v>
      </c>
      <c r="D181" s="9"/>
      <c r="E181" s="8">
        <v>32.823</v>
      </c>
      <c r="F181" s="8">
        <v>23.658999999999999</v>
      </c>
      <c r="G181" t="s">
        <v>4788</v>
      </c>
      <c r="H181" s="8">
        <v>50</v>
      </c>
      <c r="I181" t="s">
        <v>4790</v>
      </c>
      <c r="J181" s="5">
        <v>45605</v>
      </c>
      <c r="K181" t="s">
        <v>4512</v>
      </c>
    </row>
    <row r="182" spans="1:11">
      <c r="A182" s="3" t="s">
        <v>966</v>
      </c>
      <c r="B182" s="8">
        <v>368.06299999999999</v>
      </c>
      <c r="C182" s="8">
        <v>294.57100000000003</v>
      </c>
      <c r="D182" s="9"/>
      <c r="E182" s="8">
        <v>44.088999999999999</v>
      </c>
      <c r="F182" s="8">
        <v>28.667999999999999</v>
      </c>
      <c r="G182" t="s">
        <v>4788</v>
      </c>
      <c r="H182" s="8">
        <v>50</v>
      </c>
      <c r="I182" t="s">
        <v>4789</v>
      </c>
      <c r="J182" s="5">
        <v>45604</v>
      </c>
      <c r="K182" t="s">
        <v>9</v>
      </c>
    </row>
    <row r="183" spans="1:11">
      <c r="A183" s="3" t="s">
        <v>968</v>
      </c>
      <c r="B183" s="8">
        <v>372.60899999999998</v>
      </c>
      <c r="C183" s="8">
        <v>301.96199999999999</v>
      </c>
      <c r="D183" s="9"/>
      <c r="E183" s="8">
        <v>42.290999999999997</v>
      </c>
      <c r="F183" s="8">
        <v>28.274000000000001</v>
      </c>
      <c r="G183" t="s">
        <v>4788</v>
      </c>
      <c r="H183" s="8">
        <v>50</v>
      </c>
      <c r="I183" t="s">
        <v>4789</v>
      </c>
      <c r="J183" s="5">
        <v>45605</v>
      </c>
      <c r="K183" t="s">
        <v>191</v>
      </c>
    </row>
    <row r="184" spans="1:11">
      <c r="A184" s="3" t="s">
        <v>980</v>
      </c>
      <c r="B184" s="8">
        <v>374.39</v>
      </c>
      <c r="C184" s="8">
        <v>294.05399999999997</v>
      </c>
      <c r="D184" s="9"/>
      <c r="E184" s="8">
        <v>43.09</v>
      </c>
      <c r="F184" s="8">
        <v>29.695</v>
      </c>
      <c r="G184" t="s">
        <v>4788</v>
      </c>
      <c r="H184" s="8">
        <v>50</v>
      </c>
      <c r="I184" t="s">
        <v>4789</v>
      </c>
      <c r="J184" s="5">
        <v>45610</v>
      </c>
      <c r="K184" t="s">
        <v>4520</v>
      </c>
    </row>
    <row r="185" spans="1:11">
      <c r="A185" s="3" t="s">
        <v>982</v>
      </c>
      <c r="B185" s="8">
        <v>370.363</v>
      </c>
      <c r="C185" s="8">
        <v>299.00299999999999</v>
      </c>
      <c r="D185" s="9"/>
      <c r="E185" s="8">
        <v>42.154000000000003</v>
      </c>
      <c r="F185" s="8">
        <v>24.8</v>
      </c>
      <c r="G185" t="s">
        <v>4788</v>
      </c>
      <c r="H185" s="8">
        <v>50</v>
      </c>
      <c r="I185" t="s">
        <v>4789</v>
      </c>
      <c r="J185" s="5">
        <v>45611</v>
      </c>
      <c r="K185" t="s">
        <v>12</v>
      </c>
    </row>
    <row r="186" spans="1:11">
      <c r="A186" s="3" t="s">
        <v>986</v>
      </c>
      <c r="B186" s="8">
        <v>478.28199999999998</v>
      </c>
      <c r="C186" s="8">
        <v>380.99</v>
      </c>
      <c r="D186" s="9"/>
      <c r="E186" s="8">
        <v>40.185000000000002</v>
      </c>
      <c r="F186" s="8">
        <v>27.497</v>
      </c>
      <c r="G186" t="s">
        <v>4788</v>
      </c>
      <c r="H186" s="8">
        <v>50</v>
      </c>
      <c r="I186" t="s">
        <v>4790</v>
      </c>
      <c r="J186" s="5">
        <v>45607</v>
      </c>
      <c r="K186" t="s">
        <v>4523</v>
      </c>
    </row>
    <row r="187" spans="1:11">
      <c r="A187" s="3" t="s">
        <v>988</v>
      </c>
      <c r="B187" s="8">
        <v>469.23399999999998</v>
      </c>
      <c r="D187" s="8">
        <v>364.12599999999998</v>
      </c>
      <c r="E187" s="8">
        <v>38.731999999999999</v>
      </c>
      <c r="F187" s="8">
        <v>26.937999999999999</v>
      </c>
      <c r="G187" t="s">
        <v>4788</v>
      </c>
      <c r="H187" s="8">
        <v>50</v>
      </c>
      <c r="I187" t="s">
        <v>4789</v>
      </c>
      <c r="J187" s="5">
        <v>45608</v>
      </c>
      <c r="K187" t="s">
        <v>4512</v>
      </c>
    </row>
    <row r="188" spans="1:11">
      <c r="A188" s="3" t="s">
        <v>995</v>
      </c>
      <c r="B188" s="8">
        <v>478.565</v>
      </c>
      <c r="D188" s="8">
        <v>373.46300000000002</v>
      </c>
      <c r="E188" s="8">
        <v>37.808999999999997</v>
      </c>
      <c r="F188" s="8">
        <v>24.527000000000001</v>
      </c>
      <c r="G188" t="s">
        <v>4788</v>
      </c>
      <c r="H188" s="8">
        <v>50</v>
      </c>
      <c r="I188" t="s">
        <v>4789</v>
      </c>
      <c r="J188" s="5">
        <v>45610</v>
      </c>
      <c r="K188" t="s">
        <v>9</v>
      </c>
    </row>
    <row r="189" spans="1:11">
      <c r="A189" s="3" t="s">
        <v>997</v>
      </c>
      <c r="B189" s="8">
        <v>481.8</v>
      </c>
      <c r="D189" s="8">
        <v>372.827</v>
      </c>
      <c r="E189" s="8">
        <v>39.725000000000001</v>
      </c>
      <c r="F189" s="8">
        <v>22.728999999999999</v>
      </c>
      <c r="G189" t="s">
        <v>4788</v>
      </c>
      <c r="H189" s="8">
        <v>50</v>
      </c>
      <c r="I189" t="s">
        <v>4789</v>
      </c>
      <c r="J189" s="5">
        <v>45611</v>
      </c>
      <c r="K189" t="s">
        <v>191</v>
      </c>
    </row>
    <row r="190" spans="1:11">
      <c r="A190" s="3" t="s">
        <v>999</v>
      </c>
      <c r="B190" s="8">
        <v>481.31400000000002</v>
      </c>
      <c r="D190" s="8">
        <v>373.863</v>
      </c>
      <c r="E190" s="8">
        <v>40.082999999999998</v>
      </c>
      <c r="F190" s="8">
        <v>27.189</v>
      </c>
      <c r="G190" t="s">
        <v>4788</v>
      </c>
      <c r="H190" s="8">
        <v>50</v>
      </c>
      <c r="I190" t="s">
        <v>4789</v>
      </c>
      <c r="J190" s="5">
        <v>45612</v>
      </c>
      <c r="K190" t="s">
        <v>4520</v>
      </c>
    </row>
    <row r="191" spans="1:11">
      <c r="A191" s="3" t="s">
        <v>1006</v>
      </c>
      <c r="B191" s="8">
        <v>482.01600000000002</v>
      </c>
      <c r="D191" s="8">
        <v>377.76900000000001</v>
      </c>
      <c r="E191" s="8">
        <v>40.241</v>
      </c>
      <c r="F191" s="8">
        <v>25.462</v>
      </c>
      <c r="G191" t="s">
        <v>4788</v>
      </c>
      <c r="H191" s="8">
        <v>50</v>
      </c>
      <c r="I191" t="s">
        <v>4789</v>
      </c>
      <c r="J191" s="5">
        <v>45613</v>
      </c>
      <c r="K191" t="s">
        <v>12</v>
      </c>
    </row>
    <row r="192" spans="1:11">
      <c r="A192" s="3" t="s">
        <v>1008</v>
      </c>
      <c r="B192" s="8">
        <v>481.22199999999998</v>
      </c>
      <c r="D192" s="8">
        <v>374.101</v>
      </c>
      <c r="E192" s="8">
        <v>38.404000000000003</v>
      </c>
      <c r="F192" s="8">
        <v>25.015999999999998</v>
      </c>
      <c r="G192" t="s">
        <v>4788</v>
      </c>
      <c r="H192" s="8">
        <v>50</v>
      </c>
      <c r="I192" t="s">
        <v>4789</v>
      </c>
      <c r="J192" s="5">
        <v>45614</v>
      </c>
      <c r="K192" t="s">
        <v>4523</v>
      </c>
    </row>
    <row r="193" spans="1:12">
      <c r="A193" s="3" t="s">
        <v>1012</v>
      </c>
      <c r="B193" s="8">
        <v>621.35400000000004</v>
      </c>
      <c r="D193" s="8">
        <v>471.35300000000001</v>
      </c>
      <c r="E193" s="8">
        <v>32.985999999999997</v>
      </c>
      <c r="F193" s="8">
        <v>19.077000000000002</v>
      </c>
      <c r="G193" t="s">
        <v>4788</v>
      </c>
      <c r="H193" s="8">
        <v>50</v>
      </c>
      <c r="I193" t="s">
        <v>4789</v>
      </c>
      <c r="J193" s="5">
        <v>45610</v>
      </c>
      <c r="K193" t="s">
        <v>4512</v>
      </c>
    </row>
    <row r="194" spans="1:12">
      <c r="A194" s="3" t="s">
        <v>1014</v>
      </c>
      <c r="B194" s="8">
        <v>634.60799999999995</v>
      </c>
      <c r="D194" s="8">
        <v>470.93200000000002</v>
      </c>
      <c r="E194" s="8">
        <v>34.850999999999999</v>
      </c>
      <c r="F194" s="8">
        <v>25.097999999999999</v>
      </c>
      <c r="G194" t="s">
        <v>4788</v>
      </c>
      <c r="H194" s="8">
        <v>50</v>
      </c>
      <c r="I194" t="s">
        <v>4789</v>
      </c>
      <c r="J194" s="5">
        <v>45611</v>
      </c>
      <c r="K194" t="s">
        <v>9</v>
      </c>
    </row>
    <row r="195" spans="1:12">
      <c r="A195" s="3" t="s">
        <v>1016</v>
      </c>
      <c r="B195" s="8">
        <v>624.22699999999998</v>
      </c>
      <c r="D195" s="8">
        <v>475.911</v>
      </c>
      <c r="E195" s="8">
        <v>35.545999999999999</v>
      </c>
      <c r="F195" s="8">
        <v>25.417000000000002</v>
      </c>
      <c r="G195" t="s">
        <v>4788</v>
      </c>
      <c r="H195" s="8">
        <v>50</v>
      </c>
      <c r="I195" t="s">
        <v>4789</v>
      </c>
      <c r="J195" s="5">
        <v>45612</v>
      </c>
      <c r="K195" t="s">
        <v>191</v>
      </c>
    </row>
    <row r="196" spans="1:12">
      <c r="A196" s="3" t="s">
        <v>1025</v>
      </c>
      <c r="B196" s="8">
        <v>620.28499999999997</v>
      </c>
      <c r="D196" s="8">
        <v>467.65899999999999</v>
      </c>
      <c r="E196" s="8">
        <v>36.472000000000001</v>
      </c>
      <c r="F196" s="8">
        <v>26.768000000000001</v>
      </c>
      <c r="G196" t="s">
        <v>4788</v>
      </c>
      <c r="H196" s="8">
        <v>50</v>
      </c>
      <c r="I196" t="s">
        <v>4789</v>
      </c>
      <c r="J196" s="5">
        <v>45613</v>
      </c>
      <c r="K196" t="s">
        <v>4520</v>
      </c>
    </row>
    <row r="197" spans="1:12">
      <c r="A197" s="3" t="s">
        <v>1036</v>
      </c>
      <c r="B197" s="8">
        <v>622.74</v>
      </c>
      <c r="D197" s="8">
        <v>472.48399999999998</v>
      </c>
      <c r="E197" s="8">
        <v>33.917999999999999</v>
      </c>
      <c r="F197" s="8">
        <v>25.327000000000002</v>
      </c>
      <c r="G197" t="s">
        <v>4788</v>
      </c>
      <c r="H197" s="8">
        <v>50</v>
      </c>
      <c r="I197" t="s">
        <v>4789</v>
      </c>
      <c r="J197" s="5">
        <v>45616</v>
      </c>
      <c r="K197" t="s">
        <v>12</v>
      </c>
    </row>
    <row r="198" spans="1:12">
      <c r="A198" s="3" t="s">
        <v>1038</v>
      </c>
      <c r="B198" s="8">
        <v>633.11599999999999</v>
      </c>
      <c r="D198" s="8">
        <v>483.67700000000002</v>
      </c>
      <c r="E198" s="8">
        <v>33.097999999999999</v>
      </c>
      <c r="F198" s="8">
        <v>18.760000000000002</v>
      </c>
      <c r="G198" t="s">
        <v>4788</v>
      </c>
      <c r="H198" s="8">
        <v>50</v>
      </c>
      <c r="I198" t="s">
        <v>4789</v>
      </c>
      <c r="J198" s="5">
        <v>45617</v>
      </c>
      <c r="K198" t="s">
        <v>4523</v>
      </c>
    </row>
    <row r="199" spans="1:12">
      <c r="A199" s="3" t="s">
        <v>1048</v>
      </c>
      <c r="B199" s="8">
        <v>645.68600000000004</v>
      </c>
      <c r="D199" s="8">
        <v>488.27800000000002</v>
      </c>
      <c r="E199" s="8">
        <v>33.689</v>
      </c>
      <c r="F199" s="8">
        <v>22.454999999999998</v>
      </c>
      <c r="G199" t="s">
        <v>4788</v>
      </c>
      <c r="H199" s="8">
        <v>50</v>
      </c>
      <c r="I199" t="s">
        <v>4789</v>
      </c>
      <c r="J199" s="5">
        <v>45613</v>
      </c>
      <c r="K199" t="s">
        <v>4512</v>
      </c>
    </row>
    <row r="200" spans="1:12">
      <c r="A200" s="3" t="s">
        <v>1050</v>
      </c>
      <c r="B200" s="8">
        <v>647.79700000000003</v>
      </c>
      <c r="D200" s="8">
        <v>493.09</v>
      </c>
      <c r="E200" s="8">
        <v>34.284999999999997</v>
      </c>
      <c r="F200" s="8">
        <v>21.507999999999999</v>
      </c>
      <c r="G200" t="s">
        <v>4788</v>
      </c>
      <c r="H200" s="8">
        <v>50</v>
      </c>
      <c r="I200" t="s">
        <v>4789</v>
      </c>
      <c r="J200" s="5">
        <v>45614</v>
      </c>
      <c r="K200" t="s">
        <v>9</v>
      </c>
    </row>
    <row r="201" spans="1:12">
      <c r="A201" s="3" t="s">
        <v>1058</v>
      </c>
      <c r="B201" s="8">
        <v>381.44400000000002</v>
      </c>
      <c r="D201" s="8">
        <v>297.48</v>
      </c>
      <c r="E201" s="8">
        <v>41.607999999999997</v>
      </c>
      <c r="F201" s="8">
        <v>25.3</v>
      </c>
      <c r="G201" t="s">
        <v>4788</v>
      </c>
      <c r="H201" s="8">
        <v>50</v>
      </c>
      <c r="I201" t="s">
        <v>4789</v>
      </c>
      <c r="J201" s="5">
        <v>45616</v>
      </c>
      <c r="K201" t="s">
        <v>191</v>
      </c>
    </row>
    <row r="202" spans="1:12">
      <c r="A202" s="3" t="s">
        <v>1060</v>
      </c>
      <c r="B202" s="8">
        <v>366.51900000000001</v>
      </c>
      <c r="D202" s="8">
        <v>299.75799999999998</v>
      </c>
      <c r="E202" s="8">
        <v>42.926000000000002</v>
      </c>
      <c r="F202" s="8">
        <v>23.972000000000001</v>
      </c>
      <c r="G202" t="s">
        <v>4788</v>
      </c>
      <c r="H202" s="8">
        <v>50</v>
      </c>
      <c r="I202" t="s">
        <v>4789</v>
      </c>
      <c r="J202" s="5">
        <v>45617</v>
      </c>
      <c r="K202" t="s">
        <v>4520</v>
      </c>
    </row>
    <row r="203" spans="1:12">
      <c r="A203" s="3" t="s">
        <v>1068</v>
      </c>
      <c r="B203" s="8">
        <v>507.41800000000001</v>
      </c>
      <c r="D203" s="8">
        <v>393.46699999999998</v>
      </c>
      <c r="E203" s="8">
        <v>38.872999999999998</v>
      </c>
      <c r="F203" s="8">
        <v>28.018999999999998</v>
      </c>
      <c r="G203" t="s">
        <v>4788</v>
      </c>
      <c r="H203" s="8">
        <v>50</v>
      </c>
      <c r="I203" t="s">
        <v>4789</v>
      </c>
      <c r="J203" s="5">
        <v>45619</v>
      </c>
      <c r="K203" t="s">
        <v>12</v>
      </c>
      <c r="L203" t="s">
        <v>4792</v>
      </c>
    </row>
    <row r="204" spans="1:12">
      <c r="A204" s="3" t="s">
        <v>1070</v>
      </c>
      <c r="B204" s="8">
        <v>517.71199999999999</v>
      </c>
      <c r="D204" s="8">
        <v>403.67</v>
      </c>
      <c r="E204" s="8">
        <v>38.482999999999997</v>
      </c>
      <c r="F204" s="8">
        <v>24.173999999999999</v>
      </c>
      <c r="G204" t="s">
        <v>4788</v>
      </c>
      <c r="H204" s="8">
        <v>50</v>
      </c>
      <c r="I204" t="s">
        <v>4789</v>
      </c>
      <c r="J204" s="5">
        <v>45620</v>
      </c>
      <c r="K204" t="s">
        <v>4523</v>
      </c>
    </row>
    <row r="205" spans="1:12">
      <c r="A205" s="3" t="s">
        <v>1078</v>
      </c>
      <c r="B205" s="8">
        <v>584.91099999999994</v>
      </c>
      <c r="D205" s="8">
        <v>446.95100000000002</v>
      </c>
      <c r="E205" s="8">
        <v>37.936</v>
      </c>
      <c r="F205" s="8">
        <v>22.440999999999999</v>
      </c>
      <c r="G205" t="s">
        <v>4791</v>
      </c>
      <c r="H205" s="8">
        <v>50</v>
      </c>
      <c r="I205" t="s">
        <v>4789</v>
      </c>
      <c r="J205" s="5">
        <v>45622</v>
      </c>
      <c r="K205" t="s">
        <v>4512</v>
      </c>
    </row>
    <row r="206" spans="1:12">
      <c r="A206" s="3" t="s">
        <v>1080</v>
      </c>
      <c r="B206" s="8">
        <v>579.90499999999997</v>
      </c>
      <c r="D206" s="8">
        <v>446.798</v>
      </c>
      <c r="E206" s="8">
        <v>34.417999999999999</v>
      </c>
      <c r="F206" s="8">
        <v>24.039000000000001</v>
      </c>
      <c r="G206" t="s">
        <v>4788</v>
      </c>
      <c r="H206" s="8">
        <v>50</v>
      </c>
      <c r="I206" t="s">
        <v>4789</v>
      </c>
      <c r="J206" s="5">
        <v>45623</v>
      </c>
      <c r="K206" t="s">
        <v>9</v>
      </c>
    </row>
    <row r="207" spans="1:12">
      <c r="A207" s="3" t="s">
        <v>1087</v>
      </c>
      <c r="B207" s="8">
        <v>622.63900000000001</v>
      </c>
      <c r="D207" s="8">
        <v>478.95100000000002</v>
      </c>
      <c r="E207" s="8">
        <v>35.08</v>
      </c>
      <c r="F207" s="8">
        <v>19.645</v>
      </c>
      <c r="G207" t="s">
        <v>4788</v>
      </c>
      <c r="H207" s="8">
        <v>50</v>
      </c>
      <c r="I207" t="s">
        <v>4789</v>
      </c>
      <c r="J207" s="5">
        <v>45625</v>
      </c>
      <c r="K207" t="s">
        <v>191</v>
      </c>
    </row>
    <row r="208" spans="1:12">
      <c r="A208" s="3" t="s">
        <v>1089</v>
      </c>
      <c r="B208" s="8">
        <v>620.69899999999996</v>
      </c>
      <c r="D208" s="8">
        <v>466.71800000000002</v>
      </c>
      <c r="E208" s="8">
        <v>35.296999999999997</v>
      </c>
      <c r="F208" s="8">
        <v>25.568999999999999</v>
      </c>
      <c r="G208" t="s">
        <v>4788</v>
      </c>
      <c r="H208" s="8">
        <v>50</v>
      </c>
      <c r="I208" t="s">
        <v>4789</v>
      </c>
      <c r="J208" s="5">
        <v>45626</v>
      </c>
      <c r="K208" t="s">
        <v>4520</v>
      </c>
    </row>
    <row r="209" spans="1:11">
      <c r="A209" s="3" t="s">
        <v>1100</v>
      </c>
      <c r="B209" s="8">
        <v>591.41700000000003</v>
      </c>
      <c r="D209" s="8">
        <v>449.54700000000003</v>
      </c>
      <c r="E209" s="8">
        <v>35.436999999999998</v>
      </c>
      <c r="F209" s="8">
        <v>22.286999999999999</v>
      </c>
      <c r="G209" t="s">
        <v>4788</v>
      </c>
      <c r="H209" s="8">
        <v>50</v>
      </c>
      <c r="I209" t="s">
        <v>4789</v>
      </c>
      <c r="J209" s="5">
        <v>45628</v>
      </c>
      <c r="K209" t="s">
        <v>12</v>
      </c>
    </row>
    <row r="210" spans="1:11">
      <c r="A210" s="3" t="s">
        <v>1102</v>
      </c>
      <c r="B210" s="8">
        <v>586.58299999999997</v>
      </c>
      <c r="C210" s="8">
        <v>453.38</v>
      </c>
      <c r="D210" s="9"/>
      <c r="E210" s="8">
        <v>36.033000000000001</v>
      </c>
      <c r="F210" s="8">
        <v>21.827000000000002</v>
      </c>
      <c r="G210" t="s">
        <v>4788</v>
      </c>
      <c r="H210" s="8">
        <v>50</v>
      </c>
      <c r="I210" t="s">
        <v>4789</v>
      </c>
      <c r="J210" s="5">
        <v>45629</v>
      </c>
      <c r="K210" t="s">
        <v>4523</v>
      </c>
    </row>
    <row r="211" spans="1:11">
      <c r="A211" s="3" t="s">
        <v>1106</v>
      </c>
      <c r="B211" s="8">
        <v>649.31799999999998</v>
      </c>
      <c r="C211" s="8">
        <v>494.654</v>
      </c>
      <c r="D211" s="9"/>
      <c r="E211" s="8">
        <v>33.46</v>
      </c>
      <c r="F211" s="8">
        <v>20.481000000000002</v>
      </c>
      <c r="G211" t="s">
        <v>4788</v>
      </c>
      <c r="H211" s="8">
        <v>50</v>
      </c>
      <c r="I211" t="s">
        <v>4789</v>
      </c>
      <c r="J211" s="5">
        <v>45625</v>
      </c>
      <c r="K211" t="s">
        <v>4512</v>
      </c>
    </row>
    <row r="212" spans="1:11">
      <c r="A212" s="3" t="s">
        <v>1108</v>
      </c>
      <c r="B212" s="8">
        <v>654.77800000000002</v>
      </c>
      <c r="C212" s="8">
        <v>497.71100000000001</v>
      </c>
      <c r="D212" s="9"/>
      <c r="E212" s="8">
        <v>34.634</v>
      </c>
      <c r="F212" s="8">
        <v>21.802</v>
      </c>
      <c r="G212" t="s">
        <v>4788</v>
      </c>
      <c r="H212" s="8">
        <v>50</v>
      </c>
      <c r="I212" t="s">
        <v>4789</v>
      </c>
      <c r="J212" s="5">
        <v>45626</v>
      </c>
      <c r="K212" t="s">
        <v>9</v>
      </c>
    </row>
    <row r="213" spans="1:11">
      <c r="A213" s="3" t="s">
        <v>1110</v>
      </c>
      <c r="B213" s="8">
        <v>663.54499999999996</v>
      </c>
      <c r="C213" s="8">
        <v>496.57100000000003</v>
      </c>
      <c r="D213" s="9"/>
      <c r="E213" s="8">
        <v>33.103000000000002</v>
      </c>
      <c r="F213" s="8">
        <v>22.879000000000001</v>
      </c>
      <c r="G213" t="s">
        <v>4788</v>
      </c>
      <c r="H213" s="8">
        <v>50</v>
      </c>
      <c r="I213" t="s">
        <v>4789</v>
      </c>
      <c r="J213" s="5">
        <v>45627</v>
      </c>
      <c r="K213" t="s">
        <v>191</v>
      </c>
    </row>
    <row r="214" spans="1:11">
      <c r="A214" s="3" t="s">
        <v>1117</v>
      </c>
      <c r="B214" s="8">
        <v>650.399</v>
      </c>
      <c r="C214" s="8">
        <v>496.71699999999998</v>
      </c>
      <c r="D214" s="9"/>
      <c r="E214" s="8">
        <v>32.685000000000002</v>
      </c>
      <c r="F214" s="8">
        <v>21.02</v>
      </c>
      <c r="G214" t="s">
        <v>4788</v>
      </c>
      <c r="H214" s="8">
        <v>50</v>
      </c>
      <c r="I214" t="s">
        <v>4789</v>
      </c>
      <c r="J214" s="5">
        <v>45628</v>
      </c>
      <c r="K214" t="s">
        <v>4520</v>
      </c>
    </row>
    <row r="215" spans="1:11">
      <c r="A215" s="3" t="s">
        <v>1119</v>
      </c>
      <c r="B215" s="8">
        <v>653.947</v>
      </c>
      <c r="C215" s="8">
        <v>488.87299999999999</v>
      </c>
      <c r="D215" s="9"/>
      <c r="E215" s="8">
        <v>33.286999999999999</v>
      </c>
      <c r="F215" s="8">
        <v>20.895</v>
      </c>
      <c r="G215" t="s">
        <v>4788</v>
      </c>
      <c r="H215" s="8">
        <v>50</v>
      </c>
      <c r="I215" t="s">
        <v>4789</v>
      </c>
      <c r="J215" s="5">
        <v>45629</v>
      </c>
      <c r="K215" t="s">
        <v>12</v>
      </c>
    </row>
    <row r="216" spans="1:11">
      <c r="A216" s="3" t="s">
        <v>1123</v>
      </c>
      <c r="B216" s="8">
        <v>385.43200000000002</v>
      </c>
      <c r="C216" s="8">
        <v>300.411</v>
      </c>
      <c r="D216" s="9"/>
      <c r="E216" s="8">
        <v>42.811999999999998</v>
      </c>
      <c r="F216" s="8">
        <v>30.21</v>
      </c>
      <c r="G216" t="s">
        <v>4788</v>
      </c>
      <c r="H216" s="8">
        <v>50</v>
      </c>
      <c r="I216" t="s">
        <v>4789</v>
      </c>
      <c r="J216" s="5">
        <v>45628</v>
      </c>
      <c r="K216" t="s">
        <v>4523</v>
      </c>
    </row>
    <row r="217" spans="1:11">
      <c r="A217" s="3" t="s">
        <v>1125</v>
      </c>
      <c r="B217" s="8">
        <v>370.92</v>
      </c>
      <c r="C217" s="8">
        <v>300.69099999999997</v>
      </c>
      <c r="D217" s="9"/>
      <c r="E217" s="8">
        <v>42.162999999999997</v>
      </c>
      <c r="F217" s="8">
        <v>31.530999999999999</v>
      </c>
      <c r="G217" t="s">
        <v>4788</v>
      </c>
      <c r="H217" s="8">
        <v>50</v>
      </c>
      <c r="I217" t="s">
        <v>4790</v>
      </c>
      <c r="J217" s="5">
        <v>45629</v>
      </c>
      <c r="K217" t="s">
        <v>4512</v>
      </c>
    </row>
    <row r="218" spans="1:11">
      <c r="A218" s="3" t="s">
        <v>1132</v>
      </c>
      <c r="B218" s="8">
        <v>382.28300000000002</v>
      </c>
      <c r="C218" s="8">
        <v>305.995</v>
      </c>
      <c r="D218" s="9"/>
      <c r="E218" s="8">
        <v>42.912999999999997</v>
      </c>
      <c r="F218" s="8">
        <v>30.956</v>
      </c>
      <c r="G218" t="s">
        <v>4788</v>
      </c>
      <c r="H218" s="8">
        <v>50</v>
      </c>
      <c r="I218" t="s">
        <v>4789</v>
      </c>
      <c r="J218" s="5">
        <v>45631</v>
      </c>
      <c r="K218" t="s">
        <v>9</v>
      </c>
    </row>
    <row r="219" spans="1:11">
      <c r="A219" s="3" t="s">
        <v>1136</v>
      </c>
      <c r="B219" s="8">
        <v>512.56200000000001</v>
      </c>
      <c r="C219" s="8">
        <v>399.47199999999998</v>
      </c>
      <c r="D219" s="9"/>
      <c r="E219" s="8">
        <v>37.722999999999999</v>
      </c>
      <c r="F219" s="8">
        <v>22.138000000000002</v>
      </c>
      <c r="G219" t="s">
        <v>4788</v>
      </c>
      <c r="H219" s="8">
        <v>50</v>
      </c>
      <c r="I219" t="s">
        <v>4789</v>
      </c>
      <c r="J219" s="5">
        <v>45631</v>
      </c>
      <c r="K219" t="s">
        <v>191</v>
      </c>
    </row>
    <row r="220" spans="1:11">
      <c r="A220" s="3" t="s">
        <v>1138</v>
      </c>
      <c r="B220" s="8">
        <v>500.84300000000002</v>
      </c>
      <c r="C220" s="8">
        <v>388.03300000000002</v>
      </c>
      <c r="D220" s="9"/>
      <c r="E220" s="8">
        <v>39.353999999999999</v>
      </c>
      <c r="F220" s="8">
        <v>28.231000000000002</v>
      </c>
      <c r="G220" t="s">
        <v>4788</v>
      </c>
      <c r="H220" s="8">
        <v>50</v>
      </c>
      <c r="I220" t="s">
        <v>4790</v>
      </c>
      <c r="J220" s="5">
        <v>45632</v>
      </c>
      <c r="K220" t="s">
        <v>4520</v>
      </c>
    </row>
    <row r="221" spans="1:11">
      <c r="A221" s="3" t="s">
        <v>1145</v>
      </c>
      <c r="B221" s="8">
        <v>482.41500000000002</v>
      </c>
      <c r="C221" s="8">
        <v>376.60399999999998</v>
      </c>
      <c r="D221" s="9"/>
      <c r="E221" s="8">
        <v>39.296999999999997</v>
      </c>
      <c r="F221" s="8">
        <v>28.189</v>
      </c>
      <c r="G221" t="s">
        <v>4788</v>
      </c>
      <c r="H221" s="8">
        <v>50</v>
      </c>
      <c r="I221" t="s">
        <v>4789</v>
      </c>
      <c r="J221" s="5">
        <v>45634</v>
      </c>
      <c r="K221" t="s">
        <v>12</v>
      </c>
    </row>
    <row r="222" spans="1:11">
      <c r="A222" s="3" t="s">
        <v>1147</v>
      </c>
      <c r="B222" s="8">
        <v>474.26799999999997</v>
      </c>
      <c r="C222" s="8">
        <v>369.54</v>
      </c>
      <c r="D222" s="9"/>
      <c r="E222" s="8">
        <v>37.911000000000001</v>
      </c>
      <c r="F222" s="8">
        <v>27.443999999999999</v>
      </c>
      <c r="G222" t="s">
        <v>4788</v>
      </c>
      <c r="H222" s="8">
        <v>50</v>
      </c>
      <c r="I222" t="s">
        <v>4789</v>
      </c>
      <c r="J222" s="5">
        <v>45635</v>
      </c>
      <c r="K222" t="s">
        <v>4523</v>
      </c>
    </row>
    <row r="223" spans="1:11">
      <c r="A223" s="3" t="s">
        <v>1151</v>
      </c>
      <c r="B223" s="8">
        <v>540.84199999999998</v>
      </c>
      <c r="C223" s="8">
        <v>424.07</v>
      </c>
      <c r="D223" s="9"/>
      <c r="E223" s="8">
        <v>36.807000000000002</v>
      </c>
      <c r="F223" s="8">
        <v>20.946000000000002</v>
      </c>
      <c r="G223" t="s">
        <v>4791</v>
      </c>
      <c r="H223" s="8">
        <v>50</v>
      </c>
      <c r="I223" t="s">
        <v>4789</v>
      </c>
      <c r="J223" s="5">
        <v>45634</v>
      </c>
      <c r="K223" t="s">
        <v>4512</v>
      </c>
    </row>
    <row r="224" spans="1:11">
      <c r="A224" s="3" t="s">
        <v>1153</v>
      </c>
      <c r="B224" s="8">
        <v>550.38499999999999</v>
      </c>
      <c r="C224" s="8">
        <v>431.755</v>
      </c>
      <c r="D224" s="9"/>
      <c r="E224" s="8">
        <v>37.155999999999999</v>
      </c>
      <c r="F224" s="8">
        <v>22.225000000000001</v>
      </c>
      <c r="G224" t="s">
        <v>4788</v>
      </c>
      <c r="H224" s="8">
        <v>50</v>
      </c>
      <c r="I224" t="s">
        <v>4789</v>
      </c>
      <c r="J224" s="5">
        <v>45635</v>
      </c>
      <c r="K224" t="s">
        <v>9</v>
      </c>
    </row>
    <row r="225" spans="1:11">
      <c r="A225" s="3" t="s">
        <v>1156</v>
      </c>
      <c r="B225" s="8">
        <v>591.61699999999996</v>
      </c>
      <c r="C225" s="8">
        <v>448.91800000000001</v>
      </c>
      <c r="D225" s="9"/>
      <c r="E225" s="8">
        <v>34.406999999999996</v>
      </c>
      <c r="F225" s="8">
        <v>21.629000000000001</v>
      </c>
      <c r="G225" t="s">
        <v>4788</v>
      </c>
      <c r="H225" s="8">
        <v>50</v>
      </c>
      <c r="I225" t="s">
        <v>4789</v>
      </c>
      <c r="J225" s="5">
        <v>45637</v>
      </c>
      <c r="K225" t="s">
        <v>191</v>
      </c>
    </row>
    <row r="226" spans="1:11">
      <c r="A226" s="3" t="s">
        <v>1158</v>
      </c>
      <c r="B226" s="8">
        <v>589.26700000000005</v>
      </c>
      <c r="C226" s="8">
        <v>445.44900000000001</v>
      </c>
      <c r="D226" s="9"/>
      <c r="E226" s="8">
        <v>34.969000000000001</v>
      </c>
      <c r="F226" s="8">
        <v>23.873000000000001</v>
      </c>
      <c r="G226" t="s">
        <v>4788</v>
      </c>
      <c r="H226" s="8">
        <v>50</v>
      </c>
      <c r="I226" t="s">
        <v>4789</v>
      </c>
      <c r="J226" s="5">
        <v>45638</v>
      </c>
      <c r="K226" t="s">
        <v>4520</v>
      </c>
    </row>
    <row r="227" spans="1:11">
      <c r="A227" s="3" t="s">
        <v>1170</v>
      </c>
      <c r="B227" s="8">
        <v>670.06</v>
      </c>
      <c r="C227" s="8">
        <v>511.67899999999997</v>
      </c>
      <c r="D227" s="9"/>
      <c r="E227" s="8">
        <v>33.018000000000001</v>
      </c>
      <c r="F227" s="8">
        <v>22.617000000000001</v>
      </c>
      <c r="G227" t="s">
        <v>4788</v>
      </c>
      <c r="H227" s="8">
        <v>50</v>
      </c>
      <c r="I227" t="s">
        <v>4789</v>
      </c>
      <c r="J227" s="5">
        <v>45637</v>
      </c>
      <c r="K227" t="s">
        <v>12</v>
      </c>
    </row>
    <row r="228" spans="1:11">
      <c r="A228" s="3" t="s">
        <v>1172</v>
      </c>
      <c r="B228" s="8">
        <v>678.00199999999995</v>
      </c>
      <c r="C228" s="8">
        <v>526.70100000000002</v>
      </c>
      <c r="D228" s="9"/>
      <c r="E228" s="8">
        <v>32.36</v>
      </c>
      <c r="F228" s="8">
        <v>19.695</v>
      </c>
      <c r="G228" t="s">
        <v>4788</v>
      </c>
      <c r="H228" s="8">
        <v>50</v>
      </c>
      <c r="I228" t="s">
        <v>4790</v>
      </c>
      <c r="J228" s="5">
        <v>45638</v>
      </c>
      <c r="K228" t="s">
        <v>4523</v>
      </c>
    </row>
    <row r="229" spans="1:11">
      <c r="A229" s="3" t="s">
        <v>1182</v>
      </c>
      <c r="B229" s="8">
        <v>664.56299999999999</v>
      </c>
      <c r="C229" s="8">
        <v>510.36399999999998</v>
      </c>
      <c r="D229" s="9"/>
      <c r="E229" s="8">
        <v>33.353000000000002</v>
      </c>
      <c r="F229" s="8">
        <v>22.094999999999999</v>
      </c>
      <c r="G229" t="s">
        <v>4788</v>
      </c>
      <c r="H229" s="8">
        <v>50</v>
      </c>
      <c r="I229" t="s">
        <v>4789</v>
      </c>
      <c r="J229" s="5">
        <v>45643</v>
      </c>
      <c r="K229" t="s">
        <v>4512</v>
      </c>
    </row>
    <row r="230" spans="1:11">
      <c r="A230" s="3" t="s">
        <v>1184</v>
      </c>
      <c r="B230" s="8">
        <v>669.85500000000002</v>
      </c>
      <c r="C230" s="8">
        <v>513.55499999999995</v>
      </c>
      <c r="D230" s="9"/>
      <c r="E230" s="8">
        <v>32.627000000000002</v>
      </c>
      <c r="F230" s="8">
        <v>20.7</v>
      </c>
      <c r="G230" t="s">
        <v>4788</v>
      </c>
      <c r="H230" s="8">
        <v>50</v>
      </c>
      <c r="I230" t="s">
        <v>4790</v>
      </c>
      <c r="J230" s="5">
        <v>45644</v>
      </c>
      <c r="K230" t="s">
        <v>9</v>
      </c>
    </row>
    <row r="231" spans="1:11">
      <c r="A231" s="3" t="s">
        <v>1188</v>
      </c>
      <c r="B231" s="8">
        <v>378.42099999999999</v>
      </c>
      <c r="C231" s="8">
        <v>293.41300000000001</v>
      </c>
      <c r="D231" s="9"/>
      <c r="E231" s="8">
        <v>43.271999999999998</v>
      </c>
      <c r="F231" s="8">
        <v>30.405000000000001</v>
      </c>
      <c r="G231" t="s">
        <v>4788</v>
      </c>
      <c r="H231" s="8">
        <v>50</v>
      </c>
      <c r="I231" t="s">
        <v>4789</v>
      </c>
      <c r="J231" s="5">
        <v>45640</v>
      </c>
      <c r="K231" t="s">
        <v>191</v>
      </c>
    </row>
    <row r="232" spans="1:11">
      <c r="A232" s="3" t="s">
        <v>1190</v>
      </c>
      <c r="B232" s="8">
        <v>366.12400000000002</v>
      </c>
      <c r="C232" s="8">
        <v>291.726</v>
      </c>
      <c r="D232" s="9"/>
      <c r="E232" s="8">
        <v>44.19</v>
      </c>
      <c r="F232" s="8">
        <v>32.965000000000003</v>
      </c>
      <c r="G232" t="s">
        <v>4788</v>
      </c>
      <c r="H232" s="8">
        <v>50</v>
      </c>
      <c r="I232" t="s">
        <v>4789</v>
      </c>
      <c r="J232" s="5">
        <v>45641</v>
      </c>
      <c r="K232" t="s">
        <v>4520</v>
      </c>
    </row>
    <row r="233" spans="1:11">
      <c r="A233" s="3" t="s">
        <v>1201</v>
      </c>
      <c r="B233" s="8">
        <v>367.79700000000003</v>
      </c>
      <c r="C233" s="8">
        <v>297.41300000000001</v>
      </c>
      <c r="D233" s="9"/>
      <c r="E233" s="8">
        <v>41.435000000000002</v>
      </c>
      <c r="F233" s="8">
        <v>27.402000000000001</v>
      </c>
      <c r="G233" t="s">
        <v>4791</v>
      </c>
      <c r="H233" s="8">
        <v>50</v>
      </c>
      <c r="I233" t="s">
        <v>4789</v>
      </c>
      <c r="J233" s="5">
        <v>45646</v>
      </c>
      <c r="K233" t="s">
        <v>12</v>
      </c>
    </row>
    <row r="234" spans="1:11">
      <c r="A234" s="3" t="s">
        <v>1205</v>
      </c>
      <c r="B234" s="8">
        <v>472.17399999999998</v>
      </c>
      <c r="C234" s="8">
        <v>364.13400000000001</v>
      </c>
      <c r="D234" s="9"/>
      <c r="E234" s="8">
        <v>40.070999999999998</v>
      </c>
      <c r="F234" s="8">
        <v>28.539000000000001</v>
      </c>
      <c r="G234" t="s">
        <v>4788</v>
      </c>
      <c r="H234" s="8">
        <v>50</v>
      </c>
      <c r="I234" t="s">
        <v>4789</v>
      </c>
      <c r="J234" s="5">
        <v>45643</v>
      </c>
      <c r="K234" t="s">
        <v>4523</v>
      </c>
    </row>
    <row r="235" spans="1:11">
      <c r="A235" s="3" t="s">
        <v>1207</v>
      </c>
      <c r="B235" s="8">
        <v>456.661</v>
      </c>
      <c r="C235" s="8"/>
      <c r="D235" s="9"/>
      <c r="E235" s="8"/>
      <c r="F235" s="8"/>
      <c r="G235" t="s">
        <v>4788</v>
      </c>
      <c r="H235" s="8">
        <v>50</v>
      </c>
      <c r="I235" t="s">
        <v>4789</v>
      </c>
      <c r="J235" s="5">
        <v>45644</v>
      </c>
      <c r="K235" t="s">
        <v>4512</v>
      </c>
    </row>
    <row r="236" spans="1:11">
      <c r="A236" s="3" t="s">
        <v>1214</v>
      </c>
      <c r="B236" s="8">
        <v>497.59800000000001</v>
      </c>
      <c r="C236" s="8"/>
      <c r="D236" s="9"/>
      <c r="E236" s="8"/>
      <c r="F236" s="8"/>
      <c r="G236" t="s">
        <v>4788</v>
      </c>
      <c r="H236" s="8">
        <v>50</v>
      </c>
      <c r="I236" t="s">
        <v>4789</v>
      </c>
      <c r="J236" s="5">
        <v>45646</v>
      </c>
      <c r="K236" t="s">
        <v>9</v>
      </c>
    </row>
    <row r="237" spans="1:11">
      <c r="A237" s="3" t="s">
        <v>1216</v>
      </c>
      <c r="B237" s="8">
        <v>496.23599999999999</v>
      </c>
      <c r="C237" s="8"/>
      <c r="D237" s="9"/>
      <c r="E237" s="8"/>
      <c r="F237" s="8"/>
      <c r="G237" t="s">
        <v>4788</v>
      </c>
      <c r="H237" s="8">
        <v>50</v>
      </c>
      <c r="I237" t="s">
        <v>4789</v>
      </c>
      <c r="J237" s="5">
        <v>45647</v>
      </c>
      <c r="K237" t="s">
        <v>191</v>
      </c>
    </row>
    <row r="238" spans="1:11">
      <c r="A238" s="3" t="s">
        <v>1226</v>
      </c>
      <c r="B238" s="8">
        <v>592.23699999999997</v>
      </c>
      <c r="C238" s="8"/>
      <c r="D238" s="9"/>
      <c r="E238" s="8"/>
      <c r="F238" s="8"/>
      <c r="G238" t="s">
        <v>4788</v>
      </c>
      <c r="H238" s="8">
        <v>50</v>
      </c>
      <c r="I238" t="s">
        <v>4789</v>
      </c>
      <c r="J238" s="5">
        <v>45646</v>
      </c>
      <c r="K238" t="s">
        <v>4520</v>
      </c>
    </row>
    <row r="239" spans="1:11">
      <c r="A239" s="3" t="s">
        <v>1228</v>
      </c>
      <c r="B239" s="8">
        <v>586.16200000000003</v>
      </c>
      <c r="C239" s="8"/>
      <c r="D239" s="9"/>
      <c r="E239" s="8"/>
      <c r="F239" s="8"/>
      <c r="G239" t="s">
        <v>4788</v>
      </c>
      <c r="H239" s="8">
        <v>50</v>
      </c>
      <c r="I239" t="s">
        <v>4789</v>
      </c>
      <c r="J239" s="5">
        <v>45647</v>
      </c>
      <c r="K239" t="s">
        <v>12</v>
      </c>
    </row>
    <row r="240" spans="1:11">
      <c r="A240" s="3" t="s">
        <v>1236</v>
      </c>
      <c r="B240" s="8">
        <v>636.91499999999996</v>
      </c>
      <c r="C240" s="8"/>
      <c r="D240" s="9"/>
      <c r="E240" s="8"/>
      <c r="F240" s="8"/>
      <c r="G240" t="s">
        <v>4788</v>
      </c>
      <c r="H240" s="8">
        <v>50</v>
      </c>
      <c r="I240" t="s">
        <v>4789</v>
      </c>
      <c r="J240" s="5">
        <v>45649</v>
      </c>
      <c r="K240" t="s">
        <v>4523</v>
      </c>
    </row>
    <row r="241" spans="1:12">
      <c r="A241" s="3" t="s">
        <v>1238</v>
      </c>
      <c r="B241" s="8">
        <v>610.07899999999995</v>
      </c>
      <c r="C241" s="8"/>
      <c r="D241" s="9"/>
      <c r="E241" s="8"/>
      <c r="F241" s="8"/>
      <c r="G241" t="s">
        <v>4788</v>
      </c>
      <c r="H241" s="8">
        <v>50</v>
      </c>
      <c r="I241" t="s">
        <v>4789</v>
      </c>
      <c r="J241" s="5">
        <v>45650</v>
      </c>
      <c r="K241" t="s">
        <v>4512</v>
      </c>
    </row>
    <row r="242" spans="1:12">
      <c r="A242" s="3" t="s">
        <v>1250</v>
      </c>
      <c r="B242" s="8">
        <v>401.976</v>
      </c>
      <c r="C242" s="8"/>
      <c r="D242" s="9"/>
      <c r="E242" s="8"/>
      <c r="F242" s="8"/>
      <c r="G242" t="s">
        <v>4788</v>
      </c>
      <c r="H242" s="8">
        <v>50</v>
      </c>
      <c r="I242" t="s">
        <v>4789</v>
      </c>
      <c r="J242" s="5">
        <v>45655</v>
      </c>
      <c r="K242" t="s">
        <v>9</v>
      </c>
    </row>
    <row r="243" spans="1:12">
      <c r="A243" s="3" t="s">
        <v>1252</v>
      </c>
      <c r="B243" s="8">
        <v>403.666</v>
      </c>
      <c r="C243" s="8"/>
      <c r="D243" s="9"/>
      <c r="E243" s="8"/>
      <c r="F243" s="8"/>
      <c r="G243" t="s">
        <v>4791</v>
      </c>
      <c r="H243" s="8">
        <v>50</v>
      </c>
      <c r="I243" t="s">
        <v>4789</v>
      </c>
      <c r="J243" s="5">
        <v>45656</v>
      </c>
      <c r="K243" t="s">
        <v>191</v>
      </c>
    </row>
    <row r="244" spans="1:12">
      <c r="A244" s="3" t="s">
        <v>1260</v>
      </c>
      <c r="B244" s="8">
        <v>498.49</v>
      </c>
      <c r="C244" s="8"/>
      <c r="D244" s="9"/>
      <c r="E244" s="8"/>
      <c r="F244" s="8"/>
      <c r="G244" t="s">
        <v>4788</v>
      </c>
      <c r="H244" s="8">
        <v>50</v>
      </c>
      <c r="I244" t="s">
        <v>4789</v>
      </c>
      <c r="J244" s="5">
        <v>45655</v>
      </c>
      <c r="K244" t="s">
        <v>4520</v>
      </c>
    </row>
    <row r="245" spans="1:12">
      <c r="A245" s="3" t="s">
        <v>1262</v>
      </c>
      <c r="B245" s="8">
        <v>493.54500000000002</v>
      </c>
      <c r="C245" s="8"/>
      <c r="D245" s="9"/>
      <c r="E245" s="8"/>
      <c r="F245" s="8"/>
      <c r="G245" t="s">
        <v>4788</v>
      </c>
      <c r="H245" s="8">
        <v>50</v>
      </c>
      <c r="I245" t="s">
        <v>4789</v>
      </c>
      <c r="J245" s="5">
        <v>45656</v>
      </c>
      <c r="K245" t="s">
        <v>12</v>
      </c>
    </row>
    <row r="246" spans="1:12">
      <c r="A246" s="3" t="s">
        <v>1267</v>
      </c>
      <c r="B246" s="8">
        <v>426.46899999999999</v>
      </c>
      <c r="C246" s="8"/>
      <c r="D246" s="9"/>
      <c r="E246" s="8"/>
      <c r="F246" s="8"/>
      <c r="G246" t="s">
        <v>4788</v>
      </c>
      <c r="H246" s="8">
        <v>50</v>
      </c>
      <c r="I246" t="s">
        <v>4789</v>
      </c>
      <c r="J246" s="5">
        <v>45658</v>
      </c>
      <c r="K246" t="s">
        <v>4523</v>
      </c>
    </row>
    <row r="247" spans="1:12">
      <c r="A247" s="3" t="s">
        <v>1269</v>
      </c>
      <c r="B247" s="8">
        <v>423.774</v>
      </c>
      <c r="C247" s="8"/>
      <c r="D247" s="9"/>
      <c r="E247" s="8"/>
      <c r="F247" s="8"/>
      <c r="G247" t="s">
        <v>4788</v>
      </c>
      <c r="H247" s="8">
        <v>50</v>
      </c>
      <c r="I247" t="s">
        <v>4789</v>
      </c>
      <c r="J247" s="5">
        <v>45659</v>
      </c>
      <c r="K247" t="s">
        <v>4512</v>
      </c>
    </row>
    <row r="248" spans="1:12">
      <c r="A248" s="3" t="s">
        <v>1272</v>
      </c>
      <c r="B248" s="8">
        <v>485.11799999999999</v>
      </c>
      <c r="C248" s="8"/>
      <c r="D248" s="9"/>
      <c r="E248" s="8"/>
      <c r="F248" s="8"/>
      <c r="G248" t="s">
        <v>4788</v>
      </c>
      <c r="H248" s="8">
        <v>50</v>
      </c>
      <c r="I248" t="s">
        <v>4789</v>
      </c>
      <c r="J248" s="5">
        <v>45661</v>
      </c>
      <c r="K248" t="s">
        <v>9</v>
      </c>
    </row>
    <row r="249" spans="1:12">
      <c r="A249" s="3" t="s">
        <v>1274</v>
      </c>
      <c r="B249" s="8">
        <v>499.37400000000002</v>
      </c>
      <c r="C249" s="8"/>
      <c r="D249" s="9"/>
      <c r="E249" s="8"/>
      <c r="F249" s="8"/>
      <c r="G249" t="s">
        <v>4791</v>
      </c>
      <c r="H249" s="8">
        <v>50</v>
      </c>
      <c r="I249" t="s">
        <v>4789</v>
      </c>
      <c r="J249" s="5">
        <v>45662</v>
      </c>
      <c r="K249" t="s">
        <v>191</v>
      </c>
    </row>
    <row r="250" spans="1:12">
      <c r="A250" s="3" t="s">
        <v>1282</v>
      </c>
      <c r="B250" s="8">
        <v>583.80100000000004</v>
      </c>
      <c r="C250" s="8"/>
      <c r="D250" s="9"/>
      <c r="E250" s="8"/>
      <c r="F250" s="8"/>
      <c r="G250" t="s">
        <v>4788</v>
      </c>
      <c r="H250" s="8">
        <v>50</v>
      </c>
      <c r="I250" t="s">
        <v>4789</v>
      </c>
      <c r="J250" s="5">
        <v>45658</v>
      </c>
      <c r="K250" t="s">
        <v>4520</v>
      </c>
    </row>
    <row r="251" spans="1:12">
      <c r="A251" s="3" t="s">
        <v>1284</v>
      </c>
      <c r="B251" s="8">
        <v>583.12</v>
      </c>
      <c r="C251" s="8"/>
      <c r="D251" s="9"/>
      <c r="E251" s="8"/>
      <c r="F251" s="8"/>
      <c r="G251" t="s">
        <v>4788</v>
      </c>
      <c r="H251" s="8">
        <v>50</v>
      </c>
      <c r="I251" t="s">
        <v>4789</v>
      </c>
      <c r="J251" s="5">
        <v>45659</v>
      </c>
      <c r="K251" t="s">
        <v>12</v>
      </c>
    </row>
    <row r="252" spans="1:12">
      <c r="A252" s="3" t="s">
        <v>1287</v>
      </c>
      <c r="B252" s="8">
        <v>619.154</v>
      </c>
      <c r="C252" s="8"/>
      <c r="D252" s="9"/>
      <c r="E252" s="8"/>
      <c r="F252" s="8"/>
      <c r="G252" t="s">
        <v>4788</v>
      </c>
      <c r="H252" s="8">
        <v>50</v>
      </c>
      <c r="I252" t="s">
        <v>4789</v>
      </c>
      <c r="J252" s="5">
        <v>45661</v>
      </c>
      <c r="K252" t="s">
        <v>4523</v>
      </c>
    </row>
    <row r="253" spans="1:12">
      <c r="A253" s="3" t="s">
        <v>1289</v>
      </c>
      <c r="B253" s="8">
        <v>597.53</v>
      </c>
      <c r="C253" s="8"/>
      <c r="D253" s="9"/>
      <c r="E253" s="8"/>
      <c r="F253" s="8"/>
      <c r="G253" t="s">
        <v>4788</v>
      </c>
      <c r="H253" s="8">
        <v>50</v>
      </c>
      <c r="I253" t="s">
        <v>4789</v>
      </c>
      <c r="J253" s="5">
        <v>45662</v>
      </c>
      <c r="K253" t="s">
        <v>4512</v>
      </c>
    </row>
    <row r="254" spans="1:12">
      <c r="A254" s="3" t="s">
        <v>1296</v>
      </c>
      <c r="B254" s="8">
        <v>616.44500000000005</v>
      </c>
      <c r="C254" s="8">
        <v>480.80799999999999</v>
      </c>
      <c r="D254" s="9"/>
      <c r="E254" s="8">
        <v>33.338999999999999</v>
      </c>
      <c r="F254" s="8">
        <v>18.82</v>
      </c>
      <c r="G254" t="s">
        <v>4788</v>
      </c>
      <c r="H254" s="8">
        <v>50</v>
      </c>
      <c r="I254" t="s">
        <v>4789</v>
      </c>
      <c r="J254" s="5">
        <v>45664</v>
      </c>
      <c r="K254" t="s">
        <v>9</v>
      </c>
    </row>
    <row r="255" spans="1:12">
      <c r="A255" s="3" t="s">
        <v>1298</v>
      </c>
      <c r="B255" s="8">
        <v>625.89800000000002</v>
      </c>
      <c r="C255" s="8">
        <v>464.70499999999998</v>
      </c>
      <c r="D255" s="9"/>
      <c r="E255" s="8">
        <v>36.225999999999999</v>
      </c>
      <c r="F255" s="8">
        <v>27.076000000000001</v>
      </c>
      <c r="G255" t="s">
        <v>4788</v>
      </c>
      <c r="H255" s="8">
        <v>50</v>
      </c>
      <c r="I255" t="s">
        <v>4789</v>
      </c>
      <c r="J255" s="5">
        <v>45665</v>
      </c>
      <c r="K255" t="s">
        <v>191</v>
      </c>
      <c r="L255" t="s">
        <v>4792</v>
      </c>
    </row>
    <row r="256" spans="1:12">
      <c r="A256" s="3" t="s">
        <v>1302</v>
      </c>
      <c r="B256" s="8">
        <v>618.36800000000005</v>
      </c>
      <c r="C256" s="8">
        <v>462.21600000000001</v>
      </c>
      <c r="D256" s="9"/>
      <c r="E256" s="8">
        <v>34.823</v>
      </c>
      <c r="F256" s="8">
        <v>21.341999999999999</v>
      </c>
      <c r="G256" t="s">
        <v>4788</v>
      </c>
      <c r="H256" s="8">
        <v>50</v>
      </c>
      <c r="I256" t="s">
        <v>4789</v>
      </c>
      <c r="J256" s="5">
        <v>45661</v>
      </c>
      <c r="K256" t="s">
        <v>4520</v>
      </c>
    </row>
    <row r="257" spans="1:11">
      <c r="A257" s="3" t="s">
        <v>1304</v>
      </c>
      <c r="B257" s="8">
        <v>620.45699999999999</v>
      </c>
      <c r="C257" s="8">
        <v>476.12599999999998</v>
      </c>
      <c r="D257" s="9"/>
      <c r="E257" s="8">
        <v>33.393999999999998</v>
      </c>
      <c r="F257" s="8">
        <v>23.94</v>
      </c>
      <c r="G257" t="s">
        <v>4788</v>
      </c>
      <c r="H257" s="8">
        <v>50</v>
      </c>
      <c r="I257" t="s">
        <v>4789</v>
      </c>
      <c r="J257" s="5">
        <v>45662</v>
      </c>
      <c r="K257" t="s">
        <v>12</v>
      </c>
    </row>
    <row r="258" spans="1:11">
      <c r="A258" s="3" t="s">
        <v>1307</v>
      </c>
      <c r="B258" s="8">
        <v>649.74800000000005</v>
      </c>
      <c r="C258" s="8">
        <v>499.95600000000002</v>
      </c>
      <c r="D258" s="9"/>
      <c r="E258" s="8">
        <v>33.725999999999999</v>
      </c>
      <c r="F258" s="8">
        <v>19.257999999999999</v>
      </c>
      <c r="G258" t="s">
        <v>4788</v>
      </c>
      <c r="H258" s="8">
        <v>50</v>
      </c>
      <c r="I258" t="s">
        <v>4789</v>
      </c>
      <c r="J258" s="5">
        <v>45664</v>
      </c>
      <c r="K258" t="s">
        <v>4523</v>
      </c>
    </row>
    <row r="259" spans="1:11">
      <c r="A259" s="3" t="s">
        <v>1309</v>
      </c>
      <c r="B259" s="8">
        <v>645.30600000000004</v>
      </c>
      <c r="C259" s="8">
        <v>491.98399999999998</v>
      </c>
      <c r="D259" s="9"/>
      <c r="E259" s="8">
        <v>33.597000000000001</v>
      </c>
      <c r="F259" s="8">
        <v>24.43</v>
      </c>
      <c r="G259" t="s">
        <v>4791</v>
      </c>
      <c r="H259" s="8">
        <v>50</v>
      </c>
      <c r="I259" t="s">
        <v>4789</v>
      </c>
      <c r="J259" s="5">
        <v>45665</v>
      </c>
      <c r="K259" t="s">
        <v>4512</v>
      </c>
    </row>
    <row r="260" spans="1:11">
      <c r="A260" s="3" t="s">
        <v>1317</v>
      </c>
      <c r="B260" s="8">
        <v>394.23200000000003</v>
      </c>
      <c r="C260" s="8">
        <v>312.20800000000003</v>
      </c>
      <c r="D260" s="9"/>
      <c r="E260" s="8">
        <v>41.244999999999997</v>
      </c>
      <c r="F260" s="8">
        <v>27.844999999999999</v>
      </c>
      <c r="G260" t="s">
        <v>4788</v>
      </c>
      <c r="H260" s="8">
        <v>50</v>
      </c>
      <c r="I260" t="s">
        <v>4789</v>
      </c>
      <c r="J260" s="5">
        <v>45664</v>
      </c>
      <c r="K260" t="s">
        <v>9</v>
      </c>
    </row>
    <row r="261" spans="1:11">
      <c r="A261" s="3" t="s">
        <v>1319</v>
      </c>
      <c r="B261" s="8">
        <v>400.029</v>
      </c>
      <c r="C261" s="8">
        <v>314.13200000000001</v>
      </c>
      <c r="D261" s="9"/>
      <c r="E261" s="8">
        <v>42.468000000000004</v>
      </c>
      <c r="F261" s="8">
        <v>30.036000000000001</v>
      </c>
      <c r="G261" t="s">
        <v>4788</v>
      </c>
      <c r="H261" s="8">
        <v>50</v>
      </c>
      <c r="I261" t="s">
        <v>4789</v>
      </c>
      <c r="J261" s="5">
        <v>45665</v>
      </c>
      <c r="K261" t="s">
        <v>191</v>
      </c>
    </row>
    <row r="262" spans="1:11">
      <c r="A262" s="3" t="s">
        <v>1321</v>
      </c>
      <c r="B262" s="8">
        <v>389.33499999999998</v>
      </c>
      <c r="C262" s="8">
        <v>308.69799999999998</v>
      </c>
      <c r="D262" s="9"/>
      <c r="E262" s="8">
        <v>42.258000000000003</v>
      </c>
      <c r="F262" s="8">
        <v>31.030999999999999</v>
      </c>
      <c r="G262" t="s">
        <v>4791</v>
      </c>
      <c r="H262" s="8">
        <v>50</v>
      </c>
      <c r="I262" t="s">
        <v>4789</v>
      </c>
      <c r="J262" s="5">
        <v>45666</v>
      </c>
      <c r="K262" t="s">
        <v>4520</v>
      </c>
    </row>
    <row r="263" spans="1:11">
      <c r="A263" s="3" t="s">
        <v>1324</v>
      </c>
      <c r="B263" s="8">
        <v>407.49700000000001</v>
      </c>
      <c r="C263" s="8">
        <v>313.49900000000002</v>
      </c>
      <c r="D263" s="9"/>
      <c r="E263" s="8">
        <v>42.753999999999998</v>
      </c>
      <c r="F263" s="8">
        <v>31.94</v>
      </c>
      <c r="G263" t="s">
        <v>4788</v>
      </c>
      <c r="H263" s="8">
        <v>50</v>
      </c>
      <c r="I263" t="s">
        <v>4789</v>
      </c>
      <c r="J263" s="5">
        <v>45667</v>
      </c>
      <c r="K263" t="s">
        <v>12</v>
      </c>
    </row>
    <row r="264" spans="1:11">
      <c r="A264" s="3" t="s">
        <v>1329</v>
      </c>
      <c r="B264" s="8">
        <v>431.767</v>
      </c>
      <c r="C264" s="8">
        <v>343.173</v>
      </c>
      <c r="D264" s="9"/>
      <c r="E264" s="8">
        <v>40.665999999999997</v>
      </c>
      <c r="F264" s="8">
        <v>23.975999999999999</v>
      </c>
      <c r="G264" t="s">
        <v>4788</v>
      </c>
      <c r="H264" s="8">
        <v>50</v>
      </c>
      <c r="I264" t="s">
        <v>4789</v>
      </c>
      <c r="J264" s="5">
        <v>45670</v>
      </c>
      <c r="K264" t="s">
        <v>4523</v>
      </c>
    </row>
    <row r="265" spans="1:11">
      <c r="A265" s="3" t="s">
        <v>1335</v>
      </c>
      <c r="B265" s="8">
        <v>445.96100000000001</v>
      </c>
      <c r="C265" s="8">
        <v>349.286</v>
      </c>
      <c r="D265" s="9"/>
      <c r="E265" s="8">
        <v>39.912999999999997</v>
      </c>
      <c r="F265" s="8">
        <v>27.817</v>
      </c>
      <c r="G265" t="s">
        <v>4788</v>
      </c>
      <c r="H265" s="8">
        <v>50</v>
      </c>
      <c r="I265" t="s">
        <v>4789</v>
      </c>
      <c r="J265" s="5">
        <v>45667</v>
      </c>
      <c r="K265" t="s">
        <v>4512</v>
      </c>
    </row>
    <row r="266" spans="1:11">
      <c r="A266" s="3" t="s">
        <v>1348</v>
      </c>
      <c r="B266" s="8">
        <v>659.94600000000003</v>
      </c>
      <c r="C266" s="8">
        <v>512.19000000000005</v>
      </c>
      <c r="D266" s="9"/>
      <c r="E266" s="8">
        <v>32.911000000000001</v>
      </c>
      <c r="F266" s="8">
        <v>23.013000000000002</v>
      </c>
      <c r="G266" t="s">
        <v>4788</v>
      </c>
      <c r="H266" s="8">
        <v>50</v>
      </c>
      <c r="I266" t="s">
        <v>4789</v>
      </c>
      <c r="J266" s="5">
        <v>45673</v>
      </c>
      <c r="K266" t="s">
        <v>9</v>
      </c>
    </row>
    <row r="267" spans="1:11">
      <c r="A267" s="3" t="s">
        <v>1350</v>
      </c>
      <c r="B267" s="8">
        <v>669.95799999999997</v>
      </c>
      <c r="C267" s="8">
        <v>517.24900000000002</v>
      </c>
      <c r="D267" s="9"/>
      <c r="E267" s="8">
        <v>32.613</v>
      </c>
      <c r="F267" s="8">
        <v>20.919</v>
      </c>
      <c r="G267" t="s">
        <v>4788</v>
      </c>
      <c r="H267" s="8">
        <v>50</v>
      </c>
      <c r="I267" t="s">
        <v>4791</v>
      </c>
      <c r="J267" s="5">
        <v>45674</v>
      </c>
      <c r="K267" t="s">
        <v>191</v>
      </c>
    </row>
    <row r="268" spans="1:11">
      <c r="A268" s="3" t="s">
        <v>1357</v>
      </c>
      <c r="B268" s="8">
        <v>622.29700000000003</v>
      </c>
      <c r="C268" s="8">
        <v>487.26499999999999</v>
      </c>
      <c r="D268" s="9"/>
      <c r="E268" s="8">
        <v>33.326999999999998</v>
      </c>
      <c r="F268" s="8">
        <v>24.782</v>
      </c>
      <c r="G268" t="s">
        <v>4788</v>
      </c>
      <c r="H268" s="8">
        <v>50</v>
      </c>
      <c r="I268" t="s">
        <v>4789</v>
      </c>
      <c r="J268" s="5">
        <v>45676</v>
      </c>
      <c r="K268" t="s">
        <v>4520</v>
      </c>
    </row>
    <row r="269" spans="1:11">
      <c r="A269" s="3" t="s">
        <v>1359</v>
      </c>
      <c r="B269" s="8">
        <v>642.60299999999995</v>
      </c>
      <c r="C269" s="8">
        <v>483.464</v>
      </c>
      <c r="D269" s="9"/>
      <c r="E269" s="8">
        <v>34.161999999999999</v>
      </c>
      <c r="F269" s="8">
        <v>22.867999999999999</v>
      </c>
      <c r="G269" t="s">
        <v>4788</v>
      </c>
      <c r="H269" s="8">
        <v>50</v>
      </c>
      <c r="I269" t="s">
        <v>4789</v>
      </c>
      <c r="J269" s="5">
        <v>45677</v>
      </c>
      <c r="K269" t="s">
        <v>12</v>
      </c>
    </row>
    <row r="270" spans="1:11">
      <c r="A270" s="3" t="s">
        <v>1369</v>
      </c>
      <c r="B270" s="8">
        <v>391.959</v>
      </c>
      <c r="C270" s="8">
        <v>314.99400000000003</v>
      </c>
      <c r="D270" s="9"/>
      <c r="E270" s="8">
        <v>41.636000000000003</v>
      </c>
      <c r="F270" s="8">
        <v>27.091000000000001</v>
      </c>
      <c r="G270" t="s">
        <v>4788</v>
      </c>
      <c r="H270" s="8">
        <v>50</v>
      </c>
      <c r="I270" t="s">
        <v>4789</v>
      </c>
      <c r="J270" s="5">
        <v>45676</v>
      </c>
      <c r="K270" t="s">
        <v>4523</v>
      </c>
    </row>
    <row r="271" spans="1:11">
      <c r="A271" s="3" t="s">
        <v>1371</v>
      </c>
      <c r="B271" s="8">
        <v>381.69900000000001</v>
      </c>
      <c r="C271" s="8">
        <v>305.608</v>
      </c>
      <c r="D271" s="9"/>
      <c r="E271" s="8">
        <v>42.374000000000002</v>
      </c>
      <c r="F271" s="8">
        <v>24.83</v>
      </c>
      <c r="G271" t="s">
        <v>4788</v>
      </c>
      <c r="H271" s="8">
        <v>50</v>
      </c>
      <c r="I271" t="s">
        <v>4789</v>
      </c>
      <c r="J271" s="5">
        <v>45677</v>
      </c>
      <c r="K271" t="s">
        <v>4512</v>
      </c>
    </row>
    <row r="272" spans="1:11">
      <c r="A272" s="3" t="s">
        <v>1375</v>
      </c>
      <c r="B272" s="8">
        <v>505.14800000000002</v>
      </c>
      <c r="C272" s="8">
        <v>383.10700000000003</v>
      </c>
      <c r="D272" s="9"/>
      <c r="E272" s="8">
        <v>37.652999999999999</v>
      </c>
      <c r="F272" s="8">
        <v>26.088000000000001</v>
      </c>
      <c r="G272" t="s">
        <v>4791</v>
      </c>
      <c r="H272" s="8">
        <v>50</v>
      </c>
      <c r="I272" t="s">
        <v>4789</v>
      </c>
      <c r="J272" s="5">
        <v>45679</v>
      </c>
      <c r="K272" t="s">
        <v>9</v>
      </c>
    </row>
    <row r="273" spans="1:11">
      <c r="A273" s="3" t="s">
        <v>1377</v>
      </c>
      <c r="B273" s="8">
        <v>506.94400000000002</v>
      </c>
      <c r="C273" s="8">
        <v>390.12099999999998</v>
      </c>
      <c r="D273" s="9"/>
      <c r="E273" s="8">
        <v>37.154000000000003</v>
      </c>
      <c r="F273" s="8">
        <v>26.736999999999998</v>
      </c>
      <c r="G273" t="s">
        <v>4788</v>
      </c>
      <c r="H273" s="8">
        <v>50</v>
      </c>
      <c r="I273" t="s">
        <v>4789</v>
      </c>
      <c r="J273" s="5">
        <v>45680</v>
      </c>
      <c r="K273" t="s">
        <v>191</v>
      </c>
    </row>
    <row r="274" spans="1:11">
      <c r="A274" s="3" t="s">
        <v>1380</v>
      </c>
      <c r="B274" s="8">
        <v>466.06900000000002</v>
      </c>
      <c r="C274" s="8">
        <v>362.86099999999999</v>
      </c>
      <c r="D274" s="9"/>
      <c r="E274" s="8">
        <v>40.378999999999998</v>
      </c>
      <c r="F274" s="8">
        <v>24.73</v>
      </c>
      <c r="G274" t="s">
        <v>4788</v>
      </c>
      <c r="H274" s="8">
        <v>50</v>
      </c>
      <c r="I274" t="s">
        <v>4789</v>
      </c>
      <c r="J274" s="5">
        <v>45682</v>
      </c>
      <c r="K274" t="s">
        <v>4520</v>
      </c>
    </row>
    <row r="275" spans="1:11">
      <c r="A275" s="3" t="s">
        <v>1382</v>
      </c>
      <c r="B275" s="8">
        <v>467.89800000000002</v>
      </c>
      <c r="C275" s="8">
        <v>369.87099999999998</v>
      </c>
      <c r="D275" s="9"/>
      <c r="E275" s="8">
        <v>38.488999999999997</v>
      </c>
      <c r="F275" s="8">
        <v>24.704999999999998</v>
      </c>
      <c r="G275" t="s">
        <v>4788</v>
      </c>
      <c r="H275" s="8">
        <v>50</v>
      </c>
      <c r="I275" t="s">
        <v>4789</v>
      </c>
      <c r="J275" s="5">
        <v>45683</v>
      </c>
      <c r="K275" t="s">
        <v>12</v>
      </c>
    </row>
    <row r="276" spans="1:11">
      <c r="A276" s="3" t="s">
        <v>1398</v>
      </c>
      <c r="B276" s="8">
        <v>662.447</v>
      </c>
      <c r="C276" s="8">
        <v>513.81600000000003</v>
      </c>
      <c r="D276" s="9"/>
      <c r="E276" s="8">
        <v>33.686999999999998</v>
      </c>
      <c r="F276" s="8">
        <v>20.434000000000001</v>
      </c>
      <c r="G276" t="s">
        <v>4788</v>
      </c>
      <c r="H276" s="8">
        <v>50</v>
      </c>
      <c r="I276" t="s">
        <v>4789</v>
      </c>
      <c r="J276" s="5">
        <v>45685</v>
      </c>
      <c r="K276" t="s">
        <v>4523</v>
      </c>
    </row>
    <row r="277" spans="1:11">
      <c r="A277" s="3" t="s">
        <v>1400</v>
      </c>
      <c r="B277" s="8">
        <v>657.21</v>
      </c>
      <c r="C277" s="8">
        <v>501.053</v>
      </c>
      <c r="D277" s="9"/>
      <c r="E277" s="8">
        <v>33.363</v>
      </c>
      <c r="F277" s="8">
        <v>19.61</v>
      </c>
      <c r="G277" t="s">
        <v>4788</v>
      </c>
      <c r="H277" s="8">
        <v>50</v>
      </c>
      <c r="I277" t="s">
        <v>4789</v>
      </c>
      <c r="J277" s="5">
        <v>45686</v>
      </c>
      <c r="K277" t="s">
        <v>4512</v>
      </c>
    </row>
    <row r="278" spans="1:11">
      <c r="A278" s="3" t="s">
        <v>1402</v>
      </c>
      <c r="B278" s="8">
        <v>666.79100000000005</v>
      </c>
      <c r="C278" s="8">
        <v>504.23899999999998</v>
      </c>
      <c r="D278" s="9"/>
      <c r="E278" s="8">
        <v>32.753999999999998</v>
      </c>
      <c r="F278" s="8">
        <v>20.116</v>
      </c>
      <c r="G278" t="s">
        <v>4788</v>
      </c>
      <c r="H278" s="8">
        <v>50</v>
      </c>
      <c r="I278" t="s">
        <v>4789</v>
      </c>
      <c r="J278" s="5">
        <v>45687</v>
      </c>
      <c r="K278" t="s">
        <v>9</v>
      </c>
    </row>
    <row r="279" spans="1:11">
      <c r="A279" s="3" t="s">
        <v>1405</v>
      </c>
      <c r="B279" s="8">
        <v>663.44</v>
      </c>
      <c r="C279" s="8">
        <v>507.13600000000002</v>
      </c>
      <c r="D279" s="9"/>
      <c r="E279" s="8">
        <v>32.604999999999997</v>
      </c>
      <c r="F279" s="8">
        <v>23.530999999999999</v>
      </c>
      <c r="G279" t="s">
        <v>4788</v>
      </c>
      <c r="H279" s="8">
        <v>50</v>
      </c>
      <c r="I279" t="s">
        <v>4789</v>
      </c>
      <c r="J279" s="5">
        <v>45688</v>
      </c>
      <c r="K279" t="s">
        <v>191</v>
      </c>
    </row>
    <row r="280" spans="1:11">
      <c r="A280" s="3" t="s">
        <v>1417</v>
      </c>
      <c r="B280" s="8">
        <v>382.65499999999997</v>
      </c>
      <c r="C280" s="8">
        <v>305.274</v>
      </c>
      <c r="D280" s="9"/>
      <c r="E280" s="8">
        <v>41.53</v>
      </c>
      <c r="F280" s="8">
        <v>26.318999999999999</v>
      </c>
      <c r="G280" t="s">
        <v>4788</v>
      </c>
      <c r="H280" s="8">
        <v>50</v>
      </c>
      <c r="I280" t="s">
        <v>4789</v>
      </c>
      <c r="J280" s="5">
        <v>45688</v>
      </c>
      <c r="K280" t="s">
        <v>4520</v>
      </c>
    </row>
    <row r="281" spans="1:11">
      <c r="A281" s="3" t="s">
        <v>1419</v>
      </c>
      <c r="B281" s="8">
        <v>389.31400000000002</v>
      </c>
      <c r="C281" s="8">
        <v>301.42700000000002</v>
      </c>
      <c r="D281" s="9"/>
      <c r="E281" s="8">
        <v>41.607999999999997</v>
      </c>
      <c r="F281" s="8">
        <v>28.916</v>
      </c>
      <c r="G281" t="s">
        <v>4788</v>
      </c>
      <c r="H281" s="8">
        <v>50</v>
      </c>
      <c r="I281" t="s">
        <v>4789</v>
      </c>
      <c r="J281" s="5">
        <v>45689</v>
      </c>
      <c r="K281" t="s">
        <v>12</v>
      </c>
    </row>
    <row r="282" spans="1:11">
      <c r="A282" s="3" t="s">
        <v>1422</v>
      </c>
      <c r="B282" s="8">
        <v>390.08499999999998</v>
      </c>
      <c r="C282" s="8">
        <v>306.53399999999999</v>
      </c>
      <c r="D282" s="9"/>
      <c r="E282" s="8">
        <v>41.76</v>
      </c>
      <c r="F282" s="8">
        <v>27.369</v>
      </c>
      <c r="G282" t="s">
        <v>4788</v>
      </c>
      <c r="H282" s="8">
        <v>50</v>
      </c>
      <c r="I282" t="s">
        <v>4790</v>
      </c>
      <c r="J282" s="5">
        <v>45691</v>
      </c>
      <c r="K282" t="s">
        <v>4523</v>
      </c>
    </row>
    <row r="283" spans="1:11">
      <c r="A283" s="3" t="s">
        <v>1431</v>
      </c>
      <c r="B283" s="8">
        <v>388.78899999999999</v>
      </c>
      <c r="C283" s="8">
        <v>297.036</v>
      </c>
      <c r="D283" s="9"/>
      <c r="E283" s="8">
        <v>43.21</v>
      </c>
      <c r="F283" s="8">
        <v>29.157</v>
      </c>
      <c r="G283" t="s">
        <v>4788</v>
      </c>
      <c r="H283" s="8">
        <v>50</v>
      </c>
      <c r="I283" t="s">
        <v>4789</v>
      </c>
      <c r="J283" s="5">
        <v>45694</v>
      </c>
      <c r="K283" t="s">
        <v>4512</v>
      </c>
    </row>
    <row r="284" spans="1:11">
      <c r="A284" s="3" t="s">
        <v>1433</v>
      </c>
      <c r="B284" s="8">
        <v>387.93099999999998</v>
      </c>
      <c r="C284" s="8">
        <v>307.72399999999999</v>
      </c>
      <c r="D284" s="9"/>
      <c r="E284" s="8">
        <v>43.569000000000003</v>
      </c>
      <c r="F284" s="8">
        <v>25.88</v>
      </c>
      <c r="G284" t="s">
        <v>4788</v>
      </c>
      <c r="H284" s="8">
        <v>50</v>
      </c>
      <c r="I284" t="s">
        <v>4789</v>
      </c>
      <c r="J284" s="5">
        <v>45695</v>
      </c>
      <c r="K284" t="s">
        <v>9</v>
      </c>
    </row>
    <row r="285" spans="1:11">
      <c r="A285" s="3" t="s">
        <v>1437</v>
      </c>
      <c r="B285" s="8">
        <v>490.84500000000003</v>
      </c>
      <c r="C285" s="8">
        <v>378.80700000000002</v>
      </c>
      <c r="D285" s="9"/>
      <c r="E285" s="8">
        <v>38.585999999999999</v>
      </c>
      <c r="F285" s="8">
        <v>22.187999999999999</v>
      </c>
      <c r="G285" t="s">
        <v>4788</v>
      </c>
      <c r="H285" s="8">
        <v>50</v>
      </c>
      <c r="I285" t="s">
        <v>4789</v>
      </c>
      <c r="J285" s="5">
        <v>45691</v>
      </c>
      <c r="K285" t="s">
        <v>191</v>
      </c>
    </row>
    <row r="286" spans="1:11">
      <c r="A286" s="3" t="s">
        <v>1439</v>
      </c>
      <c r="B286" s="8">
        <v>482.40300000000002</v>
      </c>
      <c r="C286" s="8">
        <v>374.47899999999998</v>
      </c>
      <c r="D286" s="9"/>
      <c r="E286" s="8">
        <v>40.055</v>
      </c>
      <c r="F286" s="8">
        <v>29.004000000000001</v>
      </c>
      <c r="G286" t="s">
        <v>4788</v>
      </c>
      <c r="H286" s="8">
        <v>50</v>
      </c>
      <c r="I286" t="s">
        <v>4789</v>
      </c>
      <c r="J286" s="5">
        <v>45692</v>
      </c>
      <c r="K286" t="s">
        <v>4520</v>
      </c>
    </row>
    <row r="287" spans="1:11">
      <c r="A287" s="3" t="s">
        <v>1446</v>
      </c>
      <c r="B287" s="8">
        <v>436.64499999999998</v>
      </c>
      <c r="C287" s="8">
        <v>348.37299999999999</v>
      </c>
      <c r="D287" s="9"/>
      <c r="E287" s="8">
        <v>40.588000000000001</v>
      </c>
      <c r="F287" s="8">
        <v>28.626999999999999</v>
      </c>
      <c r="G287" t="s">
        <v>4788</v>
      </c>
      <c r="H287" s="8">
        <v>50</v>
      </c>
      <c r="I287" t="s">
        <v>4789</v>
      </c>
      <c r="J287" s="5">
        <v>45694</v>
      </c>
      <c r="K287" t="s">
        <v>12</v>
      </c>
    </row>
    <row r="288" spans="1:11">
      <c r="A288" s="3" t="s">
        <v>1448</v>
      </c>
      <c r="B288" s="8">
        <v>456.47699999999998</v>
      </c>
      <c r="C288" s="8">
        <v>358.75200000000001</v>
      </c>
      <c r="D288" s="9"/>
      <c r="E288" s="8">
        <v>39.706000000000003</v>
      </c>
      <c r="F288" s="8">
        <v>24.213000000000001</v>
      </c>
      <c r="G288" t="s">
        <v>4788</v>
      </c>
      <c r="H288" s="8">
        <v>50</v>
      </c>
      <c r="I288" t="s">
        <v>4789</v>
      </c>
      <c r="J288" s="5">
        <v>45695</v>
      </c>
      <c r="K288" t="s">
        <v>4523</v>
      </c>
    </row>
    <row r="289" spans="1:11">
      <c r="A289" s="3" t="s">
        <v>1452</v>
      </c>
      <c r="B289" s="8">
        <v>580.46699999999998</v>
      </c>
      <c r="C289" s="8">
        <v>445.726</v>
      </c>
      <c r="D289" s="9"/>
      <c r="E289" s="8">
        <v>35.820999999999998</v>
      </c>
      <c r="F289" s="8">
        <v>20.405000000000001</v>
      </c>
      <c r="G289" t="s">
        <v>4788</v>
      </c>
      <c r="H289" s="8">
        <v>50</v>
      </c>
      <c r="I289" t="s">
        <v>4790</v>
      </c>
      <c r="J289" s="5">
        <v>45694</v>
      </c>
      <c r="K289" t="s">
        <v>4512</v>
      </c>
    </row>
    <row r="290" spans="1:11">
      <c r="A290" s="3" t="s">
        <v>1454</v>
      </c>
      <c r="B290" s="8">
        <v>581.35699999999997</v>
      </c>
      <c r="C290" s="8">
        <v>443.98500000000001</v>
      </c>
      <c r="D290" s="9"/>
      <c r="E290" s="8">
        <v>35.935000000000002</v>
      </c>
      <c r="F290" s="8">
        <v>25.088000000000001</v>
      </c>
      <c r="G290" t="s">
        <v>4791</v>
      </c>
      <c r="H290" s="8">
        <v>50</v>
      </c>
      <c r="I290" t="s">
        <v>4789</v>
      </c>
      <c r="J290" s="5">
        <v>45695</v>
      </c>
      <c r="K290" t="s">
        <v>9</v>
      </c>
    </row>
    <row r="291" spans="1:11">
      <c r="A291" s="3" t="s">
        <v>1458</v>
      </c>
      <c r="B291" s="8">
        <v>657.17200000000003</v>
      </c>
      <c r="C291" s="8">
        <v>507.17200000000003</v>
      </c>
      <c r="D291" s="9"/>
      <c r="E291" s="8">
        <v>33.320999999999998</v>
      </c>
      <c r="F291" s="8">
        <v>20.905000000000001</v>
      </c>
      <c r="G291" t="s">
        <v>4788</v>
      </c>
      <c r="H291" s="8">
        <v>50</v>
      </c>
      <c r="I291" t="s">
        <v>4790</v>
      </c>
      <c r="J291" s="5">
        <v>45697</v>
      </c>
      <c r="K291" t="s">
        <v>191</v>
      </c>
    </row>
    <row r="292" spans="1:11">
      <c r="A292" s="3" t="s">
        <v>1460</v>
      </c>
      <c r="B292" s="8">
        <v>666.36599999999999</v>
      </c>
      <c r="C292" s="8">
        <v>501.80700000000002</v>
      </c>
      <c r="D292" s="9"/>
      <c r="E292" s="8">
        <v>32.393000000000001</v>
      </c>
      <c r="F292" s="8">
        <v>20.73</v>
      </c>
      <c r="G292" t="s">
        <v>4791</v>
      </c>
      <c r="H292" s="8">
        <v>50</v>
      </c>
      <c r="I292" t="s">
        <v>4789</v>
      </c>
      <c r="J292" s="5">
        <v>45698</v>
      </c>
      <c r="K292" t="s">
        <v>4520</v>
      </c>
    </row>
    <row r="293" spans="1:11">
      <c r="A293" s="3" t="s">
        <v>1462</v>
      </c>
      <c r="B293" s="8">
        <v>668.86599999999999</v>
      </c>
      <c r="C293" s="8">
        <v>491.94299999999998</v>
      </c>
      <c r="D293" s="9"/>
      <c r="E293" s="8">
        <v>33.89</v>
      </c>
      <c r="F293" s="8">
        <v>22.981999999999999</v>
      </c>
      <c r="G293" t="s">
        <v>4788</v>
      </c>
      <c r="H293" s="8">
        <v>50</v>
      </c>
      <c r="I293" t="s">
        <v>4789</v>
      </c>
      <c r="J293" s="5">
        <v>45699</v>
      </c>
      <c r="K293" t="s">
        <v>12</v>
      </c>
    </row>
    <row r="294" spans="1:11">
      <c r="A294" s="3" t="s">
        <v>1472</v>
      </c>
      <c r="B294" s="8">
        <v>380.82100000000003</v>
      </c>
      <c r="C294" s="8">
        <v>296.98599999999999</v>
      </c>
      <c r="D294" s="9"/>
      <c r="E294" s="8">
        <v>42.646999999999998</v>
      </c>
      <c r="F294" s="8">
        <v>26.59</v>
      </c>
      <c r="G294" t="s">
        <v>4788</v>
      </c>
      <c r="H294" s="8">
        <v>50</v>
      </c>
      <c r="I294" t="s">
        <v>4789</v>
      </c>
      <c r="J294" s="5">
        <v>45703</v>
      </c>
      <c r="K294" t="s">
        <v>4523</v>
      </c>
    </row>
    <row r="295" spans="1:11">
      <c r="A295" s="3" t="s">
        <v>1474</v>
      </c>
      <c r="B295" s="8">
        <v>367.28899999999999</v>
      </c>
      <c r="C295" s="8">
        <v>291.358</v>
      </c>
      <c r="D295" s="9"/>
      <c r="E295" s="8">
        <v>42.744</v>
      </c>
      <c r="F295" s="8">
        <v>31.15</v>
      </c>
      <c r="G295" t="s">
        <v>4788</v>
      </c>
      <c r="H295" s="8">
        <v>50</v>
      </c>
      <c r="I295" t="s">
        <v>4789</v>
      </c>
      <c r="J295" s="5">
        <v>45704</v>
      </c>
      <c r="K295" t="s">
        <v>4512</v>
      </c>
    </row>
    <row r="296" spans="1:11">
      <c r="A296" s="3" t="s">
        <v>1477</v>
      </c>
      <c r="B296" s="8">
        <v>432.80399999999997</v>
      </c>
      <c r="C296" s="8">
        <v>339.57100000000003</v>
      </c>
      <c r="D296" s="9"/>
      <c r="E296" s="8">
        <v>40.569000000000003</v>
      </c>
      <c r="F296" s="8">
        <v>29.167000000000002</v>
      </c>
      <c r="G296" t="s">
        <v>4788</v>
      </c>
      <c r="H296" s="8">
        <v>50</v>
      </c>
      <c r="I296" t="s">
        <v>4789</v>
      </c>
      <c r="J296" s="5">
        <v>45706</v>
      </c>
      <c r="K296" t="s">
        <v>9</v>
      </c>
    </row>
    <row r="297" spans="1:11">
      <c r="A297" s="3" t="s">
        <v>1479</v>
      </c>
      <c r="B297" s="8">
        <v>434.08600000000001</v>
      </c>
      <c r="C297" s="8">
        <v>342.82</v>
      </c>
      <c r="D297" s="9"/>
      <c r="E297" s="8">
        <v>40.899000000000001</v>
      </c>
      <c r="F297" s="8">
        <v>22.591999999999999</v>
      </c>
      <c r="G297" t="s">
        <v>4788</v>
      </c>
      <c r="H297" s="8">
        <v>50</v>
      </c>
      <c r="I297" t="s">
        <v>4789</v>
      </c>
      <c r="J297" s="5">
        <v>45707</v>
      </c>
      <c r="K297" t="s">
        <v>191</v>
      </c>
    </row>
    <row r="298" spans="1:11">
      <c r="A298" s="3" t="s">
        <v>1481</v>
      </c>
      <c r="B298" s="8">
        <v>428.488</v>
      </c>
      <c r="C298" s="8">
        <v>337.50299999999999</v>
      </c>
      <c r="D298" s="9"/>
      <c r="E298" s="8">
        <v>40.999000000000002</v>
      </c>
      <c r="F298" s="8">
        <v>26.911999999999999</v>
      </c>
      <c r="G298" t="s">
        <v>4791</v>
      </c>
      <c r="H298" s="8">
        <v>50</v>
      </c>
      <c r="I298" t="s">
        <v>4789</v>
      </c>
      <c r="J298" s="5">
        <v>45708</v>
      </c>
      <c r="K298" t="s">
        <v>4520</v>
      </c>
    </row>
    <row r="299" spans="1:11">
      <c r="A299" s="3" t="s">
        <v>1485</v>
      </c>
      <c r="B299" s="8">
        <v>468.851</v>
      </c>
      <c r="C299" s="8">
        <v>366.53100000000001</v>
      </c>
      <c r="D299" s="9"/>
      <c r="E299" s="8">
        <v>38.72</v>
      </c>
      <c r="F299" s="8">
        <v>25.393999999999998</v>
      </c>
      <c r="G299" t="s">
        <v>4788</v>
      </c>
      <c r="H299" s="8">
        <v>50</v>
      </c>
      <c r="I299" t="s">
        <v>4789</v>
      </c>
      <c r="J299" s="5">
        <v>45703</v>
      </c>
      <c r="K299" t="s">
        <v>12</v>
      </c>
    </row>
    <row r="300" spans="1:11">
      <c r="A300" s="3" t="s">
        <v>1487</v>
      </c>
      <c r="B300" s="8">
        <v>476.88799999999998</v>
      </c>
      <c r="C300" s="8">
        <v>364.44799999999998</v>
      </c>
      <c r="D300" s="9"/>
      <c r="E300" s="8">
        <v>38.884</v>
      </c>
      <c r="F300" s="8">
        <v>24.809000000000001</v>
      </c>
      <c r="G300" t="s">
        <v>4788</v>
      </c>
      <c r="H300" s="8">
        <v>50</v>
      </c>
      <c r="I300" t="s">
        <v>4789</v>
      </c>
      <c r="J300" s="5">
        <v>45704</v>
      </c>
      <c r="K300" t="s">
        <v>4523</v>
      </c>
    </row>
    <row r="301" spans="1:11">
      <c r="A301" s="3" t="s">
        <v>1490</v>
      </c>
      <c r="B301" s="8">
        <v>438.87</v>
      </c>
      <c r="C301" s="8">
        <v>343.53399999999999</v>
      </c>
      <c r="D301" s="9"/>
      <c r="E301" s="8">
        <v>39.828000000000003</v>
      </c>
      <c r="F301" s="8">
        <v>25.844000000000001</v>
      </c>
      <c r="G301" t="s">
        <v>4788</v>
      </c>
      <c r="H301" s="8">
        <v>50</v>
      </c>
      <c r="I301" t="s">
        <v>4789</v>
      </c>
      <c r="J301" s="5">
        <v>45706</v>
      </c>
      <c r="K301" t="s">
        <v>4512</v>
      </c>
    </row>
    <row r="302" spans="1:11">
      <c r="A302" s="3" t="s">
        <v>1492</v>
      </c>
      <c r="B302" s="8">
        <v>447.79599999999999</v>
      </c>
      <c r="C302" s="8">
        <v>345.71600000000001</v>
      </c>
      <c r="D302" s="9"/>
      <c r="E302" s="8">
        <v>40.264000000000003</v>
      </c>
      <c r="F302" s="8">
        <v>29.765000000000001</v>
      </c>
      <c r="G302" t="s">
        <v>4788</v>
      </c>
      <c r="H302" s="8">
        <v>50</v>
      </c>
      <c r="I302" t="s">
        <v>4789</v>
      </c>
      <c r="J302" s="5">
        <v>45707</v>
      </c>
      <c r="K302" t="s">
        <v>9</v>
      </c>
    </row>
    <row r="303" spans="1:11">
      <c r="A303" s="3" t="s">
        <v>1498</v>
      </c>
      <c r="B303" s="8">
        <v>622.16499999999996</v>
      </c>
      <c r="C303" s="8">
        <v>472.83699999999999</v>
      </c>
      <c r="D303" s="9"/>
      <c r="E303" s="8">
        <v>34.506999999999998</v>
      </c>
      <c r="F303" s="8">
        <v>23.83</v>
      </c>
      <c r="G303" t="s">
        <v>4788</v>
      </c>
      <c r="H303" s="8">
        <v>50</v>
      </c>
      <c r="I303" t="s">
        <v>4789</v>
      </c>
      <c r="J303" s="5">
        <v>45706</v>
      </c>
      <c r="K303" t="s">
        <v>191</v>
      </c>
    </row>
    <row r="304" spans="1:11">
      <c r="A304" s="3" t="s">
        <v>1500</v>
      </c>
      <c r="B304" s="8">
        <v>607.69899999999996</v>
      </c>
      <c r="C304" s="8">
        <v>465.04300000000001</v>
      </c>
      <c r="D304" s="9"/>
      <c r="E304" s="8">
        <v>32.158000000000001</v>
      </c>
      <c r="F304" s="8">
        <v>19.218</v>
      </c>
      <c r="G304" t="s">
        <v>4788</v>
      </c>
      <c r="H304" s="8">
        <v>50</v>
      </c>
      <c r="I304" t="s">
        <v>4789</v>
      </c>
      <c r="J304" s="5">
        <v>45707</v>
      </c>
      <c r="K304" t="s">
        <v>4520</v>
      </c>
    </row>
    <row r="305" spans="1:11">
      <c r="A305" s="3" t="s">
        <v>1507</v>
      </c>
      <c r="B305" s="8">
        <v>568.84</v>
      </c>
      <c r="C305" s="8">
        <v>438.72399999999999</v>
      </c>
      <c r="D305" s="9"/>
      <c r="E305" s="8">
        <v>34.262</v>
      </c>
      <c r="F305" s="8">
        <v>23.757000000000001</v>
      </c>
      <c r="G305" t="s">
        <v>4788</v>
      </c>
      <c r="H305" s="8">
        <v>50</v>
      </c>
      <c r="I305" t="s">
        <v>4789</v>
      </c>
      <c r="J305" s="5">
        <v>45709</v>
      </c>
      <c r="K305" t="s">
        <v>12</v>
      </c>
    </row>
    <row r="306" spans="1:11">
      <c r="A306" s="3" t="s">
        <v>1509</v>
      </c>
      <c r="B306" s="8">
        <v>598.56200000000001</v>
      </c>
      <c r="C306" s="8">
        <v>452.77199999999999</v>
      </c>
      <c r="D306" s="9"/>
      <c r="E306" s="8">
        <v>34.244</v>
      </c>
      <c r="F306" s="8">
        <v>24.780999999999999</v>
      </c>
      <c r="G306" t="s">
        <v>4788</v>
      </c>
      <c r="H306" s="8">
        <v>50</v>
      </c>
      <c r="I306" t="s">
        <v>4789</v>
      </c>
      <c r="J306" s="5">
        <v>45710</v>
      </c>
      <c r="K306" t="s">
        <v>4523</v>
      </c>
    </row>
    <row r="307" spans="1:11">
      <c r="A307" s="3" t="s">
        <v>1513</v>
      </c>
      <c r="B307" s="8">
        <v>636.54899999999998</v>
      </c>
      <c r="C307" s="8">
        <v>485.13900000000001</v>
      </c>
      <c r="D307" s="9"/>
      <c r="E307" s="8">
        <v>33.549999999999997</v>
      </c>
      <c r="F307" s="8">
        <v>20.434999999999999</v>
      </c>
      <c r="G307" t="s">
        <v>4788</v>
      </c>
      <c r="H307" s="8">
        <v>50</v>
      </c>
      <c r="I307" t="s">
        <v>4789</v>
      </c>
      <c r="J307" s="5">
        <v>45709</v>
      </c>
      <c r="K307" t="s">
        <v>4512</v>
      </c>
    </row>
    <row r="308" spans="1:11">
      <c r="A308" s="3" t="s">
        <v>1515</v>
      </c>
      <c r="B308" s="8">
        <v>631.45600000000002</v>
      </c>
      <c r="C308" s="8">
        <v>489.9</v>
      </c>
      <c r="D308" s="9"/>
      <c r="E308" s="8">
        <v>32.130000000000003</v>
      </c>
      <c r="F308" s="8">
        <v>21.827000000000002</v>
      </c>
      <c r="G308" t="s">
        <v>4788</v>
      </c>
      <c r="H308" s="8">
        <v>50</v>
      </c>
      <c r="I308" t="s">
        <v>4789</v>
      </c>
      <c r="J308" s="5">
        <v>45710</v>
      </c>
      <c r="K308" t="s">
        <v>9</v>
      </c>
    </row>
    <row r="309" spans="1:11">
      <c r="A309" s="3" t="s">
        <v>1518</v>
      </c>
      <c r="B309" s="8"/>
      <c r="C309" s="8"/>
      <c r="D309" s="9"/>
      <c r="E309" s="8"/>
      <c r="F309" s="8"/>
      <c r="G309" t="s">
        <v>4788</v>
      </c>
      <c r="H309" s="8">
        <v>50</v>
      </c>
      <c r="I309" t="s">
        <v>4789</v>
      </c>
      <c r="J309" s="5">
        <v>45712</v>
      </c>
      <c r="K309" t="s">
        <v>191</v>
      </c>
    </row>
    <row r="310" spans="1:11">
      <c r="A310" s="3" t="s">
        <v>1520</v>
      </c>
      <c r="B310" s="8"/>
      <c r="C310" s="8"/>
      <c r="D310" s="9"/>
      <c r="E310" s="8"/>
      <c r="F310" s="8"/>
      <c r="G310" t="s">
        <v>4788</v>
      </c>
      <c r="H310" s="8">
        <v>50</v>
      </c>
      <c r="I310" t="s">
        <v>4789</v>
      </c>
      <c r="J310" s="5">
        <v>45713</v>
      </c>
      <c r="K310" t="s">
        <v>4520</v>
      </c>
    </row>
    <row r="311" spans="1:11">
      <c r="A311" s="3" t="s">
        <v>1524</v>
      </c>
      <c r="B311" s="8"/>
      <c r="C311" s="8"/>
      <c r="D311" s="9"/>
      <c r="E311" s="8"/>
      <c r="F311" s="8"/>
      <c r="G311" t="s">
        <v>4788</v>
      </c>
      <c r="H311" s="8">
        <v>50</v>
      </c>
      <c r="I311" t="s">
        <v>4791</v>
      </c>
      <c r="J311" s="5">
        <v>45712</v>
      </c>
      <c r="K311" t="s">
        <v>12</v>
      </c>
    </row>
    <row r="312" spans="1:11">
      <c r="A312" s="3" t="s">
        <v>1526</v>
      </c>
      <c r="B312" s="8"/>
      <c r="C312" s="8"/>
      <c r="D312" s="9"/>
      <c r="E312" s="8"/>
      <c r="F312" s="8"/>
      <c r="G312" t="s">
        <v>4791</v>
      </c>
      <c r="H312" s="8">
        <v>50</v>
      </c>
      <c r="I312" t="s">
        <v>4789</v>
      </c>
      <c r="J312" s="5">
        <v>45713</v>
      </c>
      <c r="K312" t="s">
        <v>4523</v>
      </c>
    </row>
    <row r="313" spans="1:11">
      <c r="A313" s="3" t="s">
        <v>1528</v>
      </c>
      <c r="B313" s="8"/>
      <c r="C313" s="8"/>
      <c r="D313" s="9"/>
      <c r="E313" s="8"/>
      <c r="F313" s="8"/>
      <c r="G313" t="s">
        <v>4788</v>
      </c>
      <c r="H313" s="8">
        <v>50</v>
      </c>
      <c r="I313" t="s">
        <v>4789</v>
      </c>
      <c r="J313" s="5">
        <v>45714</v>
      </c>
      <c r="K313" t="s">
        <v>4512</v>
      </c>
    </row>
    <row r="314" spans="1:11">
      <c r="A314" s="3" t="s">
        <v>1532</v>
      </c>
      <c r="B314" s="8"/>
      <c r="C314" s="8"/>
      <c r="D314" s="9"/>
      <c r="E314" s="8"/>
      <c r="F314" s="8"/>
      <c r="G314" t="s">
        <v>4788</v>
      </c>
      <c r="H314" s="8">
        <v>50</v>
      </c>
      <c r="I314" t="s">
        <v>4789</v>
      </c>
      <c r="J314" s="5">
        <v>45715</v>
      </c>
      <c r="K314" t="s">
        <v>9</v>
      </c>
    </row>
    <row r="315" spans="1:11">
      <c r="A315" s="3" t="s">
        <v>1534</v>
      </c>
      <c r="B315" s="8"/>
      <c r="C315" s="8"/>
      <c r="D315" s="9"/>
      <c r="E315" s="8"/>
      <c r="F315" s="8"/>
      <c r="G315" t="s">
        <v>4788</v>
      </c>
      <c r="H315" s="8">
        <v>50</v>
      </c>
      <c r="I315" t="s">
        <v>4789</v>
      </c>
      <c r="J315" s="5">
        <v>45716</v>
      </c>
      <c r="K315" t="s">
        <v>191</v>
      </c>
    </row>
    <row r="316" spans="1:11">
      <c r="A316" s="3" t="s">
        <v>1539</v>
      </c>
      <c r="B316" s="8"/>
      <c r="C316" s="8"/>
      <c r="D316" s="9"/>
      <c r="E316" s="8"/>
      <c r="F316" s="8"/>
      <c r="G316" t="s">
        <v>4788</v>
      </c>
      <c r="H316" s="8">
        <v>50</v>
      </c>
      <c r="I316" t="s">
        <v>4789</v>
      </c>
      <c r="J316" s="5">
        <v>45718</v>
      </c>
      <c r="K316" t="s">
        <v>4520</v>
      </c>
    </row>
    <row r="317" spans="1:11">
      <c r="A317" s="3" t="s">
        <v>1541</v>
      </c>
      <c r="B317" s="8"/>
      <c r="C317" s="8"/>
      <c r="D317" s="9"/>
      <c r="E317" s="8"/>
      <c r="F317" s="8"/>
      <c r="G317" t="s">
        <v>4788</v>
      </c>
      <c r="H317" s="8">
        <v>50</v>
      </c>
      <c r="I317" t="s">
        <v>4789</v>
      </c>
      <c r="J317" s="5">
        <v>45719</v>
      </c>
      <c r="K317" t="s">
        <v>12</v>
      </c>
    </row>
    <row r="318" spans="1:11">
      <c r="A318" s="3" t="s">
        <v>1549</v>
      </c>
      <c r="B318" s="8"/>
      <c r="C318" s="8"/>
      <c r="D318" s="9"/>
      <c r="E318" s="8"/>
      <c r="F318" s="8"/>
      <c r="G318" t="s">
        <v>4788</v>
      </c>
      <c r="H318" s="8">
        <v>50</v>
      </c>
      <c r="I318" t="s">
        <v>4789</v>
      </c>
      <c r="J318" s="5">
        <v>45718</v>
      </c>
      <c r="K318" t="s">
        <v>4523</v>
      </c>
    </row>
    <row r="319" spans="1:11">
      <c r="A319" s="3" t="s">
        <v>1551</v>
      </c>
      <c r="B319" s="8"/>
      <c r="C319" s="8"/>
      <c r="D319" s="9"/>
      <c r="E319" s="8"/>
      <c r="F319" s="8"/>
      <c r="G319" t="s">
        <v>4788</v>
      </c>
      <c r="H319" s="8">
        <v>50</v>
      </c>
      <c r="I319" t="s">
        <v>4789</v>
      </c>
      <c r="J319" s="5">
        <v>45719</v>
      </c>
      <c r="K319" t="s">
        <v>4512</v>
      </c>
    </row>
    <row r="320" spans="1:11">
      <c r="A320" s="3" t="s">
        <v>1554</v>
      </c>
      <c r="B320" s="8">
        <v>603.59199999999998</v>
      </c>
      <c r="C320" s="8">
        <v>464.97800000000001</v>
      </c>
      <c r="D320" s="9"/>
      <c r="E320" s="8">
        <v>35.752000000000002</v>
      </c>
      <c r="F320" s="8">
        <v>22.341999999999999</v>
      </c>
      <c r="G320" t="s">
        <v>4788</v>
      </c>
      <c r="H320" s="8">
        <v>50</v>
      </c>
      <c r="I320" t="s">
        <v>4790</v>
      </c>
      <c r="J320" s="5">
        <v>45721</v>
      </c>
      <c r="K320" t="s">
        <v>9</v>
      </c>
    </row>
    <row r="321" spans="1:11">
      <c r="A321" s="3" t="s">
        <v>1556</v>
      </c>
      <c r="B321" s="8">
        <v>604.83299999999997</v>
      </c>
      <c r="C321" s="8">
        <v>463.63400000000001</v>
      </c>
      <c r="D321" s="9"/>
      <c r="E321" s="8">
        <v>33.741</v>
      </c>
      <c r="F321" s="8">
        <v>19.413</v>
      </c>
      <c r="G321" t="s">
        <v>4791</v>
      </c>
      <c r="H321" s="8">
        <v>50</v>
      </c>
      <c r="I321" t="s">
        <v>4789</v>
      </c>
      <c r="J321" s="5">
        <v>45722</v>
      </c>
      <c r="K321" t="s">
        <v>191</v>
      </c>
    </row>
    <row r="322" spans="1:11">
      <c r="A322" s="3" t="s">
        <v>1558</v>
      </c>
      <c r="B322" s="8">
        <v>605.65300000000002</v>
      </c>
      <c r="C322" s="8">
        <v>463.012</v>
      </c>
      <c r="D322" s="9"/>
      <c r="E322" s="8">
        <v>35.381999999999998</v>
      </c>
      <c r="F322" s="8">
        <v>25.164999999999999</v>
      </c>
      <c r="G322" t="s">
        <v>4791</v>
      </c>
      <c r="H322" s="8">
        <v>50</v>
      </c>
      <c r="I322" t="s">
        <v>4789</v>
      </c>
      <c r="J322" s="5">
        <v>45723</v>
      </c>
      <c r="K322" t="s">
        <v>4520</v>
      </c>
    </row>
    <row r="323" spans="1:11">
      <c r="A323" s="3" t="s">
        <v>1564</v>
      </c>
      <c r="B323" s="8">
        <v>667.22</v>
      </c>
      <c r="C323" s="8">
        <v>509.85899999999998</v>
      </c>
      <c r="D323" s="9"/>
      <c r="E323" s="8">
        <v>33.100999999999999</v>
      </c>
      <c r="F323" s="8">
        <v>23.87</v>
      </c>
      <c r="G323" t="s">
        <v>4788</v>
      </c>
      <c r="H323" s="8">
        <v>50</v>
      </c>
      <c r="I323" t="s">
        <v>4790</v>
      </c>
      <c r="J323" s="5">
        <v>45721</v>
      </c>
      <c r="K323" t="s">
        <v>12</v>
      </c>
    </row>
    <row r="324" spans="1:11">
      <c r="A324" s="3" t="s">
        <v>1566</v>
      </c>
      <c r="B324" s="8">
        <v>661.59900000000005</v>
      </c>
      <c r="C324" s="8">
        <v>509.87400000000002</v>
      </c>
      <c r="D324" s="9"/>
      <c r="E324" s="8">
        <v>32.408000000000001</v>
      </c>
      <c r="F324" s="8">
        <v>21.385999999999999</v>
      </c>
      <c r="G324" t="s">
        <v>4788</v>
      </c>
      <c r="H324" s="8">
        <v>50</v>
      </c>
      <c r="I324" t="s">
        <v>4789</v>
      </c>
      <c r="J324" s="5">
        <v>45722</v>
      </c>
      <c r="K324" t="s">
        <v>4523</v>
      </c>
    </row>
    <row r="325" spans="1:11">
      <c r="A325" s="3" t="s">
        <v>1569</v>
      </c>
      <c r="B325" s="8">
        <v>652.90300000000002</v>
      </c>
      <c r="C325" s="8">
        <v>497.87099999999998</v>
      </c>
      <c r="D325" s="9"/>
      <c r="E325" s="8">
        <v>33.945</v>
      </c>
      <c r="F325" s="8">
        <v>21.587</v>
      </c>
      <c r="G325" t="s">
        <v>4788</v>
      </c>
      <c r="H325" s="8">
        <v>50</v>
      </c>
      <c r="I325" t="s">
        <v>4789</v>
      </c>
      <c r="J325" s="5">
        <v>45724</v>
      </c>
      <c r="K325" t="s">
        <v>4512</v>
      </c>
    </row>
    <row r="326" spans="1:11">
      <c r="A326" s="3" t="s">
        <v>1571</v>
      </c>
      <c r="B326" s="8">
        <v>665.34799999999996</v>
      </c>
      <c r="C326" s="8">
        <v>501.08499999999998</v>
      </c>
      <c r="D326" s="9"/>
      <c r="E326" s="8">
        <v>31.143999999999998</v>
      </c>
      <c r="F326" s="8">
        <v>22.594999999999999</v>
      </c>
      <c r="G326" t="s">
        <v>4791</v>
      </c>
      <c r="H326" s="8">
        <v>50</v>
      </c>
      <c r="I326" t="s">
        <v>4789</v>
      </c>
      <c r="J326" s="5">
        <v>45725</v>
      </c>
      <c r="K326" t="s">
        <v>9</v>
      </c>
    </row>
    <row r="327" spans="1:11">
      <c r="A327" s="3" t="s">
        <v>1575</v>
      </c>
      <c r="B327" s="8">
        <v>386.69299999999998</v>
      </c>
      <c r="C327" s="8">
        <v>299.36099999999999</v>
      </c>
      <c r="D327" s="9"/>
      <c r="E327" s="8">
        <v>42.805</v>
      </c>
      <c r="F327" s="8">
        <v>29.381</v>
      </c>
      <c r="G327" t="s">
        <v>4788</v>
      </c>
      <c r="H327" s="8">
        <v>50</v>
      </c>
      <c r="I327" t="s">
        <v>4789</v>
      </c>
      <c r="J327" s="5">
        <v>45724</v>
      </c>
      <c r="K327" t="s">
        <v>191</v>
      </c>
    </row>
    <row r="328" spans="1:11">
      <c r="A328" s="3" t="s">
        <v>1577</v>
      </c>
      <c r="B328" s="8">
        <v>368.67200000000003</v>
      </c>
      <c r="C328" s="8">
        <v>288.27100000000002</v>
      </c>
      <c r="D328" s="9"/>
      <c r="E328" s="8">
        <v>42.286999999999999</v>
      </c>
      <c r="F328" s="8">
        <v>31.684999999999999</v>
      </c>
      <c r="G328" t="s">
        <v>4788</v>
      </c>
      <c r="H328" s="8">
        <v>50</v>
      </c>
      <c r="I328" t="s">
        <v>4789</v>
      </c>
      <c r="J328" s="5">
        <v>45725</v>
      </c>
      <c r="K328" t="s">
        <v>4520</v>
      </c>
    </row>
    <row r="329" spans="1:11">
      <c r="A329" s="3" t="s">
        <v>1586</v>
      </c>
      <c r="B329" s="8">
        <v>379.34</v>
      </c>
      <c r="C329" s="8">
        <v>300.09699999999998</v>
      </c>
      <c r="D329" s="9"/>
      <c r="E329" s="8">
        <v>43.563000000000002</v>
      </c>
      <c r="F329" s="8">
        <v>28.157</v>
      </c>
      <c r="G329" t="s">
        <v>4788</v>
      </c>
      <c r="H329" s="8">
        <v>50</v>
      </c>
      <c r="I329" t="s">
        <v>4789</v>
      </c>
      <c r="J329" s="5">
        <v>45727</v>
      </c>
      <c r="K329" t="s">
        <v>12</v>
      </c>
    </row>
    <row r="330" spans="1:11">
      <c r="A330" s="3" t="s">
        <v>1588</v>
      </c>
      <c r="B330" s="8">
        <v>375.416</v>
      </c>
      <c r="C330" s="8">
        <v>298.024</v>
      </c>
      <c r="D330" s="9"/>
      <c r="E330" s="8">
        <v>44.201999999999998</v>
      </c>
      <c r="F330" s="8">
        <v>28.52</v>
      </c>
      <c r="G330" t="s">
        <v>4788</v>
      </c>
      <c r="H330" s="8">
        <v>50</v>
      </c>
      <c r="I330" t="s">
        <v>4789</v>
      </c>
      <c r="J330" s="5">
        <v>45728</v>
      </c>
      <c r="K330" t="s">
        <v>4523</v>
      </c>
    </row>
    <row r="331" spans="1:11">
      <c r="A331" s="3" t="s">
        <v>1590</v>
      </c>
      <c r="B331" s="8">
        <v>372.524</v>
      </c>
      <c r="C331" s="8">
        <v>289.00599999999997</v>
      </c>
      <c r="D331" s="9"/>
      <c r="E331" s="8">
        <v>42.000999999999998</v>
      </c>
      <c r="F331" s="8">
        <v>25.808</v>
      </c>
      <c r="G331" t="s">
        <v>4788</v>
      </c>
      <c r="H331" s="8">
        <v>50</v>
      </c>
      <c r="I331" t="s">
        <v>4790</v>
      </c>
      <c r="J331" s="5">
        <v>45729</v>
      </c>
      <c r="K331" t="s">
        <v>4512</v>
      </c>
    </row>
    <row r="332" spans="1:11">
      <c r="A332" s="3" t="s">
        <v>1597</v>
      </c>
      <c r="B332" s="8">
        <v>396.15199999999999</v>
      </c>
      <c r="C332" s="8">
        <v>314.23700000000002</v>
      </c>
      <c r="D332" s="9"/>
      <c r="E332" s="8">
        <v>41.259</v>
      </c>
      <c r="F332" s="8">
        <v>22.864999999999998</v>
      </c>
      <c r="G332" t="s">
        <v>4788</v>
      </c>
      <c r="H332" s="8">
        <v>50</v>
      </c>
      <c r="I332" t="s">
        <v>4789</v>
      </c>
      <c r="J332" s="5">
        <v>45730</v>
      </c>
      <c r="K332" t="s">
        <v>9</v>
      </c>
    </row>
    <row r="333" spans="1:11">
      <c r="A333" s="3" t="s">
        <v>1599</v>
      </c>
      <c r="B333" s="8">
        <v>406.72300000000001</v>
      </c>
      <c r="C333" s="8">
        <v>318.91300000000001</v>
      </c>
      <c r="D333" s="9"/>
      <c r="E333" s="8">
        <v>42.008000000000003</v>
      </c>
      <c r="F333" s="8">
        <v>23.113</v>
      </c>
      <c r="G333" t="s">
        <v>4788</v>
      </c>
      <c r="H333" s="8">
        <v>50</v>
      </c>
      <c r="I333" t="s">
        <v>4789</v>
      </c>
      <c r="J333" s="5">
        <v>45731</v>
      </c>
      <c r="K333" t="s">
        <v>191</v>
      </c>
    </row>
    <row r="334" spans="1:11">
      <c r="A334" s="3" t="s">
        <v>1601</v>
      </c>
      <c r="B334" s="8">
        <v>399.03899999999999</v>
      </c>
      <c r="C334" s="8">
        <v>313.84800000000001</v>
      </c>
      <c r="D334" s="9"/>
      <c r="E334" s="8">
        <v>41.674999999999997</v>
      </c>
      <c r="F334" s="8">
        <v>29.693000000000001</v>
      </c>
      <c r="G334" t="s">
        <v>4791</v>
      </c>
      <c r="H334" s="8">
        <v>50</v>
      </c>
      <c r="I334" t="s">
        <v>4789</v>
      </c>
      <c r="J334" s="5">
        <v>45732</v>
      </c>
      <c r="K334" t="s">
        <v>4520</v>
      </c>
    </row>
    <row r="335" spans="1:11">
      <c r="A335" s="3" t="s">
        <v>1613</v>
      </c>
      <c r="B335" s="8">
        <v>469.14499999999998</v>
      </c>
      <c r="C335" s="8">
        <v>374.4</v>
      </c>
      <c r="D335" s="9"/>
      <c r="E335" s="8">
        <v>39.225999999999999</v>
      </c>
      <c r="F335" s="8">
        <v>27.724</v>
      </c>
      <c r="G335" t="s">
        <v>4788</v>
      </c>
      <c r="H335" s="8">
        <v>50</v>
      </c>
      <c r="I335" t="s">
        <v>4789</v>
      </c>
      <c r="J335" s="5">
        <v>45727</v>
      </c>
      <c r="K335" t="s">
        <v>12</v>
      </c>
    </row>
    <row r="336" spans="1:11">
      <c r="A336" s="3" t="s">
        <v>1615</v>
      </c>
      <c r="B336" s="8">
        <v>479.72</v>
      </c>
      <c r="C336" s="8">
        <v>373.029</v>
      </c>
      <c r="D336" s="9"/>
      <c r="E336" s="8">
        <v>38.966000000000001</v>
      </c>
      <c r="F336" s="8">
        <v>21.541</v>
      </c>
      <c r="G336" t="s">
        <v>4788</v>
      </c>
      <c r="H336" s="8">
        <v>50</v>
      </c>
      <c r="I336" t="s">
        <v>4790</v>
      </c>
      <c r="J336" s="5">
        <v>45728</v>
      </c>
      <c r="K336" t="s">
        <v>4523</v>
      </c>
    </row>
    <row r="337" spans="1:12">
      <c r="A337" s="3" t="s">
        <v>1617</v>
      </c>
      <c r="B337" s="8">
        <v>468.74599999999998</v>
      </c>
      <c r="C337" s="8">
        <v>363.63</v>
      </c>
      <c r="D337" s="9"/>
      <c r="E337" s="8">
        <v>38.469000000000001</v>
      </c>
      <c r="F337" s="8">
        <v>25.54</v>
      </c>
      <c r="G337" t="s">
        <v>4788</v>
      </c>
      <c r="H337" s="8">
        <v>50</v>
      </c>
      <c r="I337" t="s">
        <v>4789</v>
      </c>
      <c r="J337" s="5">
        <v>45729</v>
      </c>
      <c r="K337" t="s">
        <v>4512</v>
      </c>
    </row>
    <row r="338" spans="1:12">
      <c r="A338" s="3" t="s">
        <v>1621</v>
      </c>
      <c r="B338" s="8">
        <v>603.50900000000001</v>
      </c>
      <c r="C338" s="8">
        <v>466.88400000000001</v>
      </c>
      <c r="D338" s="9"/>
      <c r="E338" s="8">
        <v>34.582999999999998</v>
      </c>
      <c r="F338" s="8">
        <v>25.42</v>
      </c>
      <c r="G338" t="s">
        <v>4788</v>
      </c>
      <c r="H338" s="8">
        <v>50</v>
      </c>
      <c r="I338" t="s">
        <v>4790</v>
      </c>
      <c r="J338" s="5">
        <v>45730</v>
      </c>
      <c r="K338" t="s">
        <v>9</v>
      </c>
    </row>
    <row r="339" spans="1:12">
      <c r="A339" s="3" t="s">
        <v>1623</v>
      </c>
      <c r="B339" s="8">
        <v>616.82299999999998</v>
      </c>
      <c r="C339" s="8">
        <v>471.94900000000001</v>
      </c>
      <c r="D339" s="9"/>
      <c r="E339" s="8">
        <v>35.097999999999999</v>
      </c>
      <c r="F339" s="8">
        <v>25.678000000000001</v>
      </c>
      <c r="G339" t="s">
        <v>4788</v>
      </c>
      <c r="H339" s="8">
        <v>50</v>
      </c>
      <c r="I339" t="s">
        <v>4789</v>
      </c>
      <c r="J339" s="5">
        <v>45731</v>
      </c>
      <c r="K339" t="s">
        <v>191</v>
      </c>
    </row>
    <row r="340" spans="1:12">
      <c r="A340" s="3" t="s">
        <v>1630</v>
      </c>
      <c r="B340" s="8">
        <v>564.74800000000005</v>
      </c>
      <c r="C340" s="8">
        <v>438.85700000000003</v>
      </c>
      <c r="D340" s="9"/>
      <c r="E340" s="8">
        <v>35.003</v>
      </c>
      <c r="F340" s="8">
        <v>22.033999999999999</v>
      </c>
      <c r="G340" t="s">
        <v>4788</v>
      </c>
      <c r="H340" s="8">
        <v>50</v>
      </c>
      <c r="I340" t="s">
        <v>4789</v>
      </c>
      <c r="J340" s="5">
        <v>45733</v>
      </c>
      <c r="K340" t="s">
        <v>4520</v>
      </c>
    </row>
    <row r="341" spans="1:12">
      <c r="A341" s="3" t="s">
        <v>1632</v>
      </c>
      <c r="B341" s="8">
        <v>583.85799999999995</v>
      </c>
      <c r="C341" s="8">
        <v>448.82900000000001</v>
      </c>
      <c r="D341" s="9"/>
      <c r="E341" s="8">
        <v>36.598999999999997</v>
      </c>
      <c r="F341" s="8">
        <v>24.591000000000001</v>
      </c>
      <c r="G341" t="s">
        <v>4788</v>
      </c>
      <c r="H341" s="8">
        <v>50</v>
      </c>
      <c r="I341" t="s">
        <v>4789</v>
      </c>
      <c r="J341" s="5">
        <v>45734</v>
      </c>
      <c r="K341" t="s">
        <v>12</v>
      </c>
    </row>
    <row r="342" spans="1:12">
      <c r="A342" s="3" t="s">
        <v>1639</v>
      </c>
      <c r="B342" s="8">
        <v>612.62400000000002</v>
      </c>
      <c r="C342" s="8">
        <v>468.34100000000001</v>
      </c>
      <c r="D342" s="9"/>
      <c r="E342" s="8">
        <v>33.659999999999997</v>
      </c>
      <c r="F342" s="8">
        <v>19.722999999999999</v>
      </c>
      <c r="G342" t="s">
        <v>4788</v>
      </c>
      <c r="H342" s="8">
        <v>50</v>
      </c>
      <c r="I342" t="s">
        <v>4790</v>
      </c>
      <c r="J342" s="5">
        <v>45736</v>
      </c>
      <c r="K342" t="s">
        <v>4523</v>
      </c>
    </row>
    <row r="343" spans="1:12">
      <c r="A343" s="3" t="s">
        <v>1641</v>
      </c>
      <c r="B343" s="8">
        <v>603.04600000000005</v>
      </c>
      <c r="C343" s="8">
        <v>465.34699999999998</v>
      </c>
      <c r="D343" s="9"/>
      <c r="E343" s="8">
        <v>34.313000000000002</v>
      </c>
      <c r="F343" s="8">
        <v>19.425000000000001</v>
      </c>
      <c r="G343" t="s">
        <v>4791</v>
      </c>
      <c r="H343" s="8">
        <v>50</v>
      </c>
      <c r="I343" t="s">
        <v>4789</v>
      </c>
      <c r="J343" s="5">
        <v>45737</v>
      </c>
      <c r="K343" t="s">
        <v>4512</v>
      </c>
    </row>
    <row r="344" spans="1:12">
      <c r="A344" s="3" t="s">
        <v>1645</v>
      </c>
      <c r="B344" s="8">
        <v>669.31200000000001</v>
      </c>
      <c r="C344" s="8">
        <v>515.83699999999999</v>
      </c>
      <c r="D344" s="9"/>
      <c r="E344" s="8">
        <v>32.929000000000002</v>
      </c>
      <c r="F344" s="8">
        <v>23.422000000000001</v>
      </c>
      <c r="G344" t="s">
        <v>4788</v>
      </c>
      <c r="H344" s="8">
        <v>50</v>
      </c>
      <c r="I344" t="s">
        <v>4789</v>
      </c>
      <c r="J344" s="5">
        <v>45733</v>
      </c>
      <c r="K344" t="s">
        <v>9</v>
      </c>
    </row>
    <row r="345" spans="1:12">
      <c r="A345" s="3" t="s">
        <v>1647</v>
      </c>
      <c r="B345" s="8">
        <v>679.16899999999998</v>
      </c>
      <c r="C345" s="8">
        <v>515.05999999999995</v>
      </c>
      <c r="D345" s="9"/>
      <c r="E345" s="8">
        <v>33.668999999999997</v>
      </c>
      <c r="F345" s="8">
        <v>21.821000000000002</v>
      </c>
      <c r="G345" t="s">
        <v>4788</v>
      </c>
      <c r="H345" s="8">
        <v>50</v>
      </c>
      <c r="I345" t="s">
        <v>4789</v>
      </c>
      <c r="J345" s="5">
        <v>45734</v>
      </c>
      <c r="K345" t="s">
        <v>191</v>
      </c>
    </row>
    <row r="346" spans="1:12">
      <c r="A346" s="3" t="s">
        <v>1651</v>
      </c>
      <c r="B346" s="8">
        <v>389.39499999999998</v>
      </c>
      <c r="C346" s="8">
        <v>298.68700000000001</v>
      </c>
      <c r="D346" s="9"/>
      <c r="E346" s="8">
        <v>41.868000000000002</v>
      </c>
      <c r="F346" s="8">
        <v>28.606000000000002</v>
      </c>
      <c r="G346" t="s">
        <v>4788</v>
      </c>
      <c r="H346" s="8">
        <v>50</v>
      </c>
      <c r="I346" t="s">
        <v>4789</v>
      </c>
      <c r="J346" s="5">
        <v>45736</v>
      </c>
      <c r="K346" t="s">
        <v>4520</v>
      </c>
    </row>
    <row r="347" spans="1:12">
      <c r="A347" s="3" t="s">
        <v>1653</v>
      </c>
      <c r="B347" s="8">
        <v>389.96300000000002</v>
      </c>
      <c r="C347" s="8">
        <v>311.22500000000002</v>
      </c>
      <c r="D347" s="9"/>
      <c r="E347" s="8">
        <v>42.198</v>
      </c>
      <c r="F347" s="8">
        <v>23.498999999999999</v>
      </c>
      <c r="G347" t="s">
        <v>4788</v>
      </c>
      <c r="H347" s="8">
        <v>50</v>
      </c>
      <c r="I347" t="s">
        <v>4789</v>
      </c>
      <c r="J347" s="5">
        <v>45737</v>
      </c>
      <c r="K347" t="s">
        <v>12</v>
      </c>
      <c r="L347" t="s">
        <v>4792</v>
      </c>
    </row>
    <row r="348" spans="1:12">
      <c r="A348" s="3" t="s">
        <v>1664</v>
      </c>
      <c r="B348" s="8">
        <v>465.82</v>
      </c>
      <c r="C348" s="8">
        <v>356.37599999999998</v>
      </c>
      <c r="D348" s="9"/>
      <c r="E348" s="8">
        <v>39.234999999999999</v>
      </c>
      <c r="F348" s="8">
        <v>23.908999999999999</v>
      </c>
      <c r="G348" t="s">
        <v>4788</v>
      </c>
      <c r="H348" s="8">
        <v>50</v>
      </c>
      <c r="I348" t="s">
        <v>4789</v>
      </c>
      <c r="J348" s="5">
        <v>45742</v>
      </c>
      <c r="K348" t="s">
        <v>4523</v>
      </c>
    </row>
    <row r="349" spans="1:12">
      <c r="A349" s="3" t="s">
        <v>1666</v>
      </c>
      <c r="B349" s="8">
        <v>445.79399999999998</v>
      </c>
      <c r="C349" s="8">
        <v>347.76299999999998</v>
      </c>
      <c r="D349" s="9"/>
      <c r="E349" s="8">
        <v>39.987000000000002</v>
      </c>
      <c r="F349" s="8">
        <v>25.719000000000001</v>
      </c>
      <c r="G349" t="s">
        <v>4791</v>
      </c>
      <c r="H349" s="8">
        <v>50</v>
      </c>
      <c r="I349" t="s">
        <v>4789</v>
      </c>
      <c r="J349" s="5">
        <v>45743</v>
      </c>
      <c r="K349" t="s">
        <v>4512</v>
      </c>
    </row>
    <row r="350" spans="1:12">
      <c r="A350" s="3" t="s">
        <v>1668</v>
      </c>
      <c r="B350" s="8"/>
      <c r="C350" s="8">
        <v>352.61</v>
      </c>
      <c r="D350" s="9"/>
      <c r="E350" s="8">
        <v>40.65</v>
      </c>
      <c r="F350" s="8">
        <v>23.89</v>
      </c>
      <c r="G350" t="s">
        <v>4788</v>
      </c>
      <c r="H350" s="8">
        <v>50</v>
      </c>
      <c r="I350" t="s">
        <v>4789</v>
      </c>
      <c r="J350" s="5">
        <v>45744</v>
      </c>
      <c r="K350" t="s">
        <v>9</v>
      </c>
    </row>
    <row r="351" spans="1:12">
      <c r="A351" s="3" t="s">
        <v>1676</v>
      </c>
      <c r="B351" s="8"/>
      <c r="C351" s="8">
        <v>433.928</v>
      </c>
      <c r="D351" s="9"/>
      <c r="E351" s="8">
        <v>35.784999999999997</v>
      </c>
      <c r="F351" s="8">
        <v>21.777999999999999</v>
      </c>
      <c r="G351" t="s">
        <v>4788</v>
      </c>
      <c r="H351" s="8">
        <v>50</v>
      </c>
      <c r="I351" t="s">
        <v>4789</v>
      </c>
      <c r="J351" s="5">
        <v>45742</v>
      </c>
      <c r="K351" t="s">
        <v>191</v>
      </c>
    </row>
    <row r="352" spans="1:12">
      <c r="A352" s="3" t="s">
        <v>1678</v>
      </c>
      <c r="B352" s="8"/>
      <c r="C352" s="8">
        <v>432.447</v>
      </c>
      <c r="D352" s="9"/>
      <c r="E352" s="8">
        <v>37.076999999999998</v>
      </c>
      <c r="F352" s="8">
        <v>22.302</v>
      </c>
      <c r="G352" t="s">
        <v>4791</v>
      </c>
      <c r="H352" s="8">
        <v>50</v>
      </c>
      <c r="I352" t="s">
        <v>4789</v>
      </c>
      <c r="J352" s="5">
        <v>45743</v>
      </c>
      <c r="K352" t="s">
        <v>4520</v>
      </c>
    </row>
    <row r="353" spans="1:11">
      <c r="A353" s="3" t="s">
        <v>1680</v>
      </c>
      <c r="B353" s="8"/>
      <c r="C353" s="8">
        <v>424.99599999999998</v>
      </c>
      <c r="D353" s="9"/>
      <c r="E353" s="8">
        <v>39.069000000000003</v>
      </c>
      <c r="F353" s="8">
        <v>25.832999999999998</v>
      </c>
      <c r="G353" t="s">
        <v>4791</v>
      </c>
      <c r="H353" s="8">
        <v>50</v>
      </c>
      <c r="I353" t="s">
        <v>4789</v>
      </c>
      <c r="J353" s="5">
        <v>45744</v>
      </c>
      <c r="K353" t="s">
        <v>12</v>
      </c>
    </row>
    <row r="354" spans="1:11">
      <c r="A354" s="3" t="s">
        <v>1687</v>
      </c>
      <c r="B354" s="8"/>
      <c r="C354" s="8">
        <v>451.57400000000001</v>
      </c>
      <c r="D354" s="9"/>
      <c r="E354" s="8">
        <v>35.409999999999997</v>
      </c>
      <c r="F354" s="8">
        <v>22.552</v>
      </c>
      <c r="G354" t="s">
        <v>4788</v>
      </c>
      <c r="H354" s="8">
        <v>50</v>
      </c>
      <c r="I354" t="s">
        <v>4789</v>
      </c>
      <c r="J354" s="5">
        <v>45745</v>
      </c>
      <c r="K354" t="s">
        <v>4523</v>
      </c>
    </row>
    <row r="355" spans="1:11">
      <c r="A355" s="3" t="s">
        <v>1699</v>
      </c>
      <c r="B355" s="8"/>
      <c r="C355" s="8">
        <v>505.95100000000002</v>
      </c>
      <c r="D355" s="9"/>
      <c r="E355" s="8">
        <v>31.861000000000001</v>
      </c>
      <c r="F355" s="8">
        <v>19.552</v>
      </c>
      <c r="G355" t="s">
        <v>4788</v>
      </c>
      <c r="H355" s="8">
        <v>50</v>
      </c>
      <c r="I355" t="s">
        <v>4789</v>
      </c>
      <c r="J355" s="5">
        <v>45748</v>
      </c>
      <c r="K355" t="s">
        <v>4512</v>
      </c>
    </row>
    <row r="356" spans="1:11">
      <c r="A356" s="3" t="s">
        <v>1709</v>
      </c>
      <c r="B356" s="8"/>
      <c r="C356" s="8">
        <v>342.08699999999999</v>
      </c>
      <c r="D356" s="9"/>
      <c r="E356" s="8">
        <v>38.689</v>
      </c>
      <c r="F356" s="8">
        <v>25.347999999999999</v>
      </c>
      <c r="G356" t="s">
        <v>4788</v>
      </c>
      <c r="H356" s="8">
        <v>50</v>
      </c>
      <c r="I356" t="s">
        <v>4789</v>
      </c>
      <c r="J356" s="5">
        <v>45748</v>
      </c>
      <c r="K356" t="s">
        <v>9</v>
      </c>
    </row>
    <row r="357" spans="1:11">
      <c r="A357" s="3" t="s">
        <v>1711</v>
      </c>
      <c r="B357" s="8"/>
      <c r="C357" s="8">
        <v>341.29199999999997</v>
      </c>
      <c r="D357" s="9"/>
      <c r="E357" s="8">
        <v>39.478000000000002</v>
      </c>
      <c r="F357" s="8">
        <v>25.885000000000002</v>
      </c>
      <c r="G357" t="s">
        <v>4788</v>
      </c>
      <c r="H357" s="8">
        <v>50</v>
      </c>
      <c r="I357" t="s">
        <v>4789</v>
      </c>
      <c r="J357" s="5">
        <v>45749</v>
      </c>
      <c r="K357" t="s">
        <v>191</v>
      </c>
    </row>
    <row r="358" spans="1:11">
      <c r="A358" s="3" t="s">
        <v>1718</v>
      </c>
      <c r="B358" s="8"/>
      <c r="C358" s="8">
        <v>292.25599999999997</v>
      </c>
      <c r="D358" s="9"/>
      <c r="E358" s="8">
        <v>43.262999999999998</v>
      </c>
      <c r="F358" s="8">
        <v>28.411000000000001</v>
      </c>
      <c r="G358" t="s">
        <v>4788</v>
      </c>
      <c r="H358" s="8">
        <v>50</v>
      </c>
      <c r="I358" t="s">
        <v>4789</v>
      </c>
      <c r="J358" s="5">
        <v>45751</v>
      </c>
      <c r="K358" t="s">
        <v>4520</v>
      </c>
    </row>
    <row r="359" spans="1:11">
      <c r="A359" s="3" t="s">
        <v>1720</v>
      </c>
      <c r="B359" s="8">
        <v>380.31599999999997</v>
      </c>
      <c r="C359" s="8">
        <v>296.346</v>
      </c>
      <c r="D359" s="9"/>
      <c r="E359" s="8">
        <v>42.756999999999998</v>
      </c>
      <c r="F359" s="8">
        <v>31.922999999999998</v>
      </c>
      <c r="G359" t="s">
        <v>4788</v>
      </c>
      <c r="H359" s="8">
        <v>50</v>
      </c>
      <c r="I359" t="s">
        <v>4789</v>
      </c>
      <c r="J359" s="5">
        <v>45752</v>
      </c>
      <c r="K359" t="s">
        <v>12</v>
      </c>
    </row>
    <row r="360" spans="1:11">
      <c r="A360" s="3" t="s">
        <v>1729</v>
      </c>
      <c r="B360" s="8">
        <v>499.59899999999999</v>
      </c>
      <c r="C360" s="8">
        <v>390.66899999999998</v>
      </c>
      <c r="D360" s="9"/>
      <c r="E360" s="8">
        <v>37.753999999999998</v>
      </c>
      <c r="F360" s="8">
        <v>26.716999999999999</v>
      </c>
      <c r="G360" t="s">
        <v>4788</v>
      </c>
      <c r="H360" s="8">
        <v>50</v>
      </c>
      <c r="I360" t="s">
        <v>4789</v>
      </c>
      <c r="J360" s="5">
        <v>45754</v>
      </c>
      <c r="K360" t="s">
        <v>4523</v>
      </c>
    </row>
    <row r="361" spans="1:11">
      <c r="A361" s="3" t="s">
        <v>1731</v>
      </c>
      <c r="B361" s="8">
        <v>481.95499999999998</v>
      </c>
      <c r="C361" s="8">
        <v>387.05500000000001</v>
      </c>
      <c r="D361" s="9"/>
      <c r="E361" s="8">
        <v>39.822000000000003</v>
      </c>
      <c r="F361" s="8">
        <v>23.393999999999998</v>
      </c>
      <c r="G361" t="s">
        <v>4788</v>
      </c>
      <c r="H361" s="8">
        <v>50</v>
      </c>
      <c r="I361" t="s">
        <v>4789</v>
      </c>
      <c r="J361" s="5">
        <v>45755</v>
      </c>
      <c r="K361" t="s">
        <v>4512</v>
      </c>
    </row>
    <row r="362" spans="1:11">
      <c r="A362" s="3" t="s">
        <v>1742</v>
      </c>
      <c r="B362" s="8">
        <v>680.06799999999998</v>
      </c>
      <c r="C362" s="8">
        <v>512.84699999999998</v>
      </c>
      <c r="D362" s="9"/>
      <c r="E362" s="8">
        <v>31.381</v>
      </c>
      <c r="F362" s="8">
        <v>23.149000000000001</v>
      </c>
      <c r="G362" t="s">
        <v>4788</v>
      </c>
      <c r="H362" s="8">
        <v>50</v>
      </c>
      <c r="I362" t="s">
        <v>4789</v>
      </c>
      <c r="J362" s="5">
        <v>45757</v>
      </c>
      <c r="K362" t="s">
        <v>9</v>
      </c>
    </row>
    <row r="363" spans="1:11">
      <c r="A363" s="3" t="s">
        <v>1744</v>
      </c>
      <c r="B363" s="8">
        <v>679.25800000000004</v>
      </c>
      <c r="C363" s="8">
        <v>517.05100000000004</v>
      </c>
      <c r="D363" s="9"/>
      <c r="E363" s="8">
        <v>31.187999999999999</v>
      </c>
      <c r="F363" s="8">
        <v>17.395</v>
      </c>
      <c r="G363" t="s">
        <v>4788</v>
      </c>
      <c r="H363" s="8">
        <v>50</v>
      </c>
      <c r="I363" t="s">
        <v>4789</v>
      </c>
      <c r="J363" s="5">
        <v>45758</v>
      </c>
      <c r="K363" t="s">
        <v>191</v>
      </c>
    </row>
    <row r="364" spans="1:11">
      <c r="A364" s="3" t="s">
        <v>1751</v>
      </c>
      <c r="B364" s="8">
        <v>670.33699999999999</v>
      </c>
      <c r="C364" s="8">
        <v>510.73099999999999</v>
      </c>
      <c r="D364" s="9"/>
      <c r="E364" s="8">
        <v>30.645</v>
      </c>
      <c r="F364" s="8">
        <v>20.617000000000001</v>
      </c>
      <c r="G364" t="s">
        <v>4788</v>
      </c>
      <c r="H364" s="8">
        <v>50</v>
      </c>
      <c r="I364" t="s">
        <v>4789</v>
      </c>
      <c r="J364" s="5">
        <v>45760</v>
      </c>
      <c r="K364" t="s">
        <v>4520</v>
      </c>
    </row>
    <row r="365" spans="1:11">
      <c r="A365" s="3" t="s">
        <v>1753</v>
      </c>
      <c r="B365" s="8">
        <v>673.10900000000004</v>
      </c>
      <c r="C365" s="8">
        <v>509.041</v>
      </c>
      <c r="D365" s="9"/>
      <c r="E365" s="8">
        <v>32.68</v>
      </c>
      <c r="F365" s="8">
        <v>20.791</v>
      </c>
      <c r="G365" t="s">
        <v>4788</v>
      </c>
      <c r="H365" s="8">
        <v>50</v>
      </c>
      <c r="I365" t="s">
        <v>4789</v>
      </c>
      <c r="J365" s="5">
        <v>45761</v>
      </c>
      <c r="K365" t="s">
        <v>12</v>
      </c>
    </row>
    <row r="366" spans="1:11">
      <c r="A366" s="3" t="s">
        <v>1763</v>
      </c>
      <c r="B366" s="8">
        <v>400.97</v>
      </c>
      <c r="C366" s="8">
        <v>307.70100000000002</v>
      </c>
      <c r="D366" s="9"/>
      <c r="E366" s="8">
        <v>42.274000000000001</v>
      </c>
      <c r="F366" s="8">
        <v>23.771999999999998</v>
      </c>
      <c r="G366" t="s">
        <v>4788</v>
      </c>
      <c r="H366" s="8">
        <v>50</v>
      </c>
      <c r="I366" t="s">
        <v>4789</v>
      </c>
      <c r="J366" s="5">
        <v>45760</v>
      </c>
      <c r="K366" t="s">
        <v>4523</v>
      </c>
    </row>
    <row r="367" spans="1:11">
      <c r="A367" s="3" t="s">
        <v>1765</v>
      </c>
      <c r="B367" s="8">
        <v>390.19</v>
      </c>
      <c r="C367" s="8">
        <v>309.40300000000002</v>
      </c>
      <c r="D367" s="9"/>
      <c r="E367" s="8">
        <v>42.676000000000002</v>
      </c>
      <c r="F367" s="8">
        <v>31.312000000000001</v>
      </c>
      <c r="G367" t="s">
        <v>4788</v>
      </c>
      <c r="H367" s="8">
        <v>50</v>
      </c>
      <c r="I367" t="s">
        <v>4789</v>
      </c>
      <c r="J367" s="5">
        <v>45761</v>
      </c>
      <c r="K367" t="s">
        <v>4512</v>
      </c>
    </row>
    <row r="368" spans="1:11">
      <c r="A368" s="3" t="s">
        <v>1772</v>
      </c>
      <c r="B368" s="8">
        <v>394.58800000000002</v>
      </c>
      <c r="C368" s="8">
        <v>305.48599999999999</v>
      </c>
      <c r="D368" s="9"/>
      <c r="E368" s="8">
        <v>42.603000000000002</v>
      </c>
      <c r="F368" s="8">
        <v>29.602</v>
      </c>
      <c r="G368" t="s">
        <v>4791</v>
      </c>
      <c r="H368" s="8">
        <v>50</v>
      </c>
      <c r="I368" t="s">
        <v>4789</v>
      </c>
      <c r="J368" s="5">
        <v>45763</v>
      </c>
      <c r="K368" t="s">
        <v>9</v>
      </c>
    </row>
    <row r="369" spans="1:11">
      <c r="A369" s="3" t="s">
        <v>1774</v>
      </c>
      <c r="B369" s="8">
        <v>399.255</v>
      </c>
      <c r="C369" s="8">
        <v>317.524</v>
      </c>
      <c r="D369" s="9"/>
      <c r="E369" s="8">
        <v>42.786999999999999</v>
      </c>
      <c r="F369" s="8">
        <v>28.655000000000001</v>
      </c>
      <c r="G369" t="s">
        <v>4788</v>
      </c>
      <c r="H369" s="8">
        <v>50</v>
      </c>
      <c r="I369" t="s">
        <v>4789</v>
      </c>
      <c r="J369" s="5">
        <v>45764</v>
      </c>
      <c r="K369" t="s">
        <v>191</v>
      </c>
    </row>
    <row r="370" spans="1:11">
      <c r="A370" s="3" t="s">
        <v>1778</v>
      </c>
      <c r="B370" s="8">
        <v>496.80500000000001</v>
      </c>
      <c r="C370" s="8">
        <v>387.10199999999998</v>
      </c>
      <c r="D370" s="9"/>
      <c r="E370" s="8">
        <v>37.317999999999998</v>
      </c>
      <c r="F370" s="8">
        <v>25.265000000000001</v>
      </c>
      <c r="G370" t="s">
        <v>4788</v>
      </c>
      <c r="H370" s="8">
        <v>50</v>
      </c>
      <c r="I370" t="s">
        <v>4789</v>
      </c>
      <c r="J370" s="5">
        <v>45763</v>
      </c>
      <c r="K370" t="s">
        <v>4520</v>
      </c>
    </row>
    <row r="371" spans="1:11">
      <c r="A371" s="3" t="s">
        <v>1780</v>
      </c>
      <c r="B371" s="8">
        <v>498.88200000000001</v>
      </c>
      <c r="C371" s="8">
        <v>385.96</v>
      </c>
      <c r="D371" s="9"/>
      <c r="E371" s="8">
        <v>38.707999999999998</v>
      </c>
      <c r="F371" s="8">
        <v>25.343</v>
      </c>
      <c r="G371" t="s">
        <v>4788</v>
      </c>
      <c r="H371" s="8">
        <v>50</v>
      </c>
      <c r="I371" t="s">
        <v>4789</v>
      </c>
      <c r="J371" s="5">
        <v>45764</v>
      </c>
      <c r="K371" t="s">
        <v>12</v>
      </c>
    </row>
    <row r="372" spans="1:11">
      <c r="A372" s="3" t="s">
        <v>1787</v>
      </c>
      <c r="B372" s="8">
        <v>533.846</v>
      </c>
      <c r="C372" s="8">
        <v>414.53699999999998</v>
      </c>
      <c r="D372" s="9"/>
      <c r="E372" s="8">
        <v>38.713999999999999</v>
      </c>
      <c r="F372" s="8">
        <v>26.821999999999999</v>
      </c>
      <c r="G372" t="s">
        <v>4788</v>
      </c>
      <c r="H372" s="8">
        <v>50</v>
      </c>
      <c r="I372" t="s">
        <v>4789</v>
      </c>
      <c r="J372" s="5">
        <v>45766</v>
      </c>
      <c r="K372" t="s">
        <v>4523</v>
      </c>
    </row>
    <row r="373" spans="1:11">
      <c r="A373" s="3" t="s">
        <v>1789</v>
      </c>
      <c r="B373" s="8">
        <v>525.76099999999997</v>
      </c>
      <c r="C373" s="8">
        <v>401.048</v>
      </c>
      <c r="D373" s="9"/>
      <c r="E373" s="8">
        <v>36.375</v>
      </c>
      <c r="F373" s="8">
        <v>22.838999999999999</v>
      </c>
      <c r="G373" t="s">
        <v>4791</v>
      </c>
      <c r="H373" s="8">
        <v>50</v>
      </c>
      <c r="I373" t="s">
        <v>4789</v>
      </c>
      <c r="J373" s="5">
        <v>45767</v>
      </c>
      <c r="K373" t="s">
        <v>4512</v>
      </c>
    </row>
    <row r="374" spans="1:11">
      <c r="A374" s="3" t="s">
        <v>1797</v>
      </c>
      <c r="B374" s="8">
        <v>687.34400000000005</v>
      </c>
      <c r="C374" s="8">
        <v>512.01</v>
      </c>
      <c r="D374" s="9"/>
      <c r="E374" s="8">
        <v>31.672999999999998</v>
      </c>
      <c r="F374" s="8">
        <v>18.898</v>
      </c>
      <c r="G374" t="s">
        <v>4788</v>
      </c>
      <c r="H374" s="8">
        <v>50</v>
      </c>
      <c r="I374" t="s">
        <v>4789</v>
      </c>
      <c r="J374" s="5">
        <v>45769</v>
      </c>
      <c r="K374" t="s">
        <v>9</v>
      </c>
    </row>
    <row r="375" spans="1:11">
      <c r="A375" s="3" t="s">
        <v>1799</v>
      </c>
      <c r="B375" s="8">
        <v>664.024</v>
      </c>
      <c r="C375" s="8">
        <v>512.60400000000004</v>
      </c>
      <c r="D375" s="9"/>
      <c r="E375" s="8">
        <v>31.146999999999998</v>
      </c>
      <c r="F375" s="8">
        <v>19.318999999999999</v>
      </c>
      <c r="G375" t="s">
        <v>4788</v>
      </c>
      <c r="H375" s="8">
        <v>50</v>
      </c>
      <c r="I375" t="s">
        <v>4789</v>
      </c>
      <c r="J375" s="5">
        <v>45770</v>
      </c>
      <c r="K375" t="s">
        <v>191</v>
      </c>
    </row>
    <row r="376" spans="1:11">
      <c r="A376" s="3" t="s">
        <v>1801</v>
      </c>
      <c r="B376" s="8">
        <v>666.66800000000001</v>
      </c>
      <c r="C376" s="8">
        <v>518.91899999999998</v>
      </c>
      <c r="D376" s="9"/>
      <c r="E376" s="8">
        <v>33.128999999999998</v>
      </c>
      <c r="F376" s="8">
        <v>19.539000000000001</v>
      </c>
      <c r="G376" t="s">
        <v>4788</v>
      </c>
      <c r="H376" s="8">
        <v>50</v>
      </c>
      <c r="I376" t="s">
        <v>4789</v>
      </c>
      <c r="J376" s="5">
        <v>45771</v>
      </c>
      <c r="K376" t="s">
        <v>4520</v>
      </c>
    </row>
    <row r="377" spans="1:11">
      <c r="A377" s="3" t="s">
        <v>1811</v>
      </c>
      <c r="B377" s="8">
        <v>391.82900000000001</v>
      </c>
      <c r="C377" s="8">
        <v>309.42099999999999</v>
      </c>
      <c r="D377" s="9"/>
      <c r="E377" s="8">
        <v>41.843000000000004</v>
      </c>
      <c r="F377" s="8">
        <v>23.082000000000001</v>
      </c>
      <c r="G377" t="s">
        <v>4788</v>
      </c>
      <c r="H377" s="8">
        <v>50</v>
      </c>
      <c r="I377" t="s">
        <v>4789</v>
      </c>
      <c r="J377" s="5">
        <v>45772</v>
      </c>
      <c r="K377" t="s">
        <v>12</v>
      </c>
    </row>
    <row r="378" spans="1:11">
      <c r="A378" s="3" t="s">
        <v>1813</v>
      </c>
      <c r="B378" s="8">
        <v>393.84699999999998</v>
      </c>
      <c r="C378" s="8">
        <v>308.92200000000003</v>
      </c>
      <c r="D378" s="9"/>
      <c r="E378" s="8">
        <v>41.908000000000001</v>
      </c>
      <c r="F378" s="8">
        <v>30.641999999999999</v>
      </c>
      <c r="G378" t="s">
        <v>4788</v>
      </c>
      <c r="H378" s="8">
        <v>50</v>
      </c>
      <c r="I378" t="s">
        <v>4789</v>
      </c>
      <c r="J378" s="5">
        <v>45773</v>
      </c>
      <c r="K378" t="s">
        <v>4523</v>
      </c>
    </row>
    <row r="379" spans="1:11">
      <c r="A379" s="3" t="s">
        <v>1817</v>
      </c>
      <c r="B379" s="8">
        <v>470.40100000000001</v>
      </c>
      <c r="C379" s="8">
        <v>364.97699999999998</v>
      </c>
      <c r="D379" s="9"/>
      <c r="E379" s="8">
        <v>39.667999999999999</v>
      </c>
      <c r="F379" s="8">
        <v>26.812999999999999</v>
      </c>
      <c r="G379" t="s">
        <v>4788</v>
      </c>
      <c r="H379" s="8">
        <v>50</v>
      </c>
      <c r="I379" t="s">
        <v>4789</v>
      </c>
      <c r="J379" s="5">
        <v>45775</v>
      </c>
      <c r="K379" t="s">
        <v>4512</v>
      </c>
    </row>
    <row r="380" spans="1:11">
      <c r="A380" s="3" t="s">
        <v>1819</v>
      </c>
      <c r="B380" s="8">
        <v>473.548</v>
      </c>
      <c r="C380" s="8">
        <v>367.392</v>
      </c>
      <c r="D380" s="9"/>
      <c r="E380" s="8">
        <v>38.793999999999997</v>
      </c>
      <c r="F380" s="8">
        <v>23.42</v>
      </c>
      <c r="G380" t="s">
        <v>4788</v>
      </c>
      <c r="H380" s="8">
        <v>50</v>
      </c>
      <c r="I380" t="s">
        <v>4789</v>
      </c>
      <c r="J380" s="5">
        <v>45776</v>
      </c>
      <c r="K380" t="s">
        <v>9</v>
      </c>
    </row>
    <row r="381" spans="1:11">
      <c r="A381" s="3" t="s">
        <v>1822</v>
      </c>
      <c r="B381" s="8">
        <v>493.56</v>
      </c>
      <c r="C381" s="8">
        <v>388.73099999999999</v>
      </c>
      <c r="D381" s="9"/>
      <c r="E381" s="8">
        <v>37.807000000000002</v>
      </c>
      <c r="F381" s="8">
        <v>24.666</v>
      </c>
      <c r="G381" t="s">
        <v>4788</v>
      </c>
      <c r="H381" s="8">
        <v>50</v>
      </c>
      <c r="I381" t="s">
        <v>4789</v>
      </c>
      <c r="J381" s="5">
        <v>45778</v>
      </c>
      <c r="K381" t="s">
        <v>191</v>
      </c>
    </row>
    <row r="382" spans="1:11">
      <c r="A382" s="3" t="s">
        <v>1824</v>
      </c>
      <c r="B382" s="8">
        <v>492.05500000000001</v>
      </c>
      <c r="C382" s="8">
        <v>381.72699999999998</v>
      </c>
      <c r="D382" s="9"/>
      <c r="E382" s="8">
        <v>38.981000000000002</v>
      </c>
      <c r="F382" s="8">
        <v>26.920999999999999</v>
      </c>
      <c r="G382" t="s">
        <v>4788</v>
      </c>
      <c r="H382" s="8">
        <v>50</v>
      </c>
      <c r="I382" t="s">
        <v>4789</v>
      </c>
      <c r="J382" s="5">
        <v>45779</v>
      </c>
      <c r="K382" t="s">
        <v>4520</v>
      </c>
    </row>
    <row r="383" spans="1:11">
      <c r="A383" s="3" t="s">
        <v>1833</v>
      </c>
      <c r="B383" s="8">
        <v>595.87400000000002</v>
      </c>
      <c r="C383" s="8">
        <v>451.18200000000002</v>
      </c>
      <c r="D383" s="9"/>
      <c r="E383" s="8">
        <v>35.484000000000002</v>
      </c>
      <c r="F383" s="8">
        <v>22.381</v>
      </c>
      <c r="G383" t="s">
        <v>4788</v>
      </c>
      <c r="H383" s="8">
        <v>50</v>
      </c>
      <c r="I383" t="s">
        <v>4789</v>
      </c>
      <c r="J383" s="5">
        <v>45781</v>
      </c>
      <c r="K383" t="s">
        <v>12</v>
      </c>
    </row>
    <row r="384" spans="1:11">
      <c r="A384" s="3" t="s">
        <v>1835</v>
      </c>
      <c r="B384" s="8">
        <v>591.27200000000005</v>
      </c>
      <c r="C384" s="8">
        <v>449.43599999999998</v>
      </c>
      <c r="D384" s="9"/>
      <c r="E384" s="8">
        <v>35.226999999999997</v>
      </c>
      <c r="F384" s="8">
        <v>26.149000000000001</v>
      </c>
      <c r="G384" t="s">
        <v>4788</v>
      </c>
      <c r="H384" s="8">
        <v>50</v>
      </c>
      <c r="I384" t="s">
        <v>4789</v>
      </c>
      <c r="J384" s="5">
        <v>45782</v>
      </c>
      <c r="K384" t="s">
        <v>4523</v>
      </c>
    </row>
    <row r="385" spans="1:12">
      <c r="A385" s="3" t="s">
        <v>1843</v>
      </c>
      <c r="B385" s="8">
        <v>681.01900000000001</v>
      </c>
      <c r="C385" s="8">
        <v>518.03399999999999</v>
      </c>
      <c r="D385" s="9"/>
      <c r="E385" s="8">
        <v>30.744</v>
      </c>
      <c r="F385" s="8">
        <v>18.039000000000001</v>
      </c>
      <c r="G385" t="s">
        <v>4791</v>
      </c>
      <c r="H385" s="8">
        <v>50</v>
      </c>
      <c r="I385" t="s">
        <v>4789</v>
      </c>
      <c r="J385" s="5">
        <v>45781</v>
      </c>
      <c r="K385" t="s">
        <v>4512</v>
      </c>
    </row>
    <row r="386" spans="1:12">
      <c r="A386" s="3" t="s">
        <v>1845</v>
      </c>
      <c r="B386" s="8">
        <v>682.46400000000006</v>
      </c>
      <c r="C386" s="8">
        <v>524.20000000000005</v>
      </c>
      <c r="D386" s="9"/>
      <c r="E386" s="8">
        <v>32.215000000000003</v>
      </c>
      <c r="F386" s="8">
        <v>18.600000000000001</v>
      </c>
      <c r="G386" t="s">
        <v>4788</v>
      </c>
      <c r="H386" s="8">
        <v>50</v>
      </c>
      <c r="I386" t="s">
        <v>4789</v>
      </c>
      <c r="J386" s="5">
        <v>45782</v>
      </c>
      <c r="K386" t="s">
        <v>9</v>
      </c>
    </row>
    <row r="387" spans="1:12">
      <c r="A387" s="3" t="s">
        <v>1852</v>
      </c>
      <c r="B387" s="8">
        <v>675.88699999999994</v>
      </c>
      <c r="C387" s="8">
        <v>530.45000000000005</v>
      </c>
      <c r="D387" s="9"/>
      <c r="E387" s="8">
        <v>31.92</v>
      </c>
      <c r="F387" s="8">
        <v>19.291</v>
      </c>
      <c r="G387" t="s">
        <v>4788</v>
      </c>
      <c r="H387" s="8">
        <v>50</v>
      </c>
      <c r="I387" t="s">
        <v>4789</v>
      </c>
      <c r="J387" s="5">
        <v>45784</v>
      </c>
      <c r="K387" t="s">
        <v>191</v>
      </c>
    </row>
    <row r="388" spans="1:12">
      <c r="A388" s="3" t="s">
        <v>1854</v>
      </c>
      <c r="B388" s="8">
        <v>686.36199999999997</v>
      </c>
      <c r="C388" s="8">
        <v>518.03200000000004</v>
      </c>
      <c r="D388" s="9"/>
      <c r="E388" s="8">
        <v>31.45</v>
      </c>
      <c r="F388" s="8">
        <v>18.355</v>
      </c>
      <c r="G388" t="s">
        <v>4791</v>
      </c>
      <c r="H388" s="8">
        <v>50</v>
      </c>
      <c r="I388" t="s">
        <v>4789</v>
      </c>
      <c r="J388" s="5">
        <v>45785</v>
      </c>
      <c r="K388" t="s">
        <v>4520</v>
      </c>
    </row>
    <row r="389" spans="1:12">
      <c r="A389" s="3" t="s">
        <v>4793</v>
      </c>
      <c r="B389" s="8">
        <v>512</v>
      </c>
      <c r="C389" s="8">
        <v>382</v>
      </c>
      <c r="D389" s="9"/>
      <c r="E389" s="8">
        <v>22.1</v>
      </c>
      <c r="F389" s="8">
        <v>14</v>
      </c>
      <c r="G389" t="s">
        <v>4788</v>
      </c>
      <c r="H389" s="8">
        <v>50</v>
      </c>
      <c r="I389" t="s">
        <v>4789</v>
      </c>
      <c r="J389" s="5">
        <v>45759</v>
      </c>
      <c r="K389" t="s">
        <v>4523</v>
      </c>
      <c r="L389" t="s">
        <v>4794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508"/>
  <sheetViews>
    <sheetView workbookViewId="0"/>
  </sheetViews>
  <sheetFormatPr defaultRowHeight="14.25"/>
  <cols>
    <col min="1" max="1" width="17" customWidth="1"/>
    <col min="2" max="2" width="10" customWidth="1"/>
    <col min="3" max="3" width="24" customWidth="1"/>
    <col min="4" max="5" width="16" customWidth="1"/>
    <col min="6" max="6" width="16" style="16" customWidth="1"/>
    <col min="7" max="7" width="12" customWidth="1"/>
    <col min="8" max="8" width="28" customWidth="1"/>
  </cols>
  <sheetData>
    <row r="1" spans="1:8" s="25" customFormat="1" ht="26.25" customHeight="1">
      <c r="A1" s="14" t="s">
        <v>5034</v>
      </c>
      <c r="B1" s="14" t="s">
        <v>5035</v>
      </c>
      <c r="C1" s="15" t="s">
        <v>5036</v>
      </c>
      <c r="D1" s="26" t="s">
        <v>5037</v>
      </c>
      <c r="E1" s="24" t="s">
        <v>5038</v>
      </c>
      <c r="F1" s="27" t="s">
        <v>5039</v>
      </c>
      <c r="G1" s="10" t="s">
        <v>5040</v>
      </c>
      <c r="H1" s="10" t="s">
        <v>4506</v>
      </c>
    </row>
    <row r="2" spans="1:8">
      <c r="A2" s="59" t="s">
        <v>1856</v>
      </c>
      <c r="B2" s="62">
        <v>1</v>
      </c>
      <c r="C2" s="60" t="s">
        <v>5041</v>
      </c>
      <c r="D2" s="64">
        <f>IFERROR(VLOOKUP(C2,測定点マスタ!$E$2:$F$28,2,FALSE)/VLOOKUP(A2,'焼鈍条件-3CGL'!$A$2:$B$197,2,FALSE)*60,"")</f>
        <v>0</v>
      </c>
      <c r="E2" s="66">
        <v>34.299999999999997</v>
      </c>
      <c r="F2" s="64" t="str">
        <f t="shared" ref="F2:F65" si="0">IF(A2=A1,IFERROR((E2-E1)/(D2-D1),""),"")</f>
        <v/>
      </c>
      <c r="G2" s="60" t="s">
        <v>12</v>
      </c>
      <c r="H2" s="60" t="s">
        <v>5042</v>
      </c>
    </row>
    <row r="3" spans="1:8">
      <c r="A3" s="59" t="s">
        <v>1856</v>
      </c>
      <c r="B3" s="62">
        <v>2</v>
      </c>
      <c r="C3" s="60" t="s">
        <v>5043</v>
      </c>
      <c r="D3" s="64">
        <f>IFERROR(VLOOKUP(C3,測定点マスタ!$E$2:$F$28,2,FALSE)/VLOOKUP(A3,'焼鈍条件-3CGL'!$A$2:$B$197,2,FALSE)*60,"")</f>
        <v>7.516159743448414</v>
      </c>
      <c r="E3" s="66">
        <v>164.1</v>
      </c>
      <c r="F3" s="64">
        <f t="shared" si="0"/>
        <v>17.269457333333335</v>
      </c>
      <c r="G3" s="60" t="s">
        <v>12</v>
      </c>
      <c r="H3" s="60" t="s">
        <v>5042</v>
      </c>
    </row>
    <row r="4" spans="1:8">
      <c r="A4" s="59" t="s">
        <v>1856</v>
      </c>
      <c r="B4" s="62">
        <v>3</v>
      </c>
      <c r="C4" s="60" t="s">
        <v>5044</v>
      </c>
      <c r="D4" s="64">
        <f>IFERROR(VLOOKUP(C4,測定点マスタ!$E$2:$F$28,2,FALSE)/VLOOKUP(A4,'焼鈍条件-3CGL'!$A$2:$B$197,2,FALSE)*60,"")</f>
        <v>17.036628751816405</v>
      </c>
      <c r="E4" s="66">
        <v>630.5</v>
      </c>
      <c r="F4" s="64">
        <f t="shared" si="0"/>
        <v>48.989183157894736</v>
      </c>
      <c r="G4" s="60" t="s">
        <v>12</v>
      </c>
      <c r="H4" s="60" t="s">
        <v>5042</v>
      </c>
    </row>
    <row r="5" spans="1:8">
      <c r="A5" s="59" t="s">
        <v>1856</v>
      </c>
      <c r="B5" s="62">
        <v>4</v>
      </c>
      <c r="C5" s="60" t="s">
        <v>5045</v>
      </c>
      <c r="D5" s="64">
        <f>IFERROR(VLOOKUP(C5,測定点マスタ!$E$2:$F$28,2,FALSE)/VLOOKUP(A5,'焼鈍条件-3CGL'!$A$2:$B$197,2,FALSE)*60,"")</f>
        <v>22.047401914115348</v>
      </c>
      <c r="E5" s="66">
        <v>764.8</v>
      </c>
      <c r="F5" s="64">
        <f t="shared" si="0"/>
        <v>26.802250999999991</v>
      </c>
      <c r="G5" s="60" t="s">
        <v>12</v>
      </c>
      <c r="H5" s="60" t="s">
        <v>5042</v>
      </c>
    </row>
    <row r="6" spans="1:8">
      <c r="A6" s="59" t="s">
        <v>1856</v>
      </c>
      <c r="B6" s="62">
        <v>5</v>
      </c>
      <c r="C6" s="60" t="s">
        <v>5046</v>
      </c>
      <c r="D6" s="64">
        <f>IFERROR(VLOOKUP(C6,測定点マスタ!$E$2:$F$28,2,FALSE)/VLOOKUP(A6,'焼鈍条件-3CGL'!$A$2:$B$197,2,FALSE)*60,"")</f>
        <v>27.05817507641429</v>
      </c>
      <c r="E6" s="66">
        <v>748.7</v>
      </c>
      <c r="F6" s="64">
        <f t="shared" si="0"/>
        <v>-3.213076999999982</v>
      </c>
      <c r="G6" s="60" t="s">
        <v>12</v>
      </c>
      <c r="H6" s="60" t="s">
        <v>5042</v>
      </c>
    </row>
    <row r="7" spans="1:8">
      <c r="A7" s="59" t="s">
        <v>1856</v>
      </c>
      <c r="B7" s="62">
        <v>6</v>
      </c>
      <c r="C7" s="60" t="s">
        <v>5047</v>
      </c>
      <c r="D7" s="64">
        <f>IFERROR(VLOOKUP(C7,測定点マスタ!$E$2:$F$28,2,FALSE)/VLOOKUP(A7,'焼鈍条件-3CGL'!$A$2:$B$197,2,FALSE)*60,"")</f>
        <v>30.064638973793656</v>
      </c>
      <c r="E7" s="66">
        <v>707.3</v>
      </c>
      <c r="F7" s="64">
        <f t="shared" si="0"/>
        <v>-13.77033000000003</v>
      </c>
      <c r="G7" s="60" t="s">
        <v>12</v>
      </c>
      <c r="H7" s="60" t="s">
        <v>5042</v>
      </c>
    </row>
    <row r="8" spans="1:8">
      <c r="A8" s="59" t="s">
        <v>1856</v>
      </c>
      <c r="B8" s="62">
        <v>7</v>
      </c>
      <c r="C8" s="60" t="s">
        <v>5048</v>
      </c>
      <c r="D8" s="64">
        <f>IFERROR(VLOOKUP(C8,測定点マスタ!$E$2:$F$28,2,FALSE)/VLOOKUP(A8,'焼鈍条件-3CGL'!$A$2:$B$197,2,FALSE)*60,"")</f>
        <v>33.071102871173025</v>
      </c>
      <c r="E8" s="66">
        <v>666.2</v>
      </c>
      <c r="F8" s="64">
        <f t="shared" si="0"/>
        <v>-13.670544999999954</v>
      </c>
      <c r="G8" s="60" t="s">
        <v>12</v>
      </c>
      <c r="H8" s="60" t="s">
        <v>5042</v>
      </c>
    </row>
    <row r="9" spans="1:8">
      <c r="A9" s="59" t="s">
        <v>1856</v>
      </c>
      <c r="B9" s="62">
        <v>8</v>
      </c>
      <c r="C9" s="60" t="s">
        <v>5049</v>
      </c>
      <c r="D9" s="64">
        <f>IFERROR(VLOOKUP(C9,測定点マスタ!$E$2:$F$28,2,FALSE)/VLOOKUP(A9,'焼鈍条件-3CGL'!$A$2:$B$197,2,FALSE)*60,"")</f>
        <v>36.578644084782283</v>
      </c>
      <c r="E9" s="66">
        <v>545</v>
      </c>
      <c r="F9" s="64">
        <f t="shared" si="0"/>
        <v>-34.554120000000033</v>
      </c>
      <c r="G9" s="60" t="s">
        <v>12</v>
      </c>
      <c r="H9" s="60" t="s">
        <v>5042</v>
      </c>
    </row>
    <row r="10" spans="1:8">
      <c r="A10" s="59" t="s">
        <v>1856</v>
      </c>
      <c r="B10" s="62">
        <v>9</v>
      </c>
      <c r="C10" s="60" t="s">
        <v>5050</v>
      </c>
      <c r="D10" s="64">
        <f>IFERROR(VLOOKUP(C10,測定点マスタ!$E$2:$F$28,2,FALSE)/VLOOKUP(A10,'焼鈍条件-3CGL'!$A$2:$B$197,2,FALSE)*60,"")</f>
        <v>40.587262614621437</v>
      </c>
      <c r="E10" s="66">
        <v>492.6</v>
      </c>
      <c r="F10" s="64">
        <f t="shared" si="0"/>
        <v>-13.071834999999995</v>
      </c>
      <c r="G10" s="60" t="s">
        <v>12</v>
      </c>
      <c r="H10" s="60" t="s">
        <v>5042</v>
      </c>
    </row>
    <row r="11" spans="1:8">
      <c r="A11" s="59" t="s">
        <v>1856</v>
      </c>
      <c r="B11" s="62">
        <v>10</v>
      </c>
      <c r="C11" s="60" t="s">
        <v>5051</v>
      </c>
      <c r="D11" s="64">
        <f>IFERROR(VLOOKUP(C11,測定点マスタ!$E$2:$F$28,2,FALSE)/VLOOKUP(A11,'焼鈍条件-3CGL'!$A$2:$B$197,2,FALSE)*60,"")</f>
        <v>44.094803828230695</v>
      </c>
      <c r="E11" s="66">
        <v>442.5</v>
      </c>
      <c r="F11" s="64">
        <f t="shared" si="0"/>
        <v>-14.283510000000014</v>
      </c>
      <c r="G11" s="60" t="s">
        <v>12</v>
      </c>
      <c r="H11" s="60" t="s">
        <v>5042</v>
      </c>
    </row>
    <row r="12" spans="1:8">
      <c r="A12" s="59" t="s">
        <v>1856</v>
      </c>
      <c r="B12" s="62">
        <v>11</v>
      </c>
      <c r="C12" s="60" t="s">
        <v>5052</v>
      </c>
      <c r="D12" s="64">
        <f>IFERROR(VLOOKUP(C12,測定点マスタ!$E$2:$F$28,2,FALSE)/VLOOKUP(A12,'焼鈍条件-3CGL'!$A$2:$B$197,2,FALSE)*60,"")</f>
        <v>48.604499674299745</v>
      </c>
      <c r="E12" s="66">
        <v>321.89999999999998</v>
      </c>
      <c r="F12" s="64">
        <f t="shared" si="0"/>
        <v>-26.742379999999994</v>
      </c>
      <c r="G12" s="60" t="s">
        <v>12</v>
      </c>
      <c r="H12" s="60" t="s">
        <v>5042</v>
      </c>
    </row>
    <row r="13" spans="1:8">
      <c r="A13" s="59" t="s">
        <v>1856</v>
      </c>
      <c r="B13" s="62">
        <v>12</v>
      </c>
      <c r="C13" s="60" t="s">
        <v>5053</v>
      </c>
      <c r="D13" s="64">
        <f>IFERROR(VLOOKUP(C13,測定点マスタ!$E$2:$F$28,2,FALSE)/VLOOKUP(A13,'焼鈍条件-3CGL'!$A$2:$B$197,2,FALSE)*60,"")</f>
        <v>54.61742746905847</v>
      </c>
      <c r="E13" s="66">
        <v>497.5</v>
      </c>
      <c r="F13" s="64">
        <f t="shared" si="0"/>
        <v>29.203743333333371</v>
      </c>
      <c r="G13" s="60" t="s">
        <v>12</v>
      </c>
      <c r="H13" s="60" t="s">
        <v>5042</v>
      </c>
    </row>
    <row r="14" spans="1:8">
      <c r="A14" s="59" t="s">
        <v>1856</v>
      </c>
      <c r="B14" s="62">
        <v>13</v>
      </c>
      <c r="C14" s="60" t="s">
        <v>5054</v>
      </c>
      <c r="D14" s="64">
        <f>IFERROR(VLOOKUP(C14,測定点マスタ!$E$2:$F$28,2,FALSE)/VLOOKUP(A14,'焼鈍条件-3CGL'!$A$2:$B$197,2,FALSE)*60,"")</f>
        <v>61.131432580047104</v>
      </c>
      <c r="E14" s="66">
        <v>500.3</v>
      </c>
      <c r="F14" s="64">
        <f t="shared" si="0"/>
        <v>0.4298430769230781</v>
      </c>
      <c r="G14" s="60" t="s">
        <v>12</v>
      </c>
      <c r="H14" s="60" t="s">
        <v>5042</v>
      </c>
    </row>
    <row r="15" spans="1:8">
      <c r="A15" s="59" t="s">
        <v>1856</v>
      </c>
      <c r="B15" s="62">
        <v>14</v>
      </c>
      <c r="C15" s="60" t="s">
        <v>5055</v>
      </c>
      <c r="D15" s="64">
        <f>IFERROR(VLOOKUP(C15,測定点マスタ!$E$2:$F$28,2,FALSE)/VLOOKUP(A15,'焼鈍条件-3CGL'!$A$2:$B$197,2,FALSE)*60,"")</f>
        <v>63.63681916119657</v>
      </c>
      <c r="E15" s="66">
        <v>510.4</v>
      </c>
      <c r="F15" s="64">
        <f t="shared" si="0"/>
        <v>4.0313139999999947</v>
      </c>
      <c r="G15" s="60" t="s">
        <v>12</v>
      </c>
      <c r="H15" s="60" t="s">
        <v>5042</v>
      </c>
    </row>
    <row r="16" spans="1:8">
      <c r="A16" s="59" t="s">
        <v>1856</v>
      </c>
      <c r="B16" s="62">
        <v>15</v>
      </c>
      <c r="C16" s="60" t="s">
        <v>5056</v>
      </c>
      <c r="D16" s="64">
        <f>IFERROR(VLOOKUP(C16,測定点マスタ!$E$2:$F$28,2,FALSE)/VLOOKUP(A16,'焼鈍条件-3CGL'!$A$2:$B$197,2,FALSE)*60,"")</f>
        <v>66.643283058575932</v>
      </c>
      <c r="E16" s="66">
        <v>245.6</v>
      </c>
      <c r="F16" s="64">
        <f t="shared" si="0"/>
        <v>-88.07689333333343</v>
      </c>
      <c r="G16" s="60" t="s">
        <v>12</v>
      </c>
      <c r="H16" s="60" t="s">
        <v>5042</v>
      </c>
    </row>
    <row r="17" spans="1:8">
      <c r="A17" s="59" t="s">
        <v>1856</v>
      </c>
      <c r="B17" s="62">
        <v>16</v>
      </c>
      <c r="C17" s="60" t="s">
        <v>5057</v>
      </c>
      <c r="D17" s="64">
        <f>IFERROR(VLOOKUP(C17,測定点マスタ!$E$2:$F$28,2,FALSE)/VLOOKUP(A17,'焼鈍条件-3CGL'!$A$2:$B$197,2,FALSE)*60,"")</f>
        <v>82.624070322622146</v>
      </c>
      <c r="E17" s="66">
        <v>179.4</v>
      </c>
      <c r="F17" s="64">
        <f t="shared" si="0"/>
        <v>-4.1424742665173717</v>
      </c>
      <c r="G17" s="60" t="s">
        <v>12</v>
      </c>
      <c r="H17" s="60" t="s">
        <v>5042</v>
      </c>
    </row>
    <row r="18" spans="1:8">
      <c r="A18" s="59" t="s">
        <v>1856</v>
      </c>
      <c r="B18" s="62">
        <v>17</v>
      </c>
      <c r="C18" s="60" t="s">
        <v>5058</v>
      </c>
      <c r="D18" s="64">
        <f>IFERROR(VLOOKUP(C18,測定点マスタ!$E$2:$F$28,2,FALSE)/VLOOKUP(A18,'焼鈍条件-3CGL'!$A$2:$B$197,2,FALSE)*60,"")</f>
        <v>85.648429838438133</v>
      </c>
      <c r="E18" s="66">
        <v>104.3</v>
      </c>
      <c r="F18" s="64">
        <f t="shared" si="0"/>
        <v>-24.831703905326759</v>
      </c>
      <c r="G18" s="60" t="s">
        <v>12</v>
      </c>
      <c r="H18" s="60" t="s">
        <v>5042</v>
      </c>
    </row>
    <row r="19" spans="1:8">
      <c r="A19" s="59" t="s">
        <v>1856</v>
      </c>
      <c r="B19" s="62">
        <v>18</v>
      </c>
      <c r="C19" s="60" t="s">
        <v>5059</v>
      </c>
      <c r="D19" s="64">
        <f>IFERROR(VLOOKUP(C19,測定点マスタ!$E$2:$F$28,2,FALSE)/VLOOKUP(A19,'焼鈍条件-3CGL'!$A$2:$B$197,2,FALSE)*60,"")</f>
        <v>88.672789354254647</v>
      </c>
      <c r="E19" s="66">
        <v>48.3</v>
      </c>
      <c r="F19" s="64">
        <f t="shared" si="0"/>
        <v>-18.516317159761073</v>
      </c>
      <c r="G19" s="60" t="s">
        <v>12</v>
      </c>
      <c r="H19" s="60" t="s">
        <v>5042</v>
      </c>
    </row>
    <row r="20" spans="1:8">
      <c r="A20" s="59" t="s">
        <v>1867</v>
      </c>
      <c r="B20" s="62">
        <v>1</v>
      </c>
      <c r="C20" s="60" t="s">
        <v>5041</v>
      </c>
      <c r="D20" s="64">
        <f>IFERROR(VLOOKUP(C20,測定点マスタ!$E$2:$F$28,2,FALSE)/VLOOKUP(A20,'焼鈍条件-3CGL'!$A$2:$B$197,2,FALSE)*60,"")</f>
        <v>0</v>
      </c>
      <c r="E20" s="66">
        <v>39.4</v>
      </c>
      <c r="F20" s="64" t="str">
        <f t="shared" si="0"/>
        <v/>
      </c>
      <c r="G20" s="60" t="s">
        <v>9</v>
      </c>
      <c r="H20" s="60" t="s">
        <v>5042</v>
      </c>
    </row>
    <row r="21" spans="1:8">
      <c r="A21" s="59" t="s">
        <v>1867</v>
      </c>
      <c r="B21" s="62">
        <v>2</v>
      </c>
      <c r="C21" s="60" t="s">
        <v>5043</v>
      </c>
      <c r="D21" s="64">
        <f>IFERROR(VLOOKUP(C21,測定点マスタ!$E$2:$F$28,2,FALSE)/VLOOKUP(A21,'焼鈍条件-3CGL'!$A$2:$B$197,2,FALSE)*60,"")</f>
        <v>7.1458062057357008</v>
      </c>
      <c r="E21" s="66">
        <v>187.6</v>
      </c>
      <c r="F21" s="64">
        <f t="shared" si="0"/>
        <v>20.739437333333331</v>
      </c>
      <c r="G21" s="60" t="s">
        <v>9</v>
      </c>
      <c r="H21" s="60" t="s">
        <v>5042</v>
      </c>
    </row>
    <row r="22" spans="1:8">
      <c r="A22" s="59" t="s">
        <v>1867</v>
      </c>
      <c r="B22" s="62">
        <v>3</v>
      </c>
      <c r="C22" s="60" t="s">
        <v>5044</v>
      </c>
      <c r="D22" s="64">
        <f>IFERROR(VLOOKUP(C22,測定点マスタ!$E$2:$F$28,2,FALSE)/VLOOKUP(A22,'焼鈍条件-3CGL'!$A$2:$B$197,2,FALSE)*60,"")</f>
        <v>16.197160733000921</v>
      </c>
      <c r="E22" s="66">
        <v>638.1</v>
      </c>
      <c r="F22" s="64">
        <f t="shared" si="0"/>
        <v>49.771556140350881</v>
      </c>
      <c r="G22" s="60" t="s">
        <v>9</v>
      </c>
      <c r="H22" s="60" t="s">
        <v>5042</v>
      </c>
    </row>
    <row r="23" spans="1:8">
      <c r="A23" s="59" t="s">
        <v>1867</v>
      </c>
      <c r="B23" s="62">
        <v>4</v>
      </c>
      <c r="C23" s="60" t="s">
        <v>5045</v>
      </c>
      <c r="D23" s="64">
        <f>IFERROR(VLOOKUP(C23,測定点マスタ!$E$2:$F$28,2,FALSE)/VLOOKUP(A23,'焼鈍条件-3CGL'!$A$2:$B$197,2,FALSE)*60,"")</f>
        <v>20.96103153682472</v>
      </c>
      <c r="E23" s="66">
        <v>771.9</v>
      </c>
      <c r="F23" s="64">
        <f t="shared" si="0"/>
        <v>28.086403999999995</v>
      </c>
      <c r="G23" s="60" t="s">
        <v>9</v>
      </c>
      <c r="H23" s="60" t="s">
        <v>5042</v>
      </c>
    </row>
    <row r="24" spans="1:8">
      <c r="A24" s="59" t="s">
        <v>1867</v>
      </c>
      <c r="B24" s="62">
        <v>5</v>
      </c>
      <c r="C24" s="60" t="s">
        <v>5046</v>
      </c>
      <c r="D24" s="64">
        <f>IFERROR(VLOOKUP(C24,測定点マスタ!$E$2:$F$28,2,FALSE)/VLOOKUP(A24,'焼鈍条件-3CGL'!$A$2:$B$197,2,FALSE)*60,"")</f>
        <v>25.724902340648523</v>
      </c>
      <c r="E24" s="66">
        <v>726.9</v>
      </c>
      <c r="F24" s="64">
        <f t="shared" si="0"/>
        <v>-9.4460999999999942</v>
      </c>
      <c r="G24" s="60" t="s">
        <v>9</v>
      </c>
      <c r="H24" s="60" t="s">
        <v>5042</v>
      </c>
    </row>
    <row r="25" spans="1:8">
      <c r="A25" s="59" t="s">
        <v>1867</v>
      </c>
      <c r="B25" s="62">
        <v>6</v>
      </c>
      <c r="C25" s="60" t="s">
        <v>5047</v>
      </c>
      <c r="D25" s="64">
        <f>IFERROR(VLOOKUP(C25,測定点マスタ!$E$2:$F$28,2,FALSE)/VLOOKUP(A25,'焼鈍条件-3CGL'!$A$2:$B$197,2,FALSE)*60,"")</f>
        <v>28.583224822942803</v>
      </c>
      <c r="E25" s="66">
        <v>717.5</v>
      </c>
      <c r="F25" s="64">
        <f t="shared" si="0"/>
        <v>-3.2886422222222143</v>
      </c>
      <c r="G25" s="60" t="s">
        <v>9</v>
      </c>
      <c r="H25" s="60" t="s">
        <v>5042</v>
      </c>
    </row>
    <row r="26" spans="1:8">
      <c r="A26" s="59" t="s">
        <v>1867</v>
      </c>
      <c r="B26" s="62">
        <v>7</v>
      </c>
      <c r="C26" s="60" t="s">
        <v>5049</v>
      </c>
      <c r="D26" s="64">
        <f>IFERROR(VLOOKUP(C26,測定点マスタ!$E$2:$F$28,2,FALSE)/VLOOKUP(A26,'焼鈍条件-3CGL'!$A$2:$B$197,2,FALSE)*60,"")</f>
        <v>34.776256867913744</v>
      </c>
      <c r="E26" s="66">
        <v>562</v>
      </c>
      <c r="F26" s="64">
        <f t="shared" si="0"/>
        <v>-25.108864102564098</v>
      </c>
      <c r="G26" s="60" t="s">
        <v>9</v>
      </c>
      <c r="H26" s="60" t="s">
        <v>5042</v>
      </c>
    </row>
    <row r="27" spans="1:8">
      <c r="A27" s="59" t="s">
        <v>1867</v>
      </c>
      <c r="B27" s="62">
        <v>8</v>
      </c>
      <c r="C27" s="60" t="s">
        <v>5050</v>
      </c>
      <c r="D27" s="64">
        <f>IFERROR(VLOOKUP(C27,測定点マスタ!$E$2:$F$28,2,FALSE)/VLOOKUP(A27,'焼鈍条件-3CGL'!$A$2:$B$197,2,FALSE)*60,"")</f>
        <v>38.587353510972783</v>
      </c>
      <c r="E27" s="66">
        <v>456.9</v>
      </c>
      <c r="F27" s="64">
        <f t="shared" si="0"/>
        <v>-27.577364166666687</v>
      </c>
      <c r="G27" s="60" t="s">
        <v>9</v>
      </c>
      <c r="H27" s="60" t="s">
        <v>5042</v>
      </c>
    </row>
    <row r="28" spans="1:8">
      <c r="A28" s="59" t="s">
        <v>1867</v>
      </c>
      <c r="B28" s="62">
        <v>9</v>
      </c>
      <c r="C28" s="60" t="s">
        <v>5051</v>
      </c>
      <c r="D28" s="64">
        <f>IFERROR(VLOOKUP(C28,測定点マスタ!$E$2:$F$28,2,FALSE)/VLOOKUP(A28,'焼鈍条件-3CGL'!$A$2:$B$197,2,FALSE)*60,"")</f>
        <v>41.92206307364944</v>
      </c>
      <c r="E28" s="66">
        <v>440.4</v>
      </c>
      <c r="F28" s="64">
        <f t="shared" si="0"/>
        <v>-4.9479571428571472</v>
      </c>
      <c r="G28" s="60" t="s">
        <v>9</v>
      </c>
      <c r="H28" s="60" t="s">
        <v>5042</v>
      </c>
    </row>
    <row r="29" spans="1:8">
      <c r="A29" s="59" t="s">
        <v>1867</v>
      </c>
      <c r="B29" s="62">
        <v>10</v>
      </c>
      <c r="C29" s="60" t="s">
        <v>5060</v>
      </c>
      <c r="D29" s="64">
        <f>IFERROR(VLOOKUP(C29,測定点マスタ!$E$2:$F$28,2,FALSE)/VLOOKUP(A29,'焼鈍条件-3CGL'!$A$2:$B$197,2,FALSE)*60,"")</f>
        <v>43.82761139517897</v>
      </c>
      <c r="E29" s="66">
        <v>404.5</v>
      </c>
      <c r="F29" s="64">
        <f t="shared" si="0"/>
        <v>-18.839721666666559</v>
      </c>
      <c r="G29" s="60" t="s">
        <v>9</v>
      </c>
      <c r="H29" s="60" t="s">
        <v>5042</v>
      </c>
    </row>
    <row r="30" spans="1:8">
      <c r="A30" s="59" t="s">
        <v>1867</v>
      </c>
      <c r="B30" s="62">
        <v>11</v>
      </c>
      <c r="C30" s="60" t="s">
        <v>5052</v>
      </c>
      <c r="D30" s="64">
        <f>IFERROR(VLOOKUP(C30,測定点マスタ!$E$2:$F$28,2,FALSE)/VLOOKUP(A30,'焼鈍条件-3CGL'!$A$2:$B$197,2,FALSE)*60,"")</f>
        <v>46.209546797090866</v>
      </c>
      <c r="E30" s="66">
        <v>325.7</v>
      </c>
      <c r="F30" s="64">
        <f t="shared" si="0"/>
        <v>-33.082341333333396</v>
      </c>
      <c r="G30" s="60" t="s">
        <v>9</v>
      </c>
      <c r="H30" s="60" t="s">
        <v>5042</v>
      </c>
    </row>
    <row r="31" spans="1:8">
      <c r="A31" s="59" t="s">
        <v>1867</v>
      </c>
      <c r="B31" s="62">
        <v>12</v>
      </c>
      <c r="C31" s="60" t="s">
        <v>5053</v>
      </c>
      <c r="D31" s="64">
        <f>IFERROR(VLOOKUP(C31,測定点マスタ!$E$2:$F$28,2,FALSE)/VLOOKUP(A31,'焼鈍条件-3CGL'!$A$2:$B$197,2,FALSE)*60,"")</f>
        <v>51.926191761679426</v>
      </c>
      <c r="E31" s="66">
        <v>511.7</v>
      </c>
      <c r="F31" s="64">
        <f t="shared" si="0"/>
        <v>32.536566666666666</v>
      </c>
      <c r="G31" s="60" t="s">
        <v>9</v>
      </c>
      <c r="H31" s="60" t="s">
        <v>5042</v>
      </c>
    </row>
    <row r="32" spans="1:8">
      <c r="A32" s="59" t="s">
        <v>1867</v>
      </c>
      <c r="B32" s="62">
        <v>13</v>
      </c>
      <c r="C32" s="60" t="s">
        <v>5054</v>
      </c>
      <c r="D32" s="64">
        <f>IFERROR(VLOOKUP(C32,測定点マスタ!$E$2:$F$28,2,FALSE)/VLOOKUP(A32,'焼鈍条件-3CGL'!$A$2:$B$197,2,FALSE)*60,"")</f>
        <v>58.119223806650368</v>
      </c>
      <c r="E32" s="66">
        <v>493.2</v>
      </c>
      <c r="F32" s="64">
        <f t="shared" si="0"/>
        <v>-2.9872282051282046</v>
      </c>
      <c r="G32" s="60" t="s">
        <v>9</v>
      </c>
      <c r="H32" s="60" t="s">
        <v>5042</v>
      </c>
    </row>
    <row r="33" spans="1:8">
      <c r="A33" s="59" t="s">
        <v>1867</v>
      </c>
      <c r="B33" s="62">
        <v>14</v>
      </c>
      <c r="C33" s="60" t="s">
        <v>5056</v>
      </c>
      <c r="D33" s="64">
        <f>IFERROR(VLOOKUP(C33,測定点マスタ!$E$2:$F$28,2,FALSE)/VLOOKUP(A33,'焼鈍条件-3CGL'!$A$2:$B$197,2,FALSE)*60,"")</f>
        <v>63.359481690856548</v>
      </c>
      <c r="E33" s="66">
        <v>248.1</v>
      </c>
      <c r="F33" s="64">
        <f t="shared" si="0"/>
        <v>-46.772507272727275</v>
      </c>
      <c r="G33" s="60" t="s">
        <v>9</v>
      </c>
      <c r="H33" s="60" t="s">
        <v>5042</v>
      </c>
    </row>
    <row r="34" spans="1:8">
      <c r="A34" s="59" t="s">
        <v>1867</v>
      </c>
      <c r="B34" s="62">
        <v>15</v>
      </c>
      <c r="C34" s="60" t="s">
        <v>5057</v>
      </c>
      <c r="D34" s="64">
        <f>IFERROR(VLOOKUP(C34,測定点マスタ!$E$2:$F$28,2,FALSE)/VLOOKUP(A34,'焼鈍条件-3CGL'!$A$2:$B$197,2,FALSE)*60,"")</f>
        <v>78.55282679019453</v>
      </c>
      <c r="E34" s="66">
        <v>175.3</v>
      </c>
      <c r="F34" s="64">
        <f t="shared" si="0"/>
        <v>-4.7915715416200273</v>
      </c>
      <c r="G34" s="60" t="s">
        <v>9</v>
      </c>
      <c r="H34" s="60" t="s">
        <v>5042</v>
      </c>
    </row>
    <row r="35" spans="1:8">
      <c r="A35" s="59" t="s">
        <v>1867</v>
      </c>
      <c r="B35" s="62">
        <v>16</v>
      </c>
      <c r="C35" s="60" t="s">
        <v>5058</v>
      </c>
      <c r="D35" s="64">
        <f>IFERROR(VLOOKUP(C35,測定点マスタ!$E$2:$F$28,2,FALSE)/VLOOKUP(A35,'焼鈍条件-3CGL'!$A$2:$B$197,2,FALSE)*60,"")</f>
        <v>81.42816309678804</v>
      </c>
      <c r="E35" s="66">
        <v>101</v>
      </c>
      <c r="F35" s="64">
        <f t="shared" si="0"/>
        <v>-25.840455542407579</v>
      </c>
      <c r="G35" s="60" t="s">
        <v>9</v>
      </c>
      <c r="H35" s="60" t="s">
        <v>5042</v>
      </c>
    </row>
    <row r="36" spans="1:8">
      <c r="A36" s="59" t="s">
        <v>1867</v>
      </c>
      <c r="B36" s="62">
        <v>17</v>
      </c>
      <c r="C36" s="60" t="s">
        <v>5059</v>
      </c>
      <c r="D36" s="64">
        <f>IFERROR(VLOOKUP(C36,測定点マスタ!$E$2:$F$28,2,FALSE)/VLOOKUP(A36,'焼鈍条件-3CGL'!$A$2:$B$197,2,FALSE)*60,"")</f>
        <v>84.303499403382048</v>
      </c>
      <c r="E36" s="66">
        <v>53</v>
      </c>
      <c r="F36" s="64">
        <f t="shared" si="0"/>
        <v>-16.693699408281951</v>
      </c>
      <c r="G36" s="60" t="s">
        <v>9</v>
      </c>
      <c r="H36" s="60" t="s">
        <v>5042</v>
      </c>
    </row>
    <row r="37" spans="1:8">
      <c r="A37" s="59" t="s">
        <v>1886</v>
      </c>
      <c r="B37" s="62">
        <v>1</v>
      </c>
      <c r="C37" s="60" t="s">
        <v>5041</v>
      </c>
      <c r="D37" s="64">
        <f>IFERROR(VLOOKUP(C37,測定点マスタ!$E$2:$F$28,2,FALSE)/VLOOKUP(A37,'焼鈍条件-3CGL'!$A$2:$B$197,2,FALSE)*60,"")</f>
        <v>0</v>
      </c>
      <c r="E37" s="66">
        <v>35.5</v>
      </c>
      <c r="F37" s="64" t="str">
        <f t="shared" si="0"/>
        <v/>
      </c>
      <c r="G37" s="60" t="s">
        <v>12</v>
      </c>
      <c r="H37" s="60" t="s">
        <v>5061</v>
      </c>
    </row>
    <row r="38" spans="1:8">
      <c r="A38" s="59" t="s">
        <v>1886</v>
      </c>
      <c r="B38" s="62">
        <v>2</v>
      </c>
      <c r="C38" s="60" t="s">
        <v>5043</v>
      </c>
      <c r="D38" s="64">
        <f>IFERROR(VLOOKUP(C38,測定点マスタ!$E$2:$F$28,2,FALSE)/VLOOKUP(A38,'焼鈍条件-3CGL'!$A$2:$B$197,2,FALSE)*60,"")</f>
        <v>8.1045304325117744</v>
      </c>
      <c r="E38" s="66">
        <v>168.3</v>
      </c>
      <c r="F38" s="64">
        <f t="shared" si="0"/>
        <v>16.38589688888889</v>
      </c>
      <c r="G38" s="60" t="s">
        <v>12</v>
      </c>
      <c r="H38" s="60" t="s">
        <v>5061</v>
      </c>
    </row>
    <row r="39" spans="1:8">
      <c r="A39" s="59" t="s">
        <v>1886</v>
      </c>
      <c r="B39" s="62">
        <v>3</v>
      </c>
      <c r="C39" s="60" t="s">
        <v>5044</v>
      </c>
      <c r="D39" s="64">
        <f>IFERROR(VLOOKUP(C39,測定点マスタ!$E$2:$F$28,2,FALSE)/VLOOKUP(A39,'焼鈍条件-3CGL'!$A$2:$B$197,2,FALSE)*60,"")</f>
        <v>18.37026898036002</v>
      </c>
      <c r="E39" s="66">
        <v>659.2</v>
      </c>
      <c r="F39" s="64">
        <f t="shared" si="0"/>
        <v>47.819257982456151</v>
      </c>
      <c r="G39" s="60" t="s">
        <v>12</v>
      </c>
      <c r="H39" s="60" t="s">
        <v>5061</v>
      </c>
    </row>
    <row r="40" spans="1:8">
      <c r="A40" s="59" t="s">
        <v>1886</v>
      </c>
      <c r="B40" s="62">
        <v>4</v>
      </c>
      <c r="C40" s="60" t="s">
        <v>5045</v>
      </c>
      <c r="D40" s="64">
        <f>IFERROR(VLOOKUP(C40,測定点マスタ!$E$2:$F$28,2,FALSE)/VLOOKUP(A40,'焼鈍条件-3CGL'!$A$2:$B$197,2,FALSE)*60,"")</f>
        <v>23.773289268701202</v>
      </c>
      <c r="E40" s="66">
        <v>803.8</v>
      </c>
      <c r="F40" s="64">
        <f t="shared" si="0"/>
        <v>26.762808999999987</v>
      </c>
      <c r="G40" s="60" t="s">
        <v>12</v>
      </c>
      <c r="H40" s="60" t="s">
        <v>5061</v>
      </c>
    </row>
    <row r="41" spans="1:8">
      <c r="A41" s="59" t="s">
        <v>1886</v>
      </c>
      <c r="B41" s="62">
        <v>5</v>
      </c>
      <c r="C41" s="60" t="s">
        <v>5047</v>
      </c>
      <c r="D41" s="64">
        <f>IFERROR(VLOOKUP(C41,測定点マスタ!$E$2:$F$28,2,FALSE)/VLOOKUP(A41,'焼鈍条件-3CGL'!$A$2:$B$197,2,FALSE)*60,"")</f>
        <v>32.418121730047098</v>
      </c>
      <c r="E41" s="66">
        <v>751.6</v>
      </c>
      <c r="F41" s="64">
        <f t="shared" si="0"/>
        <v>-6.03828937499999</v>
      </c>
      <c r="G41" s="60" t="s">
        <v>12</v>
      </c>
      <c r="H41" s="60" t="s">
        <v>5061</v>
      </c>
    </row>
    <row r="42" spans="1:8">
      <c r="A42" s="59" t="s">
        <v>1886</v>
      </c>
      <c r="B42" s="62">
        <v>6</v>
      </c>
      <c r="C42" s="60" t="s">
        <v>5049</v>
      </c>
      <c r="D42" s="64">
        <f>IFERROR(VLOOKUP(C42,測定点マスタ!$E$2:$F$28,2,FALSE)/VLOOKUP(A42,'焼鈍条件-3CGL'!$A$2:$B$197,2,FALSE)*60,"")</f>
        <v>39.442048104890631</v>
      </c>
      <c r="E42" s="66">
        <v>585.6</v>
      </c>
      <c r="F42" s="64">
        <f t="shared" si="0"/>
        <v>-23.63350512820514</v>
      </c>
      <c r="G42" s="60" t="s">
        <v>12</v>
      </c>
      <c r="H42" s="60" t="s">
        <v>5061</v>
      </c>
    </row>
    <row r="43" spans="1:8">
      <c r="A43" s="59" t="s">
        <v>1886</v>
      </c>
      <c r="B43" s="62">
        <v>7</v>
      </c>
      <c r="C43" s="60" t="s">
        <v>5050</v>
      </c>
      <c r="D43" s="64">
        <f>IFERROR(VLOOKUP(C43,測定点マスタ!$E$2:$F$28,2,FALSE)/VLOOKUP(A43,'焼鈍条件-3CGL'!$A$2:$B$197,2,FALSE)*60,"")</f>
        <v>43.764464335563574</v>
      </c>
      <c r="E43" s="66">
        <v>468.6</v>
      </c>
      <c r="F43" s="64">
        <f t="shared" si="0"/>
        <v>-27.068193750000024</v>
      </c>
      <c r="G43" s="60" t="s">
        <v>12</v>
      </c>
      <c r="H43" s="60" t="s">
        <v>5061</v>
      </c>
    </row>
    <row r="44" spans="1:8">
      <c r="A44" s="59" t="s">
        <v>1886</v>
      </c>
      <c r="B44" s="62">
        <v>8</v>
      </c>
      <c r="C44" s="60" t="s">
        <v>5051</v>
      </c>
      <c r="D44" s="64">
        <f>IFERROR(VLOOKUP(C44,測定点マスタ!$E$2:$F$28,2,FALSE)/VLOOKUP(A44,'焼鈍条件-3CGL'!$A$2:$B$197,2,FALSE)*60,"")</f>
        <v>47.546578537402404</v>
      </c>
      <c r="E44" s="66">
        <v>455.3</v>
      </c>
      <c r="F44" s="64">
        <f t="shared" si="0"/>
        <v>-3.5165516666666679</v>
      </c>
      <c r="G44" s="60" t="s">
        <v>12</v>
      </c>
      <c r="H44" s="60" t="s">
        <v>5061</v>
      </c>
    </row>
    <row r="45" spans="1:8">
      <c r="A45" s="59" t="s">
        <v>1886</v>
      </c>
      <c r="B45" s="62">
        <v>9</v>
      </c>
      <c r="C45" s="60" t="s">
        <v>5060</v>
      </c>
      <c r="D45" s="64">
        <f>IFERROR(VLOOKUP(C45,測定点マスタ!$E$2:$F$28,2,FALSE)/VLOOKUP(A45,'焼鈍条件-3CGL'!$A$2:$B$197,2,FALSE)*60,"")</f>
        <v>49.707786652738875</v>
      </c>
      <c r="E45" s="66">
        <v>407.4</v>
      </c>
      <c r="F45" s="64">
        <f t="shared" si="0"/>
        <v>-22.163529583333368</v>
      </c>
      <c r="G45" s="60" t="s">
        <v>12</v>
      </c>
      <c r="H45" s="60" t="s">
        <v>5061</v>
      </c>
    </row>
    <row r="46" spans="1:8">
      <c r="A46" s="59" t="s">
        <v>1886</v>
      </c>
      <c r="B46" s="62">
        <v>10</v>
      </c>
      <c r="C46" s="60" t="s">
        <v>5052</v>
      </c>
      <c r="D46" s="64">
        <f>IFERROR(VLOOKUP(C46,測定点マスタ!$E$2:$F$28,2,FALSE)/VLOOKUP(A46,'焼鈍条件-3CGL'!$A$2:$B$197,2,FALSE)*60,"")</f>
        <v>52.409296796909473</v>
      </c>
      <c r="E46" s="66">
        <v>334.6</v>
      </c>
      <c r="F46" s="64">
        <f t="shared" si="0"/>
        <v>-26.947890666666584</v>
      </c>
      <c r="G46" s="60" t="s">
        <v>12</v>
      </c>
      <c r="H46" s="60" t="s">
        <v>5061</v>
      </c>
    </row>
    <row r="47" spans="1:8">
      <c r="A47" s="59" t="s">
        <v>1886</v>
      </c>
      <c r="B47" s="62">
        <v>11</v>
      </c>
      <c r="C47" s="60" t="s">
        <v>5053</v>
      </c>
      <c r="D47" s="64">
        <f>IFERROR(VLOOKUP(C47,測定点マスタ!$E$2:$F$28,2,FALSE)/VLOOKUP(A47,'焼鈍条件-3CGL'!$A$2:$B$197,2,FALSE)*60,"")</f>
        <v>58.892921142918894</v>
      </c>
      <c r="E47" s="66">
        <v>533.6</v>
      </c>
      <c r="F47" s="64">
        <f t="shared" si="0"/>
        <v>30.692709722222215</v>
      </c>
      <c r="G47" s="60" t="s">
        <v>12</v>
      </c>
      <c r="H47" s="60" t="s">
        <v>5061</v>
      </c>
    </row>
    <row r="48" spans="1:8">
      <c r="A48" s="59" t="s">
        <v>1886</v>
      </c>
      <c r="B48" s="62">
        <v>12</v>
      </c>
      <c r="C48" s="60" t="s">
        <v>5054</v>
      </c>
      <c r="D48" s="64">
        <f>IFERROR(VLOOKUP(C48,測定点マスタ!$E$2:$F$28,2,FALSE)/VLOOKUP(A48,'焼鈍条件-3CGL'!$A$2:$B$197,2,FALSE)*60,"")</f>
        <v>65.91684751776242</v>
      </c>
      <c r="E48" s="66">
        <v>519.20000000000005</v>
      </c>
      <c r="F48" s="64">
        <f t="shared" si="0"/>
        <v>-2.0501353846153845</v>
      </c>
      <c r="G48" s="60" t="s">
        <v>12</v>
      </c>
      <c r="H48" s="60" t="s">
        <v>5061</v>
      </c>
    </row>
    <row r="49" spans="1:8">
      <c r="A49" s="59" t="s">
        <v>1886</v>
      </c>
      <c r="B49" s="62">
        <v>13</v>
      </c>
      <c r="C49" s="60" t="s">
        <v>5056</v>
      </c>
      <c r="D49" s="64">
        <f>IFERROR(VLOOKUP(C49,測定点マスタ!$E$2:$F$28,2,FALSE)/VLOOKUP(A49,'焼鈍条件-3CGL'!$A$2:$B$197,2,FALSE)*60,"")</f>
        <v>71.860169834937722</v>
      </c>
      <c r="E49" s="66">
        <v>272.7</v>
      </c>
      <c r="F49" s="64">
        <f t="shared" si="0"/>
        <v>-41.475118939393944</v>
      </c>
      <c r="G49" s="60" t="s">
        <v>12</v>
      </c>
      <c r="H49" s="60" t="s">
        <v>5061</v>
      </c>
    </row>
    <row r="50" spans="1:8">
      <c r="A50" s="59" t="s">
        <v>1886</v>
      </c>
      <c r="B50" s="62">
        <v>14</v>
      </c>
      <c r="C50" s="60" t="s">
        <v>5062</v>
      </c>
      <c r="D50" s="64">
        <f>IFERROR(VLOOKUP(C50,測定点マスタ!$E$2:$F$28,2,FALSE)/VLOOKUP(A50,'焼鈍条件-3CGL'!$A$2:$B$197,2,FALSE)*60,"")</f>
        <v>78.343794180947157</v>
      </c>
      <c r="E50" s="66">
        <v>458.9</v>
      </c>
      <c r="F50" s="64">
        <f t="shared" si="0"/>
        <v>28.718505277777705</v>
      </c>
      <c r="G50" s="60" t="s">
        <v>12</v>
      </c>
      <c r="H50" s="60" t="s">
        <v>5061</v>
      </c>
    </row>
    <row r="51" spans="1:8">
      <c r="A51" s="59" t="s">
        <v>1886</v>
      </c>
      <c r="B51" s="62">
        <v>15</v>
      </c>
      <c r="C51" s="60" t="s">
        <v>5057</v>
      </c>
      <c r="D51" s="64">
        <f>IFERROR(VLOOKUP(C51,測定点マスタ!$E$2:$F$28,2,FALSE)/VLOOKUP(A51,'焼鈍条件-3CGL'!$A$2:$B$197,2,FALSE)*60,"")</f>
        <v>89.09194525454005</v>
      </c>
      <c r="E51" s="66">
        <v>277.39999999999998</v>
      </c>
      <c r="F51" s="64">
        <f t="shared" si="0"/>
        <v>-16.886625314183284</v>
      </c>
      <c r="G51" s="60" t="s">
        <v>12</v>
      </c>
      <c r="H51" s="60" t="s">
        <v>5061</v>
      </c>
    </row>
    <row r="52" spans="1:8">
      <c r="A52" s="59" t="s">
        <v>1886</v>
      </c>
      <c r="B52" s="62">
        <v>16</v>
      </c>
      <c r="C52" s="60" t="s">
        <v>5059</v>
      </c>
      <c r="D52" s="64">
        <f>IFERROR(VLOOKUP(C52,測定点マスタ!$E$2:$F$28,2,FALSE)/VLOOKUP(A52,'焼鈍条件-3CGL'!$A$2:$B$197,2,FALSE)*60,"")</f>
        <v>95.614162602609298</v>
      </c>
      <c r="E52" s="66">
        <v>40</v>
      </c>
      <c r="F52" s="64">
        <f t="shared" si="0"/>
        <v>-36.398664339249102</v>
      </c>
      <c r="G52" s="60" t="s">
        <v>12</v>
      </c>
      <c r="H52" s="60" t="s">
        <v>5061</v>
      </c>
    </row>
    <row r="53" spans="1:8">
      <c r="A53" s="59" t="s">
        <v>1912</v>
      </c>
      <c r="B53" s="62">
        <v>1</v>
      </c>
      <c r="C53" s="60" t="s">
        <v>5041</v>
      </c>
      <c r="D53" s="64">
        <f>IFERROR(VLOOKUP(C53,測定点マスタ!$E$2:$F$28,2,FALSE)/VLOOKUP(A53,'焼鈍条件-3CGL'!$A$2:$B$197,2,FALSE)*60,"")</f>
        <v>0</v>
      </c>
      <c r="E53" s="66">
        <v>26.5</v>
      </c>
      <c r="F53" s="64" t="str">
        <f t="shared" si="0"/>
        <v/>
      </c>
      <c r="G53" s="60" t="s">
        <v>9</v>
      </c>
      <c r="H53" s="60" t="s">
        <v>5042</v>
      </c>
    </row>
    <row r="54" spans="1:8">
      <c r="A54" s="59" t="s">
        <v>1912</v>
      </c>
      <c r="B54" s="62">
        <v>2</v>
      </c>
      <c r="C54" s="60" t="s">
        <v>5043</v>
      </c>
      <c r="D54" s="64">
        <f>IFERROR(VLOOKUP(C54,測定点マスタ!$E$2:$F$28,2,FALSE)/VLOOKUP(A54,'焼鈍条件-3CGL'!$A$2:$B$197,2,FALSE)*60,"")</f>
        <v>10.257813034261096</v>
      </c>
      <c r="E54" s="66">
        <v>187.6</v>
      </c>
      <c r="F54" s="64">
        <f t="shared" si="0"/>
        <v>15.705101999999998</v>
      </c>
      <c r="G54" s="60" t="s">
        <v>9</v>
      </c>
      <c r="H54" s="60" t="s">
        <v>5042</v>
      </c>
    </row>
    <row r="55" spans="1:8">
      <c r="A55" s="59" t="s">
        <v>1912</v>
      </c>
      <c r="B55" s="62">
        <v>3</v>
      </c>
      <c r="C55" s="60" t="s">
        <v>5044</v>
      </c>
      <c r="D55" s="64">
        <f>IFERROR(VLOOKUP(C55,測定点マスタ!$E$2:$F$28,2,FALSE)/VLOOKUP(A55,'焼鈍条件-3CGL'!$A$2:$B$197,2,FALSE)*60,"")</f>
        <v>23.251042877658485</v>
      </c>
      <c r="E55" s="66">
        <v>687.6</v>
      </c>
      <c r="F55" s="64">
        <f t="shared" si="0"/>
        <v>38.481578947368419</v>
      </c>
      <c r="G55" s="60" t="s">
        <v>9</v>
      </c>
      <c r="H55" s="60" t="s">
        <v>5042</v>
      </c>
    </row>
    <row r="56" spans="1:8">
      <c r="A56" s="59" t="s">
        <v>1912</v>
      </c>
      <c r="B56" s="62">
        <v>4</v>
      </c>
      <c r="C56" s="60" t="s">
        <v>5045</v>
      </c>
      <c r="D56" s="64">
        <f>IFERROR(VLOOKUP(C56,測定点マスタ!$E$2:$F$28,2,FALSE)/VLOOKUP(A56,'焼鈍条件-3CGL'!$A$2:$B$197,2,FALSE)*60,"")</f>
        <v>30.089584900499212</v>
      </c>
      <c r="E56" s="66">
        <v>822.8</v>
      </c>
      <c r="F56" s="64">
        <f t="shared" si="0"/>
        <v>19.770295999999998</v>
      </c>
      <c r="G56" s="60" t="s">
        <v>9</v>
      </c>
      <c r="H56" s="60" t="s">
        <v>5042</v>
      </c>
    </row>
    <row r="57" spans="1:8">
      <c r="A57" s="59" t="s">
        <v>1912</v>
      </c>
      <c r="B57" s="62">
        <v>5</v>
      </c>
      <c r="C57" s="60" t="s">
        <v>5046</v>
      </c>
      <c r="D57" s="64">
        <f>IFERROR(VLOOKUP(C57,測定点マスタ!$E$2:$F$28,2,FALSE)/VLOOKUP(A57,'焼鈍条件-3CGL'!$A$2:$B$197,2,FALSE)*60,"")</f>
        <v>36.928126923339939</v>
      </c>
      <c r="E57" s="66">
        <v>796</v>
      </c>
      <c r="F57" s="64">
        <f t="shared" si="0"/>
        <v>-3.9189639999999955</v>
      </c>
      <c r="G57" s="60" t="s">
        <v>9</v>
      </c>
      <c r="H57" s="60" t="s">
        <v>5042</v>
      </c>
    </row>
    <row r="58" spans="1:8">
      <c r="A58" s="59" t="s">
        <v>1912</v>
      </c>
      <c r="B58" s="62">
        <v>6</v>
      </c>
      <c r="C58" s="60" t="s">
        <v>5047</v>
      </c>
      <c r="D58" s="64">
        <f>IFERROR(VLOOKUP(C58,測定点マスタ!$E$2:$F$28,2,FALSE)/VLOOKUP(A58,'焼鈍条件-3CGL'!$A$2:$B$197,2,FALSE)*60,"")</f>
        <v>41.031252137044383</v>
      </c>
      <c r="E58" s="66">
        <v>763.7</v>
      </c>
      <c r="F58" s="64">
        <f t="shared" si="0"/>
        <v>-7.8720483333333098</v>
      </c>
      <c r="G58" s="60" t="s">
        <v>9</v>
      </c>
      <c r="H58" s="60" t="s">
        <v>5042</v>
      </c>
    </row>
    <row r="59" spans="1:8">
      <c r="A59" s="59" t="s">
        <v>1912</v>
      </c>
      <c r="B59" s="62">
        <v>7</v>
      </c>
      <c r="C59" s="60" t="s">
        <v>5049</v>
      </c>
      <c r="D59" s="64">
        <f>IFERROR(VLOOKUP(C59,測定点マスタ!$E$2:$F$28,2,FALSE)/VLOOKUP(A59,'焼鈍条件-3CGL'!$A$2:$B$197,2,FALSE)*60,"")</f>
        <v>49.921356766737333</v>
      </c>
      <c r="E59" s="66">
        <v>600.20000000000005</v>
      </c>
      <c r="F59" s="64">
        <f t="shared" si="0"/>
        <v>-18.391234615384615</v>
      </c>
      <c r="G59" s="60" t="s">
        <v>9</v>
      </c>
      <c r="H59" s="60" t="s">
        <v>5042</v>
      </c>
    </row>
    <row r="60" spans="1:8">
      <c r="A60" s="59" t="s">
        <v>1912</v>
      </c>
      <c r="B60" s="62">
        <v>8</v>
      </c>
      <c r="C60" s="60" t="s">
        <v>5050</v>
      </c>
      <c r="D60" s="64">
        <f>IFERROR(VLOOKUP(C60,測定点マスタ!$E$2:$F$28,2,FALSE)/VLOOKUP(A60,'焼鈍条件-3CGL'!$A$2:$B$197,2,FALSE)*60,"")</f>
        <v>55.392190385009918</v>
      </c>
      <c r="E60" s="66">
        <v>525.29999999999995</v>
      </c>
      <c r="F60" s="64">
        <f t="shared" si="0"/>
        <v>-13.690783750000012</v>
      </c>
      <c r="G60" s="60" t="s">
        <v>9</v>
      </c>
      <c r="H60" s="60" t="s">
        <v>5042</v>
      </c>
    </row>
    <row r="61" spans="1:8">
      <c r="A61" s="59" t="s">
        <v>1912</v>
      </c>
      <c r="B61" s="62">
        <v>9</v>
      </c>
      <c r="C61" s="60" t="s">
        <v>5051</v>
      </c>
      <c r="D61" s="64">
        <f>IFERROR(VLOOKUP(C61,測定点マスタ!$E$2:$F$28,2,FALSE)/VLOOKUP(A61,'焼鈍条件-3CGL'!$A$2:$B$197,2,FALSE)*60,"")</f>
        <v>60.179169800998423</v>
      </c>
      <c r="E61" s="66">
        <v>484.2</v>
      </c>
      <c r="F61" s="64">
        <f t="shared" si="0"/>
        <v>-8.5857900000000047</v>
      </c>
      <c r="G61" s="60" t="s">
        <v>9</v>
      </c>
      <c r="H61" s="60" t="s">
        <v>5042</v>
      </c>
    </row>
    <row r="62" spans="1:8">
      <c r="A62" s="59" t="s">
        <v>1912</v>
      </c>
      <c r="B62" s="62">
        <v>10</v>
      </c>
      <c r="C62" s="60" t="s">
        <v>5052</v>
      </c>
      <c r="D62" s="64">
        <f>IFERROR(VLOOKUP(C62,測定点マスタ!$E$2:$F$28,2,FALSE)/VLOOKUP(A62,'焼鈍条件-3CGL'!$A$2:$B$197,2,FALSE)*60,"")</f>
        <v>66.333857621555083</v>
      </c>
      <c r="E62" s="66">
        <v>349.1</v>
      </c>
      <c r="F62" s="64">
        <f t="shared" si="0"/>
        <v>-21.950747777777764</v>
      </c>
      <c r="G62" s="60" t="s">
        <v>9</v>
      </c>
      <c r="H62" s="60" t="s">
        <v>5042</v>
      </c>
    </row>
    <row r="63" spans="1:8">
      <c r="A63" s="59" t="s">
        <v>1912</v>
      </c>
      <c r="B63" s="62">
        <v>11</v>
      </c>
      <c r="C63" s="60" t="s">
        <v>5053</v>
      </c>
      <c r="D63" s="64">
        <f>IFERROR(VLOOKUP(C63,測定点マスタ!$E$2:$F$28,2,FALSE)/VLOOKUP(A63,'焼鈍条件-3CGL'!$A$2:$B$197,2,FALSE)*60,"")</f>
        <v>74.540108048963958</v>
      </c>
      <c r="E63" s="66">
        <v>536.79999999999995</v>
      </c>
      <c r="F63" s="64">
        <f t="shared" si="0"/>
        <v>22.872809166666663</v>
      </c>
      <c r="G63" s="60" t="s">
        <v>9</v>
      </c>
      <c r="H63" s="60" t="s">
        <v>5042</v>
      </c>
    </row>
    <row r="64" spans="1:8">
      <c r="A64" s="59" t="s">
        <v>1912</v>
      </c>
      <c r="B64" s="62">
        <v>12</v>
      </c>
      <c r="C64" s="60" t="s">
        <v>5063</v>
      </c>
      <c r="D64" s="64">
        <f>IFERROR(VLOOKUP(C64,測定点マスタ!$E$2:$F$28,2,FALSE)/VLOOKUP(A64,'焼鈍条件-3CGL'!$A$2:$B$197,2,FALSE)*60,"")</f>
        <v>78.643233262668403</v>
      </c>
      <c r="E64" s="66">
        <v>531.79999999999995</v>
      </c>
      <c r="F64" s="64">
        <f t="shared" si="0"/>
        <v>-1.2185833333333314</v>
      </c>
      <c r="G64" s="60" t="s">
        <v>9</v>
      </c>
      <c r="H64" s="60" t="s">
        <v>5042</v>
      </c>
    </row>
    <row r="65" spans="1:8">
      <c r="A65" s="59" t="s">
        <v>1912</v>
      </c>
      <c r="B65" s="62">
        <v>13</v>
      </c>
      <c r="C65" s="60" t="s">
        <v>5054</v>
      </c>
      <c r="D65" s="64">
        <f>IFERROR(VLOOKUP(C65,測定点マスタ!$E$2:$F$28,2,FALSE)/VLOOKUP(A65,'焼鈍条件-3CGL'!$A$2:$B$197,2,FALSE)*60,"")</f>
        <v>83.430212678656915</v>
      </c>
      <c r="E65" s="66">
        <v>509</v>
      </c>
      <c r="F65" s="64">
        <f t="shared" si="0"/>
        <v>-4.7629199999999896</v>
      </c>
      <c r="G65" s="60" t="s">
        <v>9</v>
      </c>
      <c r="H65" s="60" t="s">
        <v>5042</v>
      </c>
    </row>
    <row r="66" spans="1:8">
      <c r="A66" s="59" t="s">
        <v>1912</v>
      </c>
      <c r="B66" s="62">
        <v>14</v>
      </c>
      <c r="C66" s="60" t="s">
        <v>5056</v>
      </c>
      <c r="D66" s="64">
        <f>IFERROR(VLOOKUP(C66,測定点マスタ!$E$2:$F$28,2,FALSE)/VLOOKUP(A66,'焼鈍条件-3CGL'!$A$2:$B$197,2,FALSE)*60,"")</f>
        <v>90.952608903781723</v>
      </c>
      <c r="E66" s="66">
        <v>259.5</v>
      </c>
      <c r="F66" s="64">
        <f t="shared" ref="F66:F129" si="1">IF(A66=A65,IFERROR((E66-E65)/(D66-D65),""),"")</f>
        <v>-33.167622727272708</v>
      </c>
      <c r="G66" s="60" t="s">
        <v>9</v>
      </c>
      <c r="H66" s="60" t="s">
        <v>5042</v>
      </c>
    </row>
    <row r="67" spans="1:8">
      <c r="A67" s="59" t="s">
        <v>1912</v>
      </c>
      <c r="B67" s="62">
        <v>15</v>
      </c>
      <c r="C67" s="60" t="s">
        <v>5057</v>
      </c>
      <c r="D67" s="64">
        <f>IFERROR(VLOOKUP(C67,測定点マスタ!$E$2:$F$28,2,FALSE)/VLOOKUP(A67,'焼鈍条件-3CGL'!$A$2:$B$197,2,FALSE)*60,"")</f>
        <v>112.76267328377008</v>
      </c>
      <c r="E67" s="66">
        <v>242.4</v>
      </c>
      <c r="F67" s="64">
        <f t="shared" si="1"/>
        <v>-0.78404170212766333</v>
      </c>
      <c r="G67" s="60" t="s">
        <v>9</v>
      </c>
      <c r="H67" s="60" t="s">
        <v>5042</v>
      </c>
    </row>
    <row r="68" spans="1:8">
      <c r="A68" s="59" t="s">
        <v>1912</v>
      </c>
      <c r="B68" s="62">
        <v>16</v>
      </c>
      <c r="C68" s="60" t="s">
        <v>5059</v>
      </c>
      <c r="D68" s="64">
        <f>IFERROR(VLOOKUP(C68,測定点マスタ!$E$2:$F$28,2,FALSE)/VLOOKUP(A68,'焼鈍条件-3CGL'!$A$2:$B$197,2,FALSE)*60,"")</f>
        <v>121.01777043991385</v>
      </c>
      <c r="E68" s="66">
        <v>63.6</v>
      </c>
      <c r="F68" s="64">
        <f t="shared" si="1"/>
        <v>-21.659345325442978</v>
      </c>
      <c r="G68" s="60" t="s">
        <v>9</v>
      </c>
      <c r="H68" s="60" t="s">
        <v>5042</v>
      </c>
    </row>
    <row r="69" spans="1:8">
      <c r="A69" s="59" t="s">
        <v>1927</v>
      </c>
      <c r="B69" s="62">
        <v>1</v>
      </c>
      <c r="C69" s="60" t="s">
        <v>5041</v>
      </c>
      <c r="D69" s="64">
        <f>IFERROR(VLOOKUP(C69,測定点マスタ!$E$2:$F$28,2,FALSE)/VLOOKUP(A69,'焼鈍条件-3CGL'!$A$2:$B$197,2,FALSE)*60,"")</f>
        <v>0</v>
      </c>
      <c r="E69" s="66">
        <v>39.9</v>
      </c>
      <c r="F69" s="64" t="str">
        <f t="shared" si="1"/>
        <v/>
      </c>
      <c r="G69" s="60" t="s">
        <v>12</v>
      </c>
      <c r="H69" s="60" t="s">
        <v>5064</v>
      </c>
    </row>
    <row r="70" spans="1:8">
      <c r="A70" s="59" t="s">
        <v>1927</v>
      </c>
      <c r="B70" s="62">
        <v>2</v>
      </c>
      <c r="C70" s="60" t="s">
        <v>5043</v>
      </c>
      <c r="D70" s="64">
        <f>IFERROR(VLOOKUP(C70,測定点マスタ!$E$2:$F$28,2,FALSE)/VLOOKUP(A70,'焼鈍条件-3CGL'!$A$2:$B$197,2,FALSE)*60,"")</f>
        <v>12.806101395865053</v>
      </c>
      <c r="E70" s="66">
        <v>174.2</v>
      </c>
      <c r="F70" s="64">
        <f t="shared" si="1"/>
        <v>10.487188555555553</v>
      </c>
      <c r="G70" s="60" t="s">
        <v>12</v>
      </c>
      <c r="H70" s="60" t="s">
        <v>5064</v>
      </c>
    </row>
    <row r="71" spans="1:8">
      <c r="A71" s="59" t="s">
        <v>1927</v>
      </c>
      <c r="B71" s="62">
        <v>3</v>
      </c>
      <c r="C71" s="60" t="s">
        <v>5044</v>
      </c>
      <c r="D71" s="64">
        <f>IFERROR(VLOOKUP(C71,測定点マスタ!$E$2:$F$28,2,FALSE)/VLOOKUP(A71,'焼鈍条件-3CGL'!$A$2:$B$197,2,FALSE)*60,"")</f>
        <v>29.027163163960786</v>
      </c>
      <c r="E71" s="66">
        <v>667.5</v>
      </c>
      <c r="F71" s="64">
        <f t="shared" si="1"/>
        <v>30.411079561403508</v>
      </c>
      <c r="G71" s="60" t="s">
        <v>12</v>
      </c>
      <c r="H71" s="60" t="s">
        <v>5064</v>
      </c>
    </row>
    <row r="72" spans="1:8">
      <c r="A72" s="59" t="s">
        <v>1927</v>
      </c>
      <c r="B72" s="62">
        <v>4</v>
      </c>
      <c r="C72" s="60" t="s">
        <v>5045</v>
      </c>
      <c r="D72" s="64">
        <f>IFERROR(VLOOKUP(C72,測定点マスタ!$E$2:$F$28,2,FALSE)/VLOOKUP(A72,'焼鈍条件-3CGL'!$A$2:$B$197,2,FALSE)*60,"")</f>
        <v>37.564564094537488</v>
      </c>
      <c r="E72" s="66">
        <v>825.7</v>
      </c>
      <c r="F72" s="64">
        <f t="shared" si="1"/>
        <v>18.530229666666671</v>
      </c>
      <c r="G72" s="60" t="s">
        <v>12</v>
      </c>
      <c r="H72" s="60" t="s">
        <v>5064</v>
      </c>
    </row>
    <row r="73" spans="1:8">
      <c r="A73" s="59" t="s">
        <v>1927</v>
      </c>
      <c r="B73" s="62">
        <v>5</v>
      </c>
      <c r="C73" s="60" t="s">
        <v>5047</v>
      </c>
      <c r="D73" s="64">
        <f>IFERROR(VLOOKUP(C73,測定点マスタ!$E$2:$F$28,2,FALSE)/VLOOKUP(A73,'焼鈍条件-3CGL'!$A$2:$B$197,2,FALSE)*60,"")</f>
        <v>51.224405583460211</v>
      </c>
      <c r="E73" s="66">
        <v>772.8</v>
      </c>
      <c r="F73" s="64">
        <f t="shared" si="1"/>
        <v>-3.8726657291666733</v>
      </c>
      <c r="G73" s="60" t="s">
        <v>12</v>
      </c>
      <c r="H73" s="60" t="s">
        <v>5064</v>
      </c>
    </row>
    <row r="74" spans="1:8">
      <c r="A74" s="59" t="s">
        <v>1927</v>
      </c>
      <c r="B74" s="62">
        <v>6</v>
      </c>
      <c r="C74" s="60" t="s">
        <v>5049</v>
      </c>
      <c r="D74" s="64">
        <f>IFERROR(VLOOKUP(C74,測定点マスタ!$E$2:$F$28,2,FALSE)/VLOOKUP(A74,'焼鈍条件-3CGL'!$A$2:$B$197,2,FALSE)*60,"")</f>
        <v>62.32302679320992</v>
      </c>
      <c r="E74" s="66">
        <v>622.79999999999995</v>
      </c>
      <c r="F74" s="64">
        <f t="shared" si="1"/>
        <v>-13.515192307692312</v>
      </c>
      <c r="G74" s="60" t="s">
        <v>12</v>
      </c>
      <c r="H74" s="60" t="s">
        <v>5064</v>
      </c>
    </row>
    <row r="75" spans="1:8">
      <c r="A75" s="59" t="s">
        <v>1927</v>
      </c>
      <c r="B75" s="62">
        <v>7</v>
      </c>
      <c r="C75" s="60" t="s">
        <v>5050</v>
      </c>
      <c r="D75" s="64">
        <f>IFERROR(VLOOKUP(C75,測定点マスタ!$E$2:$F$28,2,FALSE)/VLOOKUP(A75,'焼鈍条件-3CGL'!$A$2:$B$197,2,FALSE)*60,"")</f>
        <v>69.152947537671295</v>
      </c>
      <c r="E75" s="66">
        <v>488.3</v>
      </c>
      <c r="F75" s="64">
        <f t="shared" si="1"/>
        <v>-19.692761458333283</v>
      </c>
      <c r="G75" s="60" t="s">
        <v>12</v>
      </c>
      <c r="H75" s="60" t="s">
        <v>5064</v>
      </c>
    </row>
    <row r="76" spans="1:8">
      <c r="A76" s="59" t="s">
        <v>1927</v>
      </c>
      <c r="B76" s="62">
        <v>8</v>
      </c>
      <c r="C76" s="60" t="s">
        <v>5051</v>
      </c>
      <c r="D76" s="64">
        <f>IFERROR(VLOOKUP(C76,測定点マスタ!$E$2:$F$28,2,FALSE)/VLOOKUP(A76,'焼鈍条件-3CGL'!$A$2:$B$197,2,FALSE)*60,"")</f>
        <v>75.129128189074976</v>
      </c>
      <c r="E76" s="66">
        <v>442.1</v>
      </c>
      <c r="F76" s="64">
        <f t="shared" si="1"/>
        <v>-7.7306900000000116</v>
      </c>
      <c r="G76" s="60" t="s">
        <v>12</v>
      </c>
      <c r="H76" s="60" t="s">
        <v>5064</v>
      </c>
    </row>
    <row r="77" spans="1:8">
      <c r="A77" s="59" t="s">
        <v>1927</v>
      </c>
      <c r="B77" s="62">
        <v>9</v>
      </c>
      <c r="C77" s="60" t="s">
        <v>5052</v>
      </c>
      <c r="D77" s="64">
        <f>IFERROR(VLOOKUP(C77,測定点マスタ!$E$2:$F$28,2,FALSE)/VLOOKUP(A77,'焼鈍条件-3CGL'!$A$2:$B$197,2,FALSE)*60,"")</f>
        <v>82.812789026594018</v>
      </c>
      <c r="E77" s="66">
        <v>340.9</v>
      </c>
      <c r="F77" s="64">
        <f t="shared" si="1"/>
        <v>-13.170805185185172</v>
      </c>
      <c r="G77" s="60" t="s">
        <v>12</v>
      </c>
      <c r="H77" s="60" t="s">
        <v>5064</v>
      </c>
    </row>
    <row r="78" spans="1:8">
      <c r="A78" s="59" t="s">
        <v>1927</v>
      </c>
      <c r="B78" s="62">
        <v>10</v>
      </c>
      <c r="C78" s="60" t="s">
        <v>5053</v>
      </c>
      <c r="D78" s="64">
        <f>IFERROR(VLOOKUP(C78,測定点マスタ!$E$2:$F$28,2,FALSE)/VLOOKUP(A78,'焼鈍条件-3CGL'!$A$2:$B$197,2,FALSE)*60,"")</f>
        <v>93.05767014328606</v>
      </c>
      <c r="E78" s="66">
        <v>528.20000000000005</v>
      </c>
      <c r="F78" s="64">
        <f t="shared" si="1"/>
        <v>18.282300972222227</v>
      </c>
      <c r="G78" s="60" t="s">
        <v>12</v>
      </c>
      <c r="H78" s="60" t="s">
        <v>5064</v>
      </c>
    </row>
    <row r="79" spans="1:8">
      <c r="A79" s="59" t="s">
        <v>1927</v>
      </c>
      <c r="B79" s="62">
        <v>11</v>
      </c>
      <c r="C79" s="60" t="s">
        <v>5054</v>
      </c>
      <c r="D79" s="64">
        <f>IFERROR(VLOOKUP(C79,測定点マスタ!$E$2:$F$28,2,FALSE)/VLOOKUP(A79,'焼鈍条件-3CGL'!$A$2:$B$197,2,FALSE)*60,"")</f>
        <v>104.15629135303577</v>
      </c>
      <c r="E79" s="66">
        <v>510.3</v>
      </c>
      <c r="F79" s="64">
        <f t="shared" si="1"/>
        <v>-1.6128129487179523</v>
      </c>
      <c r="G79" s="60" t="s">
        <v>12</v>
      </c>
      <c r="H79" s="60" t="s">
        <v>5064</v>
      </c>
    </row>
    <row r="80" spans="1:8">
      <c r="A80" s="59" t="s">
        <v>1927</v>
      </c>
      <c r="B80" s="62">
        <v>12</v>
      </c>
      <c r="C80" s="60" t="s">
        <v>5056</v>
      </c>
      <c r="D80" s="64">
        <f>IFERROR(VLOOKUP(C80,測定点マスタ!$E$2:$F$28,2,FALSE)/VLOOKUP(A80,'焼鈍条件-3CGL'!$A$2:$B$197,2,FALSE)*60,"")</f>
        <v>113.54743237667013</v>
      </c>
      <c r="E80" s="66">
        <v>276.89999999999998</v>
      </c>
      <c r="F80" s="64">
        <f t="shared" si="1"/>
        <v>-24.853210000000029</v>
      </c>
      <c r="G80" s="60" t="s">
        <v>12</v>
      </c>
      <c r="H80" s="60" t="s">
        <v>5064</v>
      </c>
    </row>
    <row r="81" spans="1:8">
      <c r="A81" s="59" t="s">
        <v>1927</v>
      </c>
      <c r="B81" s="62">
        <v>13</v>
      </c>
      <c r="C81" s="60" t="s">
        <v>5062</v>
      </c>
      <c r="D81" s="64">
        <f>IFERROR(VLOOKUP(C81,測定点マスタ!$E$2:$F$28,2,FALSE)/VLOOKUP(A81,'焼鈍条件-3CGL'!$A$2:$B$197,2,FALSE)*60,"")</f>
        <v>123.79231349336219</v>
      </c>
      <c r="E81" s="66">
        <v>452.4</v>
      </c>
      <c r="F81" s="64">
        <f t="shared" si="1"/>
        <v>17.130506249999975</v>
      </c>
      <c r="G81" s="60" t="s">
        <v>12</v>
      </c>
      <c r="H81" s="60" t="s">
        <v>5064</v>
      </c>
    </row>
    <row r="82" spans="1:8">
      <c r="A82" s="59" t="s">
        <v>1927</v>
      </c>
      <c r="B82" s="62">
        <v>14</v>
      </c>
      <c r="C82" s="60" t="s">
        <v>5065</v>
      </c>
      <c r="D82" s="64">
        <f>IFERROR(VLOOKUP(C82,測定点マスタ!$E$2:$F$28,2,FALSE)/VLOOKUP(A82,'焼鈍条件-3CGL'!$A$2:$B$197,2,FALSE)*60,"")</f>
        <v>125.31684937382205</v>
      </c>
      <c r="E82" s="66">
        <v>546.5</v>
      </c>
      <c r="F82" s="64">
        <f t="shared" si="1"/>
        <v>61.72370306667721</v>
      </c>
      <c r="G82" s="60" t="s">
        <v>12</v>
      </c>
      <c r="H82" s="60" t="s">
        <v>5064</v>
      </c>
    </row>
    <row r="83" spans="1:8">
      <c r="A83" s="59" t="s">
        <v>1927</v>
      </c>
      <c r="B83" s="62">
        <v>15</v>
      </c>
      <c r="C83" s="60" t="s">
        <v>5066</v>
      </c>
      <c r="D83" s="64">
        <f>IFERROR(VLOOKUP(C83,測定点マスタ!$E$2:$F$28,2,FALSE)/VLOOKUP(A83,'焼鈍条件-3CGL'!$A$2:$B$197,2,FALSE)*60,"")</f>
        <v>130.4697806497779</v>
      </c>
      <c r="E83" s="66">
        <v>531.29999999999995</v>
      </c>
      <c r="F83" s="64">
        <f t="shared" si="1"/>
        <v>-2.9497773570016221</v>
      </c>
      <c r="G83" s="60" t="s">
        <v>12</v>
      </c>
      <c r="H83" s="60" t="s">
        <v>5064</v>
      </c>
    </row>
    <row r="84" spans="1:8">
      <c r="A84" s="59" t="s">
        <v>1927</v>
      </c>
      <c r="B84" s="62">
        <v>16</v>
      </c>
      <c r="C84" s="60" t="s">
        <v>5057</v>
      </c>
      <c r="D84" s="64">
        <f>IFERROR(VLOOKUP(C84,測定点マスタ!$E$2:$F$28,2,FALSE)/VLOOKUP(A84,'焼鈍条件-3CGL'!$A$2:$B$197,2,FALSE)*60,"")</f>
        <v>140.77564320168784</v>
      </c>
      <c r="E84" s="66">
        <v>208.4</v>
      </c>
      <c r="F84" s="64">
        <f t="shared" si="1"/>
        <v>-31.331681203157359</v>
      </c>
      <c r="G84" s="60" t="s">
        <v>12</v>
      </c>
      <c r="H84" s="60" t="s">
        <v>5064</v>
      </c>
    </row>
    <row r="85" spans="1:8">
      <c r="A85" s="59" t="s">
        <v>1927</v>
      </c>
      <c r="B85" s="62">
        <v>17</v>
      </c>
      <c r="C85" s="60" t="s">
        <v>5059</v>
      </c>
      <c r="D85" s="64">
        <f>IFERROR(VLOOKUP(C85,測定点マスタ!$E$2:$F$28,2,FALSE)/VLOOKUP(A85,'焼鈍条件-3CGL'!$A$2:$B$197,2,FALSE)*60,"")</f>
        <v>151.08150575359866</v>
      </c>
      <c r="E85" s="66">
        <v>53.7</v>
      </c>
      <c r="F85" s="64">
        <f t="shared" si="1"/>
        <v>-15.010873589743044</v>
      </c>
      <c r="G85" s="60" t="s">
        <v>12</v>
      </c>
      <c r="H85" s="60" t="s">
        <v>5064</v>
      </c>
    </row>
    <row r="86" spans="1:8">
      <c r="A86" s="59" t="s">
        <v>1936</v>
      </c>
      <c r="B86" s="62">
        <v>1</v>
      </c>
      <c r="C86" s="60" t="s">
        <v>5041</v>
      </c>
      <c r="D86" s="64">
        <f>IFERROR(VLOOKUP(C86,測定点マスタ!$E$2:$F$28,2,FALSE)/VLOOKUP(A86,'焼鈍条件-3CGL'!$A$2:$B$197,2,FALSE)*60,"")</f>
        <v>0</v>
      </c>
      <c r="E86" s="66">
        <v>38.1</v>
      </c>
      <c r="F86" s="64" t="str">
        <f t="shared" si="1"/>
        <v/>
      </c>
      <c r="G86" s="60" t="s">
        <v>12</v>
      </c>
      <c r="H86" s="60" t="s">
        <v>5064</v>
      </c>
    </row>
    <row r="87" spans="1:8">
      <c r="A87" s="59" t="s">
        <v>1936</v>
      </c>
      <c r="B87" s="62">
        <v>2</v>
      </c>
      <c r="C87" s="60" t="s">
        <v>5043</v>
      </c>
      <c r="D87" s="64">
        <f>IFERROR(VLOOKUP(C87,測定点マスタ!$E$2:$F$28,2,FALSE)/VLOOKUP(A87,'焼鈍条件-3CGL'!$A$2:$B$197,2,FALSE)*60,"")</f>
        <v>14.82799525504152</v>
      </c>
      <c r="E87" s="66">
        <v>189.9</v>
      </c>
      <c r="F87" s="64">
        <f t="shared" si="1"/>
        <v>10.237392</v>
      </c>
      <c r="G87" s="60" t="s">
        <v>12</v>
      </c>
      <c r="H87" s="60" t="s">
        <v>5064</v>
      </c>
    </row>
    <row r="88" spans="1:8">
      <c r="A88" s="59" t="s">
        <v>1936</v>
      </c>
      <c r="B88" s="62">
        <v>3</v>
      </c>
      <c r="C88" s="60" t="s">
        <v>5044</v>
      </c>
      <c r="D88" s="64">
        <f>IFERROR(VLOOKUP(C88,測定点マスタ!$E$2:$F$28,2,FALSE)/VLOOKUP(A88,'焼鈍条件-3CGL'!$A$2:$B$197,2,FALSE)*60,"")</f>
        <v>33.610122578094114</v>
      </c>
      <c r="E88" s="66">
        <v>656.9</v>
      </c>
      <c r="F88" s="64">
        <f t="shared" si="1"/>
        <v>24.864063157894734</v>
      </c>
      <c r="G88" s="60" t="s">
        <v>12</v>
      </c>
      <c r="H88" s="60" t="s">
        <v>5064</v>
      </c>
    </row>
    <row r="89" spans="1:8">
      <c r="A89" s="59" t="s">
        <v>1936</v>
      </c>
      <c r="B89" s="62">
        <v>4</v>
      </c>
      <c r="C89" s="60" t="s">
        <v>5045</v>
      </c>
      <c r="D89" s="64">
        <f>IFERROR(VLOOKUP(C89,測定点マスタ!$E$2:$F$28,2,FALSE)/VLOOKUP(A89,'焼鈍条件-3CGL'!$A$2:$B$197,2,FALSE)*60,"")</f>
        <v>43.495452748121785</v>
      </c>
      <c r="E89" s="66">
        <v>790.3</v>
      </c>
      <c r="F89" s="64">
        <f t="shared" si="1"/>
        <v>13.494744000000008</v>
      </c>
      <c r="G89" s="60" t="s">
        <v>12</v>
      </c>
      <c r="H89" s="60" t="s">
        <v>5064</v>
      </c>
    </row>
    <row r="90" spans="1:8">
      <c r="A90" s="59" t="s">
        <v>1936</v>
      </c>
      <c r="B90" s="62">
        <v>5</v>
      </c>
      <c r="C90" s="60" t="s">
        <v>5047</v>
      </c>
      <c r="D90" s="64">
        <f>IFERROR(VLOOKUP(C90,測定点マスタ!$E$2:$F$28,2,FALSE)/VLOOKUP(A90,'焼鈍条件-3CGL'!$A$2:$B$197,2,FALSE)*60,"")</f>
        <v>59.31198102016608</v>
      </c>
      <c r="E90" s="66">
        <v>712.1</v>
      </c>
      <c r="F90" s="64">
        <f t="shared" si="1"/>
        <v>-4.9441949999999935</v>
      </c>
      <c r="G90" s="60" t="s">
        <v>12</v>
      </c>
      <c r="H90" s="60" t="s">
        <v>5064</v>
      </c>
    </row>
    <row r="91" spans="1:8">
      <c r="A91" s="59" t="s">
        <v>1936</v>
      </c>
      <c r="B91" s="62">
        <v>6</v>
      </c>
      <c r="C91" s="60" t="s">
        <v>5049</v>
      </c>
      <c r="D91" s="64">
        <f>IFERROR(VLOOKUP(C91,測定点マスタ!$E$2:$F$28,2,FALSE)/VLOOKUP(A91,'焼鈍条件-3CGL'!$A$2:$B$197,2,FALSE)*60,"")</f>
        <v>72.162910241202056</v>
      </c>
      <c r="E91" s="66">
        <v>581.20000000000005</v>
      </c>
      <c r="F91" s="64">
        <f t="shared" si="1"/>
        <v>-10.186033846153849</v>
      </c>
      <c r="G91" s="60" t="s">
        <v>12</v>
      </c>
      <c r="H91" s="60" t="s">
        <v>5064</v>
      </c>
    </row>
    <row r="92" spans="1:8">
      <c r="A92" s="59" t="s">
        <v>1936</v>
      </c>
      <c r="B92" s="62">
        <v>7</v>
      </c>
      <c r="C92" s="60" t="s">
        <v>5050</v>
      </c>
      <c r="D92" s="64">
        <f>IFERROR(VLOOKUP(C92,測定点マスタ!$E$2:$F$28,2,FALSE)/VLOOKUP(A92,'焼鈍条件-3CGL'!$A$2:$B$197,2,FALSE)*60,"")</f>
        <v>80.071174377224196</v>
      </c>
      <c r="E92" s="66">
        <v>493.9</v>
      </c>
      <c r="F92" s="64">
        <f t="shared" si="1"/>
        <v>-11.039085000000012</v>
      </c>
      <c r="G92" s="60" t="s">
        <v>12</v>
      </c>
      <c r="H92" s="60" t="s">
        <v>5064</v>
      </c>
    </row>
    <row r="93" spans="1:8">
      <c r="A93" s="59" t="s">
        <v>1936</v>
      </c>
      <c r="B93" s="62">
        <v>8</v>
      </c>
      <c r="C93" s="60" t="s">
        <v>5051</v>
      </c>
      <c r="D93" s="64">
        <f>IFERROR(VLOOKUP(C93,測定点マスタ!$E$2:$F$28,2,FALSE)/VLOOKUP(A93,'焼鈍条件-3CGL'!$A$2:$B$197,2,FALSE)*60,"")</f>
        <v>86.99090549624357</v>
      </c>
      <c r="E93" s="66">
        <v>455</v>
      </c>
      <c r="F93" s="64">
        <f t="shared" si="1"/>
        <v>-5.6216057142857121</v>
      </c>
      <c r="G93" s="60" t="s">
        <v>12</v>
      </c>
      <c r="H93" s="60" t="s">
        <v>5064</v>
      </c>
    </row>
    <row r="94" spans="1:8">
      <c r="A94" s="59" t="s">
        <v>1936</v>
      </c>
      <c r="B94" s="62">
        <v>9</v>
      </c>
      <c r="C94" s="60" t="s">
        <v>5052</v>
      </c>
      <c r="D94" s="64">
        <f>IFERROR(VLOOKUP(C94,測定点マスタ!$E$2:$F$28,2,FALSE)/VLOOKUP(A94,'焼鈍条件-3CGL'!$A$2:$B$197,2,FALSE)*60,"")</f>
        <v>95.887702649268491</v>
      </c>
      <c r="E94" s="66">
        <v>333.9</v>
      </c>
      <c r="F94" s="64">
        <f t="shared" si="1"/>
        <v>-13.611639999999989</v>
      </c>
      <c r="G94" s="60" t="s">
        <v>12</v>
      </c>
      <c r="H94" s="60" t="s">
        <v>5064</v>
      </c>
    </row>
    <row r="95" spans="1:8">
      <c r="A95" s="59" t="s">
        <v>1936</v>
      </c>
      <c r="B95" s="62">
        <v>10</v>
      </c>
      <c r="C95" s="60" t="s">
        <v>5053</v>
      </c>
      <c r="D95" s="64">
        <f>IFERROR(VLOOKUP(C95,測定点マスタ!$E$2:$F$28,2,FALSE)/VLOOKUP(A95,'焼鈍条件-3CGL'!$A$2:$B$197,2,FALSE)*60,"")</f>
        <v>107.75009885330171</v>
      </c>
      <c r="E95" s="66">
        <v>498</v>
      </c>
      <c r="F95" s="64">
        <f t="shared" si="1"/>
        <v>13.833629999999999</v>
      </c>
      <c r="G95" s="60" t="s">
        <v>12</v>
      </c>
      <c r="H95" s="60" t="s">
        <v>5064</v>
      </c>
    </row>
    <row r="96" spans="1:8">
      <c r="A96" s="59" t="s">
        <v>1936</v>
      </c>
      <c r="B96" s="62">
        <v>11</v>
      </c>
      <c r="C96" s="60" t="s">
        <v>5054</v>
      </c>
      <c r="D96" s="64">
        <f>IFERROR(VLOOKUP(C96,測定点マスタ!$E$2:$F$28,2,FALSE)/VLOOKUP(A96,'焼鈍条件-3CGL'!$A$2:$B$197,2,FALSE)*60,"")</f>
        <v>120.60102807433768</v>
      </c>
      <c r="E96" s="66">
        <v>484.6</v>
      </c>
      <c r="F96" s="64">
        <f t="shared" si="1"/>
        <v>-1.0427261538461532</v>
      </c>
      <c r="G96" s="60" t="s">
        <v>12</v>
      </c>
      <c r="H96" s="60" t="s">
        <v>5064</v>
      </c>
    </row>
    <row r="97" spans="1:8">
      <c r="A97" s="59" t="s">
        <v>1936</v>
      </c>
      <c r="B97" s="62">
        <v>12</v>
      </c>
      <c r="C97" s="60" t="s">
        <v>5056</v>
      </c>
      <c r="D97" s="64">
        <f>IFERROR(VLOOKUP(C97,測定点マスタ!$E$2:$F$28,2,FALSE)/VLOOKUP(A97,'焼鈍条件-3CGL'!$A$2:$B$197,2,FALSE)*60,"")</f>
        <v>131.47489126136813</v>
      </c>
      <c r="E97" s="66">
        <v>251</v>
      </c>
      <c r="F97" s="64">
        <f t="shared" si="1"/>
        <v>-21.482705454545446</v>
      </c>
      <c r="G97" s="60" t="s">
        <v>12</v>
      </c>
      <c r="H97" s="60" t="s">
        <v>5064</v>
      </c>
    </row>
    <row r="98" spans="1:8">
      <c r="A98" s="59" t="s">
        <v>1936</v>
      </c>
      <c r="B98" s="62">
        <v>13</v>
      </c>
      <c r="C98" s="60" t="s">
        <v>5062</v>
      </c>
      <c r="D98" s="64">
        <f>IFERROR(VLOOKUP(C98,測定点マスタ!$E$2:$F$28,2,FALSE)/VLOOKUP(A98,'焼鈍条件-3CGL'!$A$2:$B$197,2,FALSE)*60,"")</f>
        <v>143.33728746540135</v>
      </c>
      <c r="E98" s="66">
        <v>460.8</v>
      </c>
      <c r="F98" s="64">
        <f t="shared" si="1"/>
        <v>17.686139999999998</v>
      </c>
      <c r="G98" s="60" t="s">
        <v>12</v>
      </c>
      <c r="H98" s="60" t="s">
        <v>5064</v>
      </c>
    </row>
    <row r="99" spans="1:8">
      <c r="A99" s="59" t="s">
        <v>1936</v>
      </c>
      <c r="B99" s="62">
        <v>14</v>
      </c>
      <c r="C99" s="60" t="s">
        <v>5065</v>
      </c>
      <c r="D99" s="64">
        <f>IFERROR(VLOOKUP(C99,測定点マスタ!$E$2:$F$28,2,FALSE)/VLOOKUP(A99,'焼鈍条件-3CGL'!$A$2:$B$197,2,FALSE)*60,"")</f>
        <v>145.10252499576316</v>
      </c>
      <c r="E99" s="66">
        <v>543.29999999999995</v>
      </c>
      <c r="F99" s="64">
        <f t="shared" si="1"/>
        <v>46.735920000007113</v>
      </c>
      <c r="G99" s="60" t="s">
        <v>12</v>
      </c>
      <c r="H99" s="60" t="s">
        <v>5064</v>
      </c>
    </row>
    <row r="100" spans="1:8">
      <c r="A100" s="59" t="s">
        <v>1936</v>
      </c>
      <c r="B100" s="62">
        <v>15</v>
      </c>
      <c r="C100" s="60" t="s">
        <v>5066</v>
      </c>
      <c r="D100" s="64">
        <f>IFERROR(VLOOKUP(C100,測定点マスタ!$E$2:$F$28,2,FALSE)/VLOOKUP(A100,'焼鈍条件-3CGL'!$A$2:$B$197,2,FALSE)*60,"")</f>
        <v>151.06902784838772</v>
      </c>
      <c r="E100" s="66">
        <v>533.20000000000005</v>
      </c>
      <c r="F100" s="64">
        <f t="shared" si="1"/>
        <v>-1.6927839053252274</v>
      </c>
      <c r="G100" s="60" t="s">
        <v>12</v>
      </c>
      <c r="H100" s="60" t="s">
        <v>5064</v>
      </c>
    </row>
    <row r="101" spans="1:8">
      <c r="A101" s="59" t="s">
        <v>1936</v>
      </c>
      <c r="B101" s="62">
        <v>16</v>
      </c>
      <c r="C101" s="60" t="s">
        <v>5057</v>
      </c>
      <c r="D101" s="64">
        <f>IFERROR(VLOOKUP(C101,測定点マスタ!$E$2:$F$28,2,FALSE)/VLOOKUP(A101,'焼鈍条件-3CGL'!$A$2:$B$197,2,FALSE)*60,"")</f>
        <v>163.00203355363485</v>
      </c>
      <c r="E101" s="66">
        <v>188.1</v>
      </c>
      <c r="F101" s="64">
        <f t="shared" si="1"/>
        <v>-28.919788402368251</v>
      </c>
      <c r="G101" s="60" t="s">
        <v>12</v>
      </c>
      <c r="H101" s="60" t="s">
        <v>5064</v>
      </c>
    </row>
    <row r="102" spans="1:8">
      <c r="A102" s="59" t="s">
        <v>1936</v>
      </c>
      <c r="B102" s="62">
        <v>17</v>
      </c>
      <c r="C102" s="60" t="s">
        <v>5059</v>
      </c>
      <c r="D102" s="64">
        <f>IFERROR(VLOOKUP(C102,測定点マスタ!$E$2:$F$28,2,FALSE)/VLOOKUP(A102,'焼鈍条件-3CGL'!$A$2:$B$197,2,FALSE)*60,"")</f>
        <v>174.93503925888297</v>
      </c>
      <c r="E102" s="66">
        <v>46.8</v>
      </c>
      <c r="F102" s="64">
        <f t="shared" si="1"/>
        <v>-11.841107218934493</v>
      </c>
      <c r="G102" s="60" t="s">
        <v>12</v>
      </c>
      <c r="H102" s="60" t="s">
        <v>5064</v>
      </c>
    </row>
    <row r="103" spans="1:8">
      <c r="A103" s="59" t="s">
        <v>1939</v>
      </c>
      <c r="B103" s="62">
        <v>1</v>
      </c>
      <c r="C103" s="60" t="s">
        <v>5041</v>
      </c>
      <c r="D103" s="64">
        <f>IFERROR(VLOOKUP(C103,測定点マスタ!$E$2:$F$28,2,FALSE)/VLOOKUP(A103,'焼鈍条件-3CGL'!$A$2:$B$197,2,FALSE)*60,"")</f>
        <v>0</v>
      </c>
      <c r="E103" s="66">
        <v>37.700000000000003</v>
      </c>
      <c r="F103" s="64" t="str">
        <f t="shared" si="1"/>
        <v/>
      </c>
      <c r="G103" s="60" t="s">
        <v>9</v>
      </c>
      <c r="H103" s="60" t="s">
        <v>5061</v>
      </c>
    </row>
    <row r="104" spans="1:8">
      <c r="A104" s="59" t="s">
        <v>1939</v>
      </c>
      <c r="B104" s="62">
        <v>2</v>
      </c>
      <c r="C104" s="60" t="s">
        <v>5043</v>
      </c>
      <c r="D104" s="64">
        <f>IFERROR(VLOOKUP(C104,測定点マスタ!$E$2:$F$28,2,FALSE)/VLOOKUP(A104,'焼鈍条件-3CGL'!$A$2:$B$197,2,FALSE)*60,"")</f>
        <v>6.7357706844291432</v>
      </c>
      <c r="E104" s="66">
        <v>170</v>
      </c>
      <c r="F104" s="64">
        <f t="shared" si="1"/>
        <v>19.641405000000002</v>
      </c>
      <c r="G104" s="60" t="s">
        <v>9</v>
      </c>
      <c r="H104" s="60" t="s">
        <v>5061</v>
      </c>
    </row>
    <row r="105" spans="1:8">
      <c r="A105" s="59" t="s">
        <v>1939</v>
      </c>
      <c r="B105" s="62">
        <v>3</v>
      </c>
      <c r="C105" s="60" t="s">
        <v>5067</v>
      </c>
      <c r="D105" s="64">
        <f>IFERROR(VLOOKUP(C105,測定点マスタ!$E$2:$F$28,2,FALSE)/VLOOKUP(A105,'焼鈍条件-3CGL'!$A$2:$B$197,2,FALSE)*60,"")</f>
        <v>11.226284474048573</v>
      </c>
      <c r="E105" s="66">
        <v>335.9</v>
      </c>
      <c r="F105" s="64">
        <f t="shared" si="1"/>
        <v>36.944547499999992</v>
      </c>
      <c r="G105" s="60" t="s">
        <v>9</v>
      </c>
      <c r="H105" s="60" t="s">
        <v>5061</v>
      </c>
    </row>
    <row r="106" spans="1:8">
      <c r="A106" s="59" t="s">
        <v>1939</v>
      </c>
      <c r="B106" s="62">
        <v>4</v>
      </c>
      <c r="C106" s="60" t="s">
        <v>5044</v>
      </c>
      <c r="D106" s="64">
        <f>IFERROR(VLOOKUP(C106,測定点マスタ!$E$2:$F$28,2,FALSE)/VLOOKUP(A106,'焼鈍条件-3CGL'!$A$2:$B$197,2,FALSE)*60,"")</f>
        <v>15.267746884706057</v>
      </c>
      <c r="E106" s="66">
        <v>621.70000000000005</v>
      </c>
      <c r="F106" s="64">
        <f t="shared" si="1"/>
        <v>70.716975925925979</v>
      </c>
      <c r="G106" s="60" t="s">
        <v>9</v>
      </c>
      <c r="H106" s="60" t="s">
        <v>5061</v>
      </c>
    </row>
    <row r="107" spans="1:8">
      <c r="A107" s="59" t="s">
        <v>1939</v>
      </c>
      <c r="B107" s="62">
        <v>5</v>
      </c>
      <c r="C107" s="60" t="s">
        <v>5045</v>
      </c>
      <c r="D107" s="64">
        <f>IFERROR(VLOOKUP(C107,測定点マスタ!$E$2:$F$28,2,FALSE)/VLOOKUP(A107,'焼鈍条件-3CGL'!$A$2:$B$197,2,FALSE)*60,"")</f>
        <v>19.758260674325488</v>
      </c>
      <c r="E107" s="66">
        <v>742.5</v>
      </c>
      <c r="F107" s="64">
        <f t="shared" si="1"/>
        <v>26.901153333333308</v>
      </c>
      <c r="G107" s="60" t="s">
        <v>9</v>
      </c>
      <c r="H107" s="60" t="s">
        <v>5061</v>
      </c>
    </row>
    <row r="108" spans="1:8">
      <c r="A108" s="59" t="s">
        <v>1939</v>
      </c>
      <c r="B108" s="62">
        <v>6</v>
      </c>
      <c r="C108" s="60" t="s">
        <v>5046</v>
      </c>
      <c r="D108" s="64">
        <f>IFERROR(VLOOKUP(C108,測定点マスタ!$E$2:$F$28,2,FALSE)/VLOOKUP(A108,'焼鈍条件-3CGL'!$A$2:$B$197,2,FALSE)*60,"")</f>
        <v>24.248774463944915</v>
      </c>
      <c r="E108" s="66">
        <v>717.8</v>
      </c>
      <c r="F108" s="64">
        <f t="shared" si="1"/>
        <v>-5.5004841666666788</v>
      </c>
      <c r="G108" s="60" t="s">
        <v>9</v>
      </c>
      <c r="H108" s="60" t="s">
        <v>5061</v>
      </c>
    </row>
    <row r="109" spans="1:8">
      <c r="A109" s="59" t="s">
        <v>1939</v>
      </c>
      <c r="B109" s="62">
        <v>7</v>
      </c>
      <c r="C109" s="60" t="s">
        <v>5047</v>
      </c>
      <c r="D109" s="64">
        <f>IFERROR(VLOOKUP(C109,測定点マスタ!$E$2:$F$28,2,FALSE)/VLOOKUP(A109,'焼鈍条件-3CGL'!$A$2:$B$197,2,FALSE)*60,"")</f>
        <v>26.943082737716573</v>
      </c>
      <c r="E109" s="66">
        <v>691.3</v>
      </c>
      <c r="F109" s="64">
        <f t="shared" si="1"/>
        <v>-9.8355486111111112</v>
      </c>
      <c r="G109" s="60" t="s">
        <v>9</v>
      </c>
      <c r="H109" s="60" t="s">
        <v>5061</v>
      </c>
    </row>
    <row r="110" spans="1:8">
      <c r="A110" s="59" t="s">
        <v>1939</v>
      </c>
      <c r="B110" s="62">
        <v>8</v>
      </c>
      <c r="C110" s="60" t="s">
        <v>5049</v>
      </c>
      <c r="D110" s="64">
        <f>IFERROR(VLOOKUP(C110,測定点マスタ!$E$2:$F$28,2,FALSE)/VLOOKUP(A110,'焼鈍条件-3CGL'!$A$2:$B$197,2,FALSE)*60,"")</f>
        <v>32.780750664221827</v>
      </c>
      <c r="E110" s="66">
        <v>551.9</v>
      </c>
      <c r="F110" s="64">
        <f t="shared" si="1"/>
        <v>-23.879398717948728</v>
      </c>
      <c r="G110" s="60" t="s">
        <v>9</v>
      </c>
      <c r="H110" s="60" t="s">
        <v>5061</v>
      </c>
    </row>
    <row r="111" spans="1:8">
      <c r="A111" s="59" t="s">
        <v>1939</v>
      </c>
      <c r="B111" s="62">
        <v>9</v>
      </c>
      <c r="C111" s="60" t="s">
        <v>5050</v>
      </c>
      <c r="D111" s="64">
        <f>IFERROR(VLOOKUP(C111,測定点マスタ!$E$2:$F$28,2,FALSE)/VLOOKUP(A111,'焼鈍条件-3CGL'!$A$2:$B$197,2,FALSE)*60,"")</f>
        <v>36.373161695917375</v>
      </c>
      <c r="E111" s="66">
        <v>470.5</v>
      </c>
      <c r="F111" s="64">
        <f t="shared" si="1"/>
        <v>-22.658877083333298</v>
      </c>
      <c r="G111" s="60" t="s">
        <v>9</v>
      </c>
      <c r="H111" s="60" t="s">
        <v>5061</v>
      </c>
    </row>
    <row r="112" spans="1:8">
      <c r="A112" s="59" t="s">
        <v>1939</v>
      </c>
      <c r="B112" s="62">
        <v>10</v>
      </c>
      <c r="C112" s="60" t="s">
        <v>5051</v>
      </c>
      <c r="D112" s="64">
        <f>IFERROR(VLOOKUP(C112,測定点マスタ!$E$2:$F$28,2,FALSE)/VLOOKUP(A112,'焼鈍条件-3CGL'!$A$2:$B$197,2,FALSE)*60,"")</f>
        <v>39.516521348650976</v>
      </c>
      <c r="E112" s="66">
        <v>417.6</v>
      </c>
      <c r="F112" s="64">
        <f t="shared" si="1"/>
        <v>-16.829127380952372</v>
      </c>
      <c r="G112" s="60" t="s">
        <v>9</v>
      </c>
      <c r="H112" s="60" t="s">
        <v>5061</v>
      </c>
    </row>
    <row r="113" spans="1:8">
      <c r="A113" s="59" t="s">
        <v>1939</v>
      </c>
      <c r="B113" s="62">
        <v>11</v>
      </c>
      <c r="C113" s="60" t="s">
        <v>5052</v>
      </c>
      <c r="D113" s="64">
        <f>IFERROR(VLOOKUP(C113,測定点マスタ!$E$2:$F$28,2,FALSE)/VLOOKUP(A113,'焼鈍条件-3CGL'!$A$2:$B$197,2,FALSE)*60,"")</f>
        <v>43.557983759308463</v>
      </c>
      <c r="E113" s="66">
        <v>329</v>
      </c>
      <c r="F113" s="64">
        <f t="shared" si="1"/>
        <v>-21.922757407407403</v>
      </c>
      <c r="G113" s="60" t="s">
        <v>9</v>
      </c>
      <c r="H113" s="60" t="s">
        <v>5061</v>
      </c>
    </row>
    <row r="114" spans="1:8">
      <c r="A114" s="59" t="s">
        <v>1939</v>
      </c>
      <c r="B114" s="62">
        <v>12</v>
      </c>
      <c r="C114" s="60" t="s">
        <v>5053</v>
      </c>
      <c r="D114" s="64">
        <f>IFERROR(VLOOKUP(C114,測定点マスタ!$E$2:$F$28,2,FALSE)/VLOOKUP(A114,'焼鈍条件-3CGL'!$A$2:$B$197,2,FALSE)*60,"")</f>
        <v>48.946600306851771</v>
      </c>
      <c r="E114" s="66">
        <v>493.2</v>
      </c>
      <c r="F114" s="64">
        <f t="shared" si="1"/>
        <v>30.471643055555596</v>
      </c>
      <c r="G114" s="60" t="s">
        <v>9</v>
      </c>
      <c r="H114" s="60" t="s">
        <v>5061</v>
      </c>
    </row>
    <row r="115" spans="1:8">
      <c r="A115" s="59" t="s">
        <v>1939</v>
      </c>
      <c r="B115" s="62">
        <v>13</v>
      </c>
      <c r="C115" s="60" t="s">
        <v>5063</v>
      </c>
      <c r="D115" s="64">
        <f>IFERROR(VLOOKUP(C115,測定点マスタ!$E$2:$F$28,2,FALSE)/VLOOKUP(A115,'焼鈍条件-3CGL'!$A$2:$B$197,2,FALSE)*60,"")</f>
        <v>51.640908580623432</v>
      </c>
      <c r="E115" s="66">
        <v>498.8</v>
      </c>
      <c r="F115" s="64">
        <f t="shared" si="1"/>
        <v>2.0784555555555615</v>
      </c>
      <c r="G115" s="60" t="s">
        <v>9</v>
      </c>
      <c r="H115" s="60" t="s">
        <v>5061</v>
      </c>
    </row>
    <row r="116" spans="1:8">
      <c r="A116" s="59" t="s">
        <v>1939</v>
      </c>
      <c r="B116" s="62">
        <v>14</v>
      </c>
      <c r="C116" s="60" t="s">
        <v>5054</v>
      </c>
      <c r="D116" s="64">
        <f>IFERROR(VLOOKUP(C116,測定点マスタ!$E$2:$F$28,2,FALSE)/VLOOKUP(A116,'焼鈍条件-3CGL'!$A$2:$B$197,2,FALSE)*60,"")</f>
        <v>54.784268233357025</v>
      </c>
      <c r="E116" s="66">
        <v>478.6</v>
      </c>
      <c r="F116" s="64">
        <f t="shared" si="1"/>
        <v>-6.4262452380952482</v>
      </c>
      <c r="G116" s="60" t="s">
        <v>9</v>
      </c>
      <c r="H116" s="60" t="s">
        <v>5061</v>
      </c>
    </row>
    <row r="117" spans="1:8">
      <c r="A117" s="59" t="s">
        <v>1939</v>
      </c>
      <c r="B117" s="62">
        <v>15</v>
      </c>
      <c r="C117" s="60" t="s">
        <v>5056</v>
      </c>
      <c r="D117" s="64">
        <f>IFERROR(VLOOKUP(C117,測定点マスタ!$E$2:$F$28,2,FALSE)/VLOOKUP(A117,'焼鈍条件-3CGL'!$A$2:$B$197,2,FALSE)*60,"")</f>
        <v>59.723833401938407</v>
      </c>
      <c r="E117" s="66">
        <v>252.6</v>
      </c>
      <c r="F117" s="64">
        <f t="shared" si="1"/>
        <v>-45.753015151515065</v>
      </c>
      <c r="G117" s="60" t="s">
        <v>9</v>
      </c>
      <c r="H117" s="60" t="s">
        <v>5061</v>
      </c>
    </row>
    <row r="118" spans="1:8">
      <c r="A118" s="59" t="s">
        <v>1939</v>
      </c>
      <c r="B118" s="62">
        <v>16</v>
      </c>
      <c r="C118" s="60" t="s">
        <v>5062</v>
      </c>
      <c r="D118" s="64">
        <f>IFERROR(VLOOKUP(C118,測定点マスタ!$E$2:$F$28,2,FALSE)/VLOOKUP(A118,'焼鈍条件-3CGL'!$A$2:$B$197,2,FALSE)*60,"")</f>
        <v>65.112449949481714</v>
      </c>
      <c r="E118" s="66">
        <v>467.2</v>
      </c>
      <c r="F118" s="64">
        <f t="shared" si="1"/>
        <v>39.824693055555606</v>
      </c>
      <c r="G118" s="60" t="s">
        <v>9</v>
      </c>
      <c r="H118" s="60" t="s">
        <v>5061</v>
      </c>
    </row>
    <row r="119" spans="1:8">
      <c r="A119" s="59" t="s">
        <v>1939</v>
      </c>
      <c r="B119" s="62">
        <v>17</v>
      </c>
      <c r="C119" s="60" t="s">
        <v>5068</v>
      </c>
      <c r="D119" s="64">
        <f>IFERROR(VLOOKUP(C119,測定点マスタ!$E$2:$F$28,2,FALSE)/VLOOKUP(A119,'焼鈍条件-3CGL'!$A$2:$B$197,2,FALSE)*60,"")</f>
        <v>71.335019057954412</v>
      </c>
      <c r="E119" s="66">
        <v>372.4</v>
      </c>
      <c r="F119" s="64">
        <f t="shared" si="1"/>
        <v>-15.234864948453463</v>
      </c>
      <c r="G119" s="60" t="s">
        <v>9</v>
      </c>
      <c r="H119" s="60" t="s">
        <v>5061</v>
      </c>
    </row>
    <row r="120" spans="1:8">
      <c r="A120" s="59" t="s">
        <v>1939</v>
      </c>
      <c r="B120" s="62">
        <v>18</v>
      </c>
      <c r="C120" s="60" t="s">
        <v>5057</v>
      </c>
      <c r="D120" s="64">
        <f>IFERROR(VLOOKUP(C120,測定点マスタ!$E$2:$F$28,2,FALSE)/VLOOKUP(A120,'焼鈍条件-3CGL'!$A$2:$B$197,2,FALSE)*60,"")</f>
        <v>74.045364880974589</v>
      </c>
      <c r="E120" s="66">
        <v>266.8</v>
      </c>
      <c r="F120" s="64">
        <f t="shared" si="1"/>
        <v>-38.961817751481021</v>
      </c>
      <c r="G120" s="60" t="s">
        <v>9</v>
      </c>
      <c r="H120" s="60" t="s">
        <v>5061</v>
      </c>
    </row>
    <row r="121" spans="1:8">
      <c r="A121" s="59" t="s">
        <v>1939</v>
      </c>
      <c r="B121" s="62">
        <v>19</v>
      </c>
      <c r="C121" s="60" t="s">
        <v>5058</v>
      </c>
      <c r="D121" s="64">
        <f>IFERROR(VLOOKUP(C121,測定点マスタ!$E$2:$F$28,2,FALSE)/VLOOKUP(A121,'焼鈍条件-3CGL'!$A$2:$B$197,2,FALSE)*60,"")</f>
        <v>76.755710703994751</v>
      </c>
      <c r="E121" s="66">
        <v>135.69999999999999</v>
      </c>
      <c r="F121" s="64">
        <f t="shared" si="1"/>
        <v>-48.370211242605983</v>
      </c>
      <c r="G121" s="60" t="s">
        <v>9</v>
      </c>
      <c r="H121" s="60" t="s">
        <v>5061</v>
      </c>
    </row>
    <row r="122" spans="1:8">
      <c r="A122" s="59" t="s">
        <v>1939</v>
      </c>
      <c r="B122" s="62">
        <v>20</v>
      </c>
      <c r="C122" s="60" t="s">
        <v>5059</v>
      </c>
      <c r="D122" s="64">
        <f>IFERROR(VLOOKUP(C122,測定点マスタ!$E$2:$F$28,2,FALSE)/VLOOKUP(A122,'焼鈍条件-3CGL'!$A$2:$B$197,2,FALSE)*60,"")</f>
        <v>79.466056527015382</v>
      </c>
      <c r="E122" s="66">
        <v>52.2</v>
      </c>
      <c r="F122" s="64">
        <f t="shared" si="1"/>
        <v>-30.807876725834472</v>
      </c>
      <c r="G122" s="60" t="s">
        <v>9</v>
      </c>
      <c r="H122" s="60" t="s">
        <v>5061</v>
      </c>
    </row>
    <row r="123" spans="1:8">
      <c r="A123" s="59" t="s">
        <v>1944</v>
      </c>
      <c r="B123" s="62">
        <v>1</v>
      </c>
      <c r="C123" s="60" t="s">
        <v>5041</v>
      </c>
      <c r="D123" s="64">
        <f>IFERROR(VLOOKUP(C123,測定点マスタ!$E$2:$F$28,2,FALSE)/VLOOKUP(A123,'焼鈍条件-3CGL'!$A$2:$B$197,2,FALSE)*60,"")</f>
        <v>0</v>
      </c>
      <c r="E123" s="66">
        <v>35.5</v>
      </c>
      <c r="F123" s="64" t="str">
        <f t="shared" si="1"/>
        <v/>
      </c>
      <c r="G123" s="60" t="s">
        <v>12</v>
      </c>
      <c r="H123" s="60" t="s">
        <v>5061</v>
      </c>
    </row>
    <row r="124" spans="1:8">
      <c r="A124" s="59" t="s">
        <v>1944</v>
      </c>
      <c r="B124" s="62">
        <v>2</v>
      </c>
      <c r="C124" s="60" t="s">
        <v>5043</v>
      </c>
      <c r="D124" s="64">
        <f>IFERROR(VLOOKUP(C124,測定点マスタ!$E$2:$F$28,2,FALSE)/VLOOKUP(A124,'焼鈍条件-3CGL'!$A$2:$B$197,2,FALSE)*60,"")</f>
        <v>6.5061808718282359</v>
      </c>
      <c r="E124" s="66">
        <v>184.8</v>
      </c>
      <c r="F124" s="64">
        <f t="shared" si="1"/>
        <v>22.947410000000005</v>
      </c>
      <c r="G124" s="60" t="s">
        <v>12</v>
      </c>
      <c r="H124" s="60" t="s">
        <v>5061</v>
      </c>
    </row>
    <row r="125" spans="1:8">
      <c r="A125" s="59" t="s">
        <v>1944</v>
      </c>
      <c r="B125" s="62">
        <v>3</v>
      </c>
      <c r="C125" s="60" t="s">
        <v>5044</v>
      </c>
      <c r="D125" s="64">
        <f>IFERROR(VLOOKUP(C125,測定点マスタ!$E$2:$F$28,2,FALSE)/VLOOKUP(A125,'焼鈍条件-3CGL'!$A$2:$B$197,2,FALSE)*60,"")</f>
        <v>14.747343309477335</v>
      </c>
      <c r="E125" s="66">
        <v>612.70000000000005</v>
      </c>
      <c r="F125" s="64">
        <f t="shared" si="1"/>
        <v>51.922286842105279</v>
      </c>
      <c r="G125" s="60" t="s">
        <v>12</v>
      </c>
      <c r="H125" s="60" t="s">
        <v>5061</v>
      </c>
    </row>
    <row r="126" spans="1:8">
      <c r="A126" s="59" t="s">
        <v>1944</v>
      </c>
      <c r="B126" s="62">
        <v>4</v>
      </c>
      <c r="C126" s="60" t="s">
        <v>5045</v>
      </c>
      <c r="D126" s="64">
        <f>IFERROR(VLOOKUP(C126,測定点マスタ!$E$2:$F$28,2,FALSE)/VLOOKUP(A126,'焼鈍条件-3CGL'!$A$2:$B$197,2,FALSE)*60,"")</f>
        <v>19.08479722402949</v>
      </c>
      <c r="E126" s="66">
        <v>768.1</v>
      </c>
      <c r="F126" s="64">
        <f t="shared" si="1"/>
        <v>35.827470000000019</v>
      </c>
      <c r="G126" s="60" t="s">
        <v>12</v>
      </c>
      <c r="H126" s="60" t="s">
        <v>5061</v>
      </c>
    </row>
    <row r="127" spans="1:8">
      <c r="A127" s="59" t="s">
        <v>1944</v>
      </c>
      <c r="B127" s="62">
        <v>5</v>
      </c>
      <c r="C127" s="60" t="s">
        <v>5046</v>
      </c>
      <c r="D127" s="64">
        <f>IFERROR(VLOOKUP(C127,測定点マスタ!$E$2:$F$28,2,FALSE)/VLOOKUP(A127,'焼鈍条件-3CGL'!$A$2:$B$197,2,FALSE)*60,"")</f>
        <v>23.42225113858165</v>
      </c>
      <c r="E127" s="66">
        <v>733</v>
      </c>
      <c r="F127" s="64">
        <f t="shared" si="1"/>
        <v>-8.0923050000000014</v>
      </c>
      <c r="G127" s="60" t="s">
        <v>12</v>
      </c>
      <c r="H127" s="60" t="s">
        <v>5061</v>
      </c>
    </row>
    <row r="128" spans="1:8">
      <c r="A128" s="59" t="s">
        <v>1944</v>
      </c>
      <c r="B128" s="62">
        <v>6</v>
      </c>
      <c r="C128" s="60" t="s">
        <v>5047</v>
      </c>
      <c r="D128" s="64">
        <f>IFERROR(VLOOKUP(C128,測定点マスタ!$E$2:$F$28,2,FALSE)/VLOOKUP(A128,'焼鈍条件-3CGL'!$A$2:$B$197,2,FALSE)*60,"")</f>
        <v>26.024723487312944</v>
      </c>
      <c r="E128" s="66">
        <v>694.1</v>
      </c>
      <c r="F128" s="64">
        <f t="shared" si="1"/>
        <v>-14.947324999999999</v>
      </c>
      <c r="G128" s="60" t="s">
        <v>12</v>
      </c>
      <c r="H128" s="60" t="s">
        <v>5061</v>
      </c>
    </row>
    <row r="129" spans="1:8">
      <c r="A129" s="59" t="s">
        <v>1944</v>
      </c>
      <c r="B129" s="62">
        <v>7</v>
      </c>
      <c r="C129" s="60" t="s">
        <v>5049</v>
      </c>
      <c r="D129" s="64">
        <f>IFERROR(VLOOKUP(C129,測定点マスタ!$E$2:$F$28,2,FALSE)/VLOOKUP(A129,'焼鈍条件-3CGL'!$A$2:$B$197,2,FALSE)*60,"")</f>
        <v>31.663413576230752</v>
      </c>
      <c r="E129" s="66">
        <v>558.20000000000005</v>
      </c>
      <c r="F129" s="64">
        <f t="shared" si="1"/>
        <v>-24.101342307692288</v>
      </c>
      <c r="G129" s="60" t="s">
        <v>12</v>
      </c>
      <c r="H129" s="60" t="s">
        <v>5061</v>
      </c>
    </row>
    <row r="130" spans="1:8">
      <c r="A130" s="59" t="s">
        <v>1944</v>
      </c>
      <c r="B130" s="62">
        <v>8</v>
      </c>
      <c r="C130" s="60" t="s">
        <v>5050</v>
      </c>
      <c r="D130" s="64">
        <f>IFERROR(VLOOKUP(C130,測定点マスタ!$E$2:$F$28,2,FALSE)/VLOOKUP(A130,'焼鈍条件-3CGL'!$A$2:$B$197,2,FALSE)*60,"")</f>
        <v>35.133376707872479</v>
      </c>
      <c r="E130" s="66">
        <v>471.7</v>
      </c>
      <c r="F130" s="64">
        <f t="shared" ref="F130:F193" si="2">IF(A130=A129,IFERROR((E130-E129)/(D130-D129),""),"")</f>
        <v>-24.928218750000013</v>
      </c>
      <c r="G130" s="60" t="s">
        <v>12</v>
      </c>
      <c r="H130" s="60" t="s">
        <v>5061</v>
      </c>
    </row>
    <row r="131" spans="1:8">
      <c r="A131" s="59" t="s">
        <v>1944</v>
      </c>
      <c r="B131" s="62">
        <v>9</v>
      </c>
      <c r="C131" s="60" t="s">
        <v>5051</v>
      </c>
      <c r="D131" s="64">
        <f>IFERROR(VLOOKUP(C131,測定点マスタ!$E$2:$F$28,2,FALSE)/VLOOKUP(A131,'焼鈍条件-3CGL'!$A$2:$B$197,2,FALSE)*60,"")</f>
        <v>38.16959444805898</v>
      </c>
      <c r="E131" s="66">
        <v>429.9</v>
      </c>
      <c r="F131" s="64">
        <f t="shared" si="2"/>
        <v>-13.767128571428618</v>
      </c>
      <c r="G131" s="60" t="s">
        <v>12</v>
      </c>
      <c r="H131" s="60" t="s">
        <v>5061</v>
      </c>
    </row>
    <row r="132" spans="1:8">
      <c r="A132" s="59" t="s">
        <v>1944</v>
      </c>
      <c r="B132" s="62">
        <v>10</v>
      </c>
      <c r="C132" s="60" t="s">
        <v>5060</v>
      </c>
      <c r="D132" s="64">
        <f>IFERROR(VLOOKUP(C132,測定点マスタ!$E$2:$F$28,2,FALSE)/VLOOKUP(A132,'焼鈍条件-3CGL'!$A$2:$B$197,2,FALSE)*60,"")</f>
        <v>39.904576013879847</v>
      </c>
      <c r="E132" s="66">
        <v>378.9</v>
      </c>
      <c r="F132" s="64">
        <f t="shared" si="2"/>
        <v>-29.395124999999936</v>
      </c>
      <c r="G132" s="60" t="s">
        <v>12</v>
      </c>
      <c r="H132" s="60" t="s">
        <v>5061</v>
      </c>
    </row>
    <row r="133" spans="1:8">
      <c r="A133" s="59" t="s">
        <v>1944</v>
      </c>
      <c r="B133" s="62">
        <v>11</v>
      </c>
      <c r="C133" s="60" t="s">
        <v>5052</v>
      </c>
      <c r="D133" s="64">
        <f>IFERROR(VLOOKUP(C133,測定点マスタ!$E$2:$F$28,2,FALSE)/VLOOKUP(A133,'焼鈍条件-3CGL'!$A$2:$B$197,2,FALSE)*60,"")</f>
        <v>42.073302971155925</v>
      </c>
      <c r="E133" s="66">
        <v>339.9</v>
      </c>
      <c r="F133" s="64">
        <f t="shared" si="2"/>
        <v>-17.982900000000004</v>
      </c>
      <c r="G133" s="60" t="s">
        <v>12</v>
      </c>
      <c r="H133" s="60" t="s">
        <v>5061</v>
      </c>
    </row>
    <row r="134" spans="1:8">
      <c r="A134" s="59" t="s">
        <v>1944</v>
      </c>
      <c r="B134" s="62">
        <v>12</v>
      </c>
      <c r="C134" s="60" t="s">
        <v>5053</v>
      </c>
      <c r="D134" s="64">
        <f>IFERROR(VLOOKUP(C134,測定点マスタ!$E$2:$F$28,2,FALSE)/VLOOKUP(A134,'焼鈍条件-3CGL'!$A$2:$B$197,2,FALSE)*60,"")</f>
        <v>47.278247668618519</v>
      </c>
      <c r="E134" s="66">
        <v>493.1</v>
      </c>
      <c r="F134" s="64">
        <f t="shared" si="2"/>
        <v>29.433549999999986</v>
      </c>
      <c r="G134" s="60" t="s">
        <v>12</v>
      </c>
      <c r="H134" s="60" t="s">
        <v>5061</v>
      </c>
    </row>
    <row r="135" spans="1:8">
      <c r="A135" s="59" t="s">
        <v>1944</v>
      </c>
      <c r="B135" s="62">
        <v>13</v>
      </c>
      <c r="C135" s="60" t="s">
        <v>5054</v>
      </c>
      <c r="D135" s="64">
        <f>IFERROR(VLOOKUP(C135,測定点マスタ!$E$2:$F$28,2,FALSE)/VLOOKUP(A135,'焼鈍条件-3CGL'!$A$2:$B$197,2,FALSE)*60,"")</f>
        <v>52.916937757536324</v>
      </c>
      <c r="E135" s="66">
        <v>482.7</v>
      </c>
      <c r="F135" s="64">
        <f t="shared" si="2"/>
        <v>-1.844400000000006</v>
      </c>
      <c r="G135" s="60" t="s">
        <v>12</v>
      </c>
      <c r="H135" s="60" t="s">
        <v>5061</v>
      </c>
    </row>
    <row r="136" spans="1:8">
      <c r="A136" s="59" t="s">
        <v>1944</v>
      </c>
      <c r="B136" s="62">
        <v>14</v>
      </c>
      <c r="C136" s="60" t="s">
        <v>5056</v>
      </c>
      <c r="D136" s="64">
        <f>IFERROR(VLOOKUP(C136,測定点マスタ!$E$2:$F$28,2,FALSE)/VLOOKUP(A136,'焼鈍条件-3CGL'!$A$2:$B$197,2,FALSE)*60,"")</f>
        <v>57.688137063543699</v>
      </c>
      <c r="E136" s="66">
        <v>244.5</v>
      </c>
      <c r="F136" s="64">
        <f t="shared" si="2"/>
        <v>-49.924554545454527</v>
      </c>
      <c r="G136" s="60" t="s">
        <v>12</v>
      </c>
      <c r="H136" s="60" t="s">
        <v>5061</v>
      </c>
    </row>
    <row r="137" spans="1:8">
      <c r="A137" s="59" t="s">
        <v>1944</v>
      </c>
      <c r="B137" s="62">
        <v>15</v>
      </c>
      <c r="C137" s="60" t="s">
        <v>5062</v>
      </c>
      <c r="D137" s="64">
        <f>IFERROR(VLOOKUP(C137,測定点マスタ!$E$2:$F$28,2,FALSE)/VLOOKUP(A137,'焼鈍条件-3CGL'!$A$2:$B$197,2,FALSE)*60,"")</f>
        <v>62.893081761006279</v>
      </c>
      <c r="E137" s="66">
        <v>463.1</v>
      </c>
      <c r="F137" s="64">
        <f t="shared" si="2"/>
        <v>41.998525000000086</v>
      </c>
      <c r="G137" s="60" t="s">
        <v>12</v>
      </c>
      <c r="H137" s="60" t="s">
        <v>5061</v>
      </c>
    </row>
    <row r="138" spans="1:8">
      <c r="A138" s="59" t="s">
        <v>1944</v>
      </c>
      <c r="B138" s="62">
        <v>16</v>
      </c>
      <c r="C138" s="60" t="s">
        <v>5068</v>
      </c>
      <c r="D138" s="64">
        <f>IFERROR(VLOOKUP(C138,測定点マスタ!$E$2:$F$28,2,FALSE)/VLOOKUP(A138,'焼鈍条件-3CGL'!$A$2:$B$197,2,FALSE)*60,"")</f>
        <v>68.903553614028624</v>
      </c>
      <c r="E138" s="66">
        <v>361.8</v>
      </c>
      <c r="F138" s="64">
        <f t="shared" si="2"/>
        <v>-16.85391804123692</v>
      </c>
      <c r="G138" s="60" t="s">
        <v>12</v>
      </c>
      <c r="H138" s="60" t="s">
        <v>5061</v>
      </c>
    </row>
    <row r="139" spans="1:8">
      <c r="A139" s="59" t="s">
        <v>1944</v>
      </c>
      <c r="B139" s="62">
        <v>17</v>
      </c>
      <c r="C139" s="60" t="s">
        <v>5057</v>
      </c>
      <c r="D139" s="64">
        <f>IFERROR(VLOOKUP(C139,測定点マスタ!$E$2:$F$28,2,FALSE)/VLOOKUP(A139,'焼鈍条件-3CGL'!$A$2:$B$197,2,FALSE)*60,"")</f>
        <v>71.521516869597477</v>
      </c>
      <c r="E139" s="66">
        <v>269.39999999999998</v>
      </c>
      <c r="F139" s="64">
        <f t="shared" si="2"/>
        <v>-35.294613017753221</v>
      </c>
      <c r="G139" s="60" t="s">
        <v>12</v>
      </c>
      <c r="H139" s="60" t="s">
        <v>5061</v>
      </c>
    </row>
    <row r="140" spans="1:8">
      <c r="A140" s="59" t="s">
        <v>1944</v>
      </c>
      <c r="B140" s="62">
        <v>18</v>
      </c>
      <c r="C140" s="60" t="s">
        <v>5059</v>
      </c>
      <c r="D140" s="64">
        <f>IFERROR(VLOOKUP(C140,測定点マスタ!$E$2:$F$28,2,FALSE)/VLOOKUP(A140,'焼鈍条件-3CGL'!$A$2:$B$197,2,FALSE)*60,"")</f>
        <v>76.757443380735637</v>
      </c>
      <c r="E140" s="66">
        <v>69.900000000000006</v>
      </c>
      <c r="F140" s="64">
        <f t="shared" si="2"/>
        <v>-38.102139053252991</v>
      </c>
      <c r="G140" s="60" t="s">
        <v>12</v>
      </c>
      <c r="H140" s="60" t="s">
        <v>5061</v>
      </c>
    </row>
    <row r="141" spans="1:8">
      <c r="A141" s="59" t="s">
        <v>1949</v>
      </c>
      <c r="B141" s="62">
        <v>1</v>
      </c>
      <c r="C141" s="60" t="s">
        <v>5041</v>
      </c>
      <c r="D141" s="64">
        <f>IFERROR(VLOOKUP(C141,測定点マスタ!$E$2:$F$28,2,FALSE)/VLOOKUP(A141,'焼鈍条件-3CGL'!$A$2:$B$197,2,FALSE)*60,"")</f>
        <v>0</v>
      </c>
      <c r="E141" s="66">
        <v>25.4</v>
      </c>
      <c r="F141" s="64" t="str">
        <f t="shared" si="2"/>
        <v/>
      </c>
      <c r="G141" s="60" t="s">
        <v>9</v>
      </c>
      <c r="H141" s="60" t="s">
        <v>5064</v>
      </c>
    </row>
    <row r="142" spans="1:8">
      <c r="A142" s="59" t="s">
        <v>1949</v>
      </c>
      <c r="B142" s="62">
        <v>2</v>
      </c>
      <c r="C142" s="60" t="s">
        <v>5043</v>
      </c>
      <c r="D142" s="64">
        <f>IFERROR(VLOOKUP(C142,測定点マスタ!$E$2:$F$28,2,FALSE)/VLOOKUP(A142,'焼鈍条件-3CGL'!$A$2:$B$197,2,FALSE)*60,"")</f>
        <v>7.0299318877710428</v>
      </c>
      <c r="E142" s="66">
        <v>183.5</v>
      </c>
      <c r="F142" s="64">
        <f t="shared" si="2"/>
        <v>22.489549333333333</v>
      </c>
      <c r="G142" s="60" t="s">
        <v>9</v>
      </c>
      <c r="H142" s="60" t="s">
        <v>5064</v>
      </c>
    </row>
    <row r="143" spans="1:8">
      <c r="A143" s="59" t="s">
        <v>1949</v>
      </c>
      <c r="B143" s="62">
        <v>3</v>
      </c>
      <c r="C143" s="60" t="s">
        <v>5044</v>
      </c>
      <c r="D143" s="64">
        <f>IFERROR(VLOOKUP(C143,測定点マスタ!$E$2:$F$28,2,FALSE)/VLOOKUP(A143,'焼鈍条件-3CGL'!$A$2:$B$197,2,FALSE)*60,"")</f>
        <v>15.934512278947695</v>
      </c>
      <c r="E143" s="66">
        <v>640.9</v>
      </c>
      <c r="F143" s="64">
        <f t="shared" si="2"/>
        <v>51.366822456140369</v>
      </c>
      <c r="G143" s="60" t="s">
        <v>9</v>
      </c>
      <c r="H143" s="60" t="s">
        <v>5064</v>
      </c>
    </row>
    <row r="144" spans="1:8">
      <c r="A144" s="59" t="s">
        <v>1949</v>
      </c>
      <c r="B144" s="62">
        <v>4</v>
      </c>
      <c r="C144" s="60" t="s">
        <v>5045</v>
      </c>
      <c r="D144" s="64">
        <f>IFERROR(VLOOKUP(C144,測定点マスタ!$E$2:$F$28,2,FALSE)/VLOOKUP(A144,'焼鈍条件-3CGL'!$A$2:$B$197,2,FALSE)*60,"")</f>
        <v>20.621133537461727</v>
      </c>
      <c r="E144" s="66">
        <v>806.7</v>
      </c>
      <c r="F144" s="64">
        <f t="shared" si="2"/>
        <v>35.377298666666654</v>
      </c>
      <c r="G144" s="60" t="s">
        <v>9</v>
      </c>
      <c r="H144" s="60" t="s">
        <v>5064</v>
      </c>
    </row>
    <row r="145" spans="1:8">
      <c r="A145" s="59" t="s">
        <v>1949</v>
      </c>
      <c r="B145" s="62">
        <v>5</v>
      </c>
      <c r="C145" s="60" t="s">
        <v>5047</v>
      </c>
      <c r="D145" s="64">
        <f>IFERROR(VLOOKUP(C145,測定点マスタ!$E$2:$F$28,2,FALSE)/VLOOKUP(A145,'焼鈍条件-3CGL'!$A$2:$B$197,2,FALSE)*60,"")</f>
        <v>28.119727551084171</v>
      </c>
      <c r="E145" s="66">
        <v>715.9</v>
      </c>
      <c r="F145" s="64">
        <f t="shared" si="2"/>
        <v>-12.108936666666679</v>
      </c>
      <c r="G145" s="60" t="s">
        <v>9</v>
      </c>
      <c r="H145" s="60" t="s">
        <v>5064</v>
      </c>
    </row>
    <row r="146" spans="1:8">
      <c r="A146" s="59" t="s">
        <v>1949</v>
      </c>
      <c r="B146" s="62">
        <v>6</v>
      </c>
      <c r="C146" s="60" t="s">
        <v>5049</v>
      </c>
      <c r="D146" s="64">
        <f>IFERROR(VLOOKUP(C146,測定点マスタ!$E$2:$F$28,2,FALSE)/VLOOKUP(A146,'焼鈍条件-3CGL'!$A$2:$B$197,2,FALSE)*60,"")</f>
        <v>34.212335187152412</v>
      </c>
      <c r="E146" s="66">
        <v>588.1</v>
      </c>
      <c r="F146" s="64">
        <f t="shared" si="2"/>
        <v>-20.976239999999979</v>
      </c>
      <c r="G146" s="60" t="s">
        <v>9</v>
      </c>
      <c r="H146" s="60" t="s">
        <v>5064</v>
      </c>
    </row>
    <row r="147" spans="1:8">
      <c r="A147" s="59" t="s">
        <v>1949</v>
      </c>
      <c r="B147" s="62">
        <v>7</v>
      </c>
      <c r="C147" s="60" t="s">
        <v>5050</v>
      </c>
      <c r="D147" s="64">
        <f>IFERROR(VLOOKUP(C147,測定点マスタ!$E$2:$F$28,2,FALSE)/VLOOKUP(A147,'焼鈍条件-3CGL'!$A$2:$B$197,2,FALSE)*60,"")</f>
        <v>37.961632193963638</v>
      </c>
      <c r="E147" s="66">
        <v>502</v>
      </c>
      <c r="F147" s="64">
        <f t="shared" si="2"/>
        <v>-22.964304999999989</v>
      </c>
      <c r="G147" s="60" t="s">
        <v>9</v>
      </c>
      <c r="H147" s="60" t="s">
        <v>5064</v>
      </c>
    </row>
    <row r="148" spans="1:8">
      <c r="A148" s="59" t="s">
        <v>1949</v>
      </c>
      <c r="B148" s="62">
        <v>8</v>
      </c>
      <c r="C148" s="60" t="s">
        <v>5051</v>
      </c>
      <c r="D148" s="64">
        <f>IFERROR(VLOOKUP(C148,測定点マスタ!$E$2:$F$28,2,FALSE)/VLOOKUP(A148,'焼鈍条件-3CGL'!$A$2:$B$197,2,FALSE)*60,"")</f>
        <v>41.242267074923454</v>
      </c>
      <c r="E148" s="66">
        <v>456.9</v>
      </c>
      <c r="F148" s="64">
        <f t="shared" si="2"/>
        <v>-13.74733904761907</v>
      </c>
      <c r="G148" s="60" t="s">
        <v>9</v>
      </c>
      <c r="H148" s="60" t="s">
        <v>5064</v>
      </c>
    </row>
    <row r="149" spans="1:8">
      <c r="A149" s="59" t="s">
        <v>1949</v>
      </c>
      <c r="B149" s="62">
        <v>9</v>
      </c>
      <c r="C149" s="60" t="s">
        <v>5052</v>
      </c>
      <c r="D149" s="64">
        <f>IFERROR(VLOOKUP(C149,測定点マスタ!$E$2:$F$28,2,FALSE)/VLOOKUP(A149,'焼鈍条件-3CGL'!$A$2:$B$197,2,FALSE)*60,"")</f>
        <v>45.460226207586075</v>
      </c>
      <c r="E149" s="66">
        <v>338.1</v>
      </c>
      <c r="F149" s="64">
        <f t="shared" si="2"/>
        <v>-28.165280000000021</v>
      </c>
      <c r="G149" s="60" t="s">
        <v>9</v>
      </c>
      <c r="H149" s="60" t="s">
        <v>5064</v>
      </c>
    </row>
    <row r="150" spans="1:8">
      <c r="A150" s="59" t="s">
        <v>1949</v>
      </c>
      <c r="B150" s="62">
        <v>10</v>
      </c>
      <c r="C150" s="60" t="s">
        <v>5053</v>
      </c>
      <c r="D150" s="64">
        <f>IFERROR(VLOOKUP(C150,測定点マスタ!$E$2:$F$28,2,FALSE)/VLOOKUP(A150,'焼鈍条件-3CGL'!$A$2:$B$197,2,FALSE)*60,"")</f>
        <v>51.08417171780291</v>
      </c>
      <c r="E150" s="66">
        <v>541.29999999999995</v>
      </c>
      <c r="F150" s="64">
        <f t="shared" si="2"/>
        <v>36.131217777777763</v>
      </c>
      <c r="G150" s="60" t="s">
        <v>9</v>
      </c>
      <c r="H150" s="60" t="s">
        <v>5064</v>
      </c>
    </row>
    <row r="151" spans="1:8">
      <c r="A151" s="59" t="s">
        <v>1949</v>
      </c>
      <c r="B151" s="62">
        <v>11</v>
      </c>
      <c r="C151" s="60" t="s">
        <v>5054</v>
      </c>
      <c r="D151" s="64">
        <f>IFERROR(VLOOKUP(C151,測定点マスタ!$E$2:$F$28,2,FALSE)/VLOOKUP(A151,'焼鈍条件-3CGL'!$A$2:$B$197,2,FALSE)*60,"")</f>
        <v>57.176779353871147</v>
      </c>
      <c r="E151" s="66">
        <v>536.6</v>
      </c>
      <c r="F151" s="64">
        <f t="shared" si="2"/>
        <v>-0.77142666666665549</v>
      </c>
      <c r="G151" s="60" t="s">
        <v>9</v>
      </c>
      <c r="H151" s="60" t="s">
        <v>5064</v>
      </c>
    </row>
    <row r="152" spans="1:8">
      <c r="A152" s="59" t="s">
        <v>1949</v>
      </c>
      <c r="B152" s="62">
        <v>12</v>
      </c>
      <c r="C152" s="60" t="s">
        <v>5056</v>
      </c>
      <c r="D152" s="64">
        <f>IFERROR(VLOOKUP(C152,測定点マスタ!$E$2:$F$28,2,FALSE)/VLOOKUP(A152,'焼鈍条件-3CGL'!$A$2:$B$197,2,FALSE)*60,"")</f>
        <v>62.332062738236573</v>
      </c>
      <c r="E152" s="66">
        <v>278</v>
      </c>
      <c r="F152" s="64">
        <f t="shared" si="2"/>
        <v>-50.162130909090969</v>
      </c>
      <c r="G152" s="60" t="s">
        <v>9</v>
      </c>
      <c r="H152" s="60" t="s">
        <v>5064</v>
      </c>
    </row>
    <row r="153" spans="1:8">
      <c r="A153" s="59" t="s">
        <v>1949</v>
      </c>
      <c r="B153" s="62">
        <v>13</v>
      </c>
      <c r="C153" s="60" t="s">
        <v>5062</v>
      </c>
      <c r="D153" s="64">
        <f>IFERROR(VLOOKUP(C153,測定点マスタ!$E$2:$F$28,2,FALSE)/VLOOKUP(A153,'焼鈍条件-3CGL'!$A$2:$B$197,2,FALSE)*60,"")</f>
        <v>67.956008248453415</v>
      </c>
      <c r="E153" s="66">
        <v>466.7</v>
      </c>
      <c r="F153" s="64">
        <f t="shared" si="2"/>
        <v>33.552956666666617</v>
      </c>
      <c r="G153" s="60" t="s">
        <v>9</v>
      </c>
      <c r="H153" s="60" t="s">
        <v>5064</v>
      </c>
    </row>
    <row r="154" spans="1:8">
      <c r="A154" s="59" t="s">
        <v>1949</v>
      </c>
      <c r="B154" s="62">
        <v>14</v>
      </c>
      <c r="C154" s="60" t="s">
        <v>5065</v>
      </c>
      <c r="D154" s="64">
        <f>IFERROR(VLOOKUP(C154,測定点マスタ!$E$2:$F$28,2,FALSE)/VLOOKUP(A154,'焼鈍条件-3CGL'!$A$2:$B$197,2,FALSE)*60,"")</f>
        <v>68.792904901759357</v>
      </c>
      <c r="E154" s="66">
        <v>528.79999999999995</v>
      </c>
      <c r="F154" s="64">
        <f t="shared" si="2"/>
        <v>74.202710400011881</v>
      </c>
      <c r="G154" s="60" t="s">
        <v>9</v>
      </c>
      <c r="H154" s="60" t="s">
        <v>5064</v>
      </c>
    </row>
    <row r="155" spans="1:8">
      <c r="A155" s="59" t="s">
        <v>1949</v>
      </c>
      <c r="B155" s="62">
        <v>15</v>
      </c>
      <c r="C155" s="60" t="s">
        <v>5066</v>
      </c>
      <c r="D155" s="64">
        <f>IFERROR(VLOOKUP(C155,測定点マスタ!$E$2:$F$28,2,FALSE)/VLOOKUP(A155,'焼鈍条件-3CGL'!$A$2:$B$197,2,FALSE)*60,"")</f>
        <v>71.621615589934237</v>
      </c>
      <c r="E155" s="66">
        <v>520.29999999999995</v>
      </c>
      <c r="F155" s="64">
        <f t="shared" si="2"/>
        <v>-3.0049025641022018</v>
      </c>
      <c r="G155" s="60" t="s">
        <v>9</v>
      </c>
      <c r="H155" s="60" t="s">
        <v>5064</v>
      </c>
    </row>
    <row r="156" spans="1:8">
      <c r="A156" s="59" t="s">
        <v>1949</v>
      </c>
      <c r="B156" s="62">
        <v>16</v>
      </c>
      <c r="C156" s="60" t="s">
        <v>5057</v>
      </c>
      <c r="D156" s="64">
        <f>IFERROR(VLOOKUP(C156,測定点マスタ!$E$2:$F$28,2,FALSE)/VLOOKUP(A156,'焼鈍条件-3CGL'!$A$2:$B$197,2,FALSE)*60,"")</f>
        <v>77.279036966283044</v>
      </c>
      <c r="E156" s="66">
        <v>186.2</v>
      </c>
      <c r="F156" s="64">
        <f t="shared" si="2"/>
        <v>-59.055173333336143</v>
      </c>
      <c r="G156" s="60" t="s">
        <v>9</v>
      </c>
      <c r="H156" s="60" t="s">
        <v>5064</v>
      </c>
    </row>
    <row r="157" spans="1:8">
      <c r="A157" s="59" t="s">
        <v>1949</v>
      </c>
      <c r="B157" s="62">
        <v>17</v>
      </c>
      <c r="C157" s="60" t="s">
        <v>5059</v>
      </c>
      <c r="D157" s="64">
        <f>IFERROR(VLOOKUP(C157,測定点マスタ!$E$2:$F$28,2,FALSE)/VLOOKUP(A157,'焼鈍条件-3CGL'!$A$2:$B$197,2,FALSE)*60,"")</f>
        <v>82.936458342632321</v>
      </c>
      <c r="E157" s="66">
        <v>58.2</v>
      </c>
      <c r="F157" s="64">
        <f t="shared" si="2"/>
        <v>-22.625148717947919</v>
      </c>
      <c r="G157" s="60" t="s">
        <v>9</v>
      </c>
      <c r="H157" s="60" t="s">
        <v>5064</v>
      </c>
    </row>
    <row r="158" spans="1:8">
      <c r="A158" s="59" t="s">
        <v>1965</v>
      </c>
      <c r="B158" s="62">
        <v>1</v>
      </c>
      <c r="C158" s="60" t="s">
        <v>5041</v>
      </c>
      <c r="D158" s="64">
        <f>IFERROR(VLOOKUP(C158,測定点マスタ!$E$2:$F$28,2,FALSE)/VLOOKUP(A158,'焼鈍条件-3CGL'!$A$2:$B$197,2,FALSE)*60,"")</f>
        <v>0</v>
      </c>
      <c r="E158" s="66">
        <v>31.8</v>
      </c>
      <c r="F158" s="64" t="str">
        <f t="shared" si="2"/>
        <v/>
      </c>
      <c r="G158" s="60" t="s">
        <v>12</v>
      </c>
      <c r="H158" s="60" t="s">
        <v>5061</v>
      </c>
    </row>
    <row r="159" spans="1:8">
      <c r="A159" s="59" t="s">
        <v>1965</v>
      </c>
      <c r="B159" s="62">
        <v>2</v>
      </c>
      <c r="C159" s="60" t="s">
        <v>5043</v>
      </c>
      <c r="D159" s="64">
        <f>IFERROR(VLOOKUP(C159,測定点マスタ!$E$2:$F$28,2,FALSE)/VLOOKUP(A159,'焼鈍条件-3CGL'!$A$2:$B$197,2,FALSE)*60,"")</f>
        <v>12.304999931638889</v>
      </c>
      <c r="E159" s="66">
        <v>198.1</v>
      </c>
      <c r="F159" s="64">
        <f t="shared" si="2"/>
        <v>13.514831444444443</v>
      </c>
      <c r="G159" s="60" t="s">
        <v>12</v>
      </c>
      <c r="H159" s="60" t="s">
        <v>5061</v>
      </c>
    </row>
    <row r="160" spans="1:8">
      <c r="A160" s="59" t="s">
        <v>1965</v>
      </c>
      <c r="B160" s="62">
        <v>3</v>
      </c>
      <c r="C160" s="60" t="s">
        <v>5044</v>
      </c>
      <c r="D160" s="64">
        <f>IFERROR(VLOOKUP(C160,測定点マスタ!$E$2:$F$28,2,FALSE)/VLOOKUP(A160,'焼鈍条件-3CGL'!$A$2:$B$197,2,FALSE)*60,"")</f>
        <v>27.89133317838148</v>
      </c>
      <c r="E160" s="66">
        <v>694</v>
      </c>
      <c r="F160" s="64">
        <f t="shared" si="2"/>
        <v>31.816335000000002</v>
      </c>
      <c r="G160" s="60" t="s">
        <v>12</v>
      </c>
      <c r="H160" s="60" t="s">
        <v>5061</v>
      </c>
    </row>
    <row r="161" spans="1:8">
      <c r="A161" s="59" t="s">
        <v>1965</v>
      </c>
      <c r="B161" s="62">
        <v>4</v>
      </c>
      <c r="C161" s="60" t="s">
        <v>5045</v>
      </c>
      <c r="D161" s="64">
        <f>IFERROR(VLOOKUP(C161,測定点マスタ!$E$2:$F$28,2,FALSE)/VLOOKUP(A161,'焼鈍条件-3CGL'!$A$2:$B$197,2,FALSE)*60,"")</f>
        <v>36.094666466140737</v>
      </c>
      <c r="E161" s="66">
        <v>852.2</v>
      </c>
      <c r="F161" s="64">
        <f t="shared" si="2"/>
        <v>19.284843666666678</v>
      </c>
      <c r="G161" s="60" t="s">
        <v>12</v>
      </c>
      <c r="H161" s="60" t="s">
        <v>5061</v>
      </c>
    </row>
    <row r="162" spans="1:8">
      <c r="A162" s="59" t="s">
        <v>1965</v>
      </c>
      <c r="B162" s="62">
        <v>5</v>
      </c>
      <c r="C162" s="60" t="s">
        <v>5047</v>
      </c>
      <c r="D162" s="64">
        <f>IFERROR(VLOOKUP(C162,測定点マスタ!$E$2:$F$28,2,FALSE)/VLOOKUP(A162,'焼鈍条件-3CGL'!$A$2:$B$197,2,FALSE)*60,"")</f>
        <v>49.219999726555557</v>
      </c>
      <c r="E162" s="66">
        <v>763.2</v>
      </c>
      <c r="F162" s="64">
        <f t="shared" si="2"/>
        <v>-6.7807802083333311</v>
      </c>
      <c r="G162" s="60" t="s">
        <v>12</v>
      </c>
      <c r="H162" s="60" t="s">
        <v>5061</v>
      </c>
    </row>
    <row r="163" spans="1:8">
      <c r="A163" s="59" t="s">
        <v>1965</v>
      </c>
      <c r="B163" s="62">
        <v>6</v>
      </c>
      <c r="C163" s="60" t="s">
        <v>5049</v>
      </c>
      <c r="D163" s="64">
        <f>IFERROR(VLOOKUP(C163,測定点マスタ!$E$2:$F$28,2,FALSE)/VLOOKUP(A163,'焼鈍条件-3CGL'!$A$2:$B$197,2,FALSE)*60,"")</f>
        <v>59.884333000642592</v>
      </c>
      <c r="E163" s="66">
        <v>650.1</v>
      </c>
      <c r="F163" s="64">
        <f t="shared" si="2"/>
        <v>-10.605445000000005</v>
      </c>
      <c r="G163" s="60" t="s">
        <v>12</v>
      </c>
      <c r="H163" s="60" t="s">
        <v>5061</v>
      </c>
    </row>
    <row r="164" spans="1:8">
      <c r="A164" s="59" t="s">
        <v>1965</v>
      </c>
      <c r="B164" s="62">
        <v>7</v>
      </c>
      <c r="C164" s="60" t="s">
        <v>5050</v>
      </c>
      <c r="D164" s="64">
        <f>IFERROR(VLOOKUP(C164,測定点マスタ!$E$2:$F$28,2,FALSE)/VLOOKUP(A164,'焼鈍条件-3CGL'!$A$2:$B$197,2,FALSE)*60,"")</f>
        <v>66.446999630850001</v>
      </c>
      <c r="E164" s="66">
        <v>506.7</v>
      </c>
      <c r="F164" s="64">
        <f t="shared" si="2"/>
        <v>-21.850873749999998</v>
      </c>
      <c r="G164" s="60" t="s">
        <v>12</v>
      </c>
      <c r="H164" s="60" t="s">
        <v>5061</v>
      </c>
    </row>
    <row r="165" spans="1:8">
      <c r="A165" s="59" t="s">
        <v>1965</v>
      </c>
      <c r="B165" s="62">
        <v>8</v>
      </c>
      <c r="C165" s="60" t="s">
        <v>5051</v>
      </c>
      <c r="D165" s="64">
        <f>IFERROR(VLOOKUP(C165,測定点マスタ!$E$2:$F$28,2,FALSE)/VLOOKUP(A165,'焼鈍条件-3CGL'!$A$2:$B$197,2,FALSE)*60,"")</f>
        <v>72.189332932281474</v>
      </c>
      <c r="E165" s="66">
        <v>461.3</v>
      </c>
      <c r="F165" s="64">
        <f t="shared" si="2"/>
        <v>-7.9061938095238187</v>
      </c>
      <c r="G165" s="60" t="s">
        <v>12</v>
      </c>
      <c r="H165" s="60" t="s">
        <v>5061</v>
      </c>
    </row>
    <row r="166" spans="1:8">
      <c r="A166" s="59" t="s">
        <v>1965</v>
      </c>
      <c r="B166" s="62">
        <v>9</v>
      </c>
      <c r="C166" s="60" t="s">
        <v>5052</v>
      </c>
      <c r="D166" s="64">
        <f>IFERROR(VLOOKUP(C166,測定点マスタ!$E$2:$F$28,2,FALSE)/VLOOKUP(A166,'焼鈍条件-3CGL'!$A$2:$B$197,2,FALSE)*60,"")</f>
        <v>79.572332891264807</v>
      </c>
      <c r="E166" s="66">
        <v>372.2</v>
      </c>
      <c r="F166" s="64">
        <f t="shared" si="2"/>
        <v>-12.068265000000004</v>
      </c>
      <c r="G166" s="60" t="s">
        <v>12</v>
      </c>
      <c r="H166" s="60" t="s">
        <v>5061</v>
      </c>
    </row>
    <row r="167" spans="1:8">
      <c r="A167" s="59" t="s">
        <v>1965</v>
      </c>
      <c r="B167" s="62">
        <v>10</v>
      </c>
      <c r="C167" s="60" t="s">
        <v>5069</v>
      </c>
      <c r="D167" s="64">
        <f>IFERROR(VLOOKUP(C167,測定点マスタ!$E$2:$F$28,2,FALSE)/VLOOKUP(A167,'焼鈍条件-3CGL'!$A$2:$B$197,2,FALSE)*60,"")</f>
        <v>85.314666192696293</v>
      </c>
      <c r="E167" s="66">
        <v>549.4</v>
      </c>
      <c r="F167" s="64">
        <f t="shared" si="2"/>
        <v>30.858536190476162</v>
      </c>
      <c r="G167" s="60" t="s">
        <v>12</v>
      </c>
      <c r="H167" s="60" t="s">
        <v>5061</v>
      </c>
    </row>
    <row r="168" spans="1:8">
      <c r="A168" s="59" t="s">
        <v>1965</v>
      </c>
      <c r="B168" s="62">
        <v>11</v>
      </c>
      <c r="C168" s="60" t="s">
        <v>5053</v>
      </c>
      <c r="D168" s="64">
        <f>IFERROR(VLOOKUP(C168,測定点マスタ!$E$2:$F$28,2,FALSE)/VLOOKUP(A168,'焼鈍条件-3CGL'!$A$2:$B$197,2,FALSE)*60,"")</f>
        <v>89.416332836575918</v>
      </c>
      <c r="E168" s="66">
        <v>548</v>
      </c>
      <c r="F168" s="64">
        <f t="shared" si="2"/>
        <v>-0.3413246666666615</v>
      </c>
      <c r="G168" s="60" t="s">
        <v>12</v>
      </c>
      <c r="H168" s="60" t="s">
        <v>5061</v>
      </c>
    </row>
    <row r="169" spans="1:8">
      <c r="A169" s="59" t="s">
        <v>1965</v>
      </c>
      <c r="B169" s="62">
        <v>12</v>
      </c>
      <c r="C169" s="60" t="s">
        <v>5054</v>
      </c>
      <c r="D169" s="64">
        <f>IFERROR(VLOOKUP(C169,測定点マスタ!$E$2:$F$28,2,FALSE)/VLOOKUP(A169,'焼鈍条件-3CGL'!$A$2:$B$197,2,FALSE)*60,"")</f>
        <v>100.08066611066296</v>
      </c>
      <c r="E169" s="66">
        <v>525.1</v>
      </c>
      <c r="F169" s="64">
        <f t="shared" si="2"/>
        <v>-2.1473447435897404</v>
      </c>
      <c r="G169" s="60" t="s">
        <v>12</v>
      </c>
      <c r="H169" s="60" t="s">
        <v>5061</v>
      </c>
    </row>
    <row r="170" spans="1:8">
      <c r="A170" s="59" t="s">
        <v>1965</v>
      </c>
      <c r="B170" s="62">
        <v>13</v>
      </c>
      <c r="C170" s="60" t="s">
        <v>5056</v>
      </c>
      <c r="D170" s="64">
        <f>IFERROR(VLOOKUP(C170,測定点マスタ!$E$2:$F$28,2,FALSE)/VLOOKUP(A170,'焼鈍条件-3CGL'!$A$2:$B$197,2,FALSE)*60,"")</f>
        <v>109.10433272719814</v>
      </c>
      <c r="E170" s="66">
        <v>266.3</v>
      </c>
      <c r="F170" s="64">
        <f t="shared" si="2"/>
        <v>-28.680137575757591</v>
      </c>
      <c r="G170" s="60" t="s">
        <v>12</v>
      </c>
      <c r="H170" s="60" t="s">
        <v>5061</v>
      </c>
    </row>
    <row r="171" spans="1:8">
      <c r="A171" s="59" t="s">
        <v>1965</v>
      </c>
      <c r="B171" s="62">
        <v>14</v>
      </c>
      <c r="C171" s="60" t="s">
        <v>5062</v>
      </c>
      <c r="D171" s="64">
        <f>IFERROR(VLOOKUP(C171,測定点マスタ!$E$2:$F$28,2,FALSE)/VLOOKUP(A171,'焼鈍条件-3CGL'!$A$2:$B$197,2,FALSE)*60,"")</f>
        <v>118.94833267250925</v>
      </c>
      <c r="E171" s="66">
        <v>458</v>
      </c>
      <c r="F171" s="64">
        <f t="shared" si="2"/>
        <v>19.473791249999998</v>
      </c>
      <c r="G171" s="60" t="s">
        <v>12</v>
      </c>
      <c r="H171" s="60" t="s">
        <v>5061</v>
      </c>
    </row>
    <row r="172" spans="1:8">
      <c r="A172" s="59" t="s">
        <v>1965</v>
      </c>
      <c r="B172" s="62">
        <v>15</v>
      </c>
      <c r="C172" s="60" t="s">
        <v>5057</v>
      </c>
      <c r="D172" s="64">
        <f>IFERROR(VLOOKUP(C172,測定点マスタ!$E$2:$F$28,2,FALSE)/VLOOKUP(A172,'焼鈍条件-3CGL'!$A$2:$B$197,2,FALSE)*60,"")</f>
        <v>135.26710639137309</v>
      </c>
      <c r="E172" s="66">
        <v>173.6</v>
      </c>
      <c r="F172" s="64">
        <f t="shared" si="2"/>
        <v>-17.427780107720054</v>
      </c>
      <c r="G172" s="60" t="s">
        <v>12</v>
      </c>
      <c r="H172" s="60" t="s">
        <v>5061</v>
      </c>
    </row>
    <row r="173" spans="1:8">
      <c r="A173" s="59" t="s">
        <v>1965</v>
      </c>
      <c r="B173" s="62">
        <v>16</v>
      </c>
      <c r="C173" s="60" t="s">
        <v>5059</v>
      </c>
      <c r="D173" s="64">
        <f>IFERROR(VLOOKUP(C173,測定点マスタ!$E$2:$F$28,2,FALSE)/VLOOKUP(A173,'焼鈍条件-3CGL'!$A$2:$B$197,2,FALSE)*60,"")</f>
        <v>145.16970157445428</v>
      </c>
      <c r="E173" s="66">
        <v>35.700000000000003</v>
      </c>
      <c r="F173" s="64">
        <f t="shared" si="2"/>
        <v>-13.925642465482714</v>
      </c>
      <c r="G173" s="60" t="s">
        <v>12</v>
      </c>
      <c r="H173" s="60" t="s">
        <v>5061</v>
      </c>
    </row>
    <row r="174" spans="1:8">
      <c r="A174" s="59" t="s">
        <v>1980</v>
      </c>
      <c r="B174" s="62">
        <v>1</v>
      </c>
      <c r="C174" s="60" t="s">
        <v>5041</v>
      </c>
      <c r="D174" s="64">
        <f>IFERROR(VLOOKUP(C174,測定点マスタ!$E$2:$F$28,2,FALSE)/VLOOKUP(A174,'焼鈍条件-3CGL'!$A$2:$B$197,2,FALSE)*60,"")</f>
        <v>0</v>
      </c>
      <c r="E174" s="66">
        <v>37.5</v>
      </c>
      <c r="F174" s="64" t="str">
        <f t="shared" si="2"/>
        <v/>
      </c>
      <c r="G174" s="60" t="s">
        <v>9</v>
      </c>
      <c r="H174" s="60" t="s">
        <v>5064</v>
      </c>
    </row>
    <row r="175" spans="1:8">
      <c r="A175" s="59" t="s">
        <v>1980</v>
      </c>
      <c r="B175" s="62">
        <v>2</v>
      </c>
      <c r="C175" s="60" t="s">
        <v>5043</v>
      </c>
      <c r="D175" s="64">
        <f>IFERROR(VLOOKUP(C175,測定点マスタ!$E$2:$F$28,2,FALSE)/VLOOKUP(A175,'焼鈍条件-3CGL'!$A$2:$B$197,2,FALSE)*60,"")</f>
        <v>16.340759300615503</v>
      </c>
      <c r="E175" s="66">
        <v>174.1</v>
      </c>
      <c r="F175" s="64">
        <f t="shared" si="2"/>
        <v>8.3594646666666659</v>
      </c>
      <c r="G175" s="60" t="s">
        <v>9</v>
      </c>
      <c r="H175" s="60" t="s">
        <v>5064</v>
      </c>
    </row>
    <row r="176" spans="1:8">
      <c r="A176" s="59" t="s">
        <v>1980</v>
      </c>
      <c r="B176" s="62">
        <v>3</v>
      </c>
      <c r="C176" s="60" t="s">
        <v>5067</v>
      </c>
      <c r="D176" s="64">
        <f>IFERROR(VLOOKUP(C176,測定点マスタ!$E$2:$F$28,2,FALSE)/VLOOKUP(A176,'焼鈍条件-3CGL'!$A$2:$B$197,2,FALSE)*60,"")</f>
        <v>27.234598834359172</v>
      </c>
      <c r="E176" s="66">
        <v>379.5</v>
      </c>
      <c r="F176" s="64">
        <f t="shared" si="2"/>
        <v>18.854692999999997</v>
      </c>
      <c r="G176" s="60" t="s">
        <v>9</v>
      </c>
      <c r="H176" s="60" t="s">
        <v>5064</v>
      </c>
    </row>
    <row r="177" spans="1:8">
      <c r="A177" s="59" t="s">
        <v>1980</v>
      </c>
      <c r="B177" s="62">
        <v>4</v>
      </c>
      <c r="C177" s="60" t="s">
        <v>5044</v>
      </c>
      <c r="D177" s="64">
        <f>IFERROR(VLOOKUP(C177,測定点マスタ!$E$2:$F$28,2,FALSE)/VLOOKUP(A177,'焼鈍条件-3CGL'!$A$2:$B$197,2,FALSE)*60,"")</f>
        <v>37.039054414728476</v>
      </c>
      <c r="E177" s="66">
        <v>695.4</v>
      </c>
      <c r="F177" s="64">
        <f t="shared" si="2"/>
        <v>32.220044999999992</v>
      </c>
      <c r="G177" s="60" t="s">
        <v>9</v>
      </c>
      <c r="H177" s="60" t="s">
        <v>5064</v>
      </c>
    </row>
    <row r="178" spans="1:8">
      <c r="A178" s="59" t="s">
        <v>1980</v>
      </c>
      <c r="B178" s="62">
        <v>5</v>
      </c>
      <c r="C178" s="60" t="s">
        <v>5045</v>
      </c>
      <c r="D178" s="64">
        <f>IFERROR(VLOOKUP(C178,測定点マスタ!$E$2:$F$28,2,FALSE)/VLOOKUP(A178,'焼鈍条件-3CGL'!$A$2:$B$197,2,FALSE)*60,"")</f>
        <v>47.932893948472142</v>
      </c>
      <c r="E178" s="66">
        <v>851</v>
      </c>
      <c r="F178" s="64">
        <f t="shared" si="2"/>
        <v>14.283302000000004</v>
      </c>
      <c r="G178" s="60" t="s">
        <v>9</v>
      </c>
      <c r="H178" s="60" t="s">
        <v>5064</v>
      </c>
    </row>
    <row r="179" spans="1:8">
      <c r="A179" s="59" t="s">
        <v>1980</v>
      </c>
      <c r="B179" s="62">
        <v>6</v>
      </c>
      <c r="C179" s="60" t="s">
        <v>5047</v>
      </c>
      <c r="D179" s="64">
        <f>IFERROR(VLOOKUP(C179,測定点マスタ!$E$2:$F$28,2,FALSE)/VLOOKUP(A179,'焼鈍条件-3CGL'!$A$2:$B$197,2,FALSE)*60,"")</f>
        <v>65.36303720246201</v>
      </c>
      <c r="E179" s="66">
        <v>803.8</v>
      </c>
      <c r="F179" s="64">
        <f t="shared" si="2"/>
        <v>-2.7079525000000029</v>
      </c>
      <c r="G179" s="60" t="s">
        <v>9</v>
      </c>
      <c r="H179" s="60" t="s">
        <v>5064</v>
      </c>
    </row>
    <row r="180" spans="1:8">
      <c r="A180" s="59" t="s">
        <v>1980</v>
      </c>
      <c r="B180" s="62">
        <v>7</v>
      </c>
      <c r="C180" s="60" t="s">
        <v>5049</v>
      </c>
      <c r="D180" s="64">
        <f>IFERROR(VLOOKUP(C180,測定点マスタ!$E$2:$F$28,2,FALSE)/VLOOKUP(A180,'焼鈍条件-3CGL'!$A$2:$B$197,2,FALSE)*60,"")</f>
        <v>79.525028596328767</v>
      </c>
      <c r="E180" s="66">
        <v>615.79999999999995</v>
      </c>
      <c r="F180" s="64">
        <f t="shared" si="2"/>
        <v>-13.274969230769242</v>
      </c>
      <c r="G180" s="60" t="s">
        <v>9</v>
      </c>
      <c r="H180" s="60" t="s">
        <v>5064</v>
      </c>
    </row>
    <row r="181" spans="1:8">
      <c r="A181" s="59" t="s">
        <v>1980</v>
      </c>
      <c r="B181" s="62">
        <v>8</v>
      </c>
      <c r="C181" s="60" t="s">
        <v>5050</v>
      </c>
      <c r="D181" s="64">
        <f>IFERROR(VLOOKUP(C181,測定点マスタ!$E$2:$F$28,2,FALSE)/VLOOKUP(A181,'焼鈍条件-3CGL'!$A$2:$B$197,2,FALSE)*60,"")</f>
        <v>88.240100223323708</v>
      </c>
      <c r="E181" s="66">
        <v>543.1</v>
      </c>
      <c r="F181" s="64">
        <f t="shared" si="2"/>
        <v>-8.3418706249999861</v>
      </c>
      <c r="G181" s="60" t="s">
        <v>9</v>
      </c>
      <c r="H181" s="60" t="s">
        <v>5064</v>
      </c>
    </row>
    <row r="182" spans="1:8">
      <c r="A182" s="59" t="s">
        <v>1980</v>
      </c>
      <c r="B182" s="62">
        <v>9</v>
      </c>
      <c r="C182" s="60" t="s">
        <v>5051</v>
      </c>
      <c r="D182" s="64">
        <f>IFERROR(VLOOKUP(C182,測定点マスタ!$E$2:$F$28,2,FALSE)/VLOOKUP(A182,'焼鈍条件-3CGL'!$A$2:$B$197,2,FALSE)*60,"")</f>
        <v>95.865787896944283</v>
      </c>
      <c r="E182" s="66">
        <v>476.2</v>
      </c>
      <c r="F182" s="64">
        <f t="shared" si="2"/>
        <v>-8.7729792857142819</v>
      </c>
      <c r="G182" s="60" t="s">
        <v>9</v>
      </c>
      <c r="H182" s="60" t="s">
        <v>5064</v>
      </c>
    </row>
    <row r="183" spans="1:8">
      <c r="A183" s="59" t="s">
        <v>1980</v>
      </c>
      <c r="B183" s="62">
        <v>10</v>
      </c>
      <c r="C183" s="60" t="s">
        <v>5052</v>
      </c>
      <c r="D183" s="64">
        <f>IFERROR(VLOOKUP(C183,測定点マスタ!$E$2:$F$28,2,FALSE)/VLOOKUP(A183,'焼鈍条件-3CGL'!$A$2:$B$197,2,FALSE)*60,"")</f>
        <v>105.67024347731359</v>
      </c>
      <c r="E183" s="66">
        <v>377.1</v>
      </c>
      <c r="F183" s="64">
        <f t="shared" si="2"/>
        <v>-10.107649444444435</v>
      </c>
      <c r="G183" s="60" t="s">
        <v>9</v>
      </c>
      <c r="H183" s="60" t="s">
        <v>5064</v>
      </c>
    </row>
    <row r="184" spans="1:8">
      <c r="A184" s="59" t="s">
        <v>1980</v>
      </c>
      <c r="B184" s="62">
        <v>11</v>
      </c>
      <c r="C184" s="60" t="s">
        <v>5053</v>
      </c>
      <c r="D184" s="64">
        <f>IFERROR(VLOOKUP(C184,測定点マスタ!$E$2:$F$28,2,FALSE)/VLOOKUP(A184,'焼鈍条件-3CGL'!$A$2:$B$197,2,FALSE)*60,"")</f>
        <v>118.74285091780598</v>
      </c>
      <c r="E184" s="66">
        <v>541</v>
      </c>
      <c r="F184" s="64">
        <f t="shared" si="2"/>
        <v>12.537667083333343</v>
      </c>
      <c r="G184" s="60" t="s">
        <v>9</v>
      </c>
      <c r="H184" s="60" t="s">
        <v>5064</v>
      </c>
    </row>
    <row r="185" spans="1:8">
      <c r="A185" s="59" t="s">
        <v>1980</v>
      </c>
      <c r="B185" s="62">
        <v>12</v>
      </c>
      <c r="C185" s="60" t="s">
        <v>5054</v>
      </c>
      <c r="D185" s="64">
        <f>IFERROR(VLOOKUP(C185,測定点マスタ!$E$2:$F$28,2,FALSE)/VLOOKUP(A185,'焼鈍条件-3CGL'!$A$2:$B$197,2,FALSE)*60,"")</f>
        <v>132.90484231167275</v>
      </c>
      <c r="E185" s="66">
        <v>525.70000000000005</v>
      </c>
      <c r="F185" s="64">
        <f t="shared" si="2"/>
        <v>-1.080356538461535</v>
      </c>
      <c r="G185" s="60" t="s">
        <v>9</v>
      </c>
      <c r="H185" s="60" t="s">
        <v>5064</v>
      </c>
    </row>
    <row r="186" spans="1:8">
      <c r="A186" s="59" t="s">
        <v>1980</v>
      </c>
      <c r="B186" s="62">
        <v>13</v>
      </c>
      <c r="C186" s="60" t="s">
        <v>5056</v>
      </c>
      <c r="D186" s="64">
        <f>IFERROR(VLOOKUP(C186,測定点マスタ!$E$2:$F$28,2,FALSE)/VLOOKUP(A186,'焼鈍条件-3CGL'!$A$2:$B$197,2,FALSE)*60,"")</f>
        <v>144.88806579879079</v>
      </c>
      <c r="E186" s="66">
        <v>278.3</v>
      </c>
      <c r="F186" s="64">
        <f t="shared" si="2"/>
        <v>-20.645529999999997</v>
      </c>
      <c r="G186" s="60" t="s">
        <v>9</v>
      </c>
      <c r="H186" s="60" t="s">
        <v>5064</v>
      </c>
    </row>
    <row r="187" spans="1:8">
      <c r="A187" s="59" t="s">
        <v>1980</v>
      </c>
      <c r="B187" s="62">
        <v>14</v>
      </c>
      <c r="C187" s="60" t="s">
        <v>5062</v>
      </c>
      <c r="D187" s="64">
        <f>IFERROR(VLOOKUP(C187,測定点マスタ!$E$2:$F$28,2,FALSE)/VLOOKUP(A187,'焼鈍条件-3CGL'!$A$2:$B$197,2,FALSE)*60,"")</f>
        <v>157.96067323928318</v>
      </c>
      <c r="E187" s="66">
        <v>460.6</v>
      </c>
      <c r="F187" s="64">
        <f t="shared" si="2"/>
        <v>13.94519041666668</v>
      </c>
      <c r="G187" s="60" t="s">
        <v>9</v>
      </c>
      <c r="H187" s="60" t="s">
        <v>5064</v>
      </c>
    </row>
    <row r="188" spans="1:8">
      <c r="A188" s="59" t="s">
        <v>1980</v>
      </c>
      <c r="B188" s="62">
        <v>15</v>
      </c>
      <c r="C188" s="60" t="s">
        <v>5065</v>
      </c>
      <c r="D188" s="64">
        <f>IFERROR(VLOOKUP(C188,測定点マスタ!$E$2:$F$28,2,FALSE)/VLOOKUP(A188,'焼鈍条件-3CGL'!$A$2:$B$197,2,FALSE)*60,"")</f>
        <v>159.90600172745138</v>
      </c>
      <c r="E188" s="66">
        <v>513.5</v>
      </c>
      <c r="F188" s="64">
        <f t="shared" si="2"/>
        <v>27.193350800004339</v>
      </c>
      <c r="G188" s="60" t="s">
        <v>9</v>
      </c>
      <c r="H188" s="60" t="s">
        <v>5064</v>
      </c>
    </row>
    <row r="189" spans="1:8">
      <c r="A189" s="59" t="s">
        <v>1980</v>
      </c>
      <c r="B189" s="62">
        <v>16</v>
      </c>
      <c r="C189" s="60" t="s">
        <v>5066</v>
      </c>
      <c r="D189" s="64">
        <f>IFERROR(VLOOKUP(C189,測定点マスタ!$E$2:$F$28,2,FALSE)/VLOOKUP(A189,'焼鈍条件-3CGL'!$A$2:$B$197,2,FALSE)*60,"")</f>
        <v>166.48121201746176</v>
      </c>
      <c r="E189" s="66">
        <v>494.3</v>
      </c>
      <c r="F189" s="64">
        <f t="shared" si="2"/>
        <v>-2.9200586982244934</v>
      </c>
      <c r="G189" s="60" t="s">
        <v>9</v>
      </c>
      <c r="H189" s="60" t="s">
        <v>5064</v>
      </c>
    </row>
    <row r="190" spans="1:8">
      <c r="A190" s="59" t="s">
        <v>1980</v>
      </c>
      <c r="B190" s="62">
        <v>17</v>
      </c>
      <c r="C190" s="60" t="s">
        <v>5057</v>
      </c>
      <c r="D190" s="64">
        <f>IFERROR(VLOOKUP(C190,測定点マスタ!$E$2:$F$28,2,FALSE)/VLOOKUP(A190,'焼鈍条件-3CGL'!$A$2:$B$197,2,FALSE)*60,"")</f>
        <v>179.63163259748023</v>
      </c>
      <c r="E190" s="66">
        <v>202.4</v>
      </c>
      <c r="F190" s="64">
        <f t="shared" si="2"/>
        <v>-22.197008698225975</v>
      </c>
      <c r="G190" s="60" t="s">
        <v>9</v>
      </c>
      <c r="H190" s="60" t="s">
        <v>5064</v>
      </c>
    </row>
    <row r="191" spans="1:8">
      <c r="A191" s="59" t="s">
        <v>1980</v>
      </c>
      <c r="B191" s="62">
        <v>18</v>
      </c>
      <c r="C191" s="60" t="s">
        <v>5059</v>
      </c>
      <c r="D191" s="64">
        <f>IFERROR(VLOOKUP(C191,測定点マスタ!$E$2:$F$28,2,FALSE)/VLOOKUP(A191,'焼鈍条件-3CGL'!$A$2:$B$197,2,FALSE)*60,"")</f>
        <v>192.78205317749988</v>
      </c>
      <c r="E191" s="66">
        <v>62.4</v>
      </c>
      <c r="F191" s="64">
        <f t="shared" si="2"/>
        <v>-10.646047337277702</v>
      </c>
      <c r="G191" s="60" t="s">
        <v>9</v>
      </c>
      <c r="H191" s="60" t="s">
        <v>5064</v>
      </c>
    </row>
    <row r="192" spans="1:8">
      <c r="A192" s="59" t="s">
        <v>1989</v>
      </c>
      <c r="B192" s="62">
        <v>1</v>
      </c>
      <c r="C192" s="60" t="s">
        <v>5041</v>
      </c>
      <c r="D192" s="64">
        <f>IFERROR(VLOOKUP(C192,測定点マスタ!$E$2:$F$28,2,FALSE)/VLOOKUP(A192,'焼鈍条件-3CGL'!$A$2:$B$197,2,FALSE)*60,"")</f>
        <v>0</v>
      </c>
      <c r="E192" s="66">
        <v>37.4</v>
      </c>
      <c r="F192" s="64" t="str">
        <f t="shared" si="2"/>
        <v/>
      </c>
      <c r="G192" s="60" t="s">
        <v>9</v>
      </c>
      <c r="H192" s="60" t="s">
        <v>5061</v>
      </c>
    </row>
    <row r="193" spans="1:8">
      <c r="A193" s="59" t="s">
        <v>1989</v>
      </c>
      <c r="B193" s="62">
        <v>2</v>
      </c>
      <c r="C193" s="60" t="s">
        <v>5043</v>
      </c>
      <c r="D193" s="64">
        <f>IFERROR(VLOOKUP(C193,測定点マスタ!$E$2:$F$28,2,FALSE)/VLOOKUP(A193,'焼鈍条件-3CGL'!$A$2:$B$197,2,FALSE)*60,"")</f>
        <v>12.775561769841158</v>
      </c>
      <c r="E193" s="66">
        <v>198</v>
      </c>
      <c r="F193" s="64">
        <f t="shared" si="2"/>
        <v>12.570875777777777</v>
      </c>
      <c r="G193" s="60" t="s">
        <v>9</v>
      </c>
      <c r="H193" s="60" t="s">
        <v>5061</v>
      </c>
    </row>
    <row r="194" spans="1:8">
      <c r="A194" s="59" t="s">
        <v>1989</v>
      </c>
      <c r="B194" s="62">
        <v>3</v>
      </c>
      <c r="C194" s="60" t="s">
        <v>5044</v>
      </c>
      <c r="D194" s="64">
        <f>IFERROR(VLOOKUP(C194,測定点マスタ!$E$2:$F$28,2,FALSE)/VLOOKUP(A194,'焼鈍条件-3CGL'!$A$2:$B$197,2,FALSE)*60,"")</f>
        <v>28.957940011639955</v>
      </c>
      <c r="E194" s="66">
        <v>709.2</v>
      </c>
      <c r="F194" s="64">
        <f t="shared" ref="F194:F257" si="3">IF(A194=A193,IFERROR((E194-E193)/(D194-D193),""),"")</f>
        <v>31.589917894736846</v>
      </c>
      <c r="G194" s="60" t="s">
        <v>9</v>
      </c>
      <c r="H194" s="60" t="s">
        <v>5061</v>
      </c>
    </row>
    <row r="195" spans="1:8">
      <c r="A195" s="59" t="s">
        <v>1989</v>
      </c>
      <c r="B195" s="62">
        <v>4</v>
      </c>
      <c r="C195" s="60" t="s">
        <v>5045</v>
      </c>
      <c r="D195" s="64">
        <f>IFERROR(VLOOKUP(C195,測定点マスタ!$E$2:$F$28,2,FALSE)/VLOOKUP(A195,'焼鈍条件-3CGL'!$A$2:$B$197,2,FALSE)*60,"")</f>
        <v>37.474981191534056</v>
      </c>
      <c r="E195" s="66">
        <v>839.1</v>
      </c>
      <c r="F195" s="64">
        <f t="shared" si="3"/>
        <v>15.251775500000004</v>
      </c>
      <c r="G195" s="60" t="s">
        <v>9</v>
      </c>
      <c r="H195" s="60" t="s">
        <v>5061</v>
      </c>
    </row>
    <row r="196" spans="1:8">
      <c r="A196" s="59" t="s">
        <v>1989</v>
      </c>
      <c r="B196" s="62">
        <v>5</v>
      </c>
      <c r="C196" s="60" t="s">
        <v>5047</v>
      </c>
      <c r="D196" s="64">
        <f>IFERROR(VLOOKUP(C196,測定点マスタ!$E$2:$F$28,2,FALSE)/VLOOKUP(A196,'焼鈍条件-3CGL'!$A$2:$B$197,2,FALSE)*60,"")</f>
        <v>51.102247079364631</v>
      </c>
      <c r="E196" s="66">
        <v>783.9</v>
      </c>
      <c r="F196" s="64">
        <f t="shared" si="3"/>
        <v>-4.0507025000000016</v>
      </c>
      <c r="G196" s="60" t="s">
        <v>9</v>
      </c>
      <c r="H196" s="60" t="s">
        <v>5061</v>
      </c>
    </row>
    <row r="197" spans="1:8">
      <c r="A197" s="59" t="s">
        <v>1989</v>
      </c>
      <c r="B197" s="62">
        <v>6</v>
      </c>
      <c r="C197" s="60" t="s">
        <v>5049</v>
      </c>
      <c r="D197" s="64">
        <f>IFERROR(VLOOKUP(C197,測定点マスタ!$E$2:$F$28,2,FALSE)/VLOOKUP(A197,'焼鈍条件-3CGL'!$A$2:$B$197,2,FALSE)*60,"")</f>
        <v>62.174400613226965</v>
      </c>
      <c r="E197" s="66">
        <v>627.6</v>
      </c>
      <c r="F197" s="64">
        <f t="shared" si="3"/>
        <v>-14.116494999999999</v>
      </c>
      <c r="G197" s="60" t="s">
        <v>9</v>
      </c>
      <c r="H197" s="60" t="s">
        <v>5061</v>
      </c>
    </row>
    <row r="198" spans="1:8">
      <c r="A198" s="59" t="s">
        <v>1989</v>
      </c>
      <c r="B198" s="62">
        <v>7</v>
      </c>
      <c r="C198" s="60" t="s">
        <v>5050</v>
      </c>
      <c r="D198" s="64">
        <f>IFERROR(VLOOKUP(C198,測定点マスタ!$E$2:$F$28,2,FALSE)/VLOOKUP(A198,'焼鈍条件-3CGL'!$A$2:$B$197,2,FALSE)*60,"")</f>
        <v>68.988033557142245</v>
      </c>
      <c r="E198" s="66">
        <v>536.6</v>
      </c>
      <c r="F198" s="64">
        <f t="shared" si="3"/>
        <v>-13.35557708333334</v>
      </c>
      <c r="G198" s="60" t="s">
        <v>9</v>
      </c>
      <c r="H198" s="60" t="s">
        <v>5061</v>
      </c>
    </row>
    <row r="199" spans="1:8">
      <c r="A199" s="59" t="s">
        <v>1989</v>
      </c>
      <c r="B199" s="62">
        <v>8</v>
      </c>
      <c r="C199" s="60" t="s">
        <v>5051</v>
      </c>
      <c r="D199" s="64">
        <f>IFERROR(VLOOKUP(C199,測定点マスタ!$E$2:$F$28,2,FALSE)/VLOOKUP(A199,'焼鈍条件-3CGL'!$A$2:$B$197,2,FALSE)*60,"")</f>
        <v>74.949962383068112</v>
      </c>
      <c r="E199" s="66">
        <v>492.6</v>
      </c>
      <c r="F199" s="64">
        <f t="shared" si="3"/>
        <v>-7.3801619047619127</v>
      </c>
      <c r="G199" s="60" t="s">
        <v>9</v>
      </c>
      <c r="H199" s="60" t="s">
        <v>5061</v>
      </c>
    </row>
    <row r="200" spans="1:8">
      <c r="A200" s="59" t="s">
        <v>1989</v>
      </c>
      <c r="B200" s="62">
        <v>9</v>
      </c>
      <c r="C200" s="60" t="s">
        <v>5060</v>
      </c>
      <c r="D200" s="64">
        <f>IFERROR(VLOOKUP(C200,測定点マスタ!$E$2:$F$28,2,FALSE)/VLOOKUP(A200,'焼鈍条件-3CGL'!$A$2:$B$197,2,FALSE)*60,"")</f>
        <v>78.356778855025752</v>
      </c>
      <c r="E200" s="66">
        <v>423.9</v>
      </c>
      <c r="F200" s="64">
        <f t="shared" si="3"/>
        <v>-20.165453750000022</v>
      </c>
      <c r="G200" s="60" t="s">
        <v>9</v>
      </c>
      <c r="H200" s="60" t="s">
        <v>5061</v>
      </c>
    </row>
    <row r="201" spans="1:8">
      <c r="A201" s="59" t="s">
        <v>1989</v>
      </c>
      <c r="B201" s="62">
        <v>10</v>
      </c>
      <c r="C201" s="60" t="s">
        <v>5052</v>
      </c>
      <c r="D201" s="64">
        <f>IFERROR(VLOOKUP(C201,測定点マスタ!$E$2:$F$28,2,FALSE)/VLOOKUP(A201,'焼鈍条件-3CGL'!$A$2:$B$197,2,FALSE)*60,"")</f>
        <v>82.615299444972806</v>
      </c>
      <c r="E201" s="66">
        <v>376.2</v>
      </c>
      <c r="F201" s="64">
        <f t="shared" si="3"/>
        <v>-11.201072999999994</v>
      </c>
      <c r="G201" s="60" t="s">
        <v>9</v>
      </c>
      <c r="H201" s="60" t="s">
        <v>5061</v>
      </c>
    </row>
    <row r="202" spans="1:8">
      <c r="A202" s="59" t="s">
        <v>1989</v>
      </c>
      <c r="B202" s="62">
        <v>11</v>
      </c>
      <c r="C202" s="60" t="s">
        <v>5053</v>
      </c>
      <c r="D202" s="64">
        <f>IFERROR(VLOOKUP(C202,測定点マスタ!$E$2:$F$28,2,FALSE)/VLOOKUP(A202,'焼鈍条件-3CGL'!$A$2:$B$197,2,FALSE)*60,"")</f>
        <v>92.83574886084574</v>
      </c>
      <c r="E202" s="66">
        <v>533.4</v>
      </c>
      <c r="F202" s="64">
        <f t="shared" si="3"/>
        <v>15.380928333333319</v>
      </c>
      <c r="G202" s="60" t="s">
        <v>9</v>
      </c>
      <c r="H202" s="60" t="s">
        <v>5061</v>
      </c>
    </row>
    <row r="203" spans="1:8">
      <c r="A203" s="59" t="s">
        <v>1989</v>
      </c>
      <c r="B203" s="62">
        <v>12</v>
      </c>
      <c r="C203" s="60" t="s">
        <v>5054</v>
      </c>
      <c r="D203" s="64">
        <f>IFERROR(VLOOKUP(C203,測定点マスタ!$E$2:$F$28,2,FALSE)/VLOOKUP(A203,'焼鈍条件-3CGL'!$A$2:$B$197,2,FALSE)*60,"")</f>
        <v>103.90790239470807</v>
      </c>
      <c r="E203" s="66">
        <v>519.70000000000005</v>
      </c>
      <c r="F203" s="64">
        <f t="shared" si="3"/>
        <v>-1.2373383333333274</v>
      </c>
      <c r="G203" s="60" t="s">
        <v>9</v>
      </c>
      <c r="H203" s="60" t="s">
        <v>5061</v>
      </c>
    </row>
    <row r="204" spans="1:8">
      <c r="A204" s="59" t="s">
        <v>1989</v>
      </c>
      <c r="B204" s="62">
        <v>13</v>
      </c>
      <c r="C204" s="60" t="s">
        <v>5056</v>
      </c>
      <c r="D204" s="64">
        <f>IFERROR(VLOOKUP(C204,測定点マスタ!$E$2:$F$28,2,FALSE)/VLOOKUP(A204,'焼鈍条件-3CGL'!$A$2:$B$197,2,FALSE)*60,"")</f>
        <v>113.2766476925916</v>
      </c>
      <c r="E204" s="66">
        <v>261.3</v>
      </c>
      <c r="F204" s="64">
        <f t="shared" si="3"/>
        <v>-27.581067878787866</v>
      </c>
      <c r="G204" s="60" t="s">
        <v>9</v>
      </c>
      <c r="H204" s="60" t="s">
        <v>5061</v>
      </c>
    </row>
    <row r="205" spans="1:8">
      <c r="A205" s="59" t="s">
        <v>1989</v>
      </c>
      <c r="B205" s="62">
        <v>14</v>
      </c>
      <c r="C205" s="60" t="s">
        <v>5062</v>
      </c>
      <c r="D205" s="64">
        <f>IFERROR(VLOOKUP(C205,測定点マスタ!$E$2:$F$28,2,FALSE)/VLOOKUP(A205,'焼鈍条件-3CGL'!$A$2:$B$197,2,FALSE)*60,"")</f>
        <v>123.49709710846452</v>
      </c>
      <c r="E205" s="66">
        <v>463.6</v>
      </c>
      <c r="F205" s="64">
        <f t="shared" si="3"/>
        <v>19.7936501388889</v>
      </c>
      <c r="G205" s="60" t="s">
        <v>9</v>
      </c>
      <c r="H205" s="60" t="s">
        <v>5061</v>
      </c>
    </row>
    <row r="206" spans="1:8">
      <c r="A206" s="59" t="s">
        <v>1989</v>
      </c>
      <c r="B206" s="62">
        <v>15</v>
      </c>
      <c r="C206" s="60" t="s">
        <v>5057</v>
      </c>
      <c r="D206" s="64">
        <f>IFERROR(VLOOKUP(C206,測定点マスタ!$E$2:$F$28,2,FALSE)/VLOOKUP(A206,'焼鈍条件-3CGL'!$A$2:$B$197,2,FALSE)*60,"")</f>
        <v>140.43992545561088</v>
      </c>
      <c r="E206" s="66">
        <v>196.8</v>
      </c>
      <c r="F206" s="64">
        <f t="shared" si="3"/>
        <v>-15.747075667265229</v>
      </c>
      <c r="G206" s="60" t="s">
        <v>9</v>
      </c>
      <c r="H206" s="60" t="s">
        <v>5061</v>
      </c>
    </row>
    <row r="207" spans="1:8">
      <c r="A207" s="59" t="s">
        <v>1989</v>
      </c>
      <c r="B207" s="62">
        <v>16</v>
      </c>
      <c r="C207" s="60" t="s">
        <v>5058</v>
      </c>
      <c r="D207" s="64">
        <f>IFERROR(VLOOKUP(C207,測定点マスタ!$E$2:$F$28,2,FALSE)/VLOOKUP(A207,'焼鈍条件-3CGL'!$A$2:$B$197,2,FALSE)*60,"")</f>
        <v>145.58056816776102</v>
      </c>
      <c r="E207" s="66">
        <v>137.80000000000001</v>
      </c>
      <c r="F207" s="64">
        <f t="shared" si="3"/>
        <v>-11.477164102564618</v>
      </c>
      <c r="G207" s="60" t="s">
        <v>9</v>
      </c>
      <c r="H207" s="60" t="s">
        <v>5061</v>
      </c>
    </row>
    <row r="208" spans="1:8">
      <c r="A208" s="59" t="s">
        <v>1989</v>
      </c>
      <c r="B208" s="62">
        <v>17</v>
      </c>
      <c r="C208" s="60" t="s">
        <v>5059</v>
      </c>
      <c r="D208" s="64">
        <f>IFERROR(VLOOKUP(C208,測定点マスタ!$E$2:$F$28,2,FALSE)/VLOOKUP(A208,'焼鈍条件-3CGL'!$A$2:$B$197,2,FALSE)*60,"")</f>
        <v>150.72121087991201</v>
      </c>
      <c r="E208" s="66">
        <v>45.6</v>
      </c>
      <c r="F208" s="64">
        <f t="shared" si="3"/>
        <v>-17.935500512818347</v>
      </c>
      <c r="G208" s="60" t="s">
        <v>9</v>
      </c>
      <c r="H208" s="60" t="s">
        <v>5061</v>
      </c>
    </row>
    <row r="209" spans="1:8">
      <c r="A209" s="59" t="s">
        <v>2004</v>
      </c>
      <c r="B209" s="62">
        <v>1</v>
      </c>
      <c r="C209" s="60" t="s">
        <v>5041</v>
      </c>
      <c r="D209" s="64">
        <f>IFERROR(VLOOKUP(C209,測定点マスタ!$E$2:$F$28,2,FALSE)/VLOOKUP(A209,'焼鈍条件-3CGL'!$A$2:$B$197,2,FALSE)*60,"")</f>
        <v>0</v>
      </c>
      <c r="E209" s="66">
        <v>34</v>
      </c>
      <c r="F209" s="64" t="str">
        <f t="shared" si="3"/>
        <v/>
      </c>
      <c r="G209" s="60" t="s">
        <v>9</v>
      </c>
      <c r="H209" s="60" t="s">
        <v>5042</v>
      </c>
    </row>
    <row r="210" spans="1:8">
      <c r="A210" s="59" t="s">
        <v>2004</v>
      </c>
      <c r="B210" s="62">
        <v>2</v>
      </c>
      <c r="C210" s="60" t="s">
        <v>5043</v>
      </c>
      <c r="D210" s="64">
        <f>IFERROR(VLOOKUP(C210,測定点マスタ!$E$2:$F$28,2,FALSE)/VLOOKUP(A210,'焼鈍条件-3CGL'!$A$2:$B$197,2,FALSE)*60,"")</f>
        <v>6.8320529560015792</v>
      </c>
      <c r="E210" s="66">
        <v>182.7</v>
      </c>
      <c r="F210" s="64">
        <f t="shared" si="3"/>
        <v>21.765053777777776</v>
      </c>
      <c r="G210" s="60" t="s">
        <v>9</v>
      </c>
      <c r="H210" s="60" t="s">
        <v>5042</v>
      </c>
    </row>
    <row r="211" spans="1:8">
      <c r="A211" s="59" t="s">
        <v>2004</v>
      </c>
      <c r="B211" s="62">
        <v>3</v>
      </c>
      <c r="C211" s="60" t="s">
        <v>5044</v>
      </c>
      <c r="D211" s="64">
        <f>IFERROR(VLOOKUP(C211,測定点マスタ!$E$2:$F$28,2,FALSE)/VLOOKUP(A211,'焼鈍条件-3CGL'!$A$2:$B$197,2,FALSE)*60,"")</f>
        <v>15.485986700270246</v>
      </c>
      <c r="E211" s="66">
        <v>630.9</v>
      </c>
      <c r="F211" s="64">
        <f t="shared" si="3"/>
        <v>51.791475789473687</v>
      </c>
      <c r="G211" s="60" t="s">
        <v>9</v>
      </c>
      <c r="H211" s="60" t="s">
        <v>5042</v>
      </c>
    </row>
    <row r="212" spans="1:8">
      <c r="A212" s="59" t="s">
        <v>2004</v>
      </c>
      <c r="B212" s="62">
        <v>4</v>
      </c>
      <c r="C212" s="60" t="s">
        <v>5045</v>
      </c>
      <c r="D212" s="64">
        <f>IFERROR(VLOOKUP(C212,測定点マスタ!$E$2:$F$28,2,FALSE)/VLOOKUP(A212,'焼鈍条件-3CGL'!$A$2:$B$197,2,FALSE)*60,"")</f>
        <v>20.040688670937964</v>
      </c>
      <c r="E212" s="66">
        <v>780.4</v>
      </c>
      <c r="F212" s="64">
        <f t="shared" si="3"/>
        <v>32.823223333333338</v>
      </c>
      <c r="G212" s="60" t="s">
        <v>9</v>
      </c>
      <c r="H212" s="60" t="s">
        <v>5042</v>
      </c>
    </row>
    <row r="213" spans="1:8">
      <c r="A213" s="59" t="s">
        <v>2004</v>
      </c>
      <c r="B213" s="62">
        <v>5</v>
      </c>
      <c r="C213" s="60" t="s">
        <v>5046</v>
      </c>
      <c r="D213" s="64">
        <f>IFERROR(VLOOKUP(C213,測定点マスタ!$E$2:$F$28,2,FALSE)/VLOOKUP(A213,'焼鈍条件-3CGL'!$A$2:$B$197,2,FALSE)*60,"")</f>
        <v>24.595390641605686</v>
      </c>
      <c r="E213" s="66">
        <v>749.3</v>
      </c>
      <c r="F213" s="64">
        <f t="shared" si="3"/>
        <v>-6.8281086666666679</v>
      </c>
      <c r="G213" s="60" t="s">
        <v>9</v>
      </c>
      <c r="H213" s="60" t="s">
        <v>5042</v>
      </c>
    </row>
    <row r="214" spans="1:8">
      <c r="A214" s="59" t="s">
        <v>2004</v>
      </c>
      <c r="B214" s="62">
        <v>6</v>
      </c>
      <c r="C214" s="60" t="s">
        <v>5047</v>
      </c>
      <c r="D214" s="64">
        <f>IFERROR(VLOOKUP(C214,測定点マスタ!$E$2:$F$28,2,FALSE)/VLOOKUP(A214,'焼鈍条件-3CGL'!$A$2:$B$197,2,FALSE)*60,"")</f>
        <v>27.328211824006317</v>
      </c>
      <c r="E214" s="66">
        <v>730.4</v>
      </c>
      <c r="F214" s="64">
        <f t="shared" si="3"/>
        <v>-6.9159299999999932</v>
      </c>
      <c r="G214" s="60" t="s">
        <v>9</v>
      </c>
      <c r="H214" s="60" t="s">
        <v>5042</v>
      </c>
    </row>
    <row r="215" spans="1:8">
      <c r="A215" s="59" t="s">
        <v>2004</v>
      </c>
      <c r="B215" s="62">
        <v>7</v>
      </c>
      <c r="C215" s="60" t="s">
        <v>5049</v>
      </c>
      <c r="D215" s="64">
        <f>IFERROR(VLOOKUP(C215,測定点マスタ!$E$2:$F$28,2,FALSE)/VLOOKUP(A215,'焼鈍条件-3CGL'!$A$2:$B$197,2,FALSE)*60,"")</f>
        <v>33.249324385874353</v>
      </c>
      <c r="E215" s="66">
        <v>571.6</v>
      </c>
      <c r="F215" s="64">
        <f t="shared" si="3"/>
        <v>-26.819284102564094</v>
      </c>
      <c r="G215" s="60" t="s">
        <v>9</v>
      </c>
      <c r="H215" s="60" t="s">
        <v>5042</v>
      </c>
    </row>
    <row r="216" spans="1:8">
      <c r="A216" s="59" t="s">
        <v>2004</v>
      </c>
      <c r="B216" s="62">
        <v>8</v>
      </c>
      <c r="C216" s="60" t="s">
        <v>5050</v>
      </c>
      <c r="D216" s="64">
        <f>IFERROR(VLOOKUP(C216,測定点マスタ!$E$2:$F$28,2,FALSE)/VLOOKUP(A216,'焼鈍条件-3CGL'!$A$2:$B$197,2,FALSE)*60,"")</f>
        <v>36.893085962408527</v>
      </c>
      <c r="E216" s="66">
        <v>481.8</v>
      </c>
      <c r="F216" s="64">
        <f t="shared" si="3"/>
        <v>-24.644861666666674</v>
      </c>
      <c r="G216" s="60" t="s">
        <v>9</v>
      </c>
      <c r="H216" s="60" t="s">
        <v>5042</v>
      </c>
    </row>
    <row r="217" spans="1:8">
      <c r="A217" s="59" t="s">
        <v>2004</v>
      </c>
      <c r="B217" s="62">
        <v>9</v>
      </c>
      <c r="C217" s="60" t="s">
        <v>5051</v>
      </c>
      <c r="D217" s="64">
        <f>IFERROR(VLOOKUP(C217,測定点マスタ!$E$2:$F$28,2,FALSE)/VLOOKUP(A217,'焼鈍条件-3CGL'!$A$2:$B$197,2,FALSE)*60,"")</f>
        <v>40.081377341875928</v>
      </c>
      <c r="E217" s="66">
        <v>440.8</v>
      </c>
      <c r="F217" s="64">
        <f t="shared" si="3"/>
        <v>-12.85955238095239</v>
      </c>
      <c r="G217" s="60" t="s">
        <v>9</v>
      </c>
      <c r="H217" s="60" t="s">
        <v>5042</v>
      </c>
    </row>
    <row r="218" spans="1:8">
      <c r="A218" s="59" t="s">
        <v>2004</v>
      </c>
      <c r="B218" s="62">
        <v>10</v>
      </c>
      <c r="C218" s="60" t="s">
        <v>5052</v>
      </c>
      <c r="D218" s="64">
        <f>IFERROR(VLOOKUP(C218,測定点マスタ!$E$2:$F$28,2,FALSE)/VLOOKUP(A218,'焼鈍条件-3CGL'!$A$2:$B$197,2,FALSE)*60,"")</f>
        <v>44.180609115476877</v>
      </c>
      <c r="E218" s="66">
        <v>321.89999999999998</v>
      </c>
      <c r="F218" s="64">
        <f t="shared" si="3"/>
        <v>-29.005434814814816</v>
      </c>
      <c r="G218" s="60" t="s">
        <v>9</v>
      </c>
      <c r="H218" s="60" t="s">
        <v>5042</v>
      </c>
    </row>
    <row r="219" spans="1:8">
      <c r="A219" s="59" t="s">
        <v>2004</v>
      </c>
      <c r="B219" s="62">
        <v>11</v>
      </c>
      <c r="C219" s="60" t="s">
        <v>5053</v>
      </c>
      <c r="D219" s="64">
        <f>IFERROR(VLOOKUP(C219,測定点マスタ!$E$2:$F$28,2,FALSE)/VLOOKUP(A219,'焼鈍条件-3CGL'!$A$2:$B$197,2,FALSE)*60,"")</f>
        <v>49.646251480278146</v>
      </c>
      <c r="E219" s="66">
        <v>506.5</v>
      </c>
      <c r="F219" s="64">
        <f t="shared" si="3"/>
        <v>33.774621111111081</v>
      </c>
      <c r="G219" s="60" t="s">
        <v>9</v>
      </c>
      <c r="H219" s="60" t="s">
        <v>5042</v>
      </c>
    </row>
    <row r="220" spans="1:8">
      <c r="A220" s="59" t="s">
        <v>2004</v>
      </c>
      <c r="B220" s="62">
        <v>12</v>
      </c>
      <c r="C220" s="60" t="s">
        <v>5054</v>
      </c>
      <c r="D220" s="64">
        <f>IFERROR(VLOOKUP(C220,測定点マスタ!$E$2:$F$28,2,FALSE)/VLOOKUP(A220,'焼鈍条件-3CGL'!$A$2:$B$197,2,FALSE)*60,"")</f>
        <v>55.567364042146174</v>
      </c>
      <c r="E220" s="66">
        <v>494.1</v>
      </c>
      <c r="F220" s="64">
        <f t="shared" si="3"/>
        <v>-2.0942010256410239</v>
      </c>
      <c r="G220" s="60" t="s">
        <v>9</v>
      </c>
      <c r="H220" s="60" t="s">
        <v>5042</v>
      </c>
    </row>
    <row r="221" spans="1:8">
      <c r="A221" s="59" t="s">
        <v>2004</v>
      </c>
      <c r="B221" s="62">
        <v>13</v>
      </c>
      <c r="C221" s="60" t="s">
        <v>5056</v>
      </c>
      <c r="D221" s="64">
        <f>IFERROR(VLOOKUP(C221,測定点マスタ!$E$2:$F$28,2,FALSE)/VLOOKUP(A221,'焼鈍条件-3CGL'!$A$2:$B$197,2,FALSE)*60,"")</f>
        <v>60.57753620988067</v>
      </c>
      <c r="E221" s="66">
        <v>252.1</v>
      </c>
      <c r="F221" s="64">
        <f t="shared" si="3"/>
        <v>-48.301733333333296</v>
      </c>
      <c r="G221" s="60" t="s">
        <v>9</v>
      </c>
      <c r="H221" s="60" t="s">
        <v>5042</v>
      </c>
    </row>
    <row r="222" spans="1:8">
      <c r="A222" s="59" t="s">
        <v>2004</v>
      </c>
      <c r="B222" s="62">
        <v>14</v>
      </c>
      <c r="C222" s="60" t="s">
        <v>5057</v>
      </c>
      <c r="D222" s="64">
        <f>IFERROR(VLOOKUP(C222,測定点マスタ!$E$2:$F$28,2,FALSE)/VLOOKUP(A222,'焼鈍条件-3CGL'!$A$2:$B$197,2,FALSE)*60,"")</f>
        <v>75.103782137760149</v>
      </c>
      <c r="E222" s="66">
        <v>181.4</v>
      </c>
      <c r="F222" s="64">
        <f t="shared" si="3"/>
        <v>-4.8670523926838598</v>
      </c>
      <c r="G222" s="60" t="s">
        <v>9</v>
      </c>
      <c r="H222" s="60" t="s">
        <v>5042</v>
      </c>
    </row>
    <row r="223" spans="1:8">
      <c r="A223" s="59" t="s">
        <v>2004</v>
      </c>
      <c r="B223" s="62">
        <v>15</v>
      </c>
      <c r="C223" s="60" t="s">
        <v>5058</v>
      </c>
      <c r="D223" s="64">
        <f>IFERROR(VLOOKUP(C223,測定点マスタ!$E$2:$F$28,2,FALSE)/VLOOKUP(A223,'焼鈍条件-3CGL'!$A$2:$B$197,2,FALSE)*60,"")</f>
        <v>77.852870112913038</v>
      </c>
      <c r="E223" s="66">
        <v>129.1</v>
      </c>
      <c r="F223" s="64">
        <f t="shared" si="3"/>
        <v>-19.0244912031567</v>
      </c>
      <c r="G223" s="60" t="s">
        <v>9</v>
      </c>
      <c r="H223" s="60" t="s">
        <v>5042</v>
      </c>
    </row>
    <row r="224" spans="1:8">
      <c r="A224" s="59" t="s">
        <v>2004</v>
      </c>
      <c r="B224" s="62">
        <v>16</v>
      </c>
      <c r="C224" s="60" t="s">
        <v>5059</v>
      </c>
      <c r="D224" s="64">
        <f>IFERROR(VLOOKUP(C224,測定点マスタ!$E$2:$F$28,2,FALSE)/VLOOKUP(A224,'焼鈍条件-3CGL'!$A$2:$B$197,2,FALSE)*60,"")</f>
        <v>80.601958088066382</v>
      </c>
      <c r="E224" s="66">
        <v>74</v>
      </c>
      <c r="F224" s="64">
        <f t="shared" si="3"/>
        <v>-20.043010808676108</v>
      </c>
      <c r="G224" s="60" t="s">
        <v>9</v>
      </c>
      <c r="H224" s="60" t="s">
        <v>5042</v>
      </c>
    </row>
    <row r="225" spans="1:8">
      <c r="A225" s="59" t="s">
        <v>2013</v>
      </c>
      <c r="B225" s="62">
        <v>1</v>
      </c>
      <c r="C225" s="60" t="s">
        <v>5041</v>
      </c>
      <c r="D225" s="64">
        <f>IFERROR(VLOOKUP(C225,測定点マスタ!$E$2:$F$28,2,FALSE)/VLOOKUP(A225,'焼鈍条件-3CGL'!$A$2:$B$197,2,FALSE)*60,"")</f>
        <v>0</v>
      </c>
      <c r="E225" s="66">
        <v>35.4</v>
      </c>
      <c r="F225" s="64" t="str">
        <f t="shared" si="3"/>
        <v/>
      </c>
      <c r="G225" s="60" t="s">
        <v>9</v>
      </c>
      <c r="H225" s="60" t="s">
        <v>5064</v>
      </c>
    </row>
    <row r="226" spans="1:8">
      <c r="A226" s="59" t="s">
        <v>2013</v>
      </c>
      <c r="B226" s="62">
        <v>2</v>
      </c>
      <c r="C226" s="60" t="s">
        <v>5043</v>
      </c>
      <c r="D226" s="64">
        <f>IFERROR(VLOOKUP(C226,測定点マスタ!$E$2:$F$28,2,FALSE)/VLOOKUP(A226,'焼鈍条件-3CGL'!$A$2:$B$197,2,FALSE)*60,"")</f>
        <v>8.6445366528354093</v>
      </c>
      <c r="E226" s="66">
        <v>175.1</v>
      </c>
      <c r="F226" s="64">
        <f t="shared" si="3"/>
        <v>16.160495999999995</v>
      </c>
      <c r="G226" s="60" t="s">
        <v>9</v>
      </c>
      <c r="H226" s="60" t="s">
        <v>5064</v>
      </c>
    </row>
    <row r="227" spans="1:8">
      <c r="A227" s="59" t="s">
        <v>2013</v>
      </c>
      <c r="B227" s="62">
        <v>3</v>
      </c>
      <c r="C227" s="60" t="s">
        <v>5044</v>
      </c>
      <c r="D227" s="64">
        <f>IFERROR(VLOOKUP(C227,測定点マスタ!$E$2:$F$28,2,FALSE)/VLOOKUP(A227,'焼鈍条件-3CGL'!$A$2:$B$197,2,FALSE)*60,"")</f>
        <v>19.59428307976026</v>
      </c>
      <c r="E227" s="66">
        <v>680.2</v>
      </c>
      <c r="F227" s="64">
        <f t="shared" si="3"/>
        <v>46.128922105263158</v>
      </c>
      <c r="G227" s="60" t="s">
        <v>9</v>
      </c>
      <c r="H227" s="60" t="s">
        <v>5064</v>
      </c>
    </row>
    <row r="228" spans="1:8">
      <c r="A228" s="59" t="s">
        <v>2013</v>
      </c>
      <c r="B228" s="62">
        <v>4</v>
      </c>
      <c r="C228" s="60" t="s">
        <v>5045</v>
      </c>
      <c r="D228" s="64">
        <f>IFERROR(VLOOKUP(C228,測定点マスタ!$E$2:$F$28,2,FALSE)/VLOOKUP(A228,'焼鈍条件-3CGL'!$A$2:$B$197,2,FALSE)*60,"")</f>
        <v>25.357307514983866</v>
      </c>
      <c r="E228" s="66">
        <v>837.4</v>
      </c>
      <c r="F228" s="64">
        <f t="shared" si="3"/>
        <v>27.277343999999985</v>
      </c>
      <c r="G228" s="60" t="s">
        <v>9</v>
      </c>
      <c r="H228" s="60" t="s">
        <v>5064</v>
      </c>
    </row>
    <row r="229" spans="1:8">
      <c r="A229" s="59" t="s">
        <v>2013</v>
      </c>
      <c r="B229" s="62">
        <v>5</v>
      </c>
      <c r="C229" s="60" t="s">
        <v>5047</v>
      </c>
      <c r="D229" s="64">
        <f>IFERROR(VLOOKUP(C229,測定点マスタ!$E$2:$F$28,2,FALSE)/VLOOKUP(A229,'焼鈍条件-3CGL'!$A$2:$B$197,2,FALSE)*60,"")</f>
        <v>34.578146611341637</v>
      </c>
      <c r="E229" s="66">
        <v>787.8</v>
      </c>
      <c r="F229" s="64">
        <f t="shared" si="3"/>
        <v>-5.3791200000000012</v>
      </c>
      <c r="G229" s="60" t="s">
        <v>9</v>
      </c>
      <c r="H229" s="60" t="s">
        <v>5064</v>
      </c>
    </row>
    <row r="230" spans="1:8">
      <c r="A230" s="59" t="s">
        <v>2013</v>
      </c>
      <c r="B230" s="62">
        <v>6</v>
      </c>
      <c r="C230" s="60" t="s">
        <v>5049</v>
      </c>
      <c r="D230" s="64">
        <f>IFERROR(VLOOKUP(C230,測定点マスタ!$E$2:$F$28,2,FALSE)/VLOOKUP(A230,'焼鈍条件-3CGL'!$A$2:$B$197,2,FALSE)*60,"")</f>
        <v>42.070078377132319</v>
      </c>
      <c r="E230" s="66">
        <v>635.29999999999995</v>
      </c>
      <c r="F230" s="64">
        <f t="shared" si="3"/>
        <v>-20.355230769230783</v>
      </c>
      <c r="G230" s="60" t="s">
        <v>9</v>
      </c>
      <c r="H230" s="60" t="s">
        <v>5064</v>
      </c>
    </row>
    <row r="231" spans="1:8">
      <c r="A231" s="59" t="s">
        <v>2013</v>
      </c>
      <c r="B231" s="62">
        <v>7</v>
      </c>
      <c r="C231" s="60" t="s">
        <v>5050</v>
      </c>
      <c r="D231" s="64">
        <f>IFERROR(VLOOKUP(C231,測定点マスタ!$E$2:$F$28,2,FALSE)/VLOOKUP(A231,'焼鈍条件-3CGL'!$A$2:$B$197,2,FALSE)*60,"")</f>
        <v>46.680497925311201</v>
      </c>
      <c r="E231" s="66">
        <v>521.9</v>
      </c>
      <c r="F231" s="64">
        <f t="shared" si="3"/>
        <v>-24.596460000000008</v>
      </c>
      <c r="G231" s="60" t="s">
        <v>9</v>
      </c>
      <c r="H231" s="60" t="s">
        <v>5064</v>
      </c>
    </row>
    <row r="232" spans="1:8">
      <c r="A232" s="59" t="s">
        <v>2013</v>
      </c>
      <c r="B232" s="62">
        <v>8</v>
      </c>
      <c r="C232" s="60" t="s">
        <v>5051</v>
      </c>
      <c r="D232" s="64">
        <f>IFERROR(VLOOKUP(C232,測定点マスタ!$E$2:$F$28,2,FALSE)/VLOOKUP(A232,'焼鈍条件-3CGL'!$A$2:$B$197,2,FALSE)*60,"")</f>
        <v>50.714615029967732</v>
      </c>
      <c r="E232" s="66">
        <v>491.5</v>
      </c>
      <c r="F232" s="64">
        <f t="shared" si="3"/>
        <v>-7.5357257142856957</v>
      </c>
      <c r="G232" s="60" t="s">
        <v>9</v>
      </c>
      <c r="H232" s="60" t="s">
        <v>5064</v>
      </c>
    </row>
    <row r="233" spans="1:8">
      <c r="A233" s="59" t="s">
        <v>2013</v>
      </c>
      <c r="B233" s="62">
        <v>9</v>
      </c>
      <c r="C233" s="60" t="s">
        <v>5052</v>
      </c>
      <c r="D233" s="64">
        <f>IFERROR(VLOOKUP(C233,測定点マスタ!$E$2:$F$28,2,FALSE)/VLOOKUP(A233,'焼鈍条件-3CGL'!$A$2:$B$197,2,FALSE)*60,"")</f>
        <v>55.901337021668979</v>
      </c>
      <c r="E233" s="66">
        <v>371.7</v>
      </c>
      <c r="F233" s="64">
        <f t="shared" si="3"/>
        <v>-23.097439999999988</v>
      </c>
      <c r="G233" s="60" t="s">
        <v>9</v>
      </c>
      <c r="H233" s="60" t="s">
        <v>5064</v>
      </c>
    </row>
    <row r="234" spans="1:8">
      <c r="A234" s="59" t="s">
        <v>2013</v>
      </c>
      <c r="B234" s="62">
        <v>10</v>
      </c>
      <c r="C234" s="60" t="s">
        <v>5069</v>
      </c>
      <c r="D234" s="64">
        <f>IFERROR(VLOOKUP(C234,測定点マスタ!$E$2:$F$28,2,FALSE)/VLOOKUP(A234,'焼鈍条件-3CGL'!$A$2:$B$197,2,FALSE)*60,"")</f>
        <v>59.935454126325496</v>
      </c>
      <c r="E234" s="66">
        <v>518.1</v>
      </c>
      <c r="F234" s="64">
        <f t="shared" si="3"/>
        <v>36.290468571428647</v>
      </c>
      <c r="G234" s="60" t="s">
        <v>9</v>
      </c>
      <c r="H234" s="60" t="s">
        <v>5064</v>
      </c>
    </row>
    <row r="235" spans="1:8">
      <c r="A235" s="59" t="s">
        <v>2013</v>
      </c>
      <c r="B235" s="62">
        <v>11</v>
      </c>
      <c r="C235" s="60" t="s">
        <v>5053</v>
      </c>
      <c r="D235" s="64">
        <f>IFERROR(VLOOKUP(C235,測定点マスタ!$E$2:$F$28,2,FALSE)/VLOOKUP(A235,'焼鈍条件-3CGL'!$A$2:$B$197,2,FALSE)*60,"")</f>
        <v>62.81696634393731</v>
      </c>
      <c r="E235" s="66">
        <v>540.5</v>
      </c>
      <c r="F235" s="64">
        <f t="shared" si="3"/>
        <v>7.773695999999962</v>
      </c>
      <c r="G235" s="60" t="s">
        <v>9</v>
      </c>
      <c r="H235" s="60" t="s">
        <v>5064</v>
      </c>
    </row>
    <row r="236" spans="1:8">
      <c r="A236" s="59" t="s">
        <v>2013</v>
      </c>
      <c r="B236" s="62">
        <v>12</v>
      </c>
      <c r="C236" s="60" t="s">
        <v>5054</v>
      </c>
      <c r="D236" s="64">
        <f>IFERROR(VLOOKUP(C236,測定点マスタ!$E$2:$F$28,2,FALSE)/VLOOKUP(A236,'焼鈍条件-3CGL'!$A$2:$B$197,2,FALSE)*60,"")</f>
        <v>70.308898109727977</v>
      </c>
      <c r="E236" s="66">
        <v>521.79999999999995</v>
      </c>
      <c r="F236" s="64">
        <f t="shared" si="3"/>
        <v>-2.496018461538474</v>
      </c>
      <c r="G236" s="60" t="s">
        <v>9</v>
      </c>
      <c r="H236" s="60" t="s">
        <v>5064</v>
      </c>
    </row>
    <row r="237" spans="1:8">
      <c r="A237" s="59" t="s">
        <v>2013</v>
      </c>
      <c r="B237" s="62">
        <v>13</v>
      </c>
      <c r="C237" s="60" t="s">
        <v>5056</v>
      </c>
      <c r="D237" s="64">
        <f>IFERROR(VLOOKUP(C237,測定点マスタ!$E$2:$F$28,2,FALSE)/VLOOKUP(A237,'焼鈍条件-3CGL'!$A$2:$B$197,2,FALSE)*60,"")</f>
        <v>76.648224988473956</v>
      </c>
      <c r="E237" s="66">
        <v>287.60000000000002</v>
      </c>
      <c r="F237" s="64">
        <f t="shared" si="3"/>
        <v>-36.94398545454537</v>
      </c>
      <c r="G237" s="60" t="s">
        <v>9</v>
      </c>
      <c r="H237" s="60" t="s">
        <v>5064</v>
      </c>
    </row>
    <row r="238" spans="1:8">
      <c r="A238" s="59" t="s">
        <v>2013</v>
      </c>
      <c r="B238" s="62">
        <v>14</v>
      </c>
      <c r="C238" s="60" t="s">
        <v>5062</v>
      </c>
      <c r="D238" s="64">
        <f>IFERROR(VLOOKUP(C238,測定点マスタ!$E$2:$F$28,2,FALSE)/VLOOKUP(A238,'焼鈍条件-3CGL'!$A$2:$B$197,2,FALSE)*60,"")</f>
        <v>83.563854310742272</v>
      </c>
      <c r="E238" s="66">
        <v>455.6</v>
      </c>
      <c r="F238" s="64">
        <f t="shared" si="3"/>
        <v>24.292800000000035</v>
      </c>
      <c r="G238" s="60" t="s">
        <v>9</v>
      </c>
      <c r="H238" s="60" t="s">
        <v>5064</v>
      </c>
    </row>
    <row r="239" spans="1:8">
      <c r="A239" s="59" t="s">
        <v>2013</v>
      </c>
      <c r="B239" s="62">
        <v>15</v>
      </c>
      <c r="C239" s="60" t="s">
        <v>5065</v>
      </c>
      <c r="D239" s="64">
        <f>IFERROR(VLOOKUP(C239,測定点マスタ!$E$2:$F$28,2,FALSE)/VLOOKUP(A239,'焼鈍条件-3CGL'!$A$2:$B$197,2,FALSE)*60,"")</f>
        <v>84.592965817032038</v>
      </c>
      <c r="E239" s="66">
        <v>549.9</v>
      </c>
      <c r="F239" s="64">
        <f t="shared" si="3"/>
        <v>91.632441600014516</v>
      </c>
      <c r="G239" s="60" t="s">
        <v>9</v>
      </c>
      <c r="H239" s="60" t="s">
        <v>5064</v>
      </c>
    </row>
    <row r="240" spans="1:8">
      <c r="A240" s="59" t="s">
        <v>2013</v>
      </c>
      <c r="B240" s="62">
        <v>16</v>
      </c>
      <c r="C240" s="60" t="s">
        <v>5066</v>
      </c>
      <c r="D240" s="64">
        <f>IFERROR(VLOOKUP(C240,測定点マスタ!$E$2:$F$28,2,FALSE)/VLOOKUP(A240,'焼鈍条件-3CGL'!$A$2:$B$197,2,FALSE)*60,"")</f>
        <v>88.071362708292426</v>
      </c>
      <c r="E240" s="66">
        <v>522.1</v>
      </c>
      <c r="F240" s="64">
        <f t="shared" si="3"/>
        <v>-7.992187455620309</v>
      </c>
      <c r="G240" s="60" t="s">
        <v>9</v>
      </c>
      <c r="H240" s="60" t="s">
        <v>5064</v>
      </c>
    </row>
    <row r="241" spans="1:8">
      <c r="A241" s="59" t="s">
        <v>2013</v>
      </c>
      <c r="B241" s="62">
        <v>17</v>
      </c>
      <c r="C241" s="60" t="s">
        <v>5057</v>
      </c>
      <c r="D241" s="64">
        <f>IFERROR(VLOOKUP(C241,測定点マスタ!$E$2:$F$28,2,FALSE)/VLOOKUP(A241,'焼鈍条件-3CGL'!$A$2:$B$197,2,FALSE)*60,"")</f>
        <v>95.028156490812009</v>
      </c>
      <c r="E241" s="66">
        <v>286.3</v>
      </c>
      <c r="F241" s="64">
        <f t="shared" si="3"/>
        <v>-33.894924497043085</v>
      </c>
      <c r="G241" s="60" t="s">
        <v>9</v>
      </c>
      <c r="H241" s="60" t="s">
        <v>5064</v>
      </c>
    </row>
    <row r="242" spans="1:8">
      <c r="A242" s="59" t="s">
        <v>2013</v>
      </c>
      <c r="B242" s="62">
        <v>18</v>
      </c>
      <c r="C242" s="60" t="s">
        <v>5059</v>
      </c>
      <c r="D242" s="64">
        <f>IFERROR(VLOOKUP(C242,測定点マスタ!$E$2:$F$28,2,FALSE)/VLOOKUP(A242,'焼鈍条件-3CGL'!$A$2:$B$197,2,FALSE)*60,"")</f>
        <v>101.9849502733322</v>
      </c>
      <c r="E242" s="66">
        <v>67.8</v>
      </c>
      <c r="F242" s="64">
        <f t="shared" si="3"/>
        <v>-31.408146745560909</v>
      </c>
      <c r="G242" s="60" t="s">
        <v>9</v>
      </c>
      <c r="H242" s="60" t="s">
        <v>5064</v>
      </c>
    </row>
    <row r="243" spans="1:8">
      <c r="A243" s="59" t="s">
        <v>2031</v>
      </c>
      <c r="B243" s="62">
        <v>1</v>
      </c>
      <c r="C243" s="60" t="s">
        <v>5041</v>
      </c>
      <c r="D243" s="64">
        <f>IFERROR(VLOOKUP(C243,測定点マスタ!$E$2:$F$28,2,FALSE)/VLOOKUP(A243,'焼鈍条件-3CGL'!$A$2:$B$197,2,FALSE)*60,"")</f>
        <v>0</v>
      </c>
      <c r="E243" s="66">
        <v>37.299999999999997</v>
      </c>
      <c r="F243" s="64" t="str">
        <f t="shared" si="3"/>
        <v/>
      </c>
      <c r="G243" s="60" t="s">
        <v>12</v>
      </c>
      <c r="H243" s="60" t="s">
        <v>5042</v>
      </c>
    </row>
    <row r="244" spans="1:8">
      <c r="A244" s="59" t="s">
        <v>2031</v>
      </c>
      <c r="B244" s="62">
        <v>2</v>
      </c>
      <c r="C244" s="60" t="s">
        <v>5043</v>
      </c>
      <c r="D244" s="64">
        <f>IFERROR(VLOOKUP(C244,測定点マスタ!$E$2:$F$28,2,FALSE)/VLOOKUP(A244,'焼鈍条件-3CGL'!$A$2:$B$197,2,FALSE)*60,"")</f>
        <v>9.1047962043116257</v>
      </c>
      <c r="E244" s="66">
        <v>200.5</v>
      </c>
      <c r="F244" s="64">
        <f t="shared" si="3"/>
        <v>17.924618666666667</v>
      </c>
      <c r="G244" s="60" t="s">
        <v>12</v>
      </c>
      <c r="H244" s="60" t="s">
        <v>5042</v>
      </c>
    </row>
    <row r="245" spans="1:8">
      <c r="A245" s="59" t="s">
        <v>2031</v>
      </c>
      <c r="B245" s="62">
        <v>3</v>
      </c>
      <c r="C245" s="60" t="s">
        <v>5044</v>
      </c>
      <c r="D245" s="64">
        <f>IFERROR(VLOOKUP(C245,測定点マスタ!$E$2:$F$28,2,FALSE)/VLOOKUP(A245,'焼鈍条件-3CGL'!$A$2:$B$197,2,FALSE)*60,"")</f>
        <v>20.637538063106351</v>
      </c>
      <c r="E245" s="66">
        <v>708.7</v>
      </c>
      <c r="F245" s="64">
        <f t="shared" si="3"/>
        <v>44.065843684210535</v>
      </c>
      <c r="G245" s="60" t="s">
        <v>12</v>
      </c>
      <c r="H245" s="60" t="s">
        <v>5042</v>
      </c>
    </row>
    <row r="246" spans="1:8">
      <c r="A246" s="59" t="s">
        <v>2031</v>
      </c>
      <c r="B246" s="62">
        <v>4</v>
      </c>
      <c r="C246" s="60" t="s">
        <v>5045</v>
      </c>
      <c r="D246" s="64">
        <f>IFERROR(VLOOKUP(C246,測定点マスタ!$E$2:$F$28,2,FALSE)/VLOOKUP(A246,'焼鈍条件-3CGL'!$A$2:$B$197,2,FALSE)*60,"")</f>
        <v>26.707402199314103</v>
      </c>
      <c r="E246" s="66">
        <v>866.2</v>
      </c>
      <c r="F246" s="64">
        <f t="shared" si="3"/>
        <v>25.947862499999999</v>
      </c>
      <c r="G246" s="60" t="s">
        <v>12</v>
      </c>
      <c r="H246" s="60" t="s">
        <v>5042</v>
      </c>
    </row>
    <row r="247" spans="1:8">
      <c r="A247" s="59" t="s">
        <v>2031</v>
      </c>
      <c r="B247" s="62">
        <v>5</v>
      </c>
      <c r="C247" s="60" t="s">
        <v>5047</v>
      </c>
      <c r="D247" s="64">
        <f>IFERROR(VLOOKUP(C247,測定点マスタ!$E$2:$F$28,2,FALSE)/VLOOKUP(A247,'焼鈍条件-3CGL'!$A$2:$B$197,2,FALSE)*60,"")</f>
        <v>36.419184817246503</v>
      </c>
      <c r="E247" s="66">
        <v>802.9</v>
      </c>
      <c r="F247" s="64">
        <f t="shared" si="3"/>
        <v>-6.5178559375000082</v>
      </c>
      <c r="G247" s="60" t="s">
        <v>12</v>
      </c>
      <c r="H247" s="60" t="s">
        <v>5042</v>
      </c>
    </row>
    <row r="248" spans="1:8">
      <c r="A248" s="59" t="s">
        <v>2031</v>
      </c>
      <c r="B248" s="62">
        <v>6</v>
      </c>
      <c r="C248" s="60" t="s">
        <v>5049</v>
      </c>
      <c r="D248" s="64">
        <f>IFERROR(VLOOKUP(C248,測定点マスタ!$E$2:$F$28,2,FALSE)/VLOOKUP(A248,'焼鈍条件-3CGL'!$A$2:$B$197,2,FALSE)*60,"")</f>
        <v>44.31000819431658</v>
      </c>
      <c r="E248" s="66">
        <v>665</v>
      </c>
      <c r="F248" s="64">
        <f t="shared" si="3"/>
        <v>-17.475996282051277</v>
      </c>
      <c r="G248" s="60" t="s">
        <v>12</v>
      </c>
      <c r="H248" s="60" t="s">
        <v>5042</v>
      </c>
    </row>
    <row r="249" spans="1:8">
      <c r="A249" s="59" t="s">
        <v>2031</v>
      </c>
      <c r="B249" s="62">
        <v>7</v>
      </c>
      <c r="C249" s="60" t="s">
        <v>5050</v>
      </c>
      <c r="D249" s="64">
        <f>IFERROR(VLOOKUP(C249,測定点マスタ!$E$2:$F$28,2,FALSE)/VLOOKUP(A249,'焼鈍条件-3CGL'!$A$2:$B$197,2,FALSE)*60,"")</f>
        <v>49.165899503282787</v>
      </c>
      <c r="E249" s="66">
        <v>552.20000000000005</v>
      </c>
      <c r="F249" s="64">
        <f t="shared" si="3"/>
        <v>-23.22951499999996</v>
      </c>
      <c r="G249" s="60" t="s">
        <v>12</v>
      </c>
      <c r="H249" s="60" t="s">
        <v>5042</v>
      </c>
    </row>
    <row r="250" spans="1:8">
      <c r="A250" s="59" t="s">
        <v>2031</v>
      </c>
      <c r="B250" s="62">
        <v>8</v>
      </c>
      <c r="C250" s="60" t="s">
        <v>5051</v>
      </c>
      <c r="D250" s="64">
        <f>IFERROR(VLOOKUP(C250,測定点マスタ!$E$2:$F$28,2,FALSE)/VLOOKUP(A250,'焼鈍条件-3CGL'!$A$2:$B$197,2,FALSE)*60,"")</f>
        <v>53.414804398628206</v>
      </c>
      <c r="E250" s="66">
        <v>480.7</v>
      </c>
      <c r="F250" s="64">
        <f t="shared" si="3"/>
        <v>-16.827865476190517</v>
      </c>
      <c r="G250" s="60" t="s">
        <v>12</v>
      </c>
      <c r="H250" s="60" t="s">
        <v>5042</v>
      </c>
    </row>
    <row r="251" spans="1:8">
      <c r="A251" s="59" t="s">
        <v>2031</v>
      </c>
      <c r="B251" s="62">
        <v>9</v>
      </c>
      <c r="C251" s="60" t="s">
        <v>5060</v>
      </c>
      <c r="D251" s="64">
        <f>IFERROR(VLOOKUP(C251,測定点マスタ!$E$2:$F$28,2,FALSE)/VLOOKUP(A251,'焼鈍条件-3CGL'!$A$2:$B$197,2,FALSE)*60,"")</f>
        <v>55.84275005311131</v>
      </c>
      <c r="E251" s="66">
        <v>421.6</v>
      </c>
      <c r="F251" s="64">
        <f t="shared" si="3"/>
        <v>-24.341566249999957</v>
      </c>
      <c r="G251" s="60" t="s">
        <v>12</v>
      </c>
      <c r="H251" s="60" t="s">
        <v>5042</v>
      </c>
    </row>
    <row r="252" spans="1:8">
      <c r="A252" s="59" t="s">
        <v>2031</v>
      </c>
      <c r="B252" s="62">
        <v>10</v>
      </c>
      <c r="C252" s="60" t="s">
        <v>5052</v>
      </c>
      <c r="D252" s="64">
        <f>IFERROR(VLOOKUP(C252,測定点マスタ!$E$2:$F$28,2,FALSE)/VLOOKUP(A252,'焼鈍条件-3CGL'!$A$2:$B$197,2,FALSE)*60,"")</f>
        <v>58.87768212121518</v>
      </c>
      <c r="E252" s="66">
        <v>380.3</v>
      </c>
      <c r="F252" s="64">
        <f t="shared" si="3"/>
        <v>-13.608212333333359</v>
      </c>
      <c r="G252" s="60" t="s">
        <v>12</v>
      </c>
      <c r="H252" s="60" t="s">
        <v>5042</v>
      </c>
    </row>
    <row r="253" spans="1:8">
      <c r="A253" s="59" t="s">
        <v>2031</v>
      </c>
      <c r="B253" s="62">
        <v>11</v>
      </c>
      <c r="C253" s="60" t="s">
        <v>5069</v>
      </c>
      <c r="D253" s="64">
        <f>IFERROR(VLOOKUP(C253,測定点マスタ!$E$2:$F$28,2,FALSE)/VLOOKUP(A253,'焼鈍条件-3CGL'!$A$2:$B$197,2,FALSE)*60,"")</f>
        <v>63.126587016560613</v>
      </c>
      <c r="E253" s="66">
        <v>540.9</v>
      </c>
      <c r="F253" s="64">
        <f t="shared" si="3"/>
        <v>37.79797476190469</v>
      </c>
      <c r="G253" s="60" t="s">
        <v>12</v>
      </c>
      <c r="H253" s="60" t="s">
        <v>5042</v>
      </c>
    </row>
    <row r="254" spans="1:8">
      <c r="A254" s="59" t="s">
        <v>2031</v>
      </c>
      <c r="B254" s="62">
        <v>12</v>
      </c>
      <c r="C254" s="60" t="s">
        <v>5053</v>
      </c>
      <c r="D254" s="64">
        <f>IFERROR(VLOOKUP(C254,測定点マスタ!$E$2:$F$28,2,FALSE)/VLOOKUP(A254,'焼鈍条件-3CGL'!$A$2:$B$197,2,FALSE)*60,"")</f>
        <v>66.161519084664491</v>
      </c>
      <c r="E254" s="66">
        <v>575.79999999999995</v>
      </c>
      <c r="F254" s="64">
        <f t="shared" si="3"/>
        <v>11.499433666666652</v>
      </c>
      <c r="G254" s="60" t="s">
        <v>12</v>
      </c>
      <c r="H254" s="60" t="s">
        <v>5042</v>
      </c>
    </row>
    <row r="255" spans="1:8">
      <c r="A255" s="59" t="s">
        <v>2031</v>
      </c>
      <c r="B255" s="62">
        <v>13</v>
      </c>
      <c r="C255" s="60" t="s">
        <v>5054</v>
      </c>
      <c r="D255" s="64">
        <f>IFERROR(VLOOKUP(C255,測定点マスタ!$E$2:$F$28,2,FALSE)/VLOOKUP(A255,'焼鈍条件-3CGL'!$A$2:$B$197,2,FALSE)*60,"")</f>
        <v>74.052342461734568</v>
      </c>
      <c r="E255" s="66">
        <v>559.70000000000005</v>
      </c>
      <c r="F255" s="64">
        <f t="shared" si="3"/>
        <v>-2.0403447435897317</v>
      </c>
      <c r="G255" s="60" t="s">
        <v>12</v>
      </c>
      <c r="H255" s="60" t="s">
        <v>5042</v>
      </c>
    </row>
    <row r="256" spans="1:8">
      <c r="A256" s="59" t="s">
        <v>2031</v>
      </c>
      <c r="B256" s="62">
        <v>14</v>
      </c>
      <c r="C256" s="60" t="s">
        <v>5056</v>
      </c>
      <c r="D256" s="64">
        <f>IFERROR(VLOOKUP(C256,測定点マスタ!$E$2:$F$28,2,FALSE)/VLOOKUP(A256,'焼鈍条件-3CGL'!$A$2:$B$197,2,FALSE)*60,"")</f>
        <v>80.729193011563098</v>
      </c>
      <c r="E256" s="66">
        <v>277.10000000000002</v>
      </c>
      <c r="F256" s="64">
        <f t="shared" si="3"/>
        <v>-42.325344545454527</v>
      </c>
      <c r="G256" s="60" t="s">
        <v>12</v>
      </c>
      <c r="H256" s="60" t="s">
        <v>5042</v>
      </c>
    </row>
    <row r="257" spans="1:8">
      <c r="A257" s="59" t="s">
        <v>2031</v>
      </c>
      <c r="B257" s="62">
        <v>15</v>
      </c>
      <c r="C257" s="60" t="s">
        <v>5057</v>
      </c>
      <c r="D257" s="64">
        <f>IFERROR(VLOOKUP(C257,測定点マスタ!$E$2:$F$28,2,FALSE)/VLOOKUP(A257,'焼鈍条件-3CGL'!$A$2:$B$197,2,FALSE)*60,"")</f>
        <v>100.08772398882557</v>
      </c>
      <c r="E257" s="66">
        <v>267</v>
      </c>
      <c r="F257" s="64">
        <f t="shared" si="3"/>
        <v>-0.5217338036580853</v>
      </c>
      <c r="G257" s="60" t="s">
        <v>12</v>
      </c>
      <c r="H257" s="60" t="s">
        <v>5042</v>
      </c>
    </row>
    <row r="258" spans="1:8">
      <c r="A258" s="59" t="s">
        <v>2031</v>
      </c>
      <c r="B258" s="62">
        <v>16</v>
      </c>
      <c r="C258" s="60" t="s">
        <v>5058</v>
      </c>
      <c r="D258" s="64">
        <f>IFERROR(VLOOKUP(C258,測定点マスタ!$E$2:$F$28,2,FALSE)/VLOOKUP(A258,'焼鈍条件-3CGL'!$A$2:$B$197,2,FALSE)*60,"")</f>
        <v>103.7513205567508</v>
      </c>
      <c r="E258" s="66">
        <v>141.4</v>
      </c>
      <c r="F258" s="64">
        <f t="shared" ref="F258:F321" si="4">IF(A258=A257,IFERROR((E258-E257)/(D258-D257),""),"")</f>
        <v>-34.283250808680066</v>
      </c>
      <c r="G258" s="60" t="s">
        <v>12</v>
      </c>
      <c r="H258" s="60" t="s">
        <v>5042</v>
      </c>
    </row>
    <row r="259" spans="1:8">
      <c r="A259" s="59" t="s">
        <v>2031</v>
      </c>
      <c r="B259" s="62">
        <v>17</v>
      </c>
      <c r="C259" s="60" t="s">
        <v>5059</v>
      </c>
      <c r="D259" s="64">
        <f>IFERROR(VLOOKUP(C259,測定点マスタ!$E$2:$F$28,2,FALSE)/VLOOKUP(A259,'焼鈍条件-3CGL'!$A$2:$B$197,2,FALSE)*60,"")</f>
        <v>107.41491712467663</v>
      </c>
      <c r="E259" s="66">
        <v>66.099999999999994</v>
      </c>
      <c r="F259" s="64">
        <f t="shared" si="4"/>
        <v>-20.55357313609219</v>
      </c>
      <c r="G259" s="60" t="s">
        <v>12</v>
      </c>
      <c r="H259" s="60" t="s">
        <v>5042</v>
      </c>
    </row>
    <row r="260" spans="1:8">
      <c r="A260" s="59" t="s">
        <v>2046</v>
      </c>
      <c r="B260" s="62">
        <v>1</v>
      </c>
      <c r="C260" s="60" t="s">
        <v>5041</v>
      </c>
      <c r="D260" s="64">
        <f>IFERROR(VLOOKUP(C260,測定点マスタ!$E$2:$F$28,2,FALSE)/VLOOKUP(A260,'焼鈍条件-3CGL'!$A$2:$B$197,2,FALSE)*60,"")</f>
        <v>0</v>
      </c>
      <c r="E260" s="66">
        <v>28.5</v>
      </c>
      <c r="F260" s="64" t="str">
        <f t="shared" si="4"/>
        <v/>
      </c>
      <c r="G260" s="60" t="s">
        <v>9</v>
      </c>
      <c r="H260" s="60" t="s">
        <v>5042</v>
      </c>
    </row>
    <row r="261" spans="1:8">
      <c r="A261" s="59" t="s">
        <v>2046</v>
      </c>
      <c r="B261" s="62">
        <v>2</v>
      </c>
      <c r="C261" s="60" t="s">
        <v>5043</v>
      </c>
      <c r="D261" s="64">
        <f>IFERROR(VLOOKUP(C261,測定点マスタ!$E$2:$F$28,2,FALSE)/VLOOKUP(A261,'焼鈍条件-3CGL'!$A$2:$B$197,2,FALSE)*60,"")</f>
        <v>10.414014949897018</v>
      </c>
      <c r="E261" s="66">
        <v>183.5</v>
      </c>
      <c r="F261" s="64">
        <f t="shared" si="4"/>
        <v>14.883788888888887</v>
      </c>
      <c r="G261" s="60" t="s">
        <v>9</v>
      </c>
      <c r="H261" s="60" t="s">
        <v>5042</v>
      </c>
    </row>
    <row r="262" spans="1:8">
      <c r="A262" s="59" t="s">
        <v>2046</v>
      </c>
      <c r="B262" s="62">
        <v>3</v>
      </c>
      <c r="C262" s="60" t="s">
        <v>5044</v>
      </c>
      <c r="D262" s="64">
        <f>IFERROR(VLOOKUP(C262,測定点マスタ!$E$2:$F$28,2,FALSE)/VLOOKUP(A262,'焼鈍条件-3CGL'!$A$2:$B$197,2,FALSE)*60,"")</f>
        <v>23.605100553099906</v>
      </c>
      <c r="E262" s="66">
        <v>692.8</v>
      </c>
      <c r="F262" s="64">
        <f t="shared" si="4"/>
        <v>38.609407543859646</v>
      </c>
      <c r="G262" s="60" t="s">
        <v>9</v>
      </c>
      <c r="H262" s="60" t="s">
        <v>5042</v>
      </c>
    </row>
    <row r="263" spans="1:8">
      <c r="A263" s="59" t="s">
        <v>2046</v>
      </c>
      <c r="B263" s="62">
        <v>4</v>
      </c>
      <c r="C263" s="60" t="s">
        <v>5045</v>
      </c>
      <c r="D263" s="64">
        <f>IFERROR(VLOOKUP(C263,測定点マスタ!$E$2:$F$28,2,FALSE)/VLOOKUP(A263,'焼鈍条件-3CGL'!$A$2:$B$197,2,FALSE)*60,"")</f>
        <v>30.547777186364584</v>
      </c>
      <c r="E263" s="66">
        <v>853</v>
      </c>
      <c r="F263" s="64">
        <f t="shared" si="4"/>
        <v>23.074674000000005</v>
      </c>
      <c r="G263" s="60" t="s">
        <v>9</v>
      </c>
      <c r="H263" s="60" t="s">
        <v>5042</v>
      </c>
    </row>
    <row r="264" spans="1:8">
      <c r="A264" s="59" t="s">
        <v>2046</v>
      </c>
      <c r="B264" s="62">
        <v>5</v>
      </c>
      <c r="C264" s="60" t="s">
        <v>5047</v>
      </c>
      <c r="D264" s="64">
        <f>IFERROR(VLOOKUP(C264,測定点マスタ!$E$2:$F$28,2,FALSE)/VLOOKUP(A264,'焼鈍条件-3CGL'!$A$2:$B$197,2,FALSE)*60,"")</f>
        <v>41.656059799588071</v>
      </c>
      <c r="E264" s="66">
        <v>781</v>
      </c>
      <c r="F264" s="64">
        <f t="shared" si="4"/>
        <v>-6.4816499999999984</v>
      </c>
      <c r="G264" s="60" t="s">
        <v>9</v>
      </c>
      <c r="H264" s="60" t="s">
        <v>5042</v>
      </c>
    </row>
    <row r="265" spans="1:8">
      <c r="A265" s="59" t="s">
        <v>2046</v>
      </c>
      <c r="B265" s="62">
        <v>6</v>
      </c>
      <c r="C265" s="60" t="s">
        <v>5048</v>
      </c>
      <c r="D265" s="64">
        <f>IFERROR(VLOOKUP(C265,測定点マスタ!$E$2:$F$28,2,FALSE)/VLOOKUP(A265,'焼鈍条件-3CGL'!$A$2:$B$197,2,FALSE)*60,"")</f>
        <v>45.821665779546876</v>
      </c>
      <c r="E265" s="66">
        <v>766.5</v>
      </c>
      <c r="F265" s="64">
        <f t="shared" si="4"/>
        <v>-3.4808861111111127</v>
      </c>
      <c r="G265" s="60" t="s">
        <v>9</v>
      </c>
      <c r="H265" s="60" t="s">
        <v>5042</v>
      </c>
    </row>
    <row r="266" spans="1:8">
      <c r="A266" s="59" t="s">
        <v>2046</v>
      </c>
      <c r="B266" s="62">
        <v>7</v>
      </c>
      <c r="C266" s="60" t="s">
        <v>5049</v>
      </c>
      <c r="D266" s="64">
        <f>IFERROR(VLOOKUP(C266,測定点マスタ!$E$2:$F$28,2,FALSE)/VLOOKUP(A266,'焼鈍条件-3CGL'!$A$2:$B$197,2,FALSE)*60,"")</f>
        <v>50.681539422832152</v>
      </c>
      <c r="E266" s="66">
        <v>635.29999999999995</v>
      </c>
      <c r="F266" s="64">
        <f t="shared" si="4"/>
        <v>-26.996586666666669</v>
      </c>
      <c r="G266" s="60" t="s">
        <v>9</v>
      </c>
      <c r="H266" s="60" t="s">
        <v>5042</v>
      </c>
    </row>
    <row r="267" spans="1:8">
      <c r="A267" s="59" t="s">
        <v>2046</v>
      </c>
      <c r="B267" s="62">
        <v>8</v>
      </c>
      <c r="C267" s="60" t="s">
        <v>5050</v>
      </c>
      <c r="D267" s="64">
        <f>IFERROR(VLOOKUP(C267,測定点マスタ!$E$2:$F$28,2,FALSE)/VLOOKUP(A267,'焼鈍条件-3CGL'!$A$2:$B$197,2,FALSE)*60,"")</f>
        <v>56.235680729443892</v>
      </c>
      <c r="E267" s="66">
        <v>508.8</v>
      </c>
      <c r="F267" s="64">
        <f t="shared" si="4"/>
        <v>-22.775797916666665</v>
      </c>
      <c r="G267" s="60" t="s">
        <v>9</v>
      </c>
      <c r="H267" s="60" t="s">
        <v>5042</v>
      </c>
    </row>
    <row r="268" spans="1:8">
      <c r="A268" s="59" t="s">
        <v>2046</v>
      </c>
      <c r="B268" s="62">
        <v>9</v>
      </c>
      <c r="C268" s="60" t="s">
        <v>5051</v>
      </c>
      <c r="D268" s="64">
        <f>IFERROR(VLOOKUP(C268,測定点マスタ!$E$2:$F$28,2,FALSE)/VLOOKUP(A268,'焼鈍条件-3CGL'!$A$2:$B$197,2,FALSE)*60,"")</f>
        <v>61.095554372729168</v>
      </c>
      <c r="E268" s="66">
        <v>497.2</v>
      </c>
      <c r="F268" s="64">
        <f t="shared" si="4"/>
        <v>-2.3868933333333371</v>
      </c>
      <c r="G268" s="60" t="s">
        <v>9</v>
      </c>
      <c r="H268" s="60" t="s">
        <v>5042</v>
      </c>
    </row>
    <row r="269" spans="1:8">
      <c r="A269" s="59" t="s">
        <v>2046</v>
      </c>
      <c r="B269" s="62">
        <v>10</v>
      </c>
      <c r="C269" s="60" t="s">
        <v>5052</v>
      </c>
      <c r="D269" s="64">
        <f>IFERROR(VLOOKUP(C269,測定点マスタ!$E$2:$F$28,2,FALSE)/VLOOKUP(A269,'焼鈍条件-3CGL'!$A$2:$B$197,2,FALSE)*60,"")</f>
        <v>67.343963342667379</v>
      </c>
      <c r="E269" s="66">
        <v>362</v>
      </c>
      <c r="F269" s="64">
        <f t="shared" si="4"/>
        <v>-21.637508148148143</v>
      </c>
      <c r="G269" s="60" t="s">
        <v>9</v>
      </c>
      <c r="H269" s="60" t="s">
        <v>5042</v>
      </c>
    </row>
    <row r="270" spans="1:8">
      <c r="A270" s="59" t="s">
        <v>2046</v>
      </c>
      <c r="B270" s="62">
        <v>11</v>
      </c>
      <c r="C270" s="60" t="s">
        <v>5053</v>
      </c>
      <c r="D270" s="64">
        <f>IFERROR(VLOOKUP(C270,測定点マスタ!$E$2:$F$28,2,FALSE)/VLOOKUP(A270,'焼鈍条件-3CGL'!$A$2:$B$197,2,FALSE)*60,"")</f>
        <v>75.675175302584989</v>
      </c>
      <c r="E270" s="66">
        <v>574.1</v>
      </c>
      <c r="F270" s="64">
        <f t="shared" si="4"/>
        <v>25.458480833333347</v>
      </c>
      <c r="G270" s="60" t="s">
        <v>9</v>
      </c>
      <c r="H270" s="60" t="s">
        <v>5042</v>
      </c>
    </row>
    <row r="271" spans="1:8">
      <c r="A271" s="59" t="s">
        <v>2046</v>
      </c>
      <c r="B271" s="62">
        <v>12</v>
      </c>
      <c r="C271" s="60" t="s">
        <v>5054</v>
      </c>
      <c r="D271" s="64">
        <f>IFERROR(VLOOKUP(C271,測定点マスタ!$E$2:$F$28,2,FALSE)/VLOOKUP(A271,'焼鈍条件-3CGL'!$A$2:$B$197,2,FALSE)*60,"")</f>
        <v>84.70065492582907</v>
      </c>
      <c r="E271" s="66">
        <v>574.9</v>
      </c>
      <c r="F271" s="64">
        <f t="shared" si="4"/>
        <v>8.8637948717943685E-2</v>
      </c>
      <c r="G271" s="60" t="s">
        <v>9</v>
      </c>
      <c r="H271" s="60" t="s">
        <v>5042</v>
      </c>
    </row>
    <row r="272" spans="1:8">
      <c r="A272" s="59" t="s">
        <v>2046</v>
      </c>
      <c r="B272" s="62">
        <v>13</v>
      </c>
      <c r="C272" s="60" t="s">
        <v>5055</v>
      </c>
      <c r="D272" s="64">
        <f>IFERROR(VLOOKUP(C272,測定点マスタ!$E$2:$F$28,2,FALSE)/VLOOKUP(A272,'焼鈍条件-3CGL'!$A$2:$B$197,2,FALSE)*60,"")</f>
        <v>88.171993242461426</v>
      </c>
      <c r="E272" s="66">
        <v>586.1</v>
      </c>
      <c r="F272" s="64">
        <f t="shared" si="4"/>
        <v>3.2264213333333314</v>
      </c>
      <c r="G272" s="60" t="s">
        <v>9</v>
      </c>
      <c r="H272" s="60" t="s">
        <v>5042</v>
      </c>
    </row>
    <row r="273" spans="1:8">
      <c r="A273" s="59" t="s">
        <v>2046</v>
      </c>
      <c r="B273" s="62">
        <v>14</v>
      </c>
      <c r="C273" s="60" t="s">
        <v>5056</v>
      </c>
      <c r="D273" s="64">
        <f>IFERROR(VLOOKUP(C273,測定点マスタ!$E$2:$F$28,2,FALSE)/VLOOKUP(A273,'焼鈍条件-3CGL'!$A$2:$B$197,2,FALSE)*60,"")</f>
        <v>92.337599222420224</v>
      </c>
      <c r="E273" s="66">
        <v>302.5</v>
      </c>
      <c r="F273" s="64">
        <f t="shared" si="4"/>
        <v>-68.081331111111268</v>
      </c>
      <c r="G273" s="60" t="s">
        <v>9</v>
      </c>
      <c r="H273" s="60" t="s">
        <v>5042</v>
      </c>
    </row>
    <row r="274" spans="1:8">
      <c r="A274" s="59" t="s">
        <v>2046</v>
      </c>
      <c r="B274" s="62">
        <v>15</v>
      </c>
      <c r="C274" s="60" t="s">
        <v>5068</v>
      </c>
      <c r="D274" s="64">
        <f>IFERROR(VLOOKUP(C274,測定点マスタ!$E$2:$F$28,2,FALSE)/VLOOKUP(A274,'焼鈍条件-3CGL'!$A$2:$B$197,2,FALSE)*60,"")</f>
        <v>110.28937737414755</v>
      </c>
      <c r="E274" s="66">
        <v>365.8</v>
      </c>
      <c r="F274" s="64">
        <f t="shared" si="4"/>
        <v>3.5261130939226355</v>
      </c>
      <c r="G274" s="60" t="s">
        <v>9</v>
      </c>
      <c r="H274" s="60" t="s">
        <v>5042</v>
      </c>
    </row>
    <row r="275" spans="1:8">
      <c r="A275" s="59" t="s">
        <v>2046</v>
      </c>
      <c r="B275" s="62">
        <v>16</v>
      </c>
      <c r="C275" s="60" t="s">
        <v>5057</v>
      </c>
      <c r="D275" s="64">
        <f>IFERROR(VLOOKUP(C275,測定点マスタ!$E$2:$F$28,2,FALSE)/VLOOKUP(A275,'焼鈍条件-3CGL'!$A$2:$B$197,2,FALSE)*60,"")</f>
        <v>114.47977862779641</v>
      </c>
      <c r="E275" s="66">
        <v>281.2</v>
      </c>
      <c r="F275" s="64">
        <f t="shared" si="4"/>
        <v>-20.188997396450574</v>
      </c>
      <c r="G275" s="60" t="s">
        <v>9</v>
      </c>
      <c r="H275" s="60" t="s">
        <v>5042</v>
      </c>
    </row>
    <row r="276" spans="1:8">
      <c r="A276" s="59" t="s">
        <v>2046</v>
      </c>
      <c r="B276" s="62">
        <v>17</v>
      </c>
      <c r="C276" s="60" t="s">
        <v>5058</v>
      </c>
      <c r="D276" s="64">
        <f>IFERROR(VLOOKUP(C276,測定点マスタ!$E$2:$F$28,2,FALSE)/VLOOKUP(A276,'焼鈍条件-3CGL'!$A$2:$B$197,2,FALSE)*60,"")</f>
        <v>118.67017988144524</v>
      </c>
      <c r="E276" s="66">
        <v>99.4</v>
      </c>
      <c r="F276" s="64">
        <f t="shared" si="4"/>
        <v>-43.384866745564281</v>
      </c>
      <c r="G276" s="60" t="s">
        <v>9</v>
      </c>
      <c r="H276" s="60" t="s">
        <v>5042</v>
      </c>
    </row>
    <row r="277" spans="1:8">
      <c r="A277" s="59" t="s">
        <v>2046</v>
      </c>
      <c r="B277" s="62">
        <v>18</v>
      </c>
      <c r="C277" s="60" t="s">
        <v>5059</v>
      </c>
      <c r="D277" s="64">
        <f>IFERROR(VLOOKUP(C277,測定点マスタ!$E$2:$F$28,2,FALSE)/VLOOKUP(A277,'焼鈍条件-3CGL'!$A$2:$B$197,2,FALSE)*60,"")</f>
        <v>122.86058113509478</v>
      </c>
      <c r="E277" s="66">
        <v>58.8</v>
      </c>
      <c r="F277" s="64">
        <f t="shared" si="4"/>
        <v>-9.6888096252453888</v>
      </c>
      <c r="G277" s="60" t="s">
        <v>9</v>
      </c>
      <c r="H277" s="60" t="s">
        <v>5042</v>
      </c>
    </row>
    <row r="278" spans="1:8">
      <c r="A278" s="59" t="s">
        <v>2057</v>
      </c>
      <c r="B278" s="62">
        <v>1</v>
      </c>
      <c r="C278" s="60" t="s">
        <v>5041</v>
      </c>
      <c r="D278" s="64">
        <f>IFERROR(VLOOKUP(C278,測定点マスタ!$E$2:$F$28,2,FALSE)/VLOOKUP(A278,'焼鈍条件-3CGL'!$A$2:$B$197,2,FALSE)*60,"")</f>
        <v>0</v>
      </c>
      <c r="E278" s="66">
        <v>37.299999999999997</v>
      </c>
      <c r="F278" s="64" t="str">
        <f t="shared" si="4"/>
        <v/>
      </c>
      <c r="G278" s="60" t="s">
        <v>12</v>
      </c>
      <c r="H278" s="60" t="s">
        <v>5042</v>
      </c>
    </row>
    <row r="279" spans="1:8">
      <c r="A279" s="59" t="s">
        <v>2057</v>
      </c>
      <c r="B279" s="62">
        <v>2</v>
      </c>
      <c r="C279" s="60" t="s">
        <v>5043</v>
      </c>
      <c r="D279" s="64">
        <f>IFERROR(VLOOKUP(C279,測定点マスタ!$E$2:$F$28,2,FALSE)/VLOOKUP(A279,'焼鈍条件-3CGL'!$A$2:$B$197,2,FALSE)*60,"")</f>
        <v>11.127596439169141</v>
      </c>
      <c r="E279" s="66">
        <v>207</v>
      </c>
      <c r="F279" s="64">
        <f t="shared" si="4"/>
        <v>15.25037333333333</v>
      </c>
      <c r="G279" s="60" t="s">
        <v>12</v>
      </c>
      <c r="H279" s="60" t="s">
        <v>5042</v>
      </c>
    </row>
    <row r="280" spans="1:8">
      <c r="A280" s="59" t="s">
        <v>2057</v>
      </c>
      <c r="B280" s="62">
        <v>3</v>
      </c>
      <c r="C280" s="60" t="s">
        <v>5044</v>
      </c>
      <c r="D280" s="64">
        <f>IFERROR(VLOOKUP(C280,測定点マスタ!$E$2:$F$28,2,FALSE)/VLOOKUP(A280,'焼鈍条件-3CGL'!$A$2:$B$197,2,FALSE)*60,"")</f>
        <v>25.222551928783382</v>
      </c>
      <c r="E280" s="66">
        <v>732.1</v>
      </c>
      <c r="F280" s="64">
        <f t="shared" si="4"/>
        <v>37.254463157894747</v>
      </c>
      <c r="G280" s="60" t="s">
        <v>12</v>
      </c>
      <c r="H280" s="60" t="s">
        <v>5042</v>
      </c>
    </row>
    <row r="281" spans="1:8">
      <c r="A281" s="59" t="s">
        <v>2057</v>
      </c>
      <c r="B281" s="62">
        <v>4</v>
      </c>
      <c r="C281" s="60" t="s">
        <v>5045</v>
      </c>
      <c r="D281" s="64">
        <f>IFERROR(VLOOKUP(C281,測定点マスタ!$E$2:$F$28,2,FALSE)/VLOOKUP(A281,'焼鈍条件-3CGL'!$A$2:$B$197,2,FALSE)*60,"")</f>
        <v>32.640949554896139</v>
      </c>
      <c r="E281" s="66">
        <v>878.3</v>
      </c>
      <c r="F281" s="64">
        <f t="shared" si="4"/>
        <v>19.707759999999997</v>
      </c>
      <c r="G281" s="60" t="s">
        <v>12</v>
      </c>
      <c r="H281" s="60" t="s">
        <v>5042</v>
      </c>
    </row>
    <row r="282" spans="1:8">
      <c r="A282" s="59" t="s">
        <v>2057</v>
      </c>
      <c r="B282" s="62">
        <v>5</v>
      </c>
      <c r="C282" s="60" t="s">
        <v>5047</v>
      </c>
      <c r="D282" s="64">
        <f>IFERROR(VLOOKUP(C282,測定点マスタ!$E$2:$F$28,2,FALSE)/VLOOKUP(A282,'焼鈍条件-3CGL'!$A$2:$B$197,2,FALSE)*60,"")</f>
        <v>44.510385756676563</v>
      </c>
      <c r="E282" s="66">
        <v>808.9</v>
      </c>
      <c r="F282" s="64">
        <f t="shared" si="4"/>
        <v>-5.8469499999999943</v>
      </c>
      <c r="G282" s="60" t="s">
        <v>12</v>
      </c>
      <c r="H282" s="60" t="s">
        <v>5042</v>
      </c>
    </row>
    <row r="283" spans="1:8">
      <c r="A283" s="59" t="s">
        <v>2057</v>
      </c>
      <c r="B283" s="62">
        <v>6</v>
      </c>
      <c r="C283" s="60" t="s">
        <v>5049</v>
      </c>
      <c r="D283" s="64">
        <f>IFERROR(VLOOKUP(C283,測定点マスタ!$E$2:$F$28,2,FALSE)/VLOOKUP(A283,'焼鈍条件-3CGL'!$A$2:$B$197,2,FALSE)*60,"")</f>
        <v>54.154302670623146</v>
      </c>
      <c r="E283" s="66">
        <v>643.1</v>
      </c>
      <c r="F283" s="64">
        <f t="shared" si="4"/>
        <v>-17.192184615384619</v>
      </c>
      <c r="G283" s="60" t="s">
        <v>12</v>
      </c>
      <c r="H283" s="60" t="s">
        <v>5042</v>
      </c>
    </row>
    <row r="284" spans="1:8">
      <c r="A284" s="59" t="s">
        <v>2057</v>
      </c>
      <c r="B284" s="62">
        <v>7</v>
      </c>
      <c r="C284" s="60" t="s">
        <v>5050</v>
      </c>
      <c r="D284" s="64">
        <f>IFERROR(VLOOKUP(C284,測定点マスタ!$E$2:$F$28,2,FALSE)/VLOOKUP(A284,'焼鈍条件-3CGL'!$A$2:$B$197,2,FALSE)*60,"")</f>
        <v>60.089020771513361</v>
      </c>
      <c r="E284" s="66">
        <v>516.70000000000005</v>
      </c>
      <c r="F284" s="64">
        <f t="shared" si="4"/>
        <v>-21.298399999999969</v>
      </c>
      <c r="G284" s="60" t="s">
        <v>12</v>
      </c>
      <c r="H284" s="60" t="s">
        <v>5042</v>
      </c>
    </row>
    <row r="285" spans="1:8">
      <c r="A285" s="59" t="s">
        <v>2057</v>
      </c>
      <c r="B285" s="62">
        <v>8</v>
      </c>
      <c r="C285" s="60" t="s">
        <v>5051</v>
      </c>
      <c r="D285" s="64">
        <f>IFERROR(VLOOKUP(C285,測定点マスタ!$E$2:$F$28,2,FALSE)/VLOOKUP(A285,'焼鈍条件-3CGL'!$A$2:$B$197,2,FALSE)*60,"")</f>
        <v>65.281899109792278</v>
      </c>
      <c r="E285" s="66">
        <v>479.6</v>
      </c>
      <c r="F285" s="64">
        <f t="shared" si="4"/>
        <v>-7.1444000000000258</v>
      </c>
      <c r="G285" s="60" t="s">
        <v>12</v>
      </c>
      <c r="H285" s="60" t="s">
        <v>5042</v>
      </c>
    </row>
    <row r="286" spans="1:8">
      <c r="A286" s="59" t="s">
        <v>2057</v>
      </c>
      <c r="B286" s="62">
        <v>9</v>
      </c>
      <c r="C286" s="60" t="s">
        <v>5060</v>
      </c>
      <c r="D286" s="64">
        <f>IFERROR(VLOOKUP(C286,測定点マスタ!$E$2:$F$28,2,FALSE)/VLOOKUP(A286,'焼鈍条件-3CGL'!$A$2:$B$197,2,FALSE)*60,"")</f>
        <v>68.249258160237389</v>
      </c>
      <c r="E286" s="66">
        <v>439.8</v>
      </c>
      <c r="F286" s="64">
        <f t="shared" si="4"/>
        <v>-13.412599999999971</v>
      </c>
      <c r="G286" s="60" t="s">
        <v>12</v>
      </c>
      <c r="H286" s="60" t="s">
        <v>5042</v>
      </c>
    </row>
    <row r="287" spans="1:8">
      <c r="A287" s="59" t="s">
        <v>2057</v>
      </c>
      <c r="B287" s="62">
        <v>10</v>
      </c>
      <c r="C287" s="60" t="s">
        <v>5052</v>
      </c>
      <c r="D287" s="64">
        <f>IFERROR(VLOOKUP(C287,測定点マスタ!$E$2:$F$28,2,FALSE)/VLOOKUP(A287,'焼鈍条件-3CGL'!$A$2:$B$197,2,FALSE)*60,"")</f>
        <v>71.958456973293764</v>
      </c>
      <c r="E287" s="66">
        <v>383.2</v>
      </c>
      <c r="F287" s="64">
        <f t="shared" si="4"/>
        <v>-15.259360000000026</v>
      </c>
      <c r="G287" s="60" t="s">
        <v>12</v>
      </c>
      <c r="H287" s="60" t="s">
        <v>5042</v>
      </c>
    </row>
    <row r="288" spans="1:8">
      <c r="A288" s="59" t="s">
        <v>2057</v>
      </c>
      <c r="B288" s="62">
        <v>11</v>
      </c>
      <c r="C288" s="60" t="s">
        <v>5069</v>
      </c>
      <c r="D288" s="64">
        <f>IFERROR(VLOOKUP(C288,測定点マスタ!$E$2:$F$28,2,FALSE)/VLOOKUP(A288,'焼鈍条件-3CGL'!$A$2:$B$197,2,FALSE)*60,"")</f>
        <v>77.151335311572709</v>
      </c>
      <c r="E288" s="66">
        <v>563.20000000000005</v>
      </c>
      <c r="F288" s="64">
        <f t="shared" si="4"/>
        <v>34.662857142857064</v>
      </c>
      <c r="G288" s="60" t="s">
        <v>12</v>
      </c>
      <c r="H288" s="60" t="s">
        <v>5042</v>
      </c>
    </row>
    <row r="289" spans="1:8">
      <c r="A289" s="59" t="s">
        <v>2057</v>
      </c>
      <c r="B289" s="62">
        <v>12</v>
      </c>
      <c r="C289" s="60" t="s">
        <v>5053</v>
      </c>
      <c r="D289" s="64">
        <f>IFERROR(VLOOKUP(C289,測定点マスタ!$E$2:$F$28,2,FALSE)/VLOOKUP(A289,'焼鈍条件-3CGL'!$A$2:$B$197,2,FALSE)*60,"")</f>
        <v>80.860534124629083</v>
      </c>
      <c r="E289" s="66">
        <v>578.70000000000005</v>
      </c>
      <c r="F289" s="64">
        <f t="shared" si="4"/>
        <v>4.1788000000000052</v>
      </c>
      <c r="G289" s="60" t="s">
        <v>12</v>
      </c>
      <c r="H289" s="60" t="s">
        <v>5042</v>
      </c>
    </row>
    <row r="290" spans="1:8">
      <c r="A290" s="59" t="s">
        <v>2057</v>
      </c>
      <c r="B290" s="62">
        <v>13</v>
      </c>
      <c r="C290" s="60" t="s">
        <v>5063</v>
      </c>
      <c r="D290" s="64">
        <f>IFERROR(VLOOKUP(C290,測定点マスタ!$E$2:$F$28,2,FALSE)/VLOOKUP(A290,'焼鈍条件-3CGL'!$A$2:$B$197,2,FALSE)*60,"")</f>
        <v>85.311572700296736</v>
      </c>
      <c r="E290" s="66">
        <v>580.4</v>
      </c>
      <c r="F290" s="64">
        <f t="shared" si="4"/>
        <v>0.38193333333331825</v>
      </c>
      <c r="G290" s="60" t="s">
        <v>12</v>
      </c>
      <c r="H290" s="60" t="s">
        <v>5042</v>
      </c>
    </row>
    <row r="291" spans="1:8">
      <c r="A291" s="59" t="s">
        <v>2057</v>
      </c>
      <c r="B291" s="62">
        <v>14</v>
      </c>
      <c r="C291" s="60" t="s">
        <v>5054</v>
      </c>
      <c r="D291" s="64">
        <f>IFERROR(VLOOKUP(C291,測定点マスタ!$E$2:$F$28,2,FALSE)/VLOOKUP(A291,'焼鈍条件-3CGL'!$A$2:$B$197,2,FALSE)*60,"")</f>
        <v>90.504451038575667</v>
      </c>
      <c r="E291" s="66">
        <v>569.20000000000005</v>
      </c>
      <c r="F291" s="64">
        <f t="shared" si="4"/>
        <v>-2.1567999999999872</v>
      </c>
      <c r="G291" s="60" t="s">
        <v>12</v>
      </c>
      <c r="H291" s="60" t="s">
        <v>5042</v>
      </c>
    </row>
    <row r="292" spans="1:8">
      <c r="A292" s="59" t="s">
        <v>2057</v>
      </c>
      <c r="B292" s="62">
        <v>15</v>
      </c>
      <c r="C292" s="60" t="s">
        <v>5055</v>
      </c>
      <c r="D292" s="64">
        <f>IFERROR(VLOOKUP(C292,測定点マスタ!$E$2:$F$28,2,FALSE)/VLOOKUP(A292,'焼鈍条件-3CGL'!$A$2:$B$197,2,FALSE)*60,"")</f>
        <v>94.213649851632056</v>
      </c>
      <c r="E292" s="66">
        <v>583.70000000000005</v>
      </c>
      <c r="F292" s="64">
        <f t="shared" si="4"/>
        <v>3.90919999999999</v>
      </c>
      <c r="G292" s="60" t="s">
        <v>12</v>
      </c>
      <c r="H292" s="60" t="s">
        <v>5042</v>
      </c>
    </row>
    <row r="293" spans="1:8">
      <c r="A293" s="59" t="s">
        <v>2057</v>
      </c>
      <c r="B293" s="62">
        <v>16</v>
      </c>
      <c r="C293" s="60" t="s">
        <v>5056</v>
      </c>
      <c r="D293" s="64">
        <f>IFERROR(VLOOKUP(C293,測定点マスタ!$E$2:$F$28,2,FALSE)/VLOOKUP(A293,'焼鈍条件-3CGL'!$A$2:$B$197,2,FALSE)*60,"")</f>
        <v>98.664688427299708</v>
      </c>
      <c r="E293" s="66">
        <v>273.60000000000002</v>
      </c>
      <c r="F293" s="64">
        <f t="shared" si="4"/>
        <v>-69.669133333333392</v>
      </c>
      <c r="G293" s="60" t="s">
        <v>12</v>
      </c>
      <c r="H293" s="60" t="s">
        <v>5042</v>
      </c>
    </row>
    <row r="294" spans="1:8">
      <c r="A294" s="59" t="s">
        <v>2057</v>
      </c>
      <c r="B294" s="62">
        <v>17</v>
      </c>
      <c r="C294" s="60" t="s">
        <v>5068</v>
      </c>
      <c r="D294" s="64">
        <f>IFERROR(VLOOKUP(C294,測定点マスタ!$E$2:$F$28,2,FALSE)/VLOOKUP(A294,'焼鈍条件-3CGL'!$A$2:$B$197,2,FALSE)*60,"")</f>
        <v>117.84654514624853</v>
      </c>
      <c r="E294" s="66">
        <v>406.5</v>
      </c>
      <c r="F294" s="64">
        <f t="shared" si="4"/>
        <v>6.928422099447471</v>
      </c>
      <c r="G294" s="60" t="s">
        <v>12</v>
      </c>
      <c r="H294" s="60" t="s">
        <v>5042</v>
      </c>
    </row>
    <row r="295" spans="1:8">
      <c r="A295" s="59" t="s">
        <v>2057</v>
      </c>
      <c r="B295" s="62">
        <v>18</v>
      </c>
      <c r="C295" s="60" t="s">
        <v>5057</v>
      </c>
      <c r="D295" s="64">
        <f>IFERROR(VLOOKUP(C295,測定点マスタ!$E$2:$F$28,2,FALSE)/VLOOKUP(A295,'焼鈍条件-3CGL'!$A$2:$B$197,2,FALSE)*60,"")</f>
        <v>122.32407799915208</v>
      </c>
      <c r="E295" s="66">
        <v>243.1</v>
      </c>
      <c r="F295" s="64">
        <f t="shared" si="4"/>
        <v>-36.493311242605365</v>
      </c>
      <c r="G295" s="60" t="s">
        <v>12</v>
      </c>
      <c r="H295" s="60" t="s">
        <v>5042</v>
      </c>
    </row>
    <row r="296" spans="1:8">
      <c r="A296" s="59" t="s">
        <v>2057</v>
      </c>
      <c r="B296" s="62">
        <v>19</v>
      </c>
      <c r="C296" s="60" t="s">
        <v>5058</v>
      </c>
      <c r="D296" s="64">
        <f>IFERROR(VLOOKUP(C296,測定点マスタ!$E$2:$F$28,2,FALSE)/VLOOKUP(A296,'焼鈍条件-3CGL'!$A$2:$B$197,2,FALSE)*60,"")</f>
        <v>126.80161085205563</v>
      </c>
      <c r="E296" s="66">
        <v>136.30000000000001</v>
      </c>
      <c r="F296" s="64">
        <f t="shared" si="4"/>
        <v>-23.852421301776328</v>
      </c>
      <c r="G296" s="60" t="s">
        <v>12</v>
      </c>
      <c r="H296" s="60" t="s">
        <v>5042</v>
      </c>
    </row>
    <row r="297" spans="1:8">
      <c r="A297" s="59" t="s">
        <v>2057</v>
      </c>
      <c r="B297" s="62">
        <v>20</v>
      </c>
      <c r="C297" s="60" t="s">
        <v>5059</v>
      </c>
      <c r="D297" s="64">
        <f>IFERROR(VLOOKUP(C297,測定点マスタ!$E$2:$F$28,2,FALSE)/VLOOKUP(A297,'焼鈍条件-3CGL'!$A$2:$B$197,2,FALSE)*60,"")</f>
        <v>131.27914370495995</v>
      </c>
      <c r="E297" s="66">
        <v>63.9</v>
      </c>
      <c r="F297" s="64">
        <f t="shared" si="4"/>
        <v>-16.169618934909277</v>
      </c>
      <c r="G297" s="60" t="s">
        <v>12</v>
      </c>
      <c r="H297" s="60" t="s">
        <v>5042</v>
      </c>
    </row>
    <row r="298" spans="1:8">
      <c r="A298" s="59" t="s">
        <v>2074</v>
      </c>
      <c r="B298" s="62">
        <v>1</v>
      </c>
      <c r="C298" s="60" t="s">
        <v>5041</v>
      </c>
      <c r="D298" s="64">
        <f>IFERROR(VLOOKUP(C298,測定点マスタ!$E$2:$F$28,2,FALSE)/VLOOKUP(A298,'焼鈍条件-3CGL'!$A$2:$B$197,2,FALSE)*60,"")</f>
        <v>0</v>
      </c>
      <c r="E298" s="66">
        <v>28.2</v>
      </c>
      <c r="F298" s="64" t="str">
        <f t="shared" si="4"/>
        <v/>
      </c>
      <c r="G298" s="60" t="s">
        <v>9</v>
      </c>
      <c r="H298" s="60" t="s">
        <v>5042</v>
      </c>
    </row>
    <row r="299" spans="1:8">
      <c r="A299" s="59" t="s">
        <v>2074</v>
      </c>
      <c r="B299" s="62">
        <v>2</v>
      </c>
      <c r="C299" s="60" t="s">
        <v>5043</v>
      </c>
      <c r="D299" s="64">
        <f>IFERROR(VLOOKUP(C299,測定点マスタ!$E$2:$F$28,2,FALSE)/VLOOKUP(A299,'焼鈍条件-3CGL'!$A$2:$B$197,2,FALSE)*60,"")</f>
        <v>6.6752703484491125</v>
      </c>
      <c r="E299" s="66">
        <v>164.3</v>
      </c>
      <c r="F299" s="64">
        <f t="shared" si="4"/>
        <v>20.388687333333337</v>
      </c>
      <c r="G299" s="60" t="s">
        <v>9</v>
      </c>
      <c r="H299" s="60" t="s">
        <v>5042</v>
      </c>
    </row>
    <row r="300" spans="1:8">
      <c r="A300" s="59" t="s">
        <v>2074</v>
      </c>
      <c r="B300" s="62">
        <v>3</v>
      </c>
      <c r="C300" s="60" t="s">
        <v>5067</v>
      </c>
      <c r="D300" s="64">
        <f>IFERROR(VLOOKUP(C300,測定点マスタ!$E$2:$F$28,2,FALSE)/VLOOKUP(A300,'焼鈍条件-3CGL'!$A$2:$B$197,2,FALSE)*60,"")</f>
        <v>11.12545058074852</v>
      </c>
      <c r="E300" s="66">
        <v>312.89999999999998</v>
      </c>
      <c r="F300" s="64">
        <f t="shared" si="4"/>
        <v>33.391905999999999</v>
      </c>
      <c r="G300" s="60" t="s">
        <v>9</v>
      </c>
      <c r="H300" s="60" t="s">
        <v>5042</v>
      </c>
    </row>
    <row r="301" spans="1:8">
      <c r="A301" s="59" t="s">
        <v>2074</v>
      </c>
      <c r="B301" s="62">
        <v>4</v>
      </c>
      <c r="C301" s="60" t="s">
        <v>5044</v>
      </c>
      <c r="D301" s="64">
        <f>IFERROR(VLOOKUP(C301,測定点マスタ!$E$2:$F$28,2,FALSE)/VLOOKUP(A301,'焼鈍条件-3CGL'!$A$2:$B$197,2,FALSE)*60,"")</f>
        <v>15.130612789817988</v>
      </c>
      <c r="E301" s="66">
        <v>608.6</v>
      </c>
      <c r="F301" s="64">
        <f t="shared" si="4"/>
        <v>73.829718888888891</v>
      </c>
      <c r="G301" s="60" t="s">
        <v>9</v>
      </c>
      <c r="H301" s="60" t="s">
        <v>5042</v>
      </c>
    </row>
    <row r="302" spans="1:8">
      <c r="A302" s="59" t="s">
        <v>2074</v>
      </c>
      <c r="B302" s="62">
        <v>5</v>
      </c>
      <c r="C302" s="60" t="s">
        <v>5045</v>
      </c>
      <c r="D302" s="64">
        <f>IFERROR(VLOOKUP(C302,測定点マスタ!$E$2:$F$28,2,FALSE)/VLOOKUP(A302,'焼鈍条件-3CGL'!$A$2:$B$197,2,FALSE)*60,"")</f>
        <v>19.580793022117394</v>
      </c>
      <c r="E302" s="66">
        <v>720.9</v>
      </c>
      <c r="F302" s="64">
        <f t="shared" si="4"/>
        <v>25.234933000000002</v>
      </c>
      <c r="G302" s="60" t="s">
        <v>9</v>
      </c>
      <c r="H302" s="60" t="s">
        <v>5042</v>
      </c>
    </row>
    <row r="303" spans="1:8">
      <c r="A303" s="59" t="s">
        <v>2074</v>
      </c>
      <c r="B303" s="62">
        <v>6</v>
      </c>
      <c r="C303" s="60" t="s">
        <v>5047</v>
      </c>
      <c r="D303" s="64">
        <f>IFERROR(VLOOKUP(C303,測定点マスタ!$E$2:$F$28,2,FALSE)/VLOOKUP(A303,'焼鈍条件-3CGL'!$A$2:$B$197,2,FALSE)*60,"")</f>
        <v>26.70108139379645</v>
      </c>
      <c r="E303" s="66">
        <v>672.2</v>
      </c>
      <c r="F303" s="64">
        <f t="shared" si="4"/>
        <v>-6.8396106249999873</v>
      </c>
      <c r="G303" s="60" t="s">
        <v>9</v>
      </c>
      <c r="H303" s="60" t="s">
        <v>5042</v>
      </c>
    </row>
    <row r="304" spans="1:8">
      <c r="A304" s="59" t="s">
        <v>2074</v>
      </c>
      <c r="B304" s="62">
        <v>7</v>
      </c>
      <c r="C304" s="60" t="s">
        <v>5049</v>
      </c>
      <c r="D304" s="64">
        <f>IFERROR(VLOOKUP(C304,測定点マスタ!$E$2:$F$28,2,FALSE)/VLOOKUP(A304,'焼鈍条件-3CGL'!$A$2:$B$197,2,FALSE)*60,"")</f>
        <v>32.486315695785677</v>
      </c>
      <c r="E304" s="66">
        <v>533.4</v>
      </c>
      <c r="F304" s="64">
        <f t="shared" si="4"/>
        <v>-23.99211384615387</v>
      </c>
      <c r="G304" s="60" t="s">
        <v>9</v>
      </c>
      <c r="H304" s="60" t="s">
        <v>5042</v>
      </c>
    </row>
    <row r="305" spans="1:8">
      <c r="A305" s="59" t="s">
        <v>2074</v>
      </c>
      <c r="B305" s="62">
        <v>8</v>
      </c>
      <c r="C305" s="60" t="s">
        <v>5050</v>
      </c>
      <c r="D305" s="64">
        <f>IFERROR(VLOOKUP(C305,測定点マスタ!$E$2:$F$28,2,FALSE)/VLOOKUP(A305,'焼鈍条件-3CGL'!$A$2:$B$197,2,FALSE)*60,"")</f>
        <v>36.046459881625211</v>
      </c>
      <c r="E305" s="66">
        <v>432.8</v>
      </c>
      <c r="F305" s="64">
        <f t="shared" si="4"/>
        <v>-28.257282499999935</v>
      </c>
      <c r="G305" s="60" t="s">
        <v>9</v>
      </c>
      <c r="H305" s="60" t="s">
        <v>5042</v>
      </c>
    </row>
    <row r="306" spans="1:8">
      <c r="A306" s="59" t="s">
        <v>2074</v>
      </c>
      <c r="B306" s="62">
        <v>9</v>
      </c>
      <c r="C306" s="60" t="s">
        <v>5051</v>
      </c>
      <c r="D306" s="64">
        <f>IFERROR(VLOOKUP(C306,測定点マスタ!$E$2:$F$28,2,FALSE)/VLOOKUP(A306,'焼鈍条件-3CGL'!$A$2:$B$197,2,FALSE)*60,"")</f>
        <v>39.161586044234788</v>
      </c>
      <c r="E306" s="66">
        <v>400.6</v>
      </c>
      <c r="F306" s="64">
        <f t="shared" si="4"/>
        <v>-10.336660000000023</v>
      </c>
      <c r="G306" s="60" t="s">
        <v>9</v>
      </c>
      <c r="H306" s="60" t="s">
        <v>5042</v>
      </c>
    </row>
    <row r="307" spans="1:8">
      <c r="A307" s="59" t="s">
        <v>2074</v>
      </c>
      <c r="B307" s="62">
        <v>10</v>
      </c>
      <c r="C307" s="60" t="s">
        <v>5052</v>
      </c>
      <c r="D307" s="64">
        <f>IFERROR(VLOOKUP(C307,測定点マスタ!$E$2:$F$28,2,FALSE)/VLOOKUP(A307,'焼鈍条件-3CGL'!$A$2:$B$197,2,FALSE)*60,"")</f>
        <v>43.166748253304256</v>
      </c>
      <c r="E307" s="66">
        <v>314.89999999999998</v>
      </c>
      <c r="F307" s="64">
        <f t="shared" si="4"/>
        <v>-21.397385555555562</v>
      </c>
      <c r="G307" s="60" t="s">
        <v>9</v>
      </c>
      <c r="H307" s="60" t="s">
        <v>5042</v>
      </c>
    </row>
    <row r="308" spans="1:8">
      <c r="A308" s="59" t="s">
        <v>2074</v>
      </c>
      <c r="B308" s="62">
        <v>11</v>
      </c>
      <c r="C308" s="60" t="s">
        <v>5053</v>
      </c>
      <c r="D308" s="64">
        <f>IFERROR(VLOOKUP(C308,測定点マスタ!$E$2:$F$28,2,FALSE)/VLOOKUP(A308,'焼鈍条件-3CGL'!$A$2:$B$197,2,FALSE)*60,"")</f>
        <v>48.506964532063549</v>
      </c>
      <c r="E308" s="66">
        <v>461.1</v>
      </c>
      <c r="F308" s="64">
        <f t="shared" si="4"/>
        <v>27.377168333333326</v>
      </c>
      <c r="G308" s="60" t="s">
        <v>9</v>
      </c>
      <c r="H308" s="60" t="s">
        <v>5042</v>
      </c>
    </row>
    <row r="309" spans="1:8">
      <c r="A309" s="59" t="s">
        <v>2074</v>
      </c>
      <c r="B309" s="62">
        <v>12</v>
      </c>
      <c r="C309" s="60" t="s">
        <v>5054</v>
      </c>
      <c r="D309" s="64">
        <f>IFERROR(VLOOKUP(C309,測定点マスタ!$E$2:$F$28,2,FALSE)/VLOOKUP(A309,'焼鈍条件-3CGL'!$A$2:$B$197,2,FALSE)*60,"")</f>
        <v>54.292198834052783</v>
      </c>
      <c r="E309" s="66">
        <v>447.7</v>
      </c>
      <c r="F309" s="64">
        <f t="shared" si="4"/>
        <v>-2.3162415384615427</v>
      </c>
      <c r="G309" s="60" t="s">
        <v>9</v>
      </c>
      <c r="H309" s="60" t="s">
        <v>5042</v>
      </c>
    </row>
    <row r="310" spans="1:8">
      <c r="A310" s="59" t="s">
        <v>2074</v>
      </c>
      <c r="B310" s="62">
        <v>13</v>
      </c>
      <c r="C310" s="60" t="s">
        <v>5056</v>
      </c>
      <c r="D310" s="64">
        <f>IFERROR(VLOOKUP(C310,測定点マスタ!$E$2:$F$28,2,FALSE)/VLOOKUP(A310,'焼鈍条件-3CGL'!$A$2:$B$197,2,FALSE)*60,"")</f>
        <v>59.187397089582134</v>
      </c>
      <c r="E310" s="66">
        <v>231.8</v>
      </c>
      <c r="F310" s="64">
        <f t="shared" si="4"/>
        <v>-44.10444454545452</v>
      </c>
      <c r="G310" s="60" t="s">
        <v>9</v>
      </c>
      <c r="H310" s="60" t="s">
        <v>5042</v>
      </c>
    </row>
    <row r="311" spans="1:8">
      <c r="A311" s="59" t="s">
        <v>2074</v>
      </c>
      <c r="B311" s="62">
        <v>14</v>
      </c>
      <c r="C311" s="60" t="s">
        <v>5057</v>
      </c>
      <c r="D311" s="64">
        <f>IFERROR(VLOOKUP(C311,測定点マスタ!$E$2:$F$28,2,FALSE)/VLOOKUP(A311,'焼鈍条件-3CGL'!$A$2:$B$197,2,FALSE)*60,"")</f>
        <v>73.380293330451252</v>
      </c>
      <c r="E311" s="66">
        <v>202.8</v>
      </c>
      <c r="F311" s="64">
        <f t="shared" si="4"/>
        <v>-2.0432756998880275</v>
      </c>
      <c r="G311" s="60" t="s">
        <v>9</v>
      </c>
      <c r="H311" s="60" t="s">
        <v>5042</v>
      </c>
    </row>
    <row r="312" spans="1:8">
      <c r="A312" s="59" t="s">
        <v>2074</v>
      </c>
      <c r="B312" s="62">
        <v>15</v>
      </c>
      <c r="C312" s="60" t="s">
        <v>5059</v>
      </c>
      <c r="D312" s="64">
        <f>IFERROR(VLOOKUP(C312,測定点マスタ!$E$2:$F$28,2,FALSE)/VLOOKUP(A312,'焼鈍条件-3CGL'!$A$2:$B$197,2,FALSE)*60,"")</f>
        <v>78.752296610870019</v>
      </c>
      <c r="E312" s="66">
        <v>54.5</v>
      </c>
      <c r="F312" s="64">
        <f t="shared" si="4"/>
        <v>-27.606088875738642</v>
      </c>
      <c r="G312" s="60" t="s">
        <v>9</v>
      </c>
      <c r="H312" s="60" t="s">
        <v>5042</v>
      </c>
    </row>
    <row r="313" spans="1:8">
      <c r="A313" s="59" t="s">
        <v>2089</v>
      </c>
      <c r="B313" s="62">
        <v>1</v>
      </c>
      <c r="C313" s="60" t="s">
        <v>5041</v>
      </c>
      <c r="D313" s="64">
        <f>IFERROR(VLOOKUP(C313,測定点マスタ!$E$2:$F$28,2,FALSE)/VLOOKUP(A313,'焼鈍条件-3CGL'!$A$2:$B$197,2,FALSE)*60,"")</f>
        <v>0</v>
      </c>
      <c r="E313" s="66">
        <v>26.3</v>
      </c>
      <c r="F313" s="64" t="str">
        <f t="shared" si="4"/>
        <v/>
      </c>
      <c r="G313" s="60" t="s">
        <v>12</v>
      </c>
      <c r="H313" s="60" t="s">
        <v>5070</v>
      </c>
    </row>
    <row r="314" spans="1:8">
      <c r="A314" s="59" t="s">
        <v>2089</v>
      </c>
      <c r="B314" s="62">
        <v>2</v>
      </c>
      <c r="C314" s="60" t="s">
        <v>5043</v>
      </c>
      <c r="D314" s="64">
        <f>IFERROR(VLOOKUP(C314,測定点マスタ!$E$2:$F$28,2,FALSE)/VLOOKUP(A314,'焼鈍条件-3CGL'!$A$2:$B$197,2,FALSE)*60,"")</f>
        <v>387.09677419354836</v>
      </c>
      <c r="E314" s="66">
        <v>178.9</v>
      </c>
      <c r="F314" s="64">
        <f t="shared" si="4"/>
        <v>0.39421666666666666</v>
      </c>
      <c r="G314" s="60" t="s">
        <v>12</v>
      </c>
      <c r="H314" s="60" t="s">
        <v>5070</v>
      </c>
    </row>
    <row r="315" spans="1:8">
      <c r="A315" s="59" t="s">
        <v>2089</v>
      </c>
      <c r="B315" s="62">
        <v>3</v>
      </c>
      <c r="C315" s="60" t="s">
        <v>5044</v>
      </c>
      <c r="D315" s="64">
        <f>IFERROR(VLOOKUP(C315,測定点マスタ!$E$2:$F$28,2,FALSE)/VLOOKUP(A315,'焼鈍条件-3CGL'!$A$2:$B$197,2,FALSE)*60,"")</f>
        <v>877.41935483870964</v>
      </c>
      <c r="E315" s="66">
        <v>632</v>
      </c>
      <c r="F315" s="64">
        <f t="shared" si="4"/>
        <v>0.92408552631578955</v>
      </c>
      <c r="G315" s="60" t="s">
        <v>12</v>
      </c>
      <c r="H315" s="60" t="s">
        <v>5070</v>
      </c>
    </row>
    <row r="316" spans="1:8">
      <c r="A316" s="59" t="s">
        <v>2089</v>
      </c>
      <c r="B316" s="62">
        <v>4</v>
      </c>
      <c r="C316" s="60" t="s">
        <v>5045</v>
      </c>
      <c r="D316" s="64">
        <f>IFERROR(VLOOKUP(C316,測定点マスタ!$E$2:$F$28,2,FALSE)/VLOOKUP(A316,'焼鈍条件-3CGL'!$A$2:$B$197,2,FALSE)*60,"")</f>
        <v>1135.4838709677417</v>
      </c>
      <c r="E316" s="66">
        <v>782.3</v>
      </c>
      <c r="F316" s="64">
        <f t="shared" si="4"/>
        <v>0.58241250000000022</v>
      </c>
      <c r="G316" s="60" t="s">
        <v>12</v>
      </c>
      <c r="H316" s="60" t="s">
        <v>5070</v>
      </c>
    </row>
    <row r="317" spans="1:8">
      <c r="A317" s="59" t="s">
        <v>2089</v>
      </c>
      <c r="B317" s="62">
        <v>5</v>
      </c>
      <c r="C317" s="60" t="s">
        <v>5047</v>
      </c>
      <c r="D317" s="64">
        <f>IFERROR(VLOOKUP(C317,測定点マスタ!$E$2:$F$28,2,FALSE)/VLOOKUP(A317,'焼鈍条件-3CGL'!$A$2:$B$197,2,FALSE)*60,"")</f>
        <v>1548.3870967741934</v>
      </c>
      <c r="E317" s="66">
        <v>710.7</v>
      </c>
      <c r="F317" s="64">
        <f t="shared" si="4"/>
        <v>-0.17340624999999973</v>
      </c>
      <c r="G317" s="60" t="s">
        <v>12</v>
      </c>
      <c r="H317" s="60" t="s">
        <v>5070</v>
      </c>
    </row>
    <row r="318" spans="1:8">
      <c r="A318" s="59" t="s">
        <v>2089</v>
      </c>
      <c r="B318" s="62">
        <v>6</v>
      </c>
      <c r="C318" s="60" t="s">
        <v>5049</v>
      </c>
      <c r="D318" s="64">
        <f>IFERROR(VLOOKUP(C318,測定点マスタ!$E$2:$F$28,2,FALSE)/VLOOKUP(A318,'焼鈍条件-3CGL'!$A$2:$B$197,2,FALSE)*60,"")</f>
        <v>1883.8709677419354</v>
      </c>
      <c r="E318" s="66">
        <v>599.70000000000005</v>
      </c>
      <c r="F318" s="64">
        <f t="shared" si="4"/>
        <v>-0.33086538461538462</v>
      </c>
      <c r="G318" s="60" t="s">
        <v>12</v>
      </c>
      <c r="H318" s="60" t="s">
        <v>5070</v>
      </c>
    </row>
    <row r="319" spans="1:8">
      <c r="A319" s="59" t="s">
        <v>2089</v>
      </c>
      <c r="B319" s="62">
        <v>7</v>
      </c>
      <c r="C319" s="60" t="s">
        <v>5050</v>
      </c>
      <c r="D319" s="64">
        <f>IFERROR(VLOOKUP(C319,測定点マスタ!$E$2:$F$28,2,FALSE)/VLOOKUP(A319,'焼鈍条件-3CGL'!$A$2:$B$197,2,FALSE)*60,"")</f>
        <v>2090.322580645161</v>
      </c>
      <c r="E319" s="66">
        <v>495.8</v>
      </c>
      <c r="F319" s="64">
        <f t="shared" si="4"/>
        <v>-0.5032656250000006</v>
      </c>
      <c r="G319" s="60" t="s">
        <v>12</v>
      </c>
      <c r="H319" s="60" t="s">
        <v>5070</v>
      </c>
    </row>
    <row r="320" spans="1:8">
      <c r="A320" s="59" t="s">
        <v>2089</v>
      </c>
      <c r="B320" s="62">
        <v>8</v>
      </c>
      <c r="C320" s="60" t="s">
        <v>5051</v>
      </c>
      <c r="D320" s="64">
        <f>IFERROR(VLOOKUP(C320,測定点マスタ!$E$2:$F$28,2,FALSE)/VLOOKUP(A320,'焼鈍条件-3CGL'!$A$2:$B$197,2,FALSE)*60,"")</f>
        <v>2270.9677419354834</v>
      </c>
      <c r="E320" s="66">
        <v>454.7</v>
      </c>
      <c r="F320" s="64">
        <f t="shared" si="4"/>
        <v>-0.22751785714285744</v>
      </c>
      <c r="G320" s="60" t="s">
        <v>12</v>
      </c>
      <c r="H320" s="60" t="s">
        <v>5070</v>
      </c>
    </row>
    <row r="321" spans="1:8">
      <c r="A321" s="59" t="s">
        <v>2089</v>
      </c>
      <c r="B321" s="62">
        <v>9</v>
      </c>
      <c r="C321" s="60" t="s">
        <v>5052</v>
      </c>
      <c r="D321" s="64">
        <f>IFERROR(VLOOKUP(C321,測定点マスタ!$E$2:$F$28,2,FALSE)/VLOOKUP(A321,'焼鈍条件-3CGL'!$A$2:$B$197,2,FALSE)*60,"")</f>
        <v>2503.2258064516127</v>
      </c>
      <c r="E321" s="66">
        <v>345.9</v>
      </c>
      <c r="F321" s="64">
        <f t="shared" si="4"/>
        <v>-0.46844444444444405</v>
      </c>
      <c r="G321" s="60" t="s">
        <v>12</v>
      </c>
      <c r="H321" s="60" t="s">
        <v>5070</v>
      </c>
    </row>
    <row r="322" spans="1:8">
      <c r="A322" s="59" t="s">
        <v>2089</v>
      </c>
      <c r="B322" s="62">
        <v>10</v>
      </c>
      <c r="C322" s="60" t="s">
        <v>5053</v>
      </c>
      <c r="D322" s="64">
        <f>IFERROR(VLOOKUP(C322,測定点マスタ!$E$2:$F$28,2,FALSE)/VLOOKUP(A322,'焼鈍条件-3CGL'!$A$2:$B$197,2,FALSE)*60,"")</f>
        <v>2812.9032258064512</v>
      </c>
      <c r="E322" s="66">
        <v>504</v>
      </c>
      <c r="F322" s="64">
        <f t="shared" ref="F322:F385" si="5">IF(A322=A321,IFERROR((E322-E321)/(D322-D321),""),"")</f>
        <v>0.51053125000000033</v>
      </c>
      <c r="G322" s="60" t="s">
        <v>12</v>
      </c>
      <c r="H322" s="60" t="s">
        <v>5070</v>
      </c>
    </row>
    <row r="323" spans="1:8">
      <c r="A323" s="59" t="s">
        <v>2089</v>
      </c>
      <c r="B323" s="62">
        <v>11</v>
      </c>
      <c r="C323" s="60" t="s">
        <v>5054</v>
      </c>
      <c r="D323" s="64">
        <f>IFERROR(VLOOKUP(C323,測定点マスタ!$E$2:$F$28,2,FALSE)/VLOOKUP(A323,'焼鈍条件-3CGL'!$A$2:$B$197,2,FALSE)*60,"")</f>
        <v>3148.3870967741932</v>
      </c>
      <c r="E323" s="66">
        <v>496.1</v>
      </c>
      <c r="F323" s="64">
        <f t="shared" si="5"/>
        <v>-2.3548076923076856E-2</v>
      </c>
      <c r="G323" s="60" t="s">
        <v>12</v>
      </c>
      <c r="H323" s="60" t="s">
        <v>5070</v>
      </c>
    </row>
    <row r="324" spans="1:8">
      <c r="A324" s="59" t="s">
        <v>2089</v>
      </c>
      <c r="B324" s="62">
        <v>12</v>
      </c>
      <c r="C324" s="60" t="s">
        <v>5056</v>
      </c>
      <c r="D324" s="64">
        <f>IFERROR(VLOOKUP(C324,測定点マスタ!$E$2:$F$28,2,FALSE)/VLOOKUP(A324,'焼鈍条件-3CGL'!$A$2:$B$197,2,FALSE)*60,"")</f>
        <v>3432.2580645161288</v>
      </c>
      <c r="E324" s="66">
        <v>254.9</v>
      </c>
      <c r="F324" s="64">
        <f t="shared" si="5"/>
        <v>-0.84968181818181787</v>
      </c>
      <c r="G324" s="60" t="s">
        <v>12</v>
      </c>
      <c r="H324" s="60" t="s">
        <v>5070</v>
      </c>
    </row>
    <row r="325" spans="1:8">
      <c r="A325" s="59" t="s">
        <v>2089</v>
      </c>
      <c r="B325" s="62">
        <v>13</v>
      </c>
      <c r="C325" s="60" t="s">
        <v>5062</v>
      </c>
      <c r="D325" s="64">
        <f>IFERROR(VLOOKUP(C325,測定点マスタ!$E$2:$F$28,2,FALSE)/VLOOKUP(A325,'焼鈍条件-3CGL'!$A$2:$B$197,2,FALSE)*60,"")</f>
        <v>3741.9354838709673</v>
      </c>
      <c r="E325" s="66">
        <v>453.5</v>
      </c>
      <c r="F325" s="64">
        <f t="shared" si="5"/>
        <v>0.64131250000000029</v>
      </c>
      <c r="G325" s="60" t="s">
        <v>12</v>
      </c>
      <c r="H325" s="60" t="s">
        <v>5070</v>
      </c>
    </row>
    <row r="326" spans="1:8">
      <c r="A326" s="59" t="s">
        <v>2089</v>
      </c>
      <c r="B326" s="62">
        <v>14</v>
      </c>
      <c r="C326" s="60" t="s">
        <v>5065</v>
      </c>
      <c r="D326" s="64">
        <f>IFERROR(VLOOKUP(C326,測定点マスタ!$E$2:$F$28,2,FALSE)/VLOOKUP(A326,'焼鈍条件-3CGL'!$A$2:$B$197,2,FALSE)*60,"")</f>
        <v>3788.0184331797154</v>
      </c>
      <c r="E326" s="66">
        <v>552.20000000000005</v>
      </c>
      <c r="F326" s="64">
        <f t="shared" si="5"/>
        <v>2.1417900000003578</v>
      </c>
      <c r="G326" s="60" t="s">
        <v>12</v>
      </c>
      <c r="H326" s="60" t="s">
        <v>5070</v>
      </c>
    </row>
    <row r="327" spans="1:8">
      <c r="A327" s="59" t="s">
        <v>2089</v>
      </c>
      <c r="B327" s="62">
        <v>15</v>
      </c>
      <c r="C327" s="60" t="s">
        <v>5066</v>
      </c>
      <c r="D327" s="64">
        <f>IFERROR(VLOOKUP(C327,測定点マスタ!$E$2:$F$28,2,FALSE)/VLOOKUP(A327,'焼鈍条件-3CGL'!$A$2:$B$197,2,FALSE)*60,"")</f>
        <v>3943.7788018433289</v>
      </c>
      <c r="E327" s="66">
        <v>529.4</v>
      </c>
      <c r="F327" s="64">
        <f t="shared" si="5"/>
        <v>-0.14637869822483465</v>
      </c>
      <c r="G327" s="60" t="s">
        <v>12</v>
      </c>
      <c r="H327" s="60" t="s">
        <v>5070</v>
      </c>
    </row>
    <row r="328" spans="1:8">
      <c r="A328" s="59" t="s">
        <v>2089</v>
      </c>
      <c r="B328" s="62">
        <v>16</v>
      </c>
      <c r="C328" s="60" t="s">
        <v>5068</v>
      </c>
      <c r="D328" s="64">
        <f>IFERROR(VLOOKUP(C328,測定点マスタ!$E$2:$F$28,2,FALSE)/VLOOKUP(A328,'焼鈍条件-3CGL'!$A$2:$B$197,2,FALSE)*60,"")</f>
        <v>4099.539170506916</v>
      </c>
      <c r="E328" s="66">
        <v>321.2</v>
      </c>
      <c r="F328" s="64">
        <f t="shared" si="5"/>
        <v>-1.3366686390533178</v>
      </c>
      <c r="G328" s="60" t="s">
        <v>12</v>
      </c>
      <c r="H328" s="60" t="s">
        <v>5070</v>
      </c>
    </row>
    <row r="329" spans="1:8">
      <c r="A329" s="59" t="s">
        <v>2089</v>
      </c>
      <c r="B329" s="62">
        <v>17</v>
      </c>
      <c r="C329" s="60" t="s">
        <v>5057</v>
      </c>
      <c r="D329" s="64">
        <f>IFERROR(VLOOKUP(C329,測定点マスタ!$E$2:$F$28,2,FALSE)/VLOOKUP(A329,'焼鈍条件-3CGL'!$A$2:$B$197,2,FALSE)*60,"")</f>
        <v>4255.2995391705026</v>
      </c>
      <c r="E329" s="66">
        <v>201.4</v>
      </c>
      <c r="F329" s="64">
        <f t="shared" si="5"/>
        <v>-0.76913017751483148</v>
      </c>
      <c r="G329" s="60" t="s">
        <v>12</v>
      </c>
      <c r="H329" s="60" t="s">
        <v>5070</v>
      </c>
    </row>
    <row r="330" spans="1:8">
      <c r="A330" s="59" t="s">
        <v>2089</v>
      </c>
      <c r="B330" s="62">
        <v>18</v>
      </c>
      <c r="C330" s="60" t="s">
        <v>5059</v>
      </c>
      <c r="D330" s="64">
        <f>IFERROR(VLOOKUP(C330,測定点マスタ!$E$2:$F$28,2,FALSE)/VLOOKUP(A330,'焼鈍条件-3CGL'!$A$2:$B$197,2,FALSE)*60,"")</f>
        <v>4566.8202764977032</v>
      </c>
      <c r="E330" s="66">
        <v>50.7</v>
      </c>
      <c r="F330" s="64">
        <f t="shared" si="5"/>
        <v>-0.48375591715974525</v>
      </c>
      <c r="G330" s="60" t="s">
        <v>12</v>
      </c>
      <c r="H330" s="60" t="s">
        <v>5070</v>
      </c>
    </row>
    <row r="331" spans="1:8">
      <c r="A331" s="59" t="s">
        <v>2100</v>
      </c>
      <c r="B331" s="62">
        <v>1</v>
      </c>
      <c r="C331" s="60" t="s">
        <v>5041</v>
      </c>
      <c r="D331" s="64">
        <f>IFERROR(VLOOKUP(C331,測定点マスタ!$E$2:$F$28,2,FALSE)/VLOOKUP(A331,'焼鈍条件-3CGL'!$A$2:$B$197,2,FALSE)*60,"")</f>
        <v>0</v>
      </c>
      <c r="E331" s="66">
        <v>30.6</v>
      </c>
      <c r="F331" s="64" t="str">
        <f t="shared" si="5"/>
        <v/>
      </c>
      <c r="G331" s="60" t="s">
        <v>12</v>
      </c>
      <c r="H331" s="60" t="s">
        <v>5064</v>
      </c>
    </row>
    <row r="332" spans="1:8">
      <c r="A332" s="59" t="s">
        <v>2100</v>
      </c>
      <c r="B332" s="62">
        <v>2</v>
      </c>
      <c r="C332" s="60" t="s">
        <v>5043</v>
      </c>
      <c r="D332" s="64">
        <f>IFERROR(VLOOKUP(C332,測定点マスタ!$E$2:$F$28,2,FALSE)/VLOOKUP(A332,'焼鈍条件-3CGL'!$A$2:$B$197,2,FALSE)*60,"")</f>
        <v>5.5572364480614507</v>
      </c>
      <c r="E332" s="66">
        <v>155.30000000000001</v>
      </c>
      <c r="F332" s="64">
        <f t="shared" si="5"/>
        <v>22.439210777777781</v>
      </c>
      <c r="G332" s="60" t="s">
        <v>12</v>
      </c>
      <c r="H332" s="60" t="s">
        <v>5064</v>
      </c>
    </row>
    <row r="333" spans="1:8">
      <c r="A333" s="59" t="s">
        <v>2100</v>
      </c>
      <c r="B333" s="62">
        <v>3</v>
      </c>
      <c r="C333" s="60" t="s">
        <v>5044</v>
      </c>
      <c r="D333" s="64">
        <f>IFERROR(VLOOKUP(C333,測定点マスタ!$E$2:$F$28,2,FALSE)/VLOOKUP(A333,'焼鈍条件-3CGL'!$A$2:$B$197,2,FALSE)*60,"")</f>
        <v>12.596402615605957</v>
      </c>
      <c r="E333" s="66">
        <v>590.20000000000005</v>
      </c>
      <c r="F333" s="64">
        <f t="shared" si="5"/>
        <v>61.782885877192967</v>
      </c>
      <c r="G333" s="60" t="s">
        <v>12</v>
      </c>
      <c r="H333" s="60" t="s">
        <v>5064</v>
      </c>
    </row>
    <row r="334" spans="1:8">
      <c r="A334" s="59" t="s">
        <v>2100</v>
      </c>
      <c r="B334" s="62">
        <v>4</v>
      </c>
      <c r="C334" s="60" t="s">
        <v>5045</v>
      </c>
      <c r="D334" s="64">
        <f>IFERROR(VLOOKUP(C334,測定点マスタ!$E$2:$F$28,2,FALSE)/VLOOKUP(A334,'焼鈍条件-3CGL'!$A$2:$B$197,2,FALSE)*60,"")</f>
        <v>16.301226914313588</v>
      </c>
      <c r="E334" s="66">
        <v>722.2</v>
      </c>
      <c r="F334" s="64">
        <f t="shared" si="5"/>
        <v>35.629220000000025</v>
      </c>
      <c r="G334" s="60" t="s">
        <v>12</v>
      </c>
      <c r="H334" s="60" t="s">
        <v>5064</v>
      </c>
    </row>
    <row r="335" spans="1:8">
      <c r="A335" s="59" t="s">
        <v>2100</v>
      </c>
      <c r="B335" s="62">
        <v>5</v>
      </c>
      <c r="C335" s="60" t="s">
        <v>5047</v>
      </c>
      <c r="D335" s="64">
        <f>IFERROR(VLOOKUP(C335,測定点マスタ!$E$2:$F$28,2,FALSE)/VLOOKUP(A335,'焼鈍条件-3CGL'!$A$2:$B$197,2,FALSE)*60,"")</f>
        <v>22.228945792245803</v>
      </c>
      <c r="E335" s="66">
        <v>672.7</v>
      </c>
      <c r="F335" s="64">
        <f t="shared" si="5"/>
        <v>-8.3505984374999986</v>
      </c>
      <c r="G335" s="60" t="s">
        <v>12</v>
      </c>
      <c r="H335" s="60" t="s">
        <v>5064</v>
      </c>
    </row>
    <row r="336" spans="1:8">
      <c r="A336" s="59" t="s">
        <v>2100</v>
      </c>
      <c r="B336" s="62">
        <v>6</v>
      </c>
      <c r="C336" s="60" t="s">
        <v>5049</v>
      </c>
      <c r="D336" s="64">
        <f>IFERROR(VLOOKUP(C336,測定点マスタ!$E$2:$F$28,2,FALSE)/VLOOKUP(A336,'焼鈍条件-3CGL'!$A$2:$B$197,2,FALSE)*60,"")</f>
        <v>27.045217380565727</v>
      </c>
      <c r="E336" s="66">
        <v>543.9</v>
      </c>
      <c r="F336" s="64">
        <f t="shared" si="5"/>
        <v>-26.742677948717958</v>
      </c>
      <c r="G336" s="60" t="s">
        <v>12</v>
      </c>
      <c r="H336" s="60" t="s">
        <v>5064</v>
      </c>
    </row>
    <row r="337" spans="1:8">
      <c r="A337" s="59" t="s">
        <v>2100</v>
      </c>
      <c r="B337" s="62">
        <v>7</v>
      </c>
      <c r="C337" s="60" t="s">
        <v>5050</v>
      </c>
      <c r="D337" s="64">
        <f>IFERROR(VLOOKUP(C337,測定点マスタ!$E$2:$F$28,2,FALSE)/VLOOKUP(A337,'焼鈍条件-3CGL'!$A$2:$B$197,2,FALSE)*60,"")</f>
        <v>30.009076819531835</v>
      </c>
      <c r="E337" s="66">
        <v>422.5</v>
      </c>
      <c r="F337" s="64">
        <f t="shared" si="5"/>
        <v>-40.96010708333332</v>
      </c>
      <c r="G337" s="60" t="s">
        <v>12</v>
      </c>
      <c r="H337" s="60" t="s">
        <v>5064</v>
      </c>
    </row>
    <row r="338" spans="1:8">
      <c r="A338" s="59" t="s">
        <v>2100</v>
      </c>
      <c r="B338" s="62">
        <v>8</v>
      </c>
      <c r="C338" s="60" t="s">
        <v>5051</v>
      </c>
      <c r="D338" s="64">
        <f>IFERROR(VLOOKUP(C338,測定点マスタ!$E$2:$F$28,2,FALSE)/VLOOKUP(A338,'焼鈍条件-3CGL'!$A$2:$B$197,2,FALSE)*60,"")</f>
        <v>32.602453828627176</v>
      </c>
      <c r="E338" s="66">
        <v>425.8</v>
      </c>
      <c r="F338" s="64">
        <f t="shared" si="5"/>
        <v>1.2724721428571482</v>
      </c>
      <c r="G338" s="60" t="s">
        <v>12</v>
      </c>
      <c r="H338" s="60" t="s">
        <v>5064</v>
      </c>
    </row>
    <row r="339" spans="1:8">
      <c r="A339" s="59" t="s">
        <v>2100</v>
      </c>
      <c r="B339" s="62">
        <v>9</v>
      </c>
      <c r="C339" s="60" t="s">
        <v>5052</v>
      </c>
      <c r="D339" s="64">
        <f>IFERROR(VLOOKUP(C339,測定点マスタ!$E$2:$F$28,2,FALSE)/VLOOKUP(A339,'焼鈍条件-3CGL'!$A$2:$B$197,2,FALSE)*60,"")</f>
        <v>35.936795697464049</v>
      </c>
      <c r="E339" s="66">
        <v>313.60000000000002</v>
      </c>
      <c r="F339" s="64">
        <f t="shared" si="5"/>
        <v>-33.649818888888859</v>
      </c>
      <c r="G339" s="60" t="s">
        <v>12</v>
      </c>
      <c r="H339" s="60" t="s">
        <v>5064</v>
      </c>
    </row>
    <row r="340" spans="1:8">
      <c r="A340" s="59" t="s">
        <v>2100</v>
      </c>
      <c r="B340" s="62">
        <v>10</v>
      </c>
      <c r="C340" s="60" t="s">
        <v>5053</v>
      </c>
      <c r="D340" s="64">
        <f>IFERROR(VLOOKUP(C340,測定点マスタ!$E$2:$F$28,2,FALSE)/VLOOKUP(A340,'焼鈍条件-3CGL'!$A$2:$B$197,2,FALSE)*60,"")</f>
        <v>40.382584855913208</v>
      </c>
      <c r="E340" s="66">
        <v>486.9</v>
      </c>
      <c r="F340" s="64">
        <f t="shared" si="5"/>
        <v>38.980705972222225</v>
      </c>
      <c r="G340" s="60" t="s">
        <v>12</v>
      </c>
      <c r="H340" s="60" t="s">
        <v>5064</v>
      </c>
    </row>
    <row r="341" spans="1:8">
      <c r="A341" s="59" t="s">
        <v>2100</v>
      </c>
      <c r="B341" s="62">
        <v>11</v>
      </c>
      <c r="C341" s="60" t="s">
        <v>5063</v>
      </c>
      <c r="D341" s="64">
        <f>IFERROR(VLOOKUP(C341,測定点マスタ!$E$2:$F$28,2,FALSE)/VLOOKUP(A341,'焼鈍条件-3CGL'!$A$2:$B$197,2,FALSE)*60,"")</f>
        <v>42.605479435137788</v>
      </c>
      <c r="E341" s="66">
        <v>487.6</v>
      </c>
      <c r="F341" s="64">
        <f t="shared" si="5"/>
        <v>0.31490472222224281</v>
      </c>
      <c r="G341" s="60" t="s">
        <v>12</v>
      </c>
      <c r="H341" s="60" t="s">
        <v>5064</v>
      </c>
    </row>
    <row r="342" spans="1:8">
      <c r="A342" s="59" t="s">
        <v>2100</v>
      </c>
      <c r="B342" s="62">
        <v>12</v>
      </c>
      <c r="C342" s="60" t="s">
        <v>5054</v>
      </c>
      <c r="D342" s="64">
        <f>IFERROR(VLOOKUP(C342,測定点マスタ!$E$2:$F$28,2,FALSE)/VLOOKUP(A342,'焼鈍条件-3CGL'!$A$2:$B$197,2,FALSE)*60,"")</f>
        <v>45.19885644423313</v>
      </c>
      <c r="E342" s="66">
        <v>474.6</v>
      </c>
      <c r="F342" s="64">
        <f t="shared" si="5"/>
        <v>-5.0127690476190514</v>
      </c>
      <c r="G342" s="60" t="s">
        <v>12</v>
      </c>
      <c r="H342" s="60" t="s">
        <v>5064</v>
      </c>
    </row>
    <row r="343" spans="1:8">
      <c r="A343" s="59" t="s">
        <v>2100</v>
      </c>
      <c r="B343" s="62">
        <v>13</v>
      </c>
      <c r="C343" s="60" t="s">
        <v>5055</v>
      </c>
      <c r="D343" s="64">
        <f>IFERROR(VLOOKUP(C343,測定点マスタ!$E$2:$F$28,2,FALSE)/VLOOKUP(A343,'焼鈍条件-3CGL'!$A$2:$B$197,2,FALSE)*60,"")</f>
        <v>47.051268593586954</v>
      </c>
      <c r="E343" s="66">
        <v>499.8</v>
      </c>
      <c r="F343" s="64">
        <f t="shared" si="5"/>
        <v>13.603883999999937</v>
      </c>
      <c r="G343" s="60" t="s">
        <v>12</v>
      </c>
      <c r="H343" s="60" t="s">
        <v>5064</v>
      </c>
    </row>
    <row r="344" spans="1:8">
      <c r="A344" s="59" t="s">
        <v>2100</v>
      </c>
      <c r="B344" s="62">
        <v>14</v>
      </c>
      <c r="C344" s="60" t="s">
        <v>5056</v>
      </c>
      <c r="D344" s="64">
        <f>IFERROR(VLOOKUP(C344,測定点マスタ!$E$2:$F$28,2,FALSE)/VLOOKUP(A344,'焼鈍条件-3CGL'!$A$2:$B$197,2,FALSE)*60,"")</f>
        <v>49.274163172811534</v>
      </c>
      <c r="E344" s="66">
        <v>226.1</v>
      </c>
      <c r="F344" s="64">
        <f t="shared" si="5"/>
        <v>-123.12774638888895</v>
      </c>
      <c r="G344" s="60" t="s">
        <v>12</v>
      </c>
      <c r="H344" s="60" t="s">
        <v>5064</v>
      </c>
    </row>
    <row r="345" spans="1:8">
      <c r="A345" s="59" t="s">
        <v>2100</v>
      </c>
      <c r="B345" s="62">
        <v>15</v>
      </c>
      <c r="C345" s="60" t="s">
        <v>5062</v>
      </c>
      <c r="D345" s="64">
        <f>IFERROR(VLOOKUP(C345,測定点マスタ!$E$2:$F$28,2,FALSE)/VLOOKUP(A345,'焼鈍条件-3CGL'!$A$2:$B$197,2,FALSE)*60,"")</f>
        <v>53.719952331260693</v>
      </c>
      <c r="E345" s="66">
        <v>461.4</v>
      </c>
      <c r="F345" s="64">
        <f t="shared" si="5"/>
        <v>52.92648652777779</v>
      </c>
      <c r="G345" s="60" t="s">
        <v>12</v>
      </c>
      <c r="H345" s="60" t="s">
        <v>5064</v>
      </c>
    </row>
    <row r="346" spans="1:8">
      <c r="A346" s="59" t="s">
        <v>2100</v>
      </c>
      <c r="B346" s="62">
        <v>16</v>
      </c>
      <c r="C346" s="60" t="s">
        <v>5065</v>
      </c>
      <c r="D346" s="64">
        <f>IFERROR(VLOOKUP(C346,測定点マスタ!$E$2:$F$28,2,FALSE)/VLOOKUP(A346,'焼鈍条件-3CGL'!$A$2:$B$197,2,FALSE)*60,"")</f>
        <v>54.381528098886946</v>
      </c>
      <c r="E346" s="66">
        <v>537.20000000000005</v>
      </c>
      <c r="F346" s="64">
        <f t="shared" si="5"/>
        <v>114.57493413335247</v>
      </c>
      <c r="G346" s="60" t="s">
        <v>12</v>
      </c>
      <c r="H346" s="60" t="s">
        <v>5064</v>
      </c>
    </row>
    <row r="347" spans="1:8">
      <c r="A347" s="59" t="s">
        <v>2100</v>
      </c>
      <c r="B347" s="62">
        <v>17</v>
      </c>
      <c r="C347" s="60" t="s">
        <v>5066</v>
      </c>
      <c r="D347" s="64">
        <f>IFERROR(VLOOKUP(C347,測定点マスタ!$E$2:$F$28,2,FALSE)/VLOOKUP(A347,'焼鈍条件-3CGL'!$A$2:$B$197,2,FALSE)*60,"")</f>
        <v>56.617654193464325</v>
      </c>
      <c r="E347" s="66">
        <v>525.29999999999995</v>
      </c>
      <c r="F347" s="64">
        <f t="shared" si="5"/>
        <v>-5.3217034713997879</v>
      </c>
      <c r="G347" s="60" t="s">
        <v>12</v>
      </c>
      <c r="H347" s="60" t="s">
        <v>5064</v>
      </c>
    </row>
    <row r="348" spans="1:8">
      <c r="A348" s="59" t="s">
        <v>2100</v>
      </c>
      <c r="B348" s="62">
        <v>18</v>
      </c>
      <c r="C348" s="60" t="s">
        <v>5057</v>
      </c>
      <c r="D348" s="64">
        <f>IFERROR(VLOOKUP(C348,測定点マスタ!$E$2:$F$28,2,FALSE)/VLOOKUP(A348,'焼鈍条件-3CGL'!$A$2:$B$197,2,FALSE)*60,"")</f>
        <v>61.089906382618324</v>
      </c>
      <c r="E348" s="66">
        <v>178.4</v>
      </c>
      <c r="F348" s="64">
        <f t="shared" si="5"/>
        <v>-77.567182110457409</v>
      </c>
      <c r="G348" s="60" t="s">
        <v>12</v>
      </c>
      <c r="H348" s="60" t="s">
        <v>5064</v>
      </c>
    </row>
    <row r="349" spans="1:8">
      <c r="A349" s="59" t="s">
        <v>2100</v>
      </c>
      <c r="B349" s="62">
        <v>19</v>
      </c>
      <c r="C349" s="60" t="s">
        <v>5058</v>
      </c>
      <c r="D349" s="64">
        <f>IFERROR(VLOOKUP(C349,測定点マスタ!$E$2:$F$28,2,FALSE)/VLOOKUP(A349,'焼鈍条件-3CGL'!$A$2:$B$197,2,FALSE)*60,"")</f>
        <v>63.326032477195326</v>
      </c>
      <c r="E349" s="66">
        <v>139.6</v>
      </c>
      <c r="F349" s="64">
        <f t="shared" si="5"/>
        <v>-17.351436528600424</v>
      </c>
      <c r="G349" s="60" t="s">
        <v>12</v>
      </c>
      <c r="H349" s="60" t="s">
        <v>5064</v>
      </c>
    </row>
    <row r="350" spans="1:8">
      <c r="A350" s="59" t="s">
        <v>2100</v>
      </c>
      <c r="B350" s="62">
        <v>20</v>
      </c>
      <c r="C350" s="60" t="s">
        <v>5059</v>
      </c>
      <c r="D350" s="64">
        <f>IFERROR(VLOOKUP(C350,測定点マスタ!$E$2:$F$28,2,FALSE)/VLOOKUP(A350,'焼鈍条件-3CGL'!$A$2:$B$197,2,FALSE)*60,"")</f>
        <v>65.562158571772699</v>
      </c>
      <c r="E350" s="66">
        <v>35.799999999999997</v>
      </c>
      <c r="F350" s="64">
        <f t="shared" si="5"/>
        <v>-46.419564733722318</v>
      </c>
      <c r="G350" s="60" t="s">
        <v>12</v>
      </c>
      <c r="H350" s="60" t="s">
        <v>5064</v>
      </c>
    </row>
    <row r="351" spans="1:8">
      <c r="A351" s="59" t="s">
        <v>2117</v>
      </c>
      <c r="B351" s="62">
        <v>1</v>
      </c>
      <c r="C351" s="60" t="s">
        <v>5041</v>
      </c>
      <c r="D351" s="64">
        <f>IFERROR(VLOOKUP(C351,測定点マスタ!$E$2:$F$28,2,FALSE)/VLOOKUP(A351,'焼鈍条件-3CGL'!$A$2:$B$197,2,FALSE)*60,"")</f>
        <v>0</v>
      </c>
      <c r="E351" s="66">
        <v>38.700000000000003</v>
      </c>
      <c r="F351" s="64" t="str">
        <f t="shared" si="5"/>
        <v/>
      </c>
      <c r="G351" s="60" t="s">
        <v>9</v>
      </c>
      <c r="H351" s="60" t="s">
        <v>5042</v>
      </c>
    </row>
    <row r="352" spans="1:8">
      <c r="A352" s="59" t="s">
        <v>2117</v>
      </c>
      <c r="B352" s="62">
        <v>2</v>
      </c>
      <c r="C352" s="60" t="s">
        <v>5043</v>
      </c>
      <c r="D352" s="64">
        <f>IFERROR(VLOOKUP(C352,測定点マスタ!$E$2:$F$28,2,FALSE)/VLOOKUP(A352,'焼鈍条件-3CGL'!$A$2:$B$197,2,FALSE)*60,"")</f>
        <v>6.1552771242545274</v>
      </c>
      <c r="E352" s="66">
        <v>171.5</v>
      </c>
      <c r="F352" s="64">
        <f t="shared" si="5"/>
        <v>21.574983111111113</v>
      </c>
      <c r="G352" s="60" t="s">
        <v>9</v>
      </c>
      <c r="H352" s="60" t="s">
        <v>5042</v>
      </c>
    </row>
    <row r="353" spans="1:8">
      <c r="A353" s="59" t="s">
        <v>2117</v>
      </c>
      <c r="B353" s="62">
        <v>3</v>
      </c>
      <c r="C353" s="60" t="s">
        <v>5044</v>
      </c>
      <c r="D353" s="64">
        <f>IFERROR(VLOOKUP(C353,測定点マスタ!$E$2:$F$28,2,FALSE)/VLOOKUP(A353,'焼鈍条件-3CGL'!$A$2:$B$197,2,FALSE)*60,"")</f>
        <v>13.951961481643595</v>
      </c>
      <c r="E353" s="66">
        <v>651.9</v>
      </c>
      <c r="F353" s="64">
        <f t="shared" si="5"/>
        <v>61.615935438596495</v>
      </c>
      <c r="G353" s="60" t="s">
        <v>9</v>
      </c>
      <c r="H353" s="60" t="s">
        <v>5042</v>
      </c>
    </row>
    <row r="354" spans="1:8">
      <c r="A354" s="59" t="s">
        <v>2117</v>
      </c>
      <c r="B354" s="62">
        <v>4</v>
      </c>
      <c r="C354" s="60" t="s">
        <v>5045</v>
      </c>
      <c r="D354" s="64">
        <f>IFERROR(VLOOKUP(C354,測定点マスタ!$E$2:$F$28,2,FALSE)/VLOOKUP(A354,'焼鈍条件-3CGL'!$A$2:$B$197,2,FALSE)*60,"")</f>
        <v>18.055479564479946</v>
      </c>
      <c r="E354" s="66">
        <v>794.8</v>
      </c>
      <c r="F354" s="64">
        <f t="shared" si="5"/>
        <v>34.823777333333339</v>
      </c>
      <c r="G354" s="60" t="s">
        <v>9</v>
      </c>
      <c r="H354" s="60" t="s">
        <v>5042</v>
      </c>
    </row>
    <row r="355" spans="1:8">
      <c r="A355" s="59" t="s">
        <v>2117</v>
      </c>
      <c r="B355" s="62">
        <v>5</v>
      </c>
      <c r="C355" s="60" t="s">
        <v>5046</v>
      </c>
      <c r="D355" s="64">
        <f>IFERROR(VLOOKUP(C355,測定点マスタ!$E$2:$F$28,2,FALSE)/VLOOKUP(A355,'焼鈍条件-3CGL'!$A$2:$B$197,2,FALSE)*60,"")</f>
        <v>22.158997647316298</v>
      </c>
      <c r="E355" s="66">
        <v>764.6</v>
      </c>
      <c r="F355" s="64">
        <f t="shared" si="5"/>
        <v>-7.3595386666666487</v>
      </c>
      <c r="G355" s="60" t="s">
        <v>9</v>
      </c>
      <c r="H355" s="60" t="s">
        <v>5042</v>
      </c>
    </row>
    <row r="356" spans="1:8">
      <c r="A356" s="59" t="s">
        <v>2117</v>
      </c>
      <c r="B356" s="62">
        <v>6</v>
      </c>
      <c r="C356" s="60" t="s">
        <v>5047</v>
      </c>
      <c r="D356" s="64">
        <f>IFERROR(VLOOKUP(C356,測定点マスタ!$E$2:$F$28,2,FALSE)/VLOOKUP(A356,'焼鈍条件-3CGL'!$A$2:$B$197,2,FALSE)*60,"")</f>
        <v>24.62110849701811</v>
      </c>
      <c r="E356" s="66">
        <v>741.1</v>
      </c>
      <c r="F356" s="64">
        <f t="shared" si="5"/>
        <v>-9.5446555555555523</v>
      </c>
      <c r="G356" s="60" t="s">
        <v>9</v>
      </c>
      <c r="H356" s="60" t="s">
        <v>5042</v>
      </c>
    </row>
    <row r="357" spans="1:8">
      <c r="A357" s="59" t="s">
        <v>2117</v>
      </c>
      <c r="B357" s="62">
        <v>7</v>
      </c>
      <c r="C357" s="60" t="s">
        <v>5048</v>
      </c>
      <c r="D357" s="64">
        <f>IFERROR(VLOOKUP(C357,測定点マスタ!$E$2:$F$28,2,FALSE)/VLOOKUP(A357,'焼鈍条件-3CGL'!$A$2:$B$197,2,FALSE)*60,"")</f>
        <v>27.083219346719918</v>
      </c>
      <c r="E357" s="66">
        <v>691.7</v>
      </c>
      <c r="F357" s="64">
        <f t="shared" si="5"/>
        <v>-20.064084444444457</v>
      </c>
      <c r="G357" s="60" t="s">
        <v>9</v>
      </c>
      <c r="H357" s="60" t="s">
        <v>5042</v>
      </c>
    </row>
    <row r="358" spans="1:8">
      <c r="A358" s="59" t="s">
        <v>2117</v>
      </c>
      <c r="B358" s="62">
        <v>8</v>
      </c>
      <c r="C358" s="60" t="s">
        <v>5049</v>
      </c>
      <c r="D358" s="64">
        <f>IFERROR(VLOOKUP(C358,測定点マスタ!$E$2:$F$28,2,FALSE)/VLOOKUP(A358,'焼鈍条件-3CGL'!$A$2:$B$197,2,FALSE)*60,"")</f>
        <v>29.955682004705366</v>
      </c>
      <c r="E358" s="66">
        <v>574.5</v>
      </c>
      <c r="F358" s="64">
        <f t="shared" si="5"/>
        <v>-40.801226666666658</v>
      </c>
      <c r="G358" s="60" t="s">
        <v>9</v>
      </c>
      <c r="H358" s="60" t="s">
        <v>5042</v>
      </c>
    </row>
    <row r="359" spans="1:8">
      <c r="A359" s="59" t="s">
        <v>2117</v>
      </c>
      <c r="B359" s="62">
        <v>9</v>
      </c>
      <c r="C359" s="60" t="s">
        <v>5050</v>
      </c>
      <c r="D359" s="64">
        <f>IFERROR(VLOOKUP(C359,測定点マスタ!$E$2:$F$28,2,FALSE)/VLOOKUP(A359,'焼鈍条件-3CGL'!$A$2:$B$197,2,FALSE)*60,"")</f>
        <v>33.238496470974447</v>
      </c>
      <c r="E359" s="66">
        <v>470.9</v>
      </c>
      <c r="F359" s="64">
        <f t="shared" si="5"/>
        <v>-31.558286666666682</v>
      </c>
      <c r="G359" s="60" t="s">
        <v>9</v>
      </c>
      <c r="H359" s="60" t="s">
        <v>5042</v>
      </c>
    </row>
    <row r="360" spans="1:8">
      <c r="A360" s="59" t="s">
        <v>2117</v>
      </c>
      <c r="B360" s="62">
        <v>10</v>
      </c>
      <c r="C360" s="60" t="s">
        <v>5051</v>
      </c>
      <c r="D360" s="64">
        <f>IFERROR(VLOOKUP(C360,測定点マスタ!$E$2:$F$28,2,FALSE)/VLOOKUP(A360,'焼鈍条件-3CGL'!$A$2:$B$197,2,FALSE)*60,"")</f>
        <v>36.110959128959891</v>
      </c>
      <c r="E360" s="66">
        <v>450.3</v>
      </c>
      <c r="F360" s="64">
        <f t="shared" si="5"/>
        <v>-7.171546666666659</v>
      </c>
      <c r="G360" s="60" t="s">
        <v>9</v>
      </c>
      <c r="H360" s="60" t="s">
        <v>5042</v>
      </c>
    </row>
    <row r="361" spans="1:8">
      <c r="A361" s="59" t="s">
        <v>2117</v>
      </c>
      <c r="B361" s="62">
        <v>11</v>
      </c>
      <c r="C361" s="60" t="s">
        <v>5060</v>
      </c>
      <c r="D361" s="64">
        <f>IFERROR(VLOOKUP(C361,測定点マスタ!$E$2:$F$28,2,FALSE)/VLOOKUP(A361,'焼鈍条件-3CGL'!$A$2:$B$197,2,FALSE)*60,"")</f>
        <v>37.752366362094435</v>
      </c>
      <c r="E361" s="66">
        <v>403.9</v>
      </c>
      <c r="F361" s="64">
        <f t="shared" si="5"/>
        <v>-28.268426666666635</v>
      </c>
      <c r="G361" s="60" t="s">
        <v>9</v>
      </c>
      <c r="H361" s="60" t="s">
        <v>5042</v>
      </c>
    </row>
    <row r="362" spans="1:8">
      <c r="A362" s="59" t="s">
        <v>2117</v>
      </c>
      <c r="B362" s="62">
        <v>12</v>
      </c>
      <c r="C362" s="60" t="s">
        <v>5052</v>
      </c>
      <c r="D362" s="64">
        <f>IFERROR(VLOOKUP(C362,測定点マスタ!$E$2:$F$28,2,FALSE)/VLOOKUP(A362,'焼鈍条件-3CGL'!$A$2:$B$197,2,FALSE)*60,"")</f>
        <v>39.804125403512607</v>
      </c>
      <c r="E362" s="66">
        <v>327.9</v>
      </c>
      <c r="F362" s="64">
        <f t="shared" si="5"/>
        <v>-37.041386666666725</v>
      </c>
      <c r="G362" s="60" t="s">
        <v>9</v>
      </c>
      <c r="H362" s="60" t="s">
        <v>5042</v>
      </c>
    </row>
    <row r="363" spans="1:8">
      <c r="A363" s="59" t="s">
        <v>2117</v>
      </c>
      <c r="B363" s="62">
        <v>13</v>
      </c>
      <c r="C363" s="60" t="s">
        <v>5053</v>
      </c>
      <c r="D363" s="64">
        <f>IFERROR(VLOOKUP(C363,測定点マスタ!$E$2:$F$28,2,FALSE)/VLOOKUP(A363,'焼鈍条件-3CGL'!$A$2:$B$197,2,FALSE)*60,"")</f>
        <v>44.728347102916231</v>
      </c>
      <c r="E363" s="66">
        <v>523</v>
      </c>
      <c r="F363" s="64">
        <f t="shared" si="5"/>
        <v>39.620474444444433</v>
      </c>
      <c r="G363" s="60" t="s">
        <v>9</v>
      </c>
      <c r="H363" s="60" t="s">
        <v>5042</v>
      </c>
    </row>
    <row r="364" spans="1:8">
      <c r="A364" s="59" t="s">
        <v>2117</v>
      </c>
      <c r="B364" s="62">
        <v>14</v>
      </c>
      <c r="C364" s="60" t="s">
        <v>5063</v>
      </c>
      <c r="D364" s="64">
        <f>IFERROR(VLOOKUP(C364,測定点マスタ!$E$2:$F$28,2,FALSE)/VLOOKUP(A364,'焼鈍条件-3CGL'!$A$2:$B$197,2,FALSE)*60,"")</f>
        <v>47.19045795261804</v>
      </c>
      <c r="E364" s="66">
        <v>524</v>
      </c>
      <c r="F364" s="64">
        <f t="shared" si="5"/>
        <v>0.40615555555555599</v>
      </c>
      <c r="G364" s="60" t="s">
        <v>9</v>
      </c>
      <c r="H364" s="60" t="s">
        <v>5042</v>
      </c>
    </row>
    <row r="365" spans="1:8">
      <c r="A365" s="59" t="s">
        <v>2117</v>
      </c>
      <c r="B365" s="62">
        <v>15</v>
      </c>
      <c r="C365" s="60" t="s">
        <v>5054</v>
      </c>
      <c r="D365" s="64">
        <f>IFERROR(VLOOKUP(C365,測定点マスタ!$E$2:$F$28,2,FALSE)/VLOOKUP(A365,'焼鈍条件-3CGL'!$A$2:$B$197,2,FALSE)*60,"")</f>
        <v>50.062920610603484</v>
      </c>
      <c r="E365" s="66">
        <v>515.29999999999995</v>
      </c>
      <c r="F365" s="64">
        <f t="shared" si="5"/>
        <v>-3.0287600000000179</v>
      </c>
      <c r="G365" s="60" t="s">
        <v>9</v>
      </c>
      <c r="H365" s="60" t="s">
        <v>5042</v>
      </c>
    </row>
    <row r="366" spans="1:8">
      <c r="A366" s="59" t="s">
        <v>2117</v>
      </c>
      <c r="B366" s="62">
        <v>16</v>
      </c>
      <c r="C366" s="60" t="s">
        <v>5055</v>
      </c>
      <c r="D366" s="64">
        <f>IFERROR(VLOOKUP(C366,測定点マスタ!$E$2:$F$28,2,FALSE)/VLOOKUP(A366,'焼鈍条件-3CGL'!$A$2:$B$197,2,FALSE)*60,"")</f>
        <v>52.114679652021664</v>
      </c>
      <c r="E366" s="66">
        <v>543.4</v>
      </c>
      <c r="F366" s="64">
        <f t="shared" si="5"/>
        <v>13.695565333333318</v>
      </c>
      <c r="G366" s="60" t="s">
        <v>9</v>
      </c>
      <c r="H366" s="60" t="s">
        <v>5042</v>
      </c>
    </row>
    <row r="367" spans="1:8">
      <c r="A367" s="59" t="s">
        <v>2117</v>
      </c>
      <c r="B367" s="62">
        <v>17</v>
      </c>
      <c r="C367" s="60" t="s">
        <v>5056</v>
      </c>
      <c r="D367" s="64">
        <f>IFERROR(VLOOKUP(C367,測定点マスタ!$E$2:$F$28,2,FALSE)/VLOOKUP(A367,'焼鈍条件-3CGL'!$A$2:$B$197,2,FALSE)*60,"")</f>
        <v>54.57679050172348</v>
      </c>
      <c r="E367" s="66">
        <v>272.10000000000002</v>
      </c>
      <c r="F367" s="64">
        <f t="shared" si="5"/>
        <v>-110.19000222222201</v>
      </c>
      <c r="G367" s="60" t="s">
        <v>9</v>
      </c>
      <c r="H367" s="60" t="s">
        <v>5042</v>
      </c>
    </row>
    <row r="368" spans="1:8">
      <c r="A368" s="59" t="s">
        <v>2117</v>
      </c>
      <c r="B368" s="62">
        <v>18</v>
      </c>
      <c r="C368" s="60" t="s">
        <v>5068</v>
      </c>
      <c r="D368" s="64">
        <f>IFERROR(VLOOKUP(C368,測定点マスタ!$E$2:$F$28,2,FALSE)/VLOOKUP(A368,'焼鈍条件-3CGL'!$A$2:$B$197,2,FALSE)*60,"")</f>
        <v>65.18731583020039</v>
      </c>
      <c r="E368" s="66">
        <v>381.1</v>
      </c>
      <c r="F368" s="64">
        <f t="shared" si="5"/>
        <v>10.272818416206205</v>
      </c>
      <c r="G368" s="60" t="s">
        <v>9</v>
      </c>
      <c r="H368" s="60" t="s">
        <v>5042</v>
      </c>
    </row>
    <row r="369" spans="1:8">
      <c r="A369" s="59" t="s">
        <v>2117</v>
      </c>
      <c r="B369" s="62">
        <v>19</v>
      </c>
      <c r="C369" s="60" t="s">
        <v>5057</v>
      </c>
      <c r="D369" s="64">
        <f>IFERROR(VLOOKUP(C369,測定点マスタ!$E$2:$F$28,2,FALSE)/VLOOKUP(A369,'焼鈍条件-3CGL'!$A$2:$B$197,2,FALSE)*60,"")</f>
        <v>67.664082101626491</v>
      </c>
      <c r="E369" s="66">
        <v>189.3</v>
      </c>
      <c r="F369" s="64">
        <f t="shared" si="5"/>
        <v>-77.43968504931361</v>
      </c>
      <c r="G369" s="60" t="s">
        <v>9</v>
      </c>
      <c r="H369" s="60" t="s">
        <v>5042</v>
      </c>
    </row>
    <row r="370" spans="1:8">
      <c r="A370" s="59" t="s">
        <v>2117</v>
      </c>
      <c r="B370" s="62">
        <v>20</v>
      </c>
      <c r="C370" s="60" t="s">
        <v>5059</v>
      </c>
      <c r="D370" s="64">
        <f>IFERROR(VLOOKUP(C370,測定点マスタ!$E$2:$F$28,2,FALSE)/VLOOKUP(A370,'焼鈍条件-3CGL'!$A$2:$B$197,2,FALSE)*60,"")</f>
        <v>72.617614644479133</v>
      </c>
      <c r="E370" s="66">
        <v>74.099999999999994</v>
      </c>
      <c r="F370" s="64">
        <f t="shared" si="5"/>
        <v>-23.256130650886689</v>
      </c>
      <c r="G370" s="60" t="s">
        <v>9</v>
      </c>
      <c r="H370" s="60" t="s">
        <v>5042</v>
      </c>
    </row>
    <row r="371" spans="1:8">
      <c r="A371" s="59" t="s">
        <v>2129</v>
      </c>
      <c r="B371" s="62">
        <v>1</v>
      </c>
      <c r="C371" s="60" t="s">
        <v>5041</v>
      </c>
      <c r="D371" s="64">
        <f>IFERROR(VLOOKUP(C371,測定点マスタ!$E$2:$F$28,2,FALSE)/VLOOKUP(A371,'焼鈍条件-3CGL'!$A$2:$B$197,2,FALSE)*60,"")</f>
        <v>0</v>
      </c>
      <c r="E371" s="66">
        <v>33</v>
      </c>
      <c r="F371" s="64" t="str">
        <f t="shared" si="5"/>
        <v/>
      </c>
      <c r="G371" s="60" t="s">
        <v>9</v>
      </c>
      <c r="H371" s="60" t="s">
        <v>5061</v>
      </c>
    </row>
    <row r="372" spans="1:8">
      <c r="A372" s="59" t="s">
        <v>2129</v>
      </c>
      <c r="B372" s="62">
        <v>2</v>
      </c>
      <c r="C372" s="60" t="s">
        <v>5043</v>
      </c>
      <c r="D372" s="64">
        <f>IFERROR(VLOOKUP(C372,測定点マスタ!$E$2:$F$28,2,FALSE)/VLOOKUP(A372,'焼鈍条件-3CGL'!$A$2:$B$197,2,FALSE)*60,"")</f>
        <v>8.5627842368656406</v>
      </c>
      <c r="E372" s="66">
        <v>179.4</v>
      </c>
      <c r="F372" s="64">
        <f t="shared" si="5"/>
        <v>17.097242666666666</v>
      </c>
      <c r="G372" s="60" t="s">
        <v>9</v>
      </c>
      <c r="H372" s="60" t="s">
        <v>5061</v>
      </c>
    </row>
    <row r="373" spans="1:8">
      <c r="A373" s="59" t="s">
        <v>2129</v>
      </c>
      <c r="B373" s="62">
        <v>3</v>
      </c>
      <c r="C373" s="60" t="s">
        <v>5067</v>
      </c>
      <c r="D373" s="64">
        <f>IFERROR(VLOOKUP(C373,測定点マスタ!$E$2:$F$28,2,FALSE)/VLOOKUP(A373,'焼鈍条件-3CGL'!$A$2:$B$197,2,FALSE)*60,"")</f>
        <v>14.271307061442734</v>
      </c>
      <c r="E373" s="66">
        <v>339</v>
      </c>
      <c r="F373" s="64">
        <f t="shared" si="5"/>
        <v>27.958196000000001</v>
      </c>
      <c r="G373" s="60" t="s">
        <v>9</v>
      </c>
      <c r="H373" s="60" t="s">
        <v>5061</v>
      </c>
    </row>
    <row r="374" spans="1:8">
      <c r="A374" s="59" t="s">
        <v>2129</v>
      </c>
      <c r="B374" s="62">
        <v>4</v>
      </c>
      <c r="C374" s="60" t="s">
        <v>5044</v>
      </c>
      <c r="D374" s="64">
        <f>IFERROR(VLOOKUP(C374,測定点マスタ!$E$2:$F$28,2,FALSE)/VLOOKUP(A374,'焼鈍条件-3CGL'!$A$2:$B$197,2,FALSE)*60,"")</f>
        <v>19.408977603562121</v>
      </c>
      <c r="E374" s="66">
        <v>658.9</v>
      </c>
      <c r="F374" s="64">
        <f t="shared" si="5"/>
        <v>62.265572962962921</v>
      </c>
      <c r="G374" s="60" t="s">
        <v>9</v>
      </c>
      <c r="H374" s="60" t="s">
        <v>5061</v>
      </c>
    </row>
    <row r="375" spans="1:8">
      <c r="A375" s="59" t="s">
        <v>2129</v>
      </c>
      <c r="B375" s="62">
        <v>5</v>
      </c>
      <c r="C375" s="60" t="s">
        <v>5045</v>
      </c>
      <c r="D375" s="64">
        <f>IFERROR(VLOOKUP(C375,測定点マスタ!$E$2:$F$28,2,FALSE)/VLOOKUP(A375,'焼鈍条件-3CGL'!$A$2:$B$197,2,FALSE)*60,"")</f>
        <v>25.117500428139213</v>
      </c>
      <c r="E375" s="66">
        <v>786.4</v>
      </c>
      <c r="F375" s="64">
        <f t="shared" si="5"/>
        <v>22.335025000000009</v>
      </c>
      <c r="G375" s="60" t="s">
        <v>9</v>
      </c>
      <c r="H375" s="60" t="s">
        <v>5061</v>
      </c>
    </row>
    <row r="376" spans="1:8">
      <c r="A376" s="59" t="s">
        <v>2129</v>
      </c>
      <c r="B376" s="62">
        <v>6</v>
      </c>
      <c r="C376" s="60" t="s">
        <v>5047</v>
      </c>
      <c r="D376" s="64">
        <f>IFERROR(VLOOKUP(C376,測定点マスタ!$E$2:$F$28,2,FALSE)/VLOOKUP(A376,'焼鈍条件-3CGL'!$A$2:$B$197,2,FALSE)*60,"")</f>
        <v>34.251136947462562</v>
      </c>
      <c r="E376" s="66">
        <v>705.7</v>
      </c>
      <c r="F376" s="64">
        <f t="shared" si="5"/>
        <v>-8.8354731249999929</v>
      </c>
      <c r="G376" s="60" t="s">
        <v>9</v>
      </c>
      <c r="H376" s="60" t="s">
        <v>5061</v>
      </c>
    </row>
    <row r="377" spans="1:8">
      <c r="A377" s="59" t="s">
        <v>2129</v>
      </c>
      <c r="B377" s="62">
        <v>7</v>
      </c>
      <c r="C377" s="60" t="s">
        <v>5049</v>
      </c>
      <c r="D377" s="64">
        <f>IFERROR(VLOOKUP(C377,測定点マスタ!$E$2:$F$28,2,FALSE)/VLOOKUP(A377,'焼鈍条件-3CGL'!$A$2:$B$197,2,FALSE)*60,"")</f>
        <v>41.672216619412787</v>
      </c>
      <c r="E377" s="66">
        <v>574</v>
      </c>
      <c r="F377" s="64">
        <f t="shared" si="5"/>
        <v>-17.746743846153848</v>
      </c>
      <c r="G377" s="60" t="s">
        <v>9</v>
      </c>
      <c r="H377" s="60" t="s">
        <v>5061</v>
      </c>
    </row>
    <row r="378" spans="1:8">
      <c r="A378" s="59" t="s">
        <v>2129</v>
      </c>
      <c r="B378" s="62">
        <v>8</v>
      </c>
      <c r="C378" s="60" t="s">
        <v>5050</v>
      </c>
      <c r="D378" s="64">
        <f>IFERROR(VLOOKUP(C378,測定点マスタ!$E$2:$F$28,2,FALSE)/VLOOKUP(A378,'焼鈍条件-3CGL'!$A$2:$B$197,2,FALSE)*60,"")</f>
        <v>46.23903487907446</v>
      </c>
      <c r="E378" s="66">
        <v>459.7</v>
      </c>
      <c r="F378" s="64">
        <f t="shared" si="5"/>
        <v>-25.028366250000012</v>
      </c>
      <c r="G378" s="60" t="s">
        <v>9</v>
      </c>
      <c r="H378" s="60" t="s">
        <v>5061</v>
      </c>
    </row>
    <row r="379" spans="1:8">
      <c r="A379" s="59" t="s">
        <v>2129</v>
      </c>
      <c r="B379" s="62">
        <v>9</v>
      </c>
      <c r="C379" s="60" t="s">
        <v>5051</v>
      </c>
      <c r="D379" s="64">
        <f>IFERROR(VLOOKUP(C379,測定点マスタ!$E$2:$F$28,2,FALSE)/VLOOKUP(A379,'焼鈍条件-3CGL'!$A$2:$B$197,2,FALSE)*60,"")</f>
        <v>50.235000856278425</v>
      </c>
      <c r="E379" s="66">
        <v>431.8</v>
      </c>
      <c r="F379" s="64">
        <f t="shared" si="5"/>
        <v>-6.9820414285714225</v>
      </c>
      <c r="G379" s="60" t="s">
        <v>9</v>
      </c>
      <c r="H379" s="60" t="s">
        <v>5061</v>
      </c>
    </row>
    <row r="380" spans="1:8">
      <c r="A380" s="59" t="s">
        <v>2129</v>
      </c>
      <c r="B380" s="62">
        <v>10</v>
      </c>
      <c r="C380" s="60" t="s">
        <v>5052</v>
      </c>
      <c r="D380" s="64">
        <f>IFERROR(VLOOKUP(C380,測定点マスタ!$E$2:$F$28,2,FALSE)/VLOOKUP(A380,'焼鈍条件-3CGL'!$A$2:$B$197,2,FALSE)*60,"")</f>
        <v>55.372671398397806</v>
      </c>
      <c r="E380" s="66">
        <v>336.9</v>
      </c>
      <c r="F380" s="64">
        <f t="shared" si="5"/>
        <v>-18.471406296296315</v>
      </c>
      <c r="G380" s="60" t="s">
        <v>9</v>
      </c>
      <c r="H380" s="60" t="s">
        <v>5061</v>
      </c>
    </row>
    <row r="381" spans="1:8">
      <c r="A381" s="59" t="s">
        <v>2129</v>
      </c>
      <c r="B381" s="62">
        <v>11</v>
      </c>
      <c r="C381" s="60" t="s">
        <v>5053</v>
      </c>
      <c r="D381" s="64">
        <f>IFERROR(VLOOKUP(C381,測定点マスタ!$E$2:$F$28,2,FALSE)/VLOOKUP(A381,'焼鈍条件-3CGL'!$A$2:$B$197,2,FALSE)*60,"")</f>
        <v>62.222898787890323</v>
      </c>
      <c r="E381" s="66">
        <v>520</v>
      </c>
      <c r="F381" s="64">
        <f t="shared" si="5"/>
        <v>26.729039722222208</v>
      </c>
      <c r="G381" s="60" t="s">
        <v>9</v>
      </c>
      <c r="H381" s="60" t="s">
        <v>5061</v>
      </c>
    </row>
    <row r="382" spans="1:8">
      <c r="A382" s="59" t="s">
        <v>2129</v>
      </c>
      <c r="B382" s="62">
        <v>12</v>
      </c>
      <c r="C382" s="60" t="s">
        <v>5063</v>
      </c>
      <c r="D382" s="64">
        <f>IFERROR(VLOOKUP(C382,測定点マスタ!$E$2:$F$28,2,FALSE)/VLOOKUP(A382,'焼鈍条件-3CGL'!$A$2:$B$197,2,FALSE)*60,"")</f>
        <v>65.648012482636588</v>
      </c>
      <c r="E382" s="66">
        <v>527.6</v>
      </c>
      <c r="F382" s="64">
        <f t="shared" si="5"/>
        <v>2.218904444444445</v>
      </c>
      <c r="G382" s="60" t="s">
        <v>9</v>
      </c>
      <c r="H382" s="60" t="s">
        <v>5061</v>
      </c>
    </row>
    <row r="383" spans="1:8">
      <c r="A383" s="59" t="s">
        <v>2129</v>
      </c>
      <c r="B383" s="62">
        <v>13</v>
      </c>
      <c r="C383" s="60" t="s">
        <v>5054</v>
      </c>
      <c r="D383" s="64">
        <f>IFERROR(VLOOKUP(C383,測定点マスタ!$E$2:$F$28,2,FALSE)/VLOOKUP(A383,'焼鈍条件-3CGL'!$A$2:$B$197,2,FALSE)*60,"")</f>
        <v>69.643978459840554</v>
      </c>
      <c r="E383" s="66">
        <v>519.5</v>
      </c>
      <c r="F383" s="64">
        <f t="shared" si="5"/>
        <v>-2.0270442857142914</v>
      </c>
      <c r="G383" s="60" t="s">
        <v>9</v>
      </c>
      <c r="H383" s="60" t="s">
        <v>5061</v>
      </c>
    </row>
    <row r="384" spans="1:8">
      <c r="A384" s="59" t="s">
        <v>2129</v>
      </c>
      <c r="B384" s="62">
        <v>14</v>
      </c>
      <c r="C384" s="60" t="s">
        <v>5056</v>
      </c>
      <c r="D384" s="64">
        <f>IFERROR(VLOOKUP(C384,測定点マスタ!$E$2:$F$28,2,FALSE)/VLOOKUP(A384,'焼鈍条件-3CGL'!$A$2:$B$197,2,FALSE)*60,"")</f>
        <v>75.923353566875349</v>
      </c>
      <c r="E384" s="66">
        <v>268.60000000000002</v>
      </c>
      <c r="F384" s="64">
        <f t="shared" si="5"/>
        <v>-39.956205151515199</v>
      </c>
      <c r="G384" s="60" t="s">
        <v>9</v>
      </c>
      <c r="H384" s="60" t="s">
        <v>5061</v>
      </c>
    </row>
    <row r="385" spans="1:8">
      <c r="A385" s="59" t="s">
        <v>2129</v>
      </c>
      <c r="B385" s="62">
        <v>15</v>
      </c>
      <c r="C385" s="60" t="s">
        <v>5062</v>
      </c>
      <c r="D385" s="64">
        <f>IFERROR(VLOOKUP(C385,測定点マスタ!$E$2:$F$28,2,FALSE)/VLOOKUP(A385,'焼鈍条件-3CGL'!$A$2:$B$197,2,FALSE)*60,"")</f>
        <v>82.773580956367852</v>
      </c>
      <c r="E385" s="66">
        <v>459.8</v>
      </c>
      <c r="F385" s="64">
        <f t="shared" si="5"/>
        <v>27.911482222222261</v>
      </c>
      <c r="G385" s="60" t="s">
        <v>9</v>
      </c>
      <c r="H385" s="60" t="s">
        <v>5061</v>
      </c>
    </row>
    <row r="386" spans="1:8">
      <c r="A386" s="59" t="s">
        <v>2129</v>
      </c>
      <c r="B386" s="62">
        <v>16</v>
      </c>
      <c r="C386" s="60" t="s">
        <v>5057</v>
      </c>
      <c r="D386" s="64">
        <f>IFERROR(VLOOKUP(C386,測定点マスタ!$E$2:$F$28,2,FALSE)/VLOOKUP(A386,'焼鈍条件-3CGL'!$A$2:$B$197,2,FALSE)*60,"")</f>
        <v>94.129463860972933</v>
      </c>
      <c r="E386" s="66">
        <v>274.10000000000002</v>
      </c>
      <c r="F386" s="64">
        <f t="shared" ref="F386:F449" si="6">IF(A386=A385,IFERROR((E386-E385)/(D386-D385),""),"")</f>
        <v>-16.352757558348387</v>
      </c>
      <c r="G386" s="60" t="s">
        <v>9</v>
      </c>
      <c r="H386" s="60" t="s">
        <v>5061</v>
      </c>
    </row>
    <row r="387" spans="1:8">
      <c r="A387" s="59" t="s">
        <v>2129</v>
      </c>
      <c r="B387" s="62">
        <v>17</v>
      </c>
      <c r="C387" s="60" t="s">
        <v>5059</v>
      </c>
      <c r="D387" s="64">
        <f>IFERROR(VLOOKUP(C387,測定点マスタ!$E$2:$F$28,2,FALSE)/VLOOKUP(A387,'焼鈍条件-3CGL'!$A$2:$B$197,2,FALSE)*60,"")</f>
        <v>101.02046641349838</v>
      </c>
      <c r="E387" s="66">
        <v>59.6</v>
      </c>
      <c r="F387" s="64">
        <f t="shared" si="6"/>
        <v>-31.127546153845056</v>
      </c>
      <c r="G387" s="60" t="s">
        <v>9</v>
      </c>
      <c r="H387" s="60" t="s">
        <v>5061</v>
      </c>
    </row>
    <row r="388" spans="1:8">
      <c r="A388" s="59" t="s">
        <v>2144</v>
      </c>
      <c r="B388" s="62">
        <v>1</v>
      </c>
      <c r="C388" s="60" t="s">
        <v>5041</v>
      </c>
      <c r="D388" s="64">
        <f>IFERROR(VLOOKUP(C388,測定点マスタ!$E$2:$F$28,2,FALSE)/VLOOKUP(A388,'焼鈍条件-3CGL'!$A$2:$B$197,2,FALSE)*60,"")</f>
        <v>0</v>
      </c>
      <c r="E388" s="66">
        <v>37.5</v>
      </c>
      <c r="F388" s="64" t="str">
        <f t="shared" si="6"/>
        <v/>
      </c>
      <c r="G388" s="60" t="s">
        <v>12</v>
      </c>
      <c r="H388" s="60" t="s">
        <v>5064</v>
      </c>
    </row>
    <row r="389" spans="1:8">
      <c r="A389" s="59" t="s">
        <v>2144</v>
      </c>
      <c r="B389" s="62">
        <v>2</v>
      </c>
      <c r="C389" s="60" t="s">
        <v>5043</v>
      </c>
      <c r="D389" s="64">
        <f>IFERROR(VLOOKUP(C389,測定点マスタ!$E$2:$F$28,2,FALSE)/VLOOKUP(A389,'焼鈍条件-3CGL'!$A$2:$B$197,2,FALSE)*60,"")</f>
        <v>10.530133732698406</v>
      </c>
      <c r="E389" s="66">
        <v>179.2</v>
      </c>
      <c r="F389" s="64">
        <f t="shared" si="6"/>
        <v>13.456619222222219</v>
      </c>
      <c r="G389" s="60" t="s">
        <v>12</v>
      </c>
      <c r="H389" s="60" t="s">
        <v>5064</v>
      </c>
    </row>
    <row r="390" spans="1:8">
      <c r="A390" s="59" t="s">
        <v>2144</v>
      </c>
      <c r="B390" s="62">
        <v>3</v>
      </c>
      <c r="C390" s="60" t="s">
        <v>5044</v>
      </c>
      <c r="D390" s="64">
        <f>IFERROR(VLOOKUP(C390,測定点マスタ!$E$2:$F$28,2,FALSE)/VLOOKUP(A390,'焼鈍条件-3CGL'!$A$2:$B$197,2,FALSE)*60,"")</f>
        <v>23.868303127449721</v>
      </c>
      <c r="E390" s="66">
        <v>682.5</v>
      </c>
      <c r="F390" s="64">
        <f t="shared" si="6"/>
        <v>37.733813771929817</v>
      </c>
      <c r="G390" s="60" t="s">
        <v>12</v>
      </c>
      <c r="H390" s="60" t="s">
        <v>5064</v>
      </c>
    </row>
    <row r="391" spans="1:8">
      <c r="A391" s="59" t="s">
        <v>2144</v>
      </c>
      <c r="B391" s="62">
        <v>4</v>
      </c>
      <c r="C391" s="60" t="s">
        <v>5045</v>
      </c>
      <c r="D391" s="64">
        <f>IFERROR(VLOOKUP(C391,測定点マスタ!$E$2:$F$28,2,FALSE)/VLOOKUP(A391,'焼鈍条件-3CGL'!$A$2:$B$197,2,FALSE)*60,"")</f>
        <v>30.888392282581993</v>
      </c>
      <c r="E391" s="66">
        <v>828.3</v>
      </c>
      <c r="F391" s="64">
        <f t="shared" si="6"/>
        <v>20.768966999999989</v>
      </c>
      <c r="G391" s="60" t="s">
        <v>12</v>
      </c>
      <c r="H391" s="60" t="s">
        <v>5064</v>
      </c>
    </row>
    <row r="392" spans="1:8">
      <c r="A392" s="59" t="s">
        <v>2144</v>
      </c>
      <c r="B392" s="62">
        <v>5</v>
      </c>
      <c r="C392" s="60" t="s">
        <v>5047</v>
      </c>
      <c r="D392" s="64">
        <f>IFERROR(VLOOKUP(C392,測定点マスタ!$E$2:$F$28,2,FALSE)/VLOOKUP(A392,'焼鈍条件-3CGL'!$A$2:$B$197,2,FALSE)*60,"")</f>
        <v>42.120534930793625</v>
      </c>
      <c r="E392" s="66">
        <v>737.4</v>
      </c>
      <c r="F392" s="64">
        <f t="shared" si="6"/>
        <v>-8.0928459374999981</v>
      </c>
      <c r="G392" s="60" t="s">
        <v>12</v>
      </c>
      <c r="H392" s="60" t="s">
        <v>5064</v>
      </c>
    </row>
    <row r="393" spans="1:8">
      <c r="A393" s="59" t="s">
        <v>2144</v>
      </c>
      <c r="B393" s="62">
        <v>6</v>
      </c>
      <c r="C393" s="60" t="s">
        <v>5049</v>
      </c>
      <c r="D393" s="64">
        <f>IFERROR(VLOOKUP(C393,測定点マスタ!$E$2:$F$28,2,FALSE)/VLOOKUP(A393,'焼鈍条件-3CGL'!$A$2:$B$197,2,FALSE)*60,"")</f>
        <v>51.246650832465576</v>
      </c>
      <c r="E393" s="66">
        <v>597.6</v>
      </c>
      <c r="F393" s="64">
        <f t="shared" si="6"/>
        <v>-15.318674615384609</v>
      </c>
      <c r="G393" s="60" t="s">
        <v>12</v>
      </c>
      <c r="H393" s="60" t="s">
        <v>5064</v>
      </c>
    </row>
    <row r="394" spans="1:8">
      <c r="A394" s="59" t="s">
        <v>2144</v>
      </c>
      <c r="B394" s="62">
        <v>7</v>
      </c>
      <c r="C394" s="60" t="s">
        <v>5050</v>
      </c>
      <c r="D394" s="64">
        <f>IFERROR(VLOOKUP(C394,測定点マスタ!$E$2:$F$28,2,FALSE)/VLOOKUP(A394,'焼鈍条件-3CGL'!$A$2:$B$197,2,FALSE)*60,"")</f>
        <v>56.862722156571394</v>
      </c>
      <c r="E394" s="66">
        <v>493.8</v>
      </c>
      <c r="F394" s="64">
        <f t="shared" si="6"/>
        <v>-18.482671249999996</v>
      </c>
      <c r="G394" s="60" t="s">
        <v>12</v>
      </c>
      <c r="H394" s="60" t="s">
        <v>5064</v>
      </c>
    </row>
    <row r="395" spans="1:8">
      <c r="A395" s="59" t="s">
        <v>2144</v>
      </c>
      <c r="B395" s="62">
        <v>8</v>
      </c>
      <c r="C395" s="60" t="s">
        <v>5051</v>
      </c>
      <c r="D395" s="64">
        <f>IFERROR(VLOOKUP(C395,測定点マスタ!$E$2:$F$28,2,FALSE)/VLOOKUP(A395,'焼鈍条件-3CGL'!$A$2:$B$197,2,FALSE)*60,"")</f>
        <v>61.776784565163986</v>
      </c>
      <c r="E395" s="66">
        <v>459.7</v>
      </c>
      <c r="F395" s="64">
        <f t="shared" si="6"/>
        <v>-6.93926880952381</v>
      </c>
      <c r="G395" s="60" t="s">
        <v>12</v>
      </c>
      <c r="H395" s="60" t="s">
        <v>5064</v>
      </c>
    </row>
    <row r="396" spans="1:8">
      <c r="A396" s="59" t="s">
        <v>2144</v>
      </c>
      <c r="B396" s="62">
        <v>9</v>
      </c>
      <c r="C396" s="60" t="s">
        <v>5052</v>
      </c>
      <c r="D396" s="64">
        <f>IFERROR(VLOOKUP(C396,測定点マスタ!$E$2:$F$28,2,FALSE)/VLOOKUP(A396,'焼鈍条件-3CGL'!$A$2:$B$197,2,FALSE)*60,"")</f>
        <v>68.094864804783029</v>
      </c>
      <c r="E396" s="66">
        <v>342.3</v>
      </c>
      <c r="F396" s="64">
        <f t="shared" si="6"/>
        <v>-18.5815937037037</v>
      </c>
      <c r="G396" s="60" t="s">
        <v>12</v>
      </c>
      <c r="H396" s="60" t="s">
        <v>5064</v>
      </c>
    </row>
    <row r="397" spans="1:8">
      <c r="A397" s="59" t="s">
        <v>2144</v>
      </c>
      <c r="B397" s="62">
        <v>10</v>
      </c>
      <c r="C397" s="60" t="s">
        <v>5069</v>
      </c>
      <c r="D397" s="64">
        <f>IFERROR(VLOOKUP(C397,測定点マスタ!$E$2:$F$28,2,FALSE)/VLOOKUP(A397,'焼鈍条件-3CGL'!$A$2:$B$197,2,FALSE)*60,"")</f>
        <v>73.008927213375614</v>
      </c>
      <c r="E397" s="66">
        <v>523.9</v>
      </c>
      <c r="F397" s="64">
        <f t="shared" si="6"/>
        <v>36.955167619047643</v>
      </c>
      <c r="G397" s="60" t="s">
        <v>12</v>
      </c>
      <c r="H397" s="60" t="s">
        <v>5064</v>
      </c>
    </row>
    <row r="398" spans="1:8">
      <c r="A398" s="59" t="s">
        <v>2144</v>
      </c>
      <c r="B398" s="62">
        <v>11</v>
      </c>
      <c r="C398" s="60" t="s">
        <v>5053</v>
      </c>
      <c r="D398" s="64">
        <f>IFERROR(VLOOKUP(C398,測定点マスタ!$E$2:$F$28,2,FALSE)/VLOOKUP(A398,'焼鈍条件-3CGL'!$A$2:$B$197,2,FALSE)*60,"")</f>
        <v>76.518971790941748</v>
      </c>
      <c r="E398" s="66">
        <v>537.6</v>
      </c>
      <c r="F398" s="64">
        <f t="shared" si="6"/>
        <v>3.9030843333333474</v>
      </c>
      <c r="G398" s="60" t="s">
        <v>12</v>
      </c>
      <c r="H398" s="60" t="s">
        <v>5064</v>
      </c>
    </row>
    <row r="399" spans="1:8">
      <c r="A399" s="59" t="s">
        <v>2144</v>
      </c>
      <c r="B399" s="62">
        <v>12</v>
      </c>
      <c r="C399" s="60" t="s">
        <v>5054</v>
      </c>
      <c r="D399" s="64">
        <f>IFERROR(VLOOKUP(C399,測定点マスタ!$E$2:$F$28,2,FALSE)/VLOOKUP(A399,'焼鈍条件-3CGL'!$A$2:$B$197,2,FALSE)*60,"")</f>
        <v>85.6450876926137</v>
      </c>
      <c r="E399" s="66">
        <v>530.1</v>
      </c>
      <c r="F399" s="64">
        <f t="shared" si="6"/>
        <v>-0.82181730769230765</v>
      </c>
      <c r="G399" s="60" t="s">
        <v>12</v>
      </c>
      <c r="H399" s="60" t="s">
        <v>5064</v>
      </c>
    </row>
    <row r="400" spans="1:8">
      <c r="A400" s="59" t="s">
        <v>2144</v>
      </c>
      <c r="B400" s="62">
        <v>13</v>
      </c>
      <c r="C400" s="60" t="s">
        <v>5056</v>
      </c>
      <c r="D400" s="64">
        <f>IFERROR(VLOOKUP(C400,測定点マスタ!$E$2:$F$28,2,FALSE)/VLOOKUP(A400,'焼鈍条件-3CGL'!$A$2:$B$197,2,FALSE)*60,"")</f>
        <v>93.367185763259201</v>
      </c>
      <c r="E400" s="66">
        <v>293.89999999999998</v>
      </c>
      <c r="F400" s="64">
        <f t="shared" si="6"/>
        <v>-30.587542121212113</v>
      </c>
      <c r="G400" s="60" t="s">
        <v>12</v>
      </c>
      <c r="H400" s="60" t="s">
        <v>5064</v>
      </c>
    </row>
    <row r="401" spans="1:8">
      <c r="A401" s="59" t="s">
        <v>2144</v>
      </c>
      <c r="B401" s="62">
        <v>14</v>
      </c>
      <c r="C401" s="60" t="s">
        <v>5062</v>
      </c>
      <c r="D401" s="64">
        <f>IFERROR(VLOOKUP(C401,測定点マスタ!$E$2:$F$28,2,FALSE)/VLOOKUP(A401,'焼鈍条件-3CGL'!$A$2:$B$197,2,FALSE)*60,"")</f>
        <v>101.79129274941792</v>
      </c>
      <c r="E401" s="66">
        <v>453.8</v>
      </c>
      <c r="F401" s="64">
        <f t="shared" si="6"/>
        <v>18.981240416666683</v>
      </c>
      <c r="G401" s="60" t="s">
        <v>12</v>
      </c>
      <c r="H401" s="60" t="s">
        <v>5064</v>
      </c>
    </row>
    <row r="402" spans="1:8">
      <c r="A402" s="59" t="s">
        <v>2144</v>
      </c>
      <c r="B402" s="62">
        <v>15</v>
      </c>
      <c r="C402" s="60" t="s">
        <v>5065</v>
      </c>
      <c r="D402" s="64">
        <f>IFERROR(VLOOKUP(C402,測定点マスタ!$E$2:$F$28,2,FALSE)/VLOOKUP(A402,'焼鈍条件-3CGL'!$A$2:$B$197,2,FALSE)*60,"")</f>
        <v>103.04488009854848</v>
      </c>
      <c r="E402" s="66">
        <v>510.1</v>
      </c>
      <c r="F402" s="64">
        <f t="shared" si="6"/>
        <v>44.911110533340775</v>
      </c>
      <c r="G402" s="60" t="s">
        <v>12</v>
      </c>
      <c r="H402" s="60" t="s">
        <v>5064</v>
      </c>
    </row>
    <row r="403" spans="1:8">
      <c r="A403" s="59" t="s">
        <v>2144</v>
      </c>
      <c r="B403" s="62">
        <v>16</v>
      </c>
      <c r="C403" s="60" t="s">
        <v>5066</v>
      </c>
      <c r="D403" s="64">
        <f>IFERROR(VLOOKUP(C403,測定点マスタ!$E$2:$F$28,2,FALSE)/VLOOKUP(A403,'焼鈍条件-3CGL'!$A$2:$B$197,2,FALSE)*60,"")</f>
        <v>107.28200533861097</v>
      </c>
      <c r="E403" s="66">
        <v>489.9</v>
      </c>
      <c r="F403" s="64">
        <f t="shared" si="6"/>
        <v>-4.7673832741611619</v>
      </c>
      <c r="G403" s="60" t="s">
        <v>12</v>
      </c>
      <c r="H403" s="60" t="s">
        <v>5064</v>
      </c>
    </row>
    <row r="404" spans="1:8">
      <c r="A404" s="59" t="s">
        <v>2144</v>
      </c>
      <c r="B404" s="62">
        <v>17</v>
      </c>
      <c r="C404" s="60" t="s">
        <v>5057</v>
      </c>
      <c r="D404" s="64">
        <f>IFERROR(VLOOKUP(C404,測定点マスタ!$E$2:$F$28,2,FALSE)/VLOOKUP(A404,'焼鈍条件-3CGL'!$A$2:$B$197,2,FALSE)*60,"")</f>
        <v>115.75625581873452</v>
      </c>
      <c r="E404" s="66">
        <v>238.7</v>
      </c>
      <c r="F404" s="64">
        <f t="shared" si="6"/>
        <v>-29.642739566076386</v>
      </c>
      <c r="G404" s="60" t="s">
        <v>12</v>
      </c>
      <c r="H404" s="60" t="s">
        <v>5064</v>
      </c>
    </row>
    <row r="405" spans="1:8">
      <c r="A405" s="59" t="s">
        <v>2144</v>
      </c>
      <c r="B405" s="62">
        <v>18</v>
      </c>
      <c r="C405" s="60" t="s">
        <v>5059</v>
      </c>
      <c r="D405" s="64">
        <f>IFERROR(VLOOKUP(C405,測定点マスタ!$E$2:$F$28,2,FALSE)/VLOOKUP(A405,'焼鈍条件-3CGL'!$A$2:$B$197,2,FALSE)*60,"")</f>
        <v>124.23050629885878</v>
      </c>
      <c r="E405" s="66">
        <v>70.900000000000006</v>
      </c>
      <c r="F405" s="64">
        <f t="shared" si="6"/>
        <v>-19.80116122287895</v>
      </c>
      <c r="G405" s="60" t="s">
        <v>12</v>
      </c>
      <c r="H405" s="60" t="s">
        <v>5064</v>
      </c>
    </row>
    <row r="406" spans="1:8">
      <c r="A406" s="59" t="s">
        <v>2153</v>
      </c>
      <c r="B406" s="62">
        <v>1</v>
      </c>
      <c r="C406" s="60" t="s">
        <v>5041</v>
      </c>
      <c r="D406" s="64">
        <f>IFERROR(VLOOKUP(C406,測定点マスタ!$E$2:$F$28,2,FALSE)/VLOOKUP(A406,'焼鈍条件-3CGL'!$A$2:$B$197,2,FALSE)*60,"")</f>
        <v>0</v>
      </c>
      <c r="E406" s="66">
        <v>38.200000000000003</v>
      </c>
      <c r="F406" s="64" t="str">
        <f t="shared" si="6"/>
        <v/>
      </c>
      <c r="G406" s="60" t="s">
        <v>9</v>
      </c>
      <c r="H406" s="60" t="s">
        <v>5061</v>
      </c>
    </row>
    <row r="407" spans="1:8">
      <c r="A407" s="59" t="s">
        <v>2153</v>
      </c>
      <c r="B407" s="62">
        <v>2</v>
      </c>
      <c r="C407" s="60" t="s">
        <v>5043</v>
      </c>
      <c r="D407" s="64">
        <f>IFERROR(VLOOKUP(C407,測定点マスタ!$E$2:$F$28,2,FALSE)/VLOOKUP(A407,'焼鈍条件-3CGL'!$A$2:$B$197,2,FALSE)*60,"")</f>
        <v>11.003521126760564</v>
      </c>
      <c r="E407" s="66">
        <v>184.3</v>
      </c>
      <c r="F407" s="64">
        <f t="shared" si="6"/>
        <v>13.277568000000002</v>
      </c>
      <c r="G407" s="60" t="s">
        <v>9</v>
      </c>
      <c r="H407" s="60" t="s">
        <v>5061</v>
      </c>
    </row>
    <row r="408" spans="1:8">
      <c r="A408" s="59" t="s">
        <v>2153</v>
      </c>
      <c r="B408" s="62">
        <v>3</v>
      </c>
      <c r="C408" s="60" t="s">
        <v>5067</v>
      </c>
      <c r="D408" s="64">
        <f>IFERROR(VLOOKUP(C408,測定点マスタ!$E$2:$F$28,2,FALSE)/VLOOKUP(A408,'焼鈍条件-3CGL'!$A$2:$B$197,2,FALSE)*60,"")</f>
        <v>18.339201877934272</v>
      </c>
      <c r="E408" s="66">
        <v>379.8</v>
      </c>
      <c r="F408" s="64">
        <f t="shared" si="6"/>
        <v>26.650560000000002</v>
      </c>
      <c r="G408" s="60" t="s">
        <v>9</v>
      </c>
      <c r="H408" s="60" t="s">
        <v>5061</v>
      </c>
    </row>
    <row r="409" spans="1:8">
      <c r="A409" s="59" t="s">
        <v>2153</v>
      </c>
      <c r="B409" s="62">
        <v>4</v>
      </c>
      <c r="C409" s="60" t="s">
        <v>5044</v>
      </c>
      <c r="D409" s="64">
        <f>IFERROR(VLOOKUP(C409,測定点マスタ!$E$2:$F$28,2,FALSE)/VLOOKUP(A409,'焼鈍条件-3CGL'!$A$2:$B$197,2,FALSE)*60,"")</f>
        <v>24.941314553990608</v>
      </c>
      <c r="E409" s="66">
        <v>657.4</v>
      </c>
      <c r="F409" s="64">
        <f t="shared" si="6"/>
        <v>42.04714666666667</v>
      </c>
      <c r="G409" s="60" t="s">
        <v>9</v>
      </c>
      <c r="H409" s="60" t="s">
        <v>5061</v>
      </c>
    </row>
    <row r="410" spans="1:8">
      <c r="A410" s="59" t="s">
        <v>2153</v>
      </c>
      <c r="B410" s="62">
        <v>5</v>
      </c>
      <c r="C410" s="60" t="s">
        <v>5045</v>
      </c>
      <c r="D410" s="64">
        <f>IFERROR(VLOOKUP(C410,測定点マスタ!$E$2:$F$28,2,FALSE)/VLOOKUP(A410,'焼鈍条件-3CGL'!$A$2:$B$197,2,FALSE)*60,"")</f>
        <v>32.276995305164313</v>
      </c>
      <c r="E410" s="66">
        <v>821.6</v>
      </c>
      <c r="F410" s="64">
        <f t="shared" si="6"/>
        <v>22.383744000000018</v>
      </c>
      <c r="G410" s="60" t="s">
        <v>9</v>
      </c>
      <c r="H410" s="60" t="s">
        <v>5061</v>
      </c>
    </row>
    <row r="411" spans="1:8">
      <c r="A411" s="59" t="s">
        <v>2153</v>
      </c>
      <c r="B411" s="62">
        <v>6</v>
      </c>
      <c r="C411" s="60" t="s">
        <v>5047</v>
      </c>
      <c r="D411" s="64">
        <f>IFERROR(VLOOKUP(C411,測定点マスタ!$E$2:$F$28,2,FALSE)/VLOOKUP(A411,'焼鈍条件-3CGL'!$A$2:$B$197,2,FALSE)*60,"")</f>
        <v>44.014084507042256</v>
      </c>
      <c r="E411" s="66">
        <v>779.4</v>
      </c>
      <c r="F411" s="64">
        <f t="shared" si="6"/>
        <v>-3.5954400000000013</v>
      </c>
      <c r="G411" s="60" t="s">
        <v>9</v>
      </c>
      <c r="H411" s="60" t="s">
        <v>5061</v>
      </c>
    </row>
    <row r="412" spans="1:8">
      <c r="A412" s="59" t="s">
        <v>2153</v>
      </c>
      <c r="B412" s="62">
        <v>7</v>
      </c>
      <c r="C412" s="60" t="s">
        <v>5049</v>
      </c>
      <c r="D412" s="64">
        <f>IFERROR(VLOOKUP(C412,測定点マスタ!$E$2:$F$28,2,FALSE)/VLOOKUP(A412,'焼鈍条件-3CGL'!$A$2:$B$197,2,FALSE)*60,"")</f>
        <v>53.550469483568072</v>
      </c>
      <c r="E412" s="66">
        <v>614.4</v>
      </c>
      <c r="F412" s="64">
        <f t="shared" si="6"/>
        <v>-17.302153846153857</v>
      </c>
      <c r="G412" s="60" t="s">
        <v>9</v>
      </c>
      <c r="H412" s="60" t="s">
        <v>5061</v>
      </c>
    </row>
    <row r="413" spans="1:8">
      <c r="A413" s="59" t="s">
        <v>2153</v>
      </c>
      <c r="B413" s="62">
        <v>8</v>
      </c>
      <c r="C413" s="60" t="s">
        <v>5050</v>
      </c>
      <c r="D413" s="64">
        <f>IFERROR(VLOOKUP(C413,測定点マスタ!$E$2:$F$28,2,FALSE)/VLOOKUP(A413,'焼鈍条件-3CGL'!$A$2:$B$197,2,FALSE)*60,"")</f>
        <v>59.41901408450704</v>
      </c>
      <c r="E413" s="66">
        <v>482</v>
      </c>
      <c r="F413" s="64">
        <f t="shared" si="6"/>
        <v>-22.560959999999994</v>
      </c>
      <c r="G413" s="60" t="s">
        <v>9</v>
      </c>
      <c r="H413" s="60" t="s">
        <v>5061</v>
      </c>
    </row>
    <row r="414" spans="1:8">
      <c r="A414" s="59" t="s">
        <v>2153</v>
      </c>
      <c r="B414" s="62">
        <v>9</v>
      </c>
      <c r="C414" s="60" t="s">
        <v>5051</v>
      </c>
      <c r="D414" s="64">
        <f>IFERROR(VLOOKUP(C414,測定点マスタ!$E$2:$F$28,2,FALSE)/VLOOKUP(A414,'焼鈍条件-3CGL'!$A$2:$B$197,2,FALSE)*60,"")</f>
        <v>64.553990610328626</v>
      </c>
      <c r="E414" s="66">
        <v>463.2</v>
      </c>
      <c r="F414" s="64">
        <f t="shared" si="6"/>
        <v>-3.6611657142857243</v>
      </c>
      <c r="G414" s="60" t="s">
        <v>9</v>
      </c>
      <c r="H414" s="60" t="s">
        <v>5061</v>
      </c>
    </row>
    <row r="415" spans="1:8">
      <c r="A415" s="59" t="s">
        <v>2153</v>
      </c>
      <c r="B415" s="62">
        <v>10</v>
      </c>
      <c r="C415" s="60" t="s">
        <v>5052</v>
      </c>
      <c r="D415" s="64">
        <f>IFERROR(VLOOKUP(C415,測定点マスタ!$E$2:$F$28,2,FALSE)/VLOOKUP(A415,'焼鈍条件-3CGL'!$A$2:$B$197,2,FALSE)*60,"")</f>
        <v>71.156103286384976</v>
      </c>
      <c r="E415" s="66">
        <v>336.4</v>
      </c>
      <c r="F415" s="64">
        <f t="shared" si="6"/>
        <v>-19.205973333333301</v>
      </c>
      <c r="G415" s="60" t="s">
        <v>9</v>
      </c>
      <c r="H415" s="60" t="s">
        <v>5061</v>
      </c>
    </row>
    <row r="416" spans="1:8">
      <c r="A416" s="59" t="s">
        <v>2153</v>
      </c>
      <c r="B416" s="62">
        <v>11</v>
      </c>
      <c r="C416" s="60" t="s">
        <v>5053</v>
      </c>
      <c r="D416" s="64">
        <f>IFERROR(VLOOKUP(C416,測定点マスタ!$E$2:$F$28,2,FALSE)/VLOOKUP(A416,'焼鈍条件-3CGL'!$A$2:$B$197,2,FALSE)*60,"")</f>
        <v>79.958920187793424</v>
      </c>
      <c r="E416" s="66">
        <v>539.29999999999995</v>
      </c>
      <c r="F416" s="64">
        <f t="shared" si="6"/>
        <v>23.049440000000004</v>
      </c>
      <c r="G416" s="60" t="s">
        <v>9</v>
      </c>
      <c r="H416" s="60" t="s">
        <v>5061</v>
      </c>
    </row>
    <row r="417" spans="1:8">
      <c r="A417" s="59" t="s">
        <v>2153</v>
      </c>
      <c r="B417" s="62">
        <v>12</v>
      </c>
      <c r="C417" s="60" t="s">
        <v>5054</v>
      </c>
      <c r="D417" s="64">
        <f>IFERROR(VLOOKUP(C417,測定点マスタ!$E$2:$F$28,2,FALSE)/VLOOKUP(A417,'焼鈍条件-3CGL'!$A$2:$B$197,2,FALSE)*60,"")</f>
        <v>89.495305164319248</v>
      </c>
      <c r="E417" s="66">
        <v>541.29999999999995</v>
      </c>
      <c r="F417" s="64">
        <f t="shared" si="6"/>
        <v>0.20972307692307687</v>
      </c>
      <c r="G417" s="60" t="s">
        <v>9</v>
      </c>
      <c r="H417" s="60" t="s">
        <v>5061</v>
      </c>
    </row>
    <row r="418" spans="1:8">
      <c r="A418" s="59" t="s">
        <v>2153</v>
      </c>
      <c r="B418" s="62">
        <v>13</v>
      </c>
      <c r="C418" s="60" t="s">
        <v>5056</v>
      </c>
      <c r="D418" s="64">
        <f>IFERROR(VLOOKUP(C418,測定点マスタ!$E$2:$F$28,2,FALSE)/VLOOKUP(A418,'焼鈍条件-3CGL'!$A$2:$B$197,2,FALSE)*60,"")</f>
        <v>97.564553990610321</v>
      </c>
      <c r="E418" s="66">
        <v>286.10000000000002</v>
      </c>
      <c r="F418" s="64">
        <f t="shared" si="6"/>
        <v>-31.626240000000017</v>
      </c>
      <c r="G418" s="60" t="s">
        <v>9</v>
      </c>
      <c r="H418" s="60" t="s">
        <v>5061</v>
      </c>
    </row>
    <row r="419" spans="1:8">
      <c r="A419" s="59" t="s">
        <v>2153</v>
      </c>
      <c r="B419" s="62">
        <v>14</v>
      </c>
      <c r="C419" s="60" t="s">
        <v>5062</v>
      </c>
      <c r="D419" s="64">
        <f>IFERROR(VLOOKUP(C419,測定点マスタ!$E$2:$F$28,2,FALSE)/VLOOKUP(A419,'焼鈍条件-3CGL'!$A$2:$B$197,2,FALSE)*60,"")</f>
        <v>106.36737089201878</v>
      </c>
      <c r="E419" s="66">
        <v>467.5</v>
      </c>
      <c r="F419" s="64">
        <f t="shared" si="6"/>
        <v>20.607039999999969</v>
      </c>
      <c r="G419" s="60" t="s">
        <v>9</v>
      </c>
      <c r="H419" s="60" t="s">
        <v>5061</v>
      </c>
    </row>
    <row r="420" spans="1:8">
      <c r="A420" s="59" t="s">
        <v>2153</v>
      </c>
      <c r="B420" s="62">
        <v>15</v>
      </c>
      <c r="C420" s="60" t="s">
        <v>5057</v>
      </c>
      <c r="D420" s="64">
        <f>IFERROR(VLOOKUP(C420,測定点マスタ!$E$2:$F$28,2,FALSE)/VLOOKUP(A420,'焼鈍条件-3CGL'!$A$2:$B$197,2,FALSE)*60,"")</f>
        <v>120.96013581488923</v>
      </c>
      <c r="E420" s="66">
        <v>222.4</v>
      </c>
      <c r="F420" s="64">
        <f t="shared" si="6"/>
        <v>-16.795994542190435</v>
      </c>
      <c r="G420" s="60" t="s">
        <v>9</v>
      </c>
      <c r="H420" s="60" t="s">
        <v>5061</v>
      </c>
    </row>
    <row r="421" spans="1:8">
      <c r="A421" s="59" t="s">
        <v>2153</v>
      </c>
      <c r="B421" s="62">
        <v>16</v>
      </c>
      <c r="C421" s="60" t="s">
        <v>5059</v>
      </c>
      <c r="D421" s="64">
        <f>IFERROR(VLOOKUP(C421,測定点マスタ!$E$2:$F$28,2,FALSE)/VLOOKUP(A421,'焼鈍条件-3CGL'!$A$2:$B$197,2,FALSE)*60,"")</f>
        <v>129.81535043594926</v>
      </c>
      <c r="E421" s="66">
        <v>70.599999999999994</v>
      </c>
      <c r="F421" s="64">
        <f t="shared" si="6"/>
        <v>-17.142441656804081</v>
      </c>
      <c r="G421" s="60" t="s">
        <v>9</v>
      </c>
      <c r="H421" s="60" t="s">
        <v>5061</v>
      </c>
    </row>
    <row r="422" spans="1:8">
      <c r="A422" s="59" t="s">
        <v>2168</v>
      </c>
      <c r="B422" s="62">
        <v>1</v>
      </c>
      <c r="C422" s="60" t="s">
        <v>5041</v>
      </c>
      <c r="D422" s="64">
        <f>IFERROR(VLOOKUP(C422,測定点マスタ!$E$2:$F$28,2,FALSE)/VLOOKUP(A422,'焼鈍条件-3CGL'!$A$2:$B$197,2,FALSE)*60,"")</f>
        <v>0</v>
      </c>
      <c r="E422" s="66">
        <v>36.299999999999997</v>
      </c>
      <c r="F422" s="64" t="str">
        <f t="shared" si="6"/>
        <v/>
      </c>
      <c r="G422" s="60" t="s">
        <v>9</v>
      </c>
      <c r="H422" s="60" t="s">
        <v>5042</v>
      </c>
    </row>
    <row r="423" spans="1:8">
      <c r="A423" s="59" t="s">
        <v>2168</v>
      </c>
      <c r="B423" s="62">
        <v>2</v>
      </c>
      <c r="C423" s="60" t="s">
        <v>5043</v>
      </c>
      <c r="D423" s="64">
        <f>IFERROR(VLOOKUP(C423,測定点マスタ!$E$2:$F$28,2,FALSE)/VLOOKUP(A423,'焼鈍条件-3CGL'!$A$2:$B$197,2,FALSE)*60,"")</f>
        <v>11.671335200746967</v>
      </c>
      <c r="E423" s="66">
        <v>203.5</v>
      </c>
      <c r="F423" s="64">
        <f t="shared" si="6"/>
        <v>14.325695999999997</v>
      </c>
      <c r="G423" s="60" t="s">
        <v>9</v>
      </c>
      <c r="H423" s="60" t="s">
        <v>5042</v>
      </c>
    </row>
    <row r="424" spans="1:8">
      <c r="A424" s="59" t="s">
        <v>2168</v>
      </c>
      <c r="B424" s="62">
        <v>3</v>
      </c>
      <c r="C424" s="60" t="s">
        <v>5044</v>
      </c>
      <c r="D424" s="64">
        <f>IFERROR(VLOOKUP(C424,測定点マスタ!$E$2:$F$28,2,FALSE)/VLOOKUP(A424,'焼鈍条件-3CGL'!$A$2:$B$197,2,FALSE)*60,"")</f>
        <v>26.455026455026456</v>
      </c>
      <c r="E424" s="66">
        <v>686.2</v>
      </c>
      <c r="F424" s="64">
        <f t="shared" si="6"/>
        <v>32.650844210526323</v>
      </c>
      <c r="G424" s="60" t="s">
        <v>9</v>
      </c>
      <c r="H424" s="60" t="s">
        <v>5042</v>
      </c>
    </row>
    <row r="425" spans="1:8">
      <c r="A425" s="59" t="s">
        <v>2168</v>
      </c>
      <c r="B425" s="62">
        <v>4</v>
      </c>
      <c r="C425" s="60" t="s">
        <v>5045</v>
      </c>
      <c r="D425" s="64">
        <f>IFERROR(VLOOKUP(C425,測定点マスタ!$E$2:$F$28,2,FALSE)/VLOOKUP(A425,'焼鈍条件-3CGL'!$A$2:$B$197,2,FALSE)*60,"")</f>
        <v>34.235916588857769</v>
      </c>
      <c r="E425" s="66">
        <v>857.6</v>
      </c>
      <c r="F425" s="64">
        <f t="shared" si="6"/>
        <v>22.028327999999988</v>
      </c>
      <c r="G425" s="60" t="s">
        <v>9</v>
      </c>
      <c r="H425" s="60" t="s">
        <v>5042</v>
      </c>
    </row>
    <row r="426" spans="1:8">
      <c r="A426" s="59" t="s">
        <v>2168</v>
      </c>
      <c r="B426" s="62">
        <v>5</v>
      </c>
      <c r="C426" s="60" t="s">
        <v>5047</v>
      </c>
      <c r="D426" s="64">
        <f>IFERROR(VLOOKUP(C426,測定点マスタ!$E$2:$F$28,2,FALSE)/VLOOKUP(A426,'焼鈍条件-3CGL'!$A$2:$B$197,2,FALSE)*60,"")</f>
        <v>46.685340802987866</v>
      </c>
      <c r="E426" s="66">
        <v>793.1</v>
      </c>
      <c r="F426" s="64">
        <f t="shared" si="6"/>
        <v>-5.1809624999999997</v>
      </c>
      <c r="G426" s="60" t="s">
        <v>9</v>
      </c>
      <c r="H426" s="60" t="s">
        <v>5042</v>
      </c>
    </row>
    <row r="427" spans="1:8">
      <c r="A427" s="59" t="s">
        <v>2168</v>
      </c>
      <c r="B427" s="62">
        <v>6</v>
      </c>
      <c r="C427" s="60" t="s">
        <v>5048</v>
      </c>
      <c r="D427" s="64">
        <f>IFERROR(VLOOKUP(C427,測定点マスタ!$E$2:$F$28,2,FALSE)/VLOOKUP(A427,'焼鈍条件-3CGL'!$A$2:$B$197,2,FALSE)*60,"")</f>
        <v>51.35387488328665</v>
      </c>
      <c r="E427" s="66">
        <v>774.4</v>
      </c>
      <c r="F427" s="64">
        <f t="shared" si="6"/>
        <v>-4.0055400000000114</v>
      </c>
      <c r="G427" s="60" t="s">
        <v>9</v>
      </c>
      <c r="H427" s="60" t="s">
        <v>5042</v>
      </c>
    </row>
    <row r="428" spans="1:8">
      <c r="A428" s="59" t="s">
        <v>2168</v>
      </c>
      <c r="B428" s="62">
        <v>7</v>
      </c>
      <c r="C428" s="60" t="s">
        <v>5049</v>
      </c>
      <c r="D428" s="64">
        <f>IFERROR(VLOOKUP(C428,測定点マスタ!$E$2:$F$28,2,FALSE)/VLOOKUP(A428,'焼鈍条件-3CGL'!$A$2:$B$197,2,FALSE)*60,"")</f>
        <v>56.800497976968565</v>
      </c>
      <c r="E428" s="66">
        <v>618.6</v>
      </c>
      <c r="F428" s="64">
        <f t="shared" si="6"/>
        <v>-28.604880000000005</v>
      </c>
      <c r="G428" s="60" t="s">
        <v>9</v>
      </c>
      <c r="H428" s="60" t="s">
        <v>5042</v>
      </c>
    </row>
    <row r="429" spans="1:8">
      <c r="A429" s="59" t="s">
        <v>2168</v>
      </c>
      <c r="B429" s="62">
        <v>8</v>
      </c>
      <c r="C429" s="60" t="s">
        <v>5050</v>
      </c>
      <c r="D429" s="64">
        <f>IFERROR(VLOOKUP(C429,測定点マスタ!$E$2:$F$28,2,FALSE)/VLOOKUP(A429,'焼鈍条件-3CGL'!$A$2:$B$197,2,FALSE)*60,"")</f>
        <v>63.025210084033617</v>
      </c>
      <c r="E429" s="66">
        <v>503.8</v>
      </c>
      <c r="F429" s="64">
        <f t="shared" si="6"/>
        <v>-18.442619999999991</v>
      </c>
      <c r="G429" s="60" t="s">
        <v>9</v>
      </c>
      <c r="H429" s="60" t="s">
        <v>5042</v>
      </c>
    </row>
    <row r="430" spans="1:8">
      <c r="A430" s="59" t="s">
        <v>2168</v>
      </c>
      <c r="B430" s="62">
        <v>9</v>
      </c>
      <c r="C430" s="60" t="s">
        <v>5051</v>
      </c>
      <c r="D430" s="64">
        <f>IFERROR(VLOOKUP(C430,測定点マスタ!$E$2:$F$28,2,FALSE)/VLOOKUP(A430,'焼鈍条件-3CGL'!$A$2:$B$197,2,FALSE)*60,"")</f>
        <v>68.471833177715538</v>
      </c>
      <c r="E430" s="66">
        <v>500.8</v>
      </c>
      <c r="F430" s="64">
        <f t="shared" si="6"/>
        <v>-0.55079999999999951</v>
      </c>
      <c r="G430" s="60" t="s">
        <v>9</v>
      </c>
      <c r="H430" s="60" t="s">
        <v>5042</v>
      </c>
    </row>
    <row r="431" spans="1:8">
      <c r="A431" s="59" t="s">
        <v>2168</v>
      </c>
      <c r="B431" s="62">
        <v>10</v>
      </c>
      <c r="C431" s="60" t="s">
        <v>5060</v>
      </c>
      <c r="D431" s="64">
        <f>IFERROR(VLOOKUP(C431,測定点マスタ!$E$2:$F$28,2,FALSE)/VLOOKUP(A431,'焼鈍条件-3CGL'!$A$2:$B$197,2,FALSE)*60,"")</f>
        <v>71.584189231248061</v>
      </c>
      <c r="E431" s="66">
        <v>418.7</v>
      </c>
      <c r="F431" s="64">
        <f t="shared" si="6"/>
        <v>-26.378730000000022</v>
      </c>
      <c r="G431" s="60" t="s">
        <v>9</v>
      </c>
      <c r="H431" s="60" t="s">
        <v>5042</v>
      </c>
    </row>
    <row r="432" spans="1:8">
      <c r="A432" s="59" t="s">
        <v>2168</v>
      </c>
      <c r="B432" s="62">
        <v>11</v>
      </c>
      <c r="C432" s="60" t="s">
        <v>5052</v>
      </c>
      <c r="D432" s="64">
        <f>IFERROR(VLOOKUP(C432,測定点マスタ!$E$2:$F$28,2,FALSE)/VLOOKUP(A432,'焼鈍条件-3CGL'!$A$2:$B$197,2,FALSE)*60,"")</f>
        <v>75.474634298163721</v>
      </c>
      <c r="E432" s="66">
        <v>358.1</v>
      </c>
      <c r="F432" s="64">
        <f t="shared" si="6"/>
        <v>-15.57662399999997</v>
      </c>
      <c r="G432" s="60" t="s">
        <v>9</v>
      </c>
      <c r="H432" s="60" t="s">
        <v>5042</v>
      </c>
    </row>
    <row r="433" spans="1:8">
      <c r="A433" s="59" t="s">
        <v>2168</v>
      </c>
      <c r="B433" s="62">
        <v>12</v>
      </c>
      <c r="C433" s="60" t="s">
        <v>5069</v>
      </c>
      <c r="D433" s="64">
        <f>IFERROR(VLOOKUP(C433,測定点マスタ!$E$2:$F$28,2,FALSE)/VLOOKUP(A433,'焼鈍条件-3CGL'!$A$2:$B$197,2,FALSE)*60,"")</f>
        <v>80.921257391845629</v>
      </c>
      <c r="E433" s="66">
        <v>547</v>
      </c>
      <c r="F433" s="64">
        <f t="shared" si="6"/>
        <v>34.682040000000057</v>
      </c>
      <c r="G433" s="60" t="s">
        <v>9</v>
      </c>
      <c r="H433" s="60" t="s">
        <v>5042</v>
      </c>
    </row>
    <row r="434" spans="1:8">
      <c r="A434" s="59" t="s">
        <v>2168</v>
      </c>
      <c r="B434" s="62">
        <v>13</v>
      </c>
      <c r="C434" s="60" t="s">
        <v>5053</v>
      </c>
      <c r="D434" s="64">
        <f>IFERROR(VLOOKUP(C434,測定点マスタ!$E$2:$F$28,2,FALSE)/VLOOKUP(A434,'焼鈍条件-3CGL'!$A$2:$B$197,2,FALSE)*60,"")</f>
        <v>84.811702458761289</v>
      </c>
      <c r="E434" s="66">
        <v>548.4</v>
      </c>
      <c r="F434" s="64">
        <f t="shared" si="6"/>
        <v>0.35985599999999368</v>
      </c>
      <c r="G434" s="60" t="s">
        <v>9</v>
      </c>
      <c r="H434" s="60" t="s">
        <v>5042</v>
      </c>
    </row>
    <row r="435" spans="1:8">
      <c r="A435" s="59" t="s">
        <v>2168</v>
      </c>
      <c r="B435" s="62">
        <v>14</v>
      </c>
      <c r="C435" s="60" t="s">
        <v>5054</v>
      </c>
      <c r="D435" s="64">
        <f>IFERROR(VLOOKUP(C435,測定点マスタ!$E$2:$F$28,2,FALSE)/VLOOKUP(A435,'焼鈍条件-3CGL'!$A$2:$B$197,2,FALSE)*60,"")</f>
        <v>94.926859632741994</v>
      </c>
      <c r="E435" s="66">
        <v>531.5</v>
      </c>
      <c r="F435" s="64">
        <f t="shared" si="6"/>
        <v>-1.6707599999999974</v>
      </c>
      <c r="G435" s="60" t="s">
        <v>9</v>
      </c>
      <c r="H435" s="60" t="s">
        <v>5042</v>
      </c>
    </row>
    <row r="436" spans="1:8">
      <c r="A436" s="59" t="s">
        <v>2168</v>
      </c>
      <c r="B436" s="62">
        <v>15</v>
      </c>
      <c r="C436" s="60" t="s">
        <v>5055</v>
      </c>
      <c r="D436" s="64">
        <f>IFERROR(VLOOKUP(C436,測定点マスタ!$E$2:$F$28,2,FALSE)/VLOOKUP(A436,'焼鈍条件-3CGL'!$A$2:$B$197,2,FALSE)*60,"")</f>
        <v>98.81730469965764</v>
      </c>
      <c r="E436" s="66">
        <v>599.4</v>
      </c>
      <c r="F436" s="64">
        <f t="shared" si="6"/>
        <v>17.453016000000034</v>
      </c>
      <c r="G436" s="60" t="s">
        <v>9</v>
      </c>
      <c r="H436" s="60" t="s">
        <v>5042</v>
      </c>
    </row>
    <row r="437" spans="1:8">
      <c r="A437" s="59" t="s">
        <v>2168</v>
      </c>
      <c r="B437" s="62">
        <v>16</v>
      </c>
      <c r="C437" s="60" t="s">
        <v>5056</v>
      </c>
      <c r="D437" s="64">
        <f>IFERROR(VLOOKUP(C437,測定点マスタ!$E$2:$F$28,2,FALSE)/VLOOKUP(A437,'焼鈍条件-3CGL'!$A$2:$B$197,2,FALSE)*60,"")</f>
        <v>103.48583877995644</v>
      </c>
      <c r="E437" s="66">
        <v>295</v>
      </c>
      <c r="F437" s="64">
        <f t="shared" si="6"/>
        <v>-65.202479999999824</v>
      </c>
      <c r="G437" s="60" t="s">
        <v>9</v>
      </c>
      <c r="H437" s="60" t="s">
        <v>5042</v>
      </c>
    </row>
    <row r="438" spans="1:8">
      <c r="A438" s="59" t="s">
        <v>2168</v>
      </c>
      <c r="B438" s="62">
        <v>17</v>
      </c>
      <c r="C438" s="60" t="s">
        <v>5068</v>
      </c>
      <c r="D438" s="64">
        <f>IFERROR(VLOOKUP(C438,測定点マスタ!$E$2:$F$28,2,FALSE)/VLOOKUP(A438,'焼鈍条件-3CGL'!$A$2:$B$197,2,FALSE)*60,"")</f>
        <v>123.60499755457751</v>
      </c>
      <c r="E438" s="66">
        <v>338.9</v>
      </c>
      <c r="F438" s="64">
        <f t="shared" si="6"/>
        <v>2.1819997790055119</v>
      </c>
      <c r="G438" s="60" t="s">
        <v>9</v>
      </c>
      <c r="H438" s="60" t="s">
        <v>5042</v>
      </c>
    </row>
    <row r="439" spans="1:8">
      <c r="A439" s="59" t="s">
        <v>2168</v>
      </c>
      <c r="B439" s="62">
        <v>18</v>
      </c>
      <c r="C439" s="60" t="s">
        <v>5057</v>
      </c>
      <c r="D439" s="64">
        <f>IFERROR(VLOOKUP(C439,測定点マスタ!$E$2:$F$28,2,FALSE)/VLOOKUP(A439,'焼鈍条件-3CGL'!$A$2:$B$197,2,FALSE)*60,"")</f>
        <v>128.30132052821116</v>
      </c>
      <c r="E439" s="66">
        <v>199.4</v>
      </c>
      <c r="F439" s="64">
        <f t="shared" si="6"/>
        <v>-29.704089940829927</v>
      </c>
      <c r="G439" s="60" t="s">
        <v>9</v>
      </c>
      <c r="H439" s="60" t="s">
        <v>5042</v>
      </c>
    </row>
    <row r="440" spans="1:8">
      <c r="A440" s="59" t="s">
        <v>2168</v>
      </c>
      <c r="B440" s="62">
        <v>19</v>
      </c>
      <c r="C440" s="60" t="s">
        <v>5058</v>
      </c>
      <c r="D440" s="64">
        <f>IFERROR(VLOOKUP(C440,測定点マスタ!$E$2:$F$28,2,FALSE)/VLOOKUP(A440,'焼鈍条件-3CGL'!$A$2:$B$197,2,FALSE)*60,"")</f>
        <v>132.99764350184483</v>
      </c>
      <c r="E440" s="66">
        <v>88.2</v>
      </c>
      <c r="F440" s="64">
        <f t="shared" si="6"/>
        <v>-23.678098934912391</v>
      </c>
      <c r="G440" s="60" t="s">
        <v>9</v>
      </c>
      <c r="H440" s="60" t="s">
        <v>5042</v>
      </c>
    </row>
    <row r="441" spans="1:8">
      <c r="A441" s="59" t="s">
        <v>2168</v>
      </c>
      <c r="B441" s="62">
        <v>20</v>
      </c>
      <c r="C441" s="60" t="s">
        <v>5059</v>
      </c>
      <c r="D441" s="64">
        <f>IFERROR(VLOOKUP(C441,測定点マスタ!$E$2:$F$28,2,FALSE)/VLOOKUP(A441,'焼鈍条件-3CGL'!$A$2:$B$197,2,FALSE)*60,"")</f>
        <v>137.69396647547933</v>
      </c>
      <c r="E441" s="66">
        <v>66.7</v>
      </c>
      <c r="F441" s="64">
        <f t="shared" si="6"/>
        <v>-4.5780497041414305</v>
      </c>
      <c r="G441" s="60" t="s">
        <v>9</v>
      </c>
      <c r="H441" s="60" t="s">
        <v>5042</v>
      </c>
    </row>
    <row r="442" spans="1:8">
      <c r="A442" s="59" t="s">
        <v>2179</v>
      </c>
      <c r="B442" s="62">
        <v>1</v>
      </c>
      <c r="C442" s="60" t="s">
        <v>5041</v>
      </c>
      <c r="D442" s="64">
        <f>IFERROR(VLOOKUP(C442,測定点マスタ!$E$2:$F$28,2,FALSE)/VLOOKUP(A442,'焼鈍条件-3CGL'!$A$2:$B$197,2,FALSE)*60,"")</f>
        <v>0</v>
      </c>
      <c r="E442" s="66">
        <v>29</v>
      </c>
      <c r="F442" s="64" t="str">
        <f t="shared" si="6"/>
        <v/>
      </c>
      <c r="G442" s="60" t="s">
        <v>12</v>
      </c>
      <c r="H442" s="60" t="s">
        <v>5042</v>
      </c>
    </row>
    <row r="443" spans="1:8">
      <c r="A443" s="59" t="s">
        <v>2179</v>
      </c>
      <c r="B443" s="62">
        <v>2</v>
      </c>
      <c r="C443" s="60" t="s">
        <v>5043</v>
      </c>
      <c r="D443" s="64">
        <f>IFERROR(VLOOKUP(C443,測定点マスタ!$E$2:$F$28,2,FALSE)/VLOOKUP(A443,'焼鈍条件-3CGL'!$A$2:$B$197,2,FALSE)*60,"")</f>
        <v>7.7064031647629001</v>
      </c>
      <c r="E443" s="66">
        <v>153.69999999999999</v>
      </c>
      <c r="F443" s="64">
        <f t="shared" si="6"/>
        <v>16.181349111111107</v>
      </c>
      <c r="G443" s="60" t="s">
        <v>12</v>
      </c>
      <c r="H443" s="60" t="s">
        <v>5042</v>
      </c>
    </row>
    <row r="444" spans="1:8">
      <c r="A444" s="59" t="s">
        <v>2179</v>
      </c>
      <c r="B444" s="62">
        <v>3</v>
      </c>
      <c r="C444" s="60" t="s">
        <v>5067</v>
      </c>
      <c r="D444" s="64">
        <f>IFERROR(VLOOKUP(C444,測定点マスタ!$E$2:$F$28,2,FALSE)/VLOOKUP(A444,'焼鈍条件-3CGL'!$A$2:$B$197,2,FALSE)*60,"")</f>
        <v>12.844005274604832</v>
      </c>
      <c r="E444" s="66">
        <v>333.3</v>
      </c>
      <c r="F444" s="64">
        <f t="shared" si="6"/>
        <v>34.957942666666675</v>
      </c>
      <c r="G444" s="60" t="s">
        <v>12</v>
      </c>
      <c r="H444" s="60" t="s">
        <v>5042</v>
      </c>
    </row>
    <row r="445" spans="1:8">
      <c r="A445" s="59" t="s">
        <v>2179</v>
      </c>
      <c r="B445" s="62">
        <v>4</v>
      </c>
      <c r="C445" s="60" t="s">
        <v>5044</v>
      </c>
      <c r="D445" s="64">
        <f>IFERROR(VLOOKUP(C445,測定点マスタ!$E$2:$F$28,2,FALSE)/VLOOKUP(A445,'焼鈍条件-3CGL'!$A$2:$B$197,2,FALSE)*60,"")</f>
        <v>17.467847173462573</v>
      </c>
      <c r="E445" s="66">
        <v>640.1</v>
      </c>
      <c r="F445" s="64">
        <f t="shared" si="6"/>
        <v>66.351749629629623</v>
      </c>
      <c r="G445" s="60" t="s">
        <v>12</v>
      </c>
      <c r="H445" s="60" t="s">
        <v>5042</v>
      </c>
    </row>
    <row r="446" spans="1:8">
      <c r="A446" s="59" t="s">
        <v>2179</v>
      </c>
      <c r="B446" s="62">
        <v>5</v>
      </c>
      <c r="C446" s="60" t="s">
        <v>5045</v>
      </c>
      <c r="D446" s="64">
        <f>IFERROR(VLOOKUP(C446,測定点マスタ!$E$2:$F$28,2,FALSE)/VLOOKUP(A446,'焼鈍条件-3CGL'!$A$2:$B$197,2,FALSE)*60,"")</f>
        <v>22.605449283304505</v>
      </c>
      <c r="E446" s="66">
        <v>773</v>
      </c>
      <c r="F446" s="64">
        <f t="shared" si="6"/>
        <v>25.868099000000001</v>
      </c>
      <c r="G446" s="60" t="s">
        <v>12</v>
      </c>
      <c r="H446" s="60" t="s">
        <v>5042</v>
      </c>
    </row>
    <row r="447" spans="1:8">
      <c r="A447" s="59" t="s">
        <v>2179</v>
      </c>
      <c r="B447" s="62">
        <v>6</v>
      </c>
      <c r="C447" s="60" t="s">
        <v>5047</v>
      </c>
      <c r="D447" s="64">
        <f>IFERROR(VLOOKUP(C447,測定点マスタ!$E$2:$F$28,2,FALSE)/VLOOKUP(A447,'焼鈍条件-3CGL'!$A$2:$B$197,2,FALSE)*60,"")</f>
        <v>30.8256126590516</v>
      </c>
      <c r="E447" s="66">
        <v>719.3</v>
      </c>
      <c r="F447" s="64">
        <f t="shared" si="6"/>
        <v>-6.5327168750000038</v>
      </c>
      <c r="G447" s="60" t="s">
        <v>12</v>
      </c>
      <c r="H447" s="60" t="s">
        <v>5042</v>
      </c>
    </row>
    <row r="448" spans="1:8">
      <c r="A448" s="59" t="s">
        <v>2179</v>
      </c>
      <c r="B448" s="62">
        <v>7</v>
      </c>
      <c r="C448" s="60" t="s">
        <v>5049</v>
      </c>
      <c r="D448" s="64">
        <f>IFERROR(VLOOKUP(C448,測定点マスタ!$E$2:$F$28,2,FALSE)/VLOOKUP(A448,'焼鈍条件-3CGL'!$A$2:$B$197,2,FALSE)*60,"")</f>
        <v>37.504495401846114</v>
      </c>
      <c r="E448" s="66">
        <v>591</v>
      </c>
      <c r="F448" s="64">
        <f t="shared" si="6"/>
        <v>-19.209799743589734</v>
      </c>
      <c r="G448" s="60" t="s">
        <v>12</v>
      </c>
      <c r="H448" s="60" t="s">
        <v>5042</v>
      </c>
    </row>
    <row r="449" spans="1:8">
      <c r="A449" s="59" t="s">
        <v>2179</v>
      </c>
      <c r="B449" s="62">
        <v>8</v>
      </c>
      <c r="C449" s="60" t="s">
        <v>5050</v>
      </c>
      <c r="D449" s="64">
        <f>IFERROR(VLOOKUP(C449,測定点マスタ!$E$2:$F$28,2,FALSE)/VLOOKUP(A449,'焼鈍条件-3CGL'!$A$2:$B$197,2,FALSE)*60,"")</f>
        <v>41.61457708971966</v>
      </c>
      <c r="E449" s="66">
        <v>458.1</v>
      </c>
      <c r="F449" s="64">
        <f t="shared" si="6"/>
        <v>-32.335123750000001</v>
      </c>
      <c r="G449" s="60" t="s">
        <v>12</v>
      </c>
      <c r="H449" s="60" t="s">
        <v>5042</v>
      </c>
    </row>
    <row r="450" spans="1:8">
      <c r="A450" s="59" t="s">
        <v>2179</v>
      </c>
      <c r="B450" s="62">
        <v>9</v>
      </c>
      <c r="C450" s="60" t="s">
        <v>5051</v>
      </c>
      <c r="D450" s="64">
        <f>IFERROR(VLOOKUP(C450,測定点マスタ!$E$2:$F$28,2,FALSE)/VLOOKUP(A450,'焼鈍条件-3CGL'!$A$2:$B$197,2,FALSE)*60,"")</f>
        <v>45.210898566609011</v>
      </c>
      <c r="E450" s="66">
        <v>451.3</v>
      </c>
      <c r="F450" s="64">
        <f t="shared" ref="F450:F513" si="7">IF(A450=A449,IFERROR((E450-E449)/(D450-D449),""),"")</f>
        <v>-1.8908209523809567</v>
      </c>
      <c r="G450" s="60" t="s">
        <v>12</v>
      </c>
      <c r="H450" s="60" t="s">
        <v>5042</v>
      </c>
    </row>
    <row r="451" spans="1:8">
      <c r="A451" s="59" t="s">
        <v>2179</v>
      </c>
      <c r="B451" s="62">
        <v>10</v>
      </c>
      <c r="C451" s="60" t="s">
        <v>5052</v>
      </c>
      <c r="D451" s="64">
        <f>IFERROR(VLOOKUP(C451,測定点マスタ!$E$2:$F$28,2,FALSE)/VLOOKUP(A451,'焼鈍条件-3CGL'!$A$2:$B$197,2,FALSE)*60,"")</f>
        <v>49.834740465466751</v>
      </c>
      <c r="E451" s="66">
        <v>318.10000000000002</v>
      </c>
      <c r="F451" s="64">
        <f t="shared" si="7"/>
        <v>-28.807213333333326</v>
      </c>
      <c r="G451" s="60" t="s">
        <v>12</v>
      </c>
      <c r="H451" s="60" t="s">
        <v>5042</v>
      </c>
    </row>
    <row r="452" spans="1:8">
      <c r="A452" s="59" t="s">
        <v>2179</v>
      </c>
      <c r="B452" s="62">
        <v>11</v>
      </c>
      <c r="C452" s="60" t="s">
        <v>5053</v>
      </c>
      <c r="D452" s="64">
        <f>IFERROR(VLOOKUP(C452,測定点マスタ!$E$2:$F$28,2,FALSE)/VLOOKUP(A452,'焼鈍条件-3CGL'!$A$2:$B$197,2,FALSE)*60,"")</f>
        <v>55.99986299727707</v>
      </c>
      <c r="E452" s="66">
        <v>501.4</v>
      </c>
      <c r="F452" s="64">
        <f t="shared" si="7"/>
        <v>29.731769166666666</v>
      </c>
      <c r="G452" s="60" t="s">
        <v>12</v>
      </c>
      <c r="H452" s="60" t="s">
        <v>5042</v>
      </c>
    </row>
    <row r="453" spans="1:8">
      <c r="A453" s="59" t="s">
        <v>2179</v>
      </c>
      <c r="B453" s="62">
        <v>12</v>
      </c>
      <c r="C453" s="60" t="s">
        <v>5054</v>
      </c>
      <c r="D453" s="64">
        <f>IFERROR(VLOOKUP(C453,測定点マスタ!$E$2:$F$28,2,FALSE)/VLOOKUP(A453,'焼鈍条件-3CGL'!$A$2:$B$197,2,FALSE)*60,"")</f>
        <v>62.678745740071584</v>
      </c>
      <c r="E453" s="66">
        <v>494</v>
      </c>
      <c r="F453" s="64">
        <f t="shared" si="7"/>
        <v>-1.10796974358974</v>
      </c>
      <c r="G453" s="60" t="s">
        <v>12</v>
      </c>
      <c r="H453" s="60" t="s">
        <v>5042</v>
      </c>
    </row>
    <row r="454" spans="1:8">
      <c r="A454" s="59" t="s">
        <v>2179</v>
      </c>
      <c r="B454" s="62">
        <v>13</v>
      </c>
      <c r="C454" s="60" t="s">
        <v>5055</v>
      </c>
      <c r="D454" s="64">
        <f>IFERROR(VLOOKUP(C454,測定点マスタ!$E$2:$F$28,2,FALSE)/VLOOKUP(A454,'焼鈍条件-3CGL'!$A$2:$B$197,2,FALSE)*60,"")</f>
        <v>65.247546794992559</v>
      </c>
      <c r="E454" s="66">
        <v>527</v>
      </c>
      <c r="F454" s="64">
        <f t="shared" si="7"/>
        <v>12.846459999999958</v>
      </c>
      <c r="G454" s="60" t="s">
        <v>12</v>
      </c>
      <c r="H454" s="60" t="s">
        <v>5042</v>
      </c>
    </row>
    <row r="455" spans="1:8">
      <c r="A455" s="59" t="s">
        <v>2179</v>
      </c>
      <c r="B455" s="62">
        <v>14</v>
      </c>
      <c r="C455" s="60" t="s">
        <v>5056</v>
      </c>
      <c r="D455" s="64">
        <f>IFERROR(VLOOKUP(C455,測定点マスタ!$E$2:$F$28,2,FALSE)/VLOOKUP(A455,'焼鈍条件-3CGL'!$A$2:$B$197,2,FALSE)*60,"")</f>
        <v>68.330108060897714</v>
      </c>
      <c r="E455" s="66">
        <v>252.6</v>
      </c>
      <c r="F455" s="64">
        <f t="shared" si="7"/>
        <v>-89.016884444444557</v>
      </c>
      <c r="G455" s="60" t="s">
        <v>12</v>
      </c>
      <c r="H455" s="60" t="s">
        <v>5042</v>
      </c>
    </row>
    <row r="456" spans="1:8">
      <c r="A456" s="59" t="s">
        <v>2179</v>
      </c>
      <c r="B456" s="62">
        <v>15</v>
      </c>
      <c r="C456" s="60" t="s">
        <v>5068</v>
      </c>
      <c r="D456" s="64">
        <f>IFERROR(VLOOKUP(C456,測定点マスタ!$E$2:$F$28,2,FALSE)/VLOOKUP(A456,'焼鈍条件-3CGL'!$A$2:$B$197,2,FALSE)*60,"")</f>
        <v>81.614479230631929</v>
      </c>
      <c r="E456" s="66">
        <v>340.5</v>
      </c>
      <c r="F456" s="64">
        <f t="shared" si="7"/>
        <v>6.6167979558010694</v>
      </c>
      <c r="G456" s="60" t="s">
        <v>12</v>
      </c>
      <c r="H456" s="60" t="s">
        <v>5042</v>
      </c>
    </row>
    <row r="457" spans="1:8">
      <c r="A457" s="59" t="s">
        <v>2179</v>
      </c>
      <c r="B457" s="62">
        <v>16</v>
      </c>
      <c r="C457" s="60" t="s">
        <v>5057</v>
      </c>
      <c r="D457" s="64">
        <f>IFERROR(VLOOKUP(C457,測定点マスタ!$E$2:$F$28,2,FALSE)/VLOOKUP(A457,'焼鈍条件-3CGL'!$A$2:$B$197,2,FALSE)*60,"")</f>
        <v>84.715389075500667</v>
      </c>
      <c r="E457" s="66">
        <v>186.7</v>
      </c>
      <c r="F457" s="64">
        <f t="shared" si="7"/>
        <v>-49.598346193296173</v>
      </c>
      <c r="G457" s="60" t="s">
        <v>12</v>
      </c>
      <c r="H457" s="60" t="s">
        <v>5042</v>
      </c>
    </row>
    <row r="458" spans="1:8">
      <c r="A458" s="59" t="s">
        <v>2179</v>
      </c>
      <c r="B458" s="62">
        <v>17</v>
      </c>
      <c r="C458" s="60" t="s">
        <v>5059</v>
      </c>
      <c r="D458" s="64">
        <f>IFERROR(VLOOKUP(C458,測定点マスタ!$E$2:$F$28,2,FALSE)/VLOOKUP(A458,'焼鈍条件-3CGL'!$A$2:$B$197,2,FALSE)*60,"")</f>
        <v>90.917208765238641</v>
      </c>
      <c r="E458" s="66">
        <v>64.5</v>
      </c>
      <c r="F458" s="64">
        <f t="shared" si="7"/>
        <v>-19.703894358973685</v>
      </c>
      <c r="G458" s="60" t="s">
        <v>12</v>
      </c>
      <c r="H458" s="60" t="s">
        <v>5042</v>
      </c>
    </row>
    <row r="459" spans="1:8">
      <c r="A459" s="59" t="s">
        <v>2196</v>
      </c>
      <c r="B459" s="62">
        <v>1</v>
      </c>
      <c r="C459" s="60" t="s">
        <v>5041</v>
      </c>
      <c r="D459" s="64">
        <f>IFERROR(VLOOKUP(C459,測定点マスタ!$E$2:$F$28,2,FALSE)/VLOOKUP(A459,'焼鈍条件-3CGL'!$A$2:$B$197,2,FALSE)*60,"")</f>
        <v>0</v>
      </c>
      <c r="E459" s="66">
        <v>38.200000000000003</v>
      </c>
      <c r="F459" s="64" t="str">
        <f t="shared" si="7"/>
        <v/>
      </c>
      <c r="G459" s="60" t="s">
        <v>9</v>
      </c>
      <c r="H459" s="60" t="s">
        <v>5042</v>
      </c>
    </row>
    <row r="460" spans="1:8">
      <c r="A460" s="59" t="s">
        <v>2196</v>
      </c>
      <c r="B460" s="62">
        <v>2</v>
      </c>
      <c r="C460" s="60" t="s">
        <v>5043</v>
      </c>
      <c r="D460" s="64">
        <f>IFERROR(VLOOKUP(C460,測定点マスタ!$E$2:$F$28,2,FALSE)/VLOOKUP(A460,'焼鈍条件-3CGL'!$A$2:$B$197,2,FALSE)*60,"")</f>
        <v>7.7813610465066008</v>
      </c>
      <c r="E460" s="66">
        <v>165.7</v>
      </c>
      <c r="F460" s="64">
        <f t="shared" si="7"/>
        <v>16.385308333333331</v>
      </c>
      <c r="G460" s="60" t="s">
        <v>9</v>
      </c>
      <c r="H460" s="60" t="s">
        <v>5042</v>
      </c>
    </row>
    <row r="461" spans="1:8">
      <c r="A461" s="59" t="s">
        <v>2196</v>
      </c>
      <c r="B461" s="62">
        <v>3</v>
      </c>
      <c r="C461" s="60" t="s">
        <v>5044</v>
      </c>
      <c r="D461" s="64">
        <f>IFERROR(VLOOKUP(C461,測定点マスタ!$E$2:$F$28,2,FALSE)/VLOOKUP(A461,'焼鈍条件-3CGL'!$A$2:$B$197,2,FALSE)*60,"")</f>
        <v>17.637751705414964</v>
      </c>
      <c r="E461" s="66">
        <v>647</v>
      </c>
      <c r="F461" s="64">
        <f t="shared" si="7"/>
        <v>48.831262543859637</v>
      </c>
      <c r="G461" s="60" t="s">
        <v>9</v>
      </c>
      <c r="H461" s="60" t="s">
        <v>5042</v>
      </c>
    </row>
    <row r="462" spans="1:8">
      <c r="A462" s="59" t="s">
        <v>2196</v>
      </c>
      <c r="B462" s="62">
        <v>4</v>
      </c>
      <c r="C462" s="60" t="s">
        <v>5045</v>
      </c>
      <c r="D462" s="64">
        <f>IFERROR(VLOOKUP(C462,測定点マスタ!$E$2:$F$28,2,FALSE)/VLOOKUP(A462,'焼鈍条件-3CGL'!$A$2:$B$197,2,FALSE)*60,"")</f>
        <v>22.825325736419362</v>
      </c>
      <c r="E462" s="66">
        <v>798.8</v>
      </c>
      <c r="F462" s="64">
        <f t="shared" si="7"/>
        <v>29.262233000000002</v>
      </c>
      <c r="G462" s="60" t="s">
        <v>9</v>
      </c>
      <c r="H462" s="60" t="s">
        <v>5042</v>
      </c>
    </row>
    <row r="463" spans="1:8">
      <c r="A463" s="59" t="s">
        <v>2196</v>
      </c>
      <c r="B463" s="62">
        <v>5</v>
      </c>
      <c r="C463" s="60" t="s">
        <v>5046</v>
      </c>
      <c r="D463" s="64">
        <f>IFERROR(VLOOKUP(C463,測定点マスタ!$E$2:$F$28,2,FALSE)/VLOOKUP(A463,'焼鈍条件-3CGL'!$A$2:$B$197,2,FALSE)*60,"")</f>
        <v>28.012899767423765</v>
      </c>
      <c r="E463" s="66">
        <v>772.1</v>
      </c>
      <c r="F463" s="64">
        <f t="shared" si="7"/>
        <v>-5.1469144999999852</v>
      </c>
      <c r="G463" s="60" t="s">
        <v>9</v>
      </c>
      <c r="H463" s="60" t="s">
        <v>5042</v>
      </c>
    </row>
    <row r="464" spans="1:8">
      <c r="A464" s="59" t="s">
        <v>2196</v>
      </c>
      <c r="B464" s="62">
        <v>6</v>
      </c>
      <c r="C464" s="60" t="s">
        <v>5047</v>
      </c>
      <c r="D464" s="64">
        <f>IFERROR(VLOOKUP(C464,測定点マスタ!$E$2:$F$28,2,FALSE)/VLOOKUP(A464,'焼鈍条件-3CGL'!$A$2:$B$197,2,FALSE)*60,"")</f>
        <v>31.125444186026403</v>
      </c>
      <c r="E464" s="66">
        <v>745</v>
      </c>
      <c r="F464" s="64">
        <f t="shared" si="7"/>
        <v>-8.7067030555555682</v>
      </c>
      <c r="G464" s="60" t="s">
        <v>9</v>
      </c>
      <c r="H464" s="60" t="s">
        <v>5042</v>
      </c>
    </row>
    <row r="465" spans="1:8">
      <c r="A465" s="59" t="s">
        <v>2196</v>
      </c>
      <c r="B465" s="62">
        <v>7</v>
      </c>
      <c r="C465" s="60" t="s">
        <v>5048</v>
      </c>
      <c r="D465" s="64">
        <f>IFERROR(VLOOKUP(C465,測定点マスタ!$E$2:$F$28,2,FALSE)/VLOOKUP(A465,'焼鈍条件-3CGL'!$A$2:$B$197,2,FALSE)*60,"")</f>
        <v>34.237988604629045</v>
      </c>
      <c r="E465" s="66">
        <v>708.6</v>
      </c>
      <c r="F465" s="64">
        <f t="shared" si="7"/>
        <v>-11.69461222222221</v>
      </c>
      <c r="G465" s="60" t="s">
        <v>9</v>
      </c>
      <c r="H465" s="60" t="s">
        <v>5042</v>
      </c>
    </row>
    <row r="466" spans="1:8">
      <c r="A466" s="59" t="s">
        <v>2196</v>
      </c>
      <c r="B466" s="62">
        <v>8</v>
      </c>
      <c r="C466" s="60" t="s">
        <v>5049</v>
      </c>
      <c r="D466" s="64">
        <f>IFERROR(VLOOKUP(C466,測定点マスタ!$E$2:$F$28,2,FALSE)/VLOOKUP(A466,'焼鈍条件-3CGL'!$A$2:$B$197,2,FALSE)*60,"")</f>
        <v>37.869290426332121</v>
      </c>
      <c r="E466" s="66">
        <v>580.79999999999995</v>
      </c>
      <c r="F466" s="64">
        <f t="shared" si="7"/>
        <v>-35.193990000000063</v>
      </c>
      <c r="G466" s="60" t="s">
        <v>9</v>
      </c>
      <c r="H466" s="60" t="s">
        <v>5042</v>
      </c>
    </row>
    <row r="467" spans="1:8">
      <c r="A467" s="59" t="s">
        <v>2196</v>
      </c>
      <c r="B467" s="62">
        <v>9</v>
      </c>
      <c r="C467" s="60" t="s">
        <v>5050</v>
      </c>
      <c r="D467" s="64">
        <f>IFERROR(VLOOKUP(C467,測定点マスタ!$E$2:$F$28,2,FALSE)/VLOOKUP(A467,'焼鈍条件-3CGL'!$A$2:$B$197,2,FALSE)*60,"")</f>
        <v>42.019349651135649</v>
      </c>
      <c r="E467" s="66">
        <v>472.3</v>
      </c>
      <c r="F467" s="64">
        <f t="shared" si="7"/>
        <v>-26.144205208333275</v>
      </c>
      <c r="G467" s="60" t="s">
        <v>9</v>
      </c>
      <c r="H467" s="60" t="s">
        <v>5042</v>
      </c>
    </row>
    <row r="468" spans="1:8">
      <c r="A468" s="59" t="s">
        <v>2196</v>
      </c>
      <c r="B468" s="62">
        <v>10</v>
      </c>
      <c r="C468" s="60" t="s">
        <v>5051</v>
      </c>
      <c r="D468" s="64">
        <f>IFERROR(VLOOKUP(C468,測定点マスタ!$E$2:$F$28,2,FALSE)/VLOOKUP(A468,'焼鈍条件-3CGL'!$A$2:$B$197,2,FALSE)*60,"")</f>
        <v>45.650651472838724</v>
      </c>
      <c r="E468" s="66">
        <v>462.6</v>
      </c>
      <c r="F468" s="64">
        <f t="shared" si="7"/>
        <v>-2.6712183333333335</v>
      </c>
      <c r="G468" s="60" t="s">
        <v>9</v>
      </c>
      <c r="H468" s="60" t="s">
        <v>5042</v>
      </c>
    </row>
    <row r="469" spans="1:8">
      <c r="A469" s="59" t="s">
        <v>2196</v>
      </c>
      <c r="B469" s="62">
        <v>11</v>
      </c>
      <c r="C469" s="60" t="s">
        <v>5052</v>
      </c>
      <c r="D469" s="64">
        <f>IFERROR(VLOOKUP(C469,測定点マスタ!$E$2:$F$28,2,FALSE)/VLOOKUP(A469,'焼鈍条件-3CGL'!$A$2:$B$197,2,FALSE)*60,"")</f>
        <v>50.319468100742689</v>
      </c>
      <c r="E469" s="66">
        <v>363</v>
      </c>
      <c r="F469" s="64">
        <f t="shared" si="7"/>
        <v>-21.333028888888876</v>
      </c>
      <c r="G469" s="60" t="s">
        <v>9</v>
      </c>
      <c r="H469" s="60" t="s">
        <v>5042</v>
      </c>
    </row>
    <row r="470" spans="1:8">
      <c r="A470" s="59" t="s">
        <v>2196</v>
      </c>
      <c r="B470" s="62">
        <v>12</v>
      </c>
      <c r="C470" s="60" t="s">
        <v>5053</v>
      </c>
      <c r="D470" s="64">
        <f>IFERROR(VLOOKUP(C470,測定点マスタ!$E$2:$F$28,2,FALSE)/VLOOKUP(A470,'焼鈍条件-3CGL'!$A$2:$B$197,2,FALSE)*60,"")</f>
        <v>56.544556937947966</v>
      </c>
      <c r="E470" s="66">
        <v>507.1</v>
      </c>
      <c r="F470" s="64">
        <f t="shared" si="7"/>
        <v>23.148264027777795</v>
      </c>
      <c r="G470" s="60" t="s">
        <v>9</v>
      </c>
      <c r="H470" s="60" t="s">
        <v>5042</v>
      </c>
    </row>
    <row r="471" spans="1:8">
      <c r="A471" s="59" t="s">
        <v>2196</v>
      </c>
      <c r="B471" s="62">
        <v>13</v>
      </c>
      <c r="C471" s="60" t="s">
        <v>5054</v>
      </c>
      <c r="D471" s="64">
        <f>IFERROR(VLOOKUP(C471,測定点マスタ!$E$2:$F$28,2,FALSE)/VLOOKUP(A471,'焼鈍条件-3CGL'!$A$2:$B$197,2,FALSE)*60,"")</f>
        <v>63.288403178253688</v>
      </c>
      <c r="E471" s="66">
        <v>497.1</v>
      </c>
      <c r="F471" s="64">
        <f t="shared" si="7"/>
        <v>-1.4828333333333332</v>
      </c>
      <c r="G471" s="60" t="s">
        <v>9</v>
      </c>
      <c r="H471" s="60" t="s">
        <v>5042</v>
      </c>
    </row>
    <row r="472" spans="1:8">
      <c r="A472" s="59" t="s">
        <v>2196</v>
      </c>
      <c r="B472" s="62">
        <v>14</v>
      </c>
      <c r="C472" s="60" t="s">
        <v>5056</v>
      </c>
      <c r="D472" s="64">
        <f>IFERROR(VLOOKUP(C472,測定点マスタ!$E$2:$F$28,2,FALSE)/VLOOKUP(A472,'焼鈍条件-3CGL'!$A$2:$B$197,2,FALSE)*60,"")</f>
        <v>68.994734612358528</v>
      </c>
      <c r="E472" s="66">
        <v>258.8</v>
      </c>
      <c r="F472" s="64">
        <f t="shared" si="7"/>
        <v>-41.760630757575768</v>
      </c>
      <c r="G472" s="60" t="s">
        <v>9</v>
      </c>
      <c r="H472" s="60" t="s">
        <v>5042</v>
      </c>
    </row>
    <row r="473" spans="1:8">
      <c r="A473" s="59" t="s">
        <v>2196</v>
      </c>
      <c r="B473" s="62">
        <v>15</v>
      </c>
      <c r="C473" s="60" t="s">
        <v>5057</v>
      </c>
      <c r="D473" s="64">
        <f>IFERROR(VLOOKUP(C473,測定点マスタ!$E$2:$F$28,2,FALSE)/VLOOKUP(A473,'焼鈍条件-3CGL'!$A$2:$B$197,2,FALSE)*60,"")</f>
        <v>85.539390361240351</v>
      </c>
      <c r="E473" s="66">
        <v>219.9</v>
      </c>
      <c r="F473" s="64">
        <f t="shared" si="7"/>
        <v>-2.3512124150802642</v>
      </c>
      <c r="G473" s="60" t="s">
        <v>9</v>
      </c>
      <c r="H473" s="60" t="s">
        <v>5042</v>
      </c>
    </row>
    <row r="474" spans="1:8">
      <c r="A474" s="59" t="s">
        <v>2196</v>
      </c>
      <c r="B474" s="62">
        <v>16</v>
      </c>
      <c r="C474" s="60" t="s">
        <v>5059</v>
      </c>
      <c r="D474" s="64">
        <f>IFERROR(VLOOKUP(C474,測定点マスタ!$E$2:$F$28,2,FALSE)/VLOOKUP(A474,'焼鈍条件-3CGL'!$A$2:$B$197,2,FALSE)*60,"")</f>
        <v>91.801533298667309</v>
      </c>
      <c r="E474" s="66">
        <v>72.599999999999994</v>
      </c>
      <c r="F474" s="64">
        <f t="shared" si="7"/>
        <v>-23.522299230768418</v>
      </c>
      <c r="G474" s="60" t="s">
        <v>9</v>
      </c>
      <c r="H474" s="60" t="s">
        <v>5042</v>
      </c>
    </row>
    <row r="475" spans="1:8">
      <c r="A475" s="59" t="s">
        <v>2209</v>
      </c>
      <c r="B475" s="62">
        <v>1</v>
      </c>
      <c r="C475" s="60" t="s">
        <v>5041</v>
      </c>
      <c r="D475" s="64">
        <f>IFERROR(VLOOKUP(C475,測定点マスタ!$E$2:$F$28,2,FALSE)/VLOOKUP(A475,'焼鈍条件-3CGL'!$A$2:$B$197,2,FALSE)*60,"")</f>
        <v>0</v>
      </c>
      <c r="E475" s="66">
        <v>36.799999999999997</v>
      </c>
      <c r="F475" s="64" t="str">
        <f t="shared" si="7"/>
        <v/>
      </c>
      <c r="G475" s="60" t="s">
        <v>12</v>
      </c>
      <c r="H475" s="60" t="s">
        <v>5061</v>
      </c>
    </row>
    <row r="476" spans="1:8">
      <c r="A476" s="59" t="s">
        <v>2209</v>
      </c>
      <c r="B476" s="62">
        <v>2</v>
      </c>
      <c r="C476" s="60" t="s">
        <v>5043</v>
      </c>
      <c r="D476" s="64">
        <f>IFERROR(VLOOKUP(C476,測定点マスタ!$E$2:$F$28,2,FALSE)/VLOOKUP(A476,'焼鈍条件-3CGL'!$A$2:$B$197,2,FALSE)*60,"")</f>
        <v>8.4948936250542726</v>
      </c>
      <c r="E476" s="66">
        <v>160.80000000000001</v>
      </c>
      <c r="F476" s="64">
        <f t="shared" si="7"/>
        <v>14.597004444444448</v>
      </c>
      <c r="G476" s="60" t="s">
        <v>12</v>
      </c>
      <c r="H476" s="60" t="s">
        <v>5061</v>
      </c>
    </row>
    <row r="477" spans="1:8">
      <c r="A477" s="59" t="s">
        <v>2209</v>
      </c>
      <c r="B477" s="62">
        <v>3</v>
      </c>
      <c r="C477" s="60" t="s">
        <v>5067</v>
      </c>
      <c r="D477" s="64">
        <f>IFERROR(VLOOKUP(C477,測定点マスタ!$E$2:$F$28,2,FALSE)/VLOOKUP(A477,'焼鈍条件-3CGL'!$A$2:$B$197,2,FALSE)*60,"")</f>
        <v>14.158156041757122</v>
      </c>
      <c r="E477" s="66">
        <v>374.8</v>
      </c>
      <c r="F477" s="64">
        <f t="shared" si="7"/>
        <v>37.787406666666662</v>
      </c>
      <c r="G477" s="60" t="s">
        <v>12</v>
      </c>
      <c r="H477" s="60" t="s">
        <v>5061</v>
      </c>
    </row>
    <row r="478" spans="1:8">
      <c r="A478" s="59" t="s">
        <v>2209</v>
      </c>
      <c r="B478" s="62">
        <v>4</v>
      </c>
      <c r="C478" s="60" t="s">
        <v>5044</v>
      </c>
      <c r="D478" s="64">
        <f>IFERROR(VLOOKUP(C478,測定点マスタ!$E$2:$F$28,2,FALSE)/VLOOKUP(A478,'焼鈍条件-3CGL'!$A$2:$B$197,2,FALSE)*60,"")</f>
        <v>19.255092216789684</v>
      </c>
      <c r="E478" s="66">
        <v>662.3</v>
      </c>
      <c r="F478" s="64">
        <f t="shared" si="7"/>
        <v>56.406435185185195</v>
      </c>
      <c r="G478" s="60" t="s">
        <v>12</v>
      </c>
      <c r="H478" s="60" t="s">
        <v>5061</v>
      </c>
    </row>
    <row r="479" spans="1:8">
      <c r="A479" s="59" t="s">
        <v>2209</v>
      </c>
      <c r="B479" s="62">
        <v>5</v>
      </c>
      <c r="C479" s="60" t="s">
        <v>5045</v>
      </c>
      <c r="D479" s="64">
        <f>IFERROR(VLOOKUP(C479,測定点マスタ!$E$2:$F$28,2,FALSE)/VLOOKUP(A479,'焼鈍条件-3CGL'!$A$2:$B$197,2,FALSE)*60,"")</f>
        <v>24.918354633492534</v>
      </c>
      <c r="E479" s="66">
        <v>816.5</v>
      </c>
      <c r="F479" s="64">
        <f t="shared" si="7"/>
        <v>27.228122000000003</v>
      </c>
      <c r="G479" s="60" t="s">
        <v>12</v>
      </c>
      <c r="H479" s="60" t="s">
        <v>5061</v>
      </c>
    </row>
    <row r="480" spans="1:8">
      <c r="A480" s="59" t="s">
        <v>2209</v>
      </c>
      <c r="B480" s="62">
        <v>6</v>
      </c>
      <c r="C480" s="60" t="s">
        <v>5047</v>
      </c>
      <c r="D480" s="64">
        <f>IFERROR(VLOOKUP(C480,測定点マスタ!$E$2:$F$28,2,FALSE)/VLOOKUP(A480,'焼鈍条件-3CGL'!$A$2:$B$197,2,FALSE)*60,"")</f>
        <v>33.97957450021709</v>
      </c>
      <c r="E480" s="66">
        <v>728.1</v>
      </c>
      <c r="F480" s="64">
        <f t="shared" si="7"/>
        <v>-9.7558608333333314</v>
      </c>
      <c r="G480" s="60" t="s">
        <v>12</v>
      </c>
      <c r="H480" s="60" t="s">
        <v>5061</v>
      </c>
    </row>
    <row r="481" spans="1:8">
      <c r="A481" s="59" t="s">
        <v>2209</v>
      </c>
      <c r="B481" s="62">
        <v>7</v>
      </c>
      <c r="C481" s="60" t="s">
        <v>5049</v>
      </c>
      <c r="D481" s="64">
        <f>IFERROR(VLOOKUP(C481,測定点マスタ!$E$2:$F$28,2,FALSE)/VLOOKUP(A481,'焼鈍条件-3CGL'!$A$2:$B$197,2,FALSE)*60,"")</f>
        <v>41.341815641930793</v>
      </c>
      <c r="E481" s="66">
        <v>620.20000000000005</v>
      </c>
      <c r="F481" s="64">
        <f t="shared" si="7"/>
        <v>-14.655863333333331</v>
      </c>
      <c r="G481" s="60" t="s">
        <v>12</v>
      </c>
      <c r="H481" s="60" t="s">
        <v>5061</v>
      </c>
    </row>
    <row r="482" spans="1:8">
      <c r="A482" s="59" t="s">
        <v>2209</v>
      </c>
      <c r="B482" s="62">
        <v>8</v>
      </c>
      <c r="C482" s="60" t="s">
        <v>5050</v>
      </c>
      <c r="D482" s="64">
        <f>IFERROR(VLOOKUP(C482,測定点マスタ!$E$2:$F$28,2,FALSE)/VLOOKUP(A482,'焼鈍条件-3CGL'!$A$2:$B$197,2,FALSE)*60,"")</f>
        <v>45.872425575293079</v>
      </c>
      <c r="E482" s="66">
        <v>478</v>
      </c>
      <c r="F482" s="64">
        <f t="shared" si="7"/>
        <v>-31.386502499999967</v>
      </c>
      <c r="G482" s="60" t="s">
        <v>12</v>
      </c>
      <c r="H482" s="60" t="s">
        <v>5061</v>
      </c>
    </row>
    <row r="483" spans="1:8">
      <c r="A483" s="59" t="s">
        <v>2209</v>
      </c>
      <c r="B483" s="62">
        <v>9</v>
      </c>
      <c r="C483" s="60" t="s">
        <v>5051</v>
      </c>
      <c r="D483" s="64">
        <f>IFERROR(VLOOKUP(C483,測定点マスタ!$E$2:$F$28,2,FALSE)/VLOOKUP(A483,'焼鈍条件-3CGL'!$A$2:$B$197,2,FALSE)*60,"")</f>
        <v>49.836709266985068</v>
      </c>
      <c r="E483" s="66">
        <v>444.3</v>
      </c>
      <c r="F483" s="64">
        <f t="shared" si="7"/>
        <v>-8.5009052380952461</v>
      </c>
      <c r="G483" s="60" t="s">
        <v>12</v>
      </c>
      <c r="H483" s="60" t="s">
        <v>5061</v>
      </c>
    </row>
    <row r="484" spans="1:8">
      <c r="A484" s="59" t="s">
        <v>2209</v>
      </c>
      <c r="B484" s="62">
        <v>10</v>
      </c>
      <c r="C484" s="60" t="s">
        <v>5060</v>
      </c>
      <c r="D484" s="64">
        <f>IFERROR(VLOOKUP(C484,測定点マスタ!$E$2:$F$28,2,FALSE)/VLOOKUP(A484,'焼鈍条件-3CGL'!$A$2:$B$197,2,FALSE)*60,"")</f>
        <v>52.10201423366621</v>
      </c>
      <c r="E484" s="66">
        <v>390.3</v>
      </c>
      <c r="F484" s="64">
        <f t="shared" si="7"/>
        <v>-23.837849999999968</v>
      </c>
      <c r="G484" s="60" t="s">
        <v>12</v>
      </c>
      <c r="H484" s="60" t="s">
        <v>5061</v>
      </c>
    </row>
    <row r="485" spans="1:8">
      <c r="A485" s="59" t="s">
        <v>2209</v>
      </c>
      <c r="B485" s="62">
        <v>11</v>
      </c>
      <c r="C485" s="60" t="s">
        <v>5052</v>
      </c>
      <c r="D485" s="64">
        <f>IFERROR(VLOOKUP(C485,測定点マスタ!$E$2:$F$28,2,FALSE)/VLOOKUP(A485,'焼鈍条件-3CGL'!$A$2:$B$197,2,FALSE)*60,"")</f>
        <v>54.933645442017628</v>
      </c>
      <c r="E485" s="66">
        <v>364.2</v>
      </c>
      <c r="F485" s="64">
        <f t="shared" si="7"/>
        <v>-9.2173020000000303</v>
      </c>
      <c r="G485" s="60" t="s">
        <v>12</v>
      </c>
      <c r="H485" s="60" t="s">
        <v>5061</v>
      </c>
    </row>
    <row r="486" spans="1:8">
      <c r="A486" s="59" t="s">
        <v>2209</v>
      </c>
      <c r="B486" s="62">
        <v>12</v>
      </c>
      <c r="C486" s="60" t="s">
        <v>5069</v>
      </c>
      <c r="D486" s="64">
        <f>IFERROR(VLOOKUP(C486,測定点マスタ!$E$2:$F$28,2,FALSE)/VLOOKUP(A486,'焼鈍条件-3CGL'!$A$2:$B$197,2,FALSE)*60,"")</f>
        <v>58.897929133709624</v>
      </c>
      <c r="E486" s="66">
        <v>527.4</v>
      </c>
      <c r="F486" s="64">
        <f t="shared" si="7"/>
        <v>41.167588571428546</v>
      </c>
      <c r="G486" s="60" t="s">
        <v>12</v>
      </c>
      <c r="H486" s="60" t="s">
        <v>5061</v>
      </c>
    </row>
    <row r="487" spans="1:8">
      <c r="A487" s="59" t="s">
        <v>2209</v>
      </c>
      <c r="B487" s="62">
        <v>13</v>
      </c>
      <c r="C487" s="60" t="s">
        <v>5053</v>
      </c>
      <c r="D487" s="64">
        <f>IFERROR(VLOOKUP(C487,測定点マスタ!$E$2:$F$28,2,FALSE)/VLOOKUP(A487,'焼鈍条件-3CGL'!$A$2:$B$197,2,FALSE)*60,"")</f>
        <v>61.729560342061049</v>
      </c>
      <c r="E487" s="66">
        <v>527.29999999999995</v>
      </c>
      <c r="F487" s="64">
        <f t="shared" si="7"/>
        <v>-3.5315333333341359E-2</v>
      </c>
      <c r="G487" s="60" t="s">
        <v>12</v>
      </c>
      <c r="H487" s="60" t="s">
        <v>5061</v>
      </c>
    </row>
    <row r="488" spans="1:8">
      <c r="A488" s="59" t="s">
        <v>2209</v>
      </c>
      <c r="B488" s="62">
        <v>14</v>
      </c>
      <c r="C488" s="60" t="s">
        <v>5054</v>
      </c>
      <c r="D488" s="64">
        <f>IFERROR(VLOOKUP(C488,測定点マスタ!$E$2:$F$28,2,FALSE)/VLOOKUP(A488,'焼鈍条件-3CGL'!$A$2:$B$197,2,FALSE)*60,"")</f>
        <v>69.091801483774759</v>
      </c>
      <c r="E488" s="66">
        <v>522.29999999999995</v>
      </c>
      <c r="F488" s="64">
        <f t="shared" si="7"/>
        <v>-0.67914102564102496</v>
      </c>
      <c r="G488" s="60" t="s">
        <v>12</v>
      </c>
      <c r="H488" s="60" t="s">
        <v>5061</v>
      </c>
    </row>
    <row r="489" spans="1:8">
      <c r="A489" s="59" t="s">
        <v>2209</v>
      </c>
      <c r="B489" s="62">
        <v>15</v>
      </c>
      <c r="C489" s="60" t="s">
        <v>5056</v>
      </c>
      <c r="D489" s="64">
        <f>IFERROR(VLOOKUP(C489,測定点マスタ!$E$2:$F$28,2,FALSE)/VLOOKUP(A489,'焼鈍条件-3CGL'!$A$2:$B$197,2,FALSE)*60,"")</f>
        <v>75.321390142147891</v>
      </c>
      <c r="E489" s="66">
        <v>274.7</v>
      </c>
      <c r="F489" s="64">
        <f t="shared" si="7"/>
        <v>-39.745802424242427</v>
      </c>
      <c r="G489" s="60" t="s">
        <v>12</v>
      </c>
      <c r="H489" s="60" t="s">
        <v>5061</v>
      </c>
    </row>
    <row r="490" spans="1:8">
      <c r="A490" s="59" t="s">
        <v>2209</v>
      </c>
      <c r="B490" s="62">
        <v>16</v>
      </c>
      <c r="C490" s="60" t="s">
        <v>5062</v>
      </c>
      <c r="D490" s="64">
        <f>IFERROR(VLOOKUP(C490,測定点マスタ!$E$2:$F$28,2,FALSE)/VLOOKUP(A490,'焼鈍条件-3CGL'!$A$2:$B$197,2,FALSE)*60,"")</f>
        <v>82.117305042191305</v>
      </c>
      <c r="E490" s="66">
        <v>466.1</v>
      </c>
      <c r="F490" s="64">
        <f t="shared" si="7"/>
        <v>28.163978333333358</v>
      </c>
      <c r="G490" s="60" t="s">
        <v>12</v>
      </c>
      <c r="H490" s="60" t="s">
        <v>5061</v>
      </c>
    </row>
    <row r="491" spans="1:8">
      <c r="A491" s="59" t="s">
        <v>2209</v>
      </c>
      <c r="B491" s="62">
        <v>17</v>
      </c>
      <c r="C491" s="60" t="s">
        <v>5057</v>
      </c>
      <c r="D491" s="64">
        <f>IFERROR(VLOOKUP(C491,測定点マスタ!$E$2:$F$28,2,FALSE)/VLOOKUP(A491,'焼鈍条件-3CGL'!$A$2:$B$197,2,FALSE)*60,"")</f>
        <v>93.383152063989399</v>
      </c>
      <c r="E491" s="66">
        <v>206.1</v>
      </c>
      <c r="F491" s="64">
        <f t="shared" si="7"/>
        <v>-23.078602034709903</v>
      </c>
      <c r="G491" s="60" t="s">
        <v>12</v>
      </c>
      <c r="H491" s="60" t="s">
        <v>5061</v>
      </c>
    </row>
    <row r="492" spans="1:8">
      <c r="A492" s="59" t="s">
        <v>2209</v>
      </c>
      <c r="B492" s="62">
        <v>18</v>
      </c>
      <c r="C492" s="60" t="s">
        <v>5058</v>
      </c>
      <c r="D492" s="64">
        <f>IFERROR(VLOOKUP(C492,測定点マスタ!$E$2:$F$28,2,FALSE)/VLOOKUP(A492,'焼鈍条件-3CGL'!$A$2:$B$197,2,FALSE)*60,"")</f>
        <v>96.801335451213447</v>
      </c>
      <c r="E492" s="66">
        <v>121.2</v>
      </c>
      <c r="F492" s="64">
        <f t="shared" si="7"/>
        <v>-24.837754556214264</v>
      </c>
      <c r="G492" s="60" t="s">
        <v>12</v>
      </c>
      <c r="H492" s="60" t="s">
        <v>5061</v>
      </c>
    </row>
    <row r="493" spans="1:8">
      <c r="A493" s="59" t="s">
        <v>2209</v>
      </c>
      <c r="B493" s="62">
        <v>19</v>
      </c>
      <c r="C493" s="60" t="s">
        <v>5059</v>
      </c>
      <c r="D493" s="64">
        <f>IFERROR(VLOOKUP(C493,測定点マスタ!$E$2:$F$28,2,FALSE)/VLOOKUP(A493,'焼鈍条件-3CGL'!$A$2:$B$197,2,FALSE)*60,"")</f>
        <v>100.21951883843808</v>
      </c>
      <c r="E493" s="66">
        <v>36.299999999999997</v>
      </c>
      <c r="F493" s="64">
        <f t="shared" si="7"/>
        <v>-24.837754556210033</v>
      </c>
      <c r="G493" s="60" t="s">
        <v>12</v>
      </c>
      <c r="H493" s="60" t="s">
        <v>5061</v>
      </c>
    </row>
    <row r="494" spans="1:8">
      <c r="A494" s="59" t="s">
        <v>2232</v>
      </c>
      <c r="B494" s="62">
        <v>1</v>
      </c>
      <c r="C494" s="60" t="s">
        <v>5041</v>
      </c>
      <c r="D494" s="64">
        <f>IFERROR(VLOOKUP(C494,測定点マスタ!$E$2:$F$28,2,FALSE)/VLOOKUP(A494,'焼鈍条件-3CGL'!$A$2:$B$197,2,FALSE)*60,"")</f>
        <v>0</v>
      </c>
      <c r="E494" s="66">
        <v>33.6</v>
      </c>
      <c r="F494" s="64" t="str">
        <f t="shared" si="7"/>
        <v/>
      </c>
      <c r="G494" s="60" t="s">
        <v>9</v>
      </c>
      <c r="H494" s="60" t="s">
        <v>5064</v>
      </c>
    </row>
    <row r="495" spans="1:8">
      <c r="A495" s="59" t="s">
        <v>2232</v>
      </c>
      <c r="B495" s="62">
        <v>2</v>
      </c>
      <c r="C495" s="60" t="s">
        <v>5043</v>
      </c>
      <c r="D495" s="64">
        <f>IFERROR(VLOOKUP(C495,測定点マスタ!$E$2:$F$28,2,FALSE)/VLOOKUP(A495,'焼鈍条件-3CGL'!$A$2:$B$197,2,FALSE)*60,"")</f>
        <v>7.6432471911066564</v>
      </c>
      <c r="E495" s="66">
        <v>192.6</v>
      </c>
      <c r="F495" s="64">
        <f t="shared" si="7"/>
        <v>20.80267666666667</v>
      </c>
      <c r="G495" s="60" t="s">
        <v>9</v>
      </c>
      <c r="H495" s="60" t="s">
        <v>5064</v>
      </c>
    </row>
    <row r="496" spans="1:8">
      <c r="A496" s="59" t="s">
        <v>2232</v>
      </c>
      <c r="B496" s="62">
        <v>3</v>
      </c>
      <c r="C496" s="60" t="s">
        <v>5044</v>
      </c>
      <c r="D496" s="64">
        <f>IFERROR(VLOOKUP(C496,測定点マスタ!$E$2:$F$28,2,FALSE)/VLOOKUP(A496,'焼鈍条件-3CGL'!$A$2:$B$197,2,FALSE)*60,"")</f>
        <v>17.324693633175087</v>
      </c>
      <c r="E496" s="66">
        <v>659.6</v>
      </c>
      <c r="F496" s="64">
        <f t="shared" si="7"/>
        <v>48.236593859649133</v>
      </c>
      <c r="G496" s="60" t="s">
        <v>9</v>
      </c>
      <c r="H496" s="60" t="s">
        <v>5064</v>
      </c>
    </row>
    <row r="497" spans="1:8">
      <c r="A497" s="59" t="s">
        <v>2232</v>
      </c>
      <c r="B497" s="62">
        <v>4</v>
      </c>
      <c r="C497" s="60" t="s">
        <v>5045</v>
      </c>
      <c r="D497" s="64">
        <f>IFERROR(VLOOKUP(C497,測定点マスタ!$E$2:$F$28,2,FALSE)/VLOOKUP(A497,'焼鈍条件-3CGL'!$A$2:$B$197,2,FALSE)*60,"")</f>
        <v>22.420191760579527</v>
      </c>
      <c r="E497" s="66">
        <v>799.8</v>
      </c>
      <c r="F497" s="64">
        <f t="shared" si="7"/>
        <v>27.514483666666642</v>
      </c>
      <c r="G497" s="60" t="s">
        <v>9</v>
      </c>
      <c r="H497" s="60" t="s">
        <v>5064</v>
      </c>
    </row>
    <row r="498" spans="1:8">
      <c r="A498" s="59" t="s">
        <v>2232</v>
      </c>
      <c r="B498" s="62">
        <v>5</v>
      </c>
      <c r="C498" s="60" t="s">
        <v>5046</v>
      </c>
      <c r="D498" s="64">
        <f>IFERROR(VLOOKUP(C498,測定点マスタ!$E$2:$F$28,2,FALSE)/VLOOKUP(A498,'焼鈍条件-3CGL'!$A$2:$B$197,2,FALSE)*60,"")</f>
        <v>27.515689887983964</v>
      </c>
      <c r="E498" s="66">
        <v>762.1</v>
      </c>
      <c r="F498" s="64">
        <f t="shared" si="7"/>
        <v>-7.3986878333333221</v>
      </c>
      <c r="G498" s="60" t="s">
        <v>9</v>
      </c>
      <c r="H498" s="60" t="s">
        <v>5064</v>
      </c>
    </row>
    <row r="499" spans="1:8">
      <c r="A499" s="59" t="s">
        <v>2232</v>
      </c>
      <c r="B499" s="62">
        <v>6</v>
      </c>
      <c r="C499" s="60" t="s">
        <v>5047</v>
      </c>
      <c r="D499" s="64">
        <f>IFERROR(VLOOKUP(C499,測定点マスタ!$E$2:$F$28,2,FALSE)/VLOOKUP(A499,'焼鈍条件-3CGL'!$A$2:$B$197,2,FALSE)*60,"")</f>
        <v>30.572988764426626</v>
      </c>
      <c r="E499" s="66">
        <v>732.7</v>
      </c>
      <c r="F499" s="64">
        <f t="shared" si="7"/>
        <v>-9.6163316666666621</v>
      </c>
      <c r="G499" s="60" t="s">
        <v>9</v>
      </c>
      <c r="H499" s="60" t="s">
        <v>5064</v>
      </c>
    </row>
    <row r="500" spans="1:8">
      <c r="A500" s="59" t="s">
        <v>2232</v>
      </c>
      <c r="B500" s="62">
        <v>7</v>
      </c>
      <c r="C500" s="60" t="s">
        <v>5049</v>
      </c>
      <c r="D500" s="64">
        <f>IFERROR(VLOOKUP(C500,測定点マスタ!$E$2:$F$28,2,FALSE)/VLOOKUP(A500,'焼鈍条件-3CGL'!$A$2:$B$197,2,FALSE)*60,"")</f>
        <v>37.197136330052402</v>
      </c>
      <c r="E500" s="66">
        <v>598.5</v>
      </c>
      <c r="F500" s="64">
        <f t="shared" si="7"/>
        <v>-20.259210512820498</v>
      </c>
      <c r="G500" s="60" t="s">
        <v>9</v>
      </c>
      <c r="H500" s="60" t="s">
        <v>5064</v>
      </c>
    </row>
    <row r="501" spans="1:8">
      <c r="A501" s="59" t="s">
        <v>2232</v>
      </c>
      <c r="B501" s="62">
        <v>8</v>
      </c>
      <c r="C501" s="60" t="s">
        <v>5050</v>
      </c>
      <c r="D501" s="64">
        <f>IFERROR(VLOOKUP(C501,測定点マスタ!$E$2:$F$28,2,FALSE)/VLOOKUP(A501,'焼鈍条件-3CGL'!$A$2:$B$197,2,FALSE)*60,"")</f>
        <v>41.273534831975944</v>
      </c>
      <c r="E501" s="66">
        <v>461.2</v>
      </c>
      <c r="F501" s="64">
        <f t="shared" si="7"/>
        <v>-33.681692291666742</v>
      </c>
      <c r="G501" s="60" t="s">
        <v>9</v>
      </c>
      <c r="H501" s="60" t="s">
        <v>5064</v>
      </c>
    </row>
    <row r="502" spans="1:8">
      <c r="A502" s="59" t="s">
        <v>2232</v>
      </c>
      <c r="B502" s="62">
        <v>9</v>
      </c>
      <c r="C502" s="60" t="s">
        <v>5051</v>
      </c>
      <c r="D502" s="64">
        <f>IFERROR(VLOOKUP(C502,測定点マスタ!$E$2:$F$28,2,FALSE)/VLOOKUP(A502,'焼鈍条件-3CGL'!$A$2:$B$197,2,FALSE)*60,"")</f>
        <v>44.840383521159055</v>
      </c>
      <c r="E502" s="66">
        <v>463.8</v>
      </c>
      <c r="F502" s="64">
        <f t="shared" si="7"/>
        <v>0.72893476190476747</v>
      </c>
      <c r="G502" s="60" t="s">
        <v>9</v>
      </c>
      <c r="H502" s="60" t="s">
        <v>5064</v>
      </c>
    </row>
    <row r="503" spans="1:8">
      <c r="A503" s="59" t="s">
        <v>2232</v>
      </c>
      <c r="B503" s="62">
        <v>10</v>
      </c>
      <c r="C503" s="60" t="s">
        <v>5052</v>
      </c>
      <c r="D503" s="64">
        <f>IFERROR(VLOOKUP(C503,測定点マスタ!$E$2:$F$28,2,FALSE)/VLOOKUP(A503,'焼鈍条件-3CGL'!$A$2:$B$197,2,FALSE)*60,"")</f>
        <v>49.426331835823042</v>
      </c>
      <c r="E503" s="66">
        <v>344.2</v>
      </c>
      <c r="F503" s="64">
        <f t="shared" si="7"/>
        <v>-26.079665925925969</v>
      </c>
      <c r="G503" s="60" t="s">
        <v>9</v>
      </c>
      <c r="H503" s="60" t="s">
        <v>5064</v>
      </c>
    </row>
    <row r="504" spans="1:8">
      <c r="A504" s="59" t="s">
        <v>2232</v>
      </c>
      <c r="B504" s="62">
        <v>11</v>
      </c>
      <c r="C504" s="60" t="s">
        <v>5053</v>
      </c>
      <c r="D504" s="64">
        <f>IFERROR(VLOOKUP(C504,測定点マスタ!$E$2:$F$28,2,FALSE)/VLOOKUP(A504,'焼鈍条件-3CGL'!$A$2:$B$197,2,FALSE)*60,"")</f>
        <v>55.540929588708373</v>
      </c>
      <c r="E504" s="66">
        <v>533.4</v>
      </c>
      <c r="F504" s="64">
        <f t="shared" si="7"/>
        <v>30.942346111111085</v>
      </c>
      <c r="G504" s="60" t="s">
        <v>9</v>
      </c>
      <c r="H504" s="60" t="s">
        <v>5064</v>
      </c>
    </row>
    <row r="505" spans="1:8">
      <c r="A505" s="59" t="s">
        <v>2232</v>
      </c>
      <c r="B505" s="62">
        <v>12</v>
      </c>
      <c r="C505" s="60" t="s">
        <v>5054</v>
      </c>
      <c r="D505" s="64">
        <f>IFERROR(VLOOKUP(C505,測定点マスタ!$E$2:$F$28,2,FALSE)/VLOOKUP(A505,'焼鈍条件-3CGL'!$A$2:$B$197,2,FALSE)*60,"")</f>
        <v>62.165077154334142</v>
      </c>
      <c r="E505" s="66">
        <v>519.20000000000005</v>
      </c>
      <c r="F505" s="64">
        <f t="shared" si="7"/>
        <v>-2.1436720512820413</v>
      </c>
      <c r="G505" s="60" t="s">
        <v>9</v>
      </c>
      <c r="H505" s="60" t="s">
        <v>5064</v>
      </c>
    </row>
    <row r="506" spans="1:8">
      <c r="A506" s="59" t="s">
        <v>2232</v>
      </c>
      <c r="B506" s="62">
        <v>13</v>
      </c>
      <c r="C506" s="60" t="s">
        <v>5056</v>
      </c>
      <c r="D506" s="64">
        <f>IFERROR(VLOOKUP(C506,測定点マスタ!$E$2:$F$28,2,FALSE)/VLOOKUP(A506,'焼鈍条件-3CGL'!$A$2:$B$197,2,FALSE)*60,"")</f>
        <v>67.770125094479027</v>
      </c>
      <c r="E506" s="66">
        <v>280.10000000000002</v>
      </c>
      <c r="F506" s="64">
        <f t="shared" si="7"/>
        <v>-42.657975909090887</v>
      </c>
      <c r="G506" s="60" t="s">
        <v>9</v>
      </c>
      <c r="H506" s="60" t="s">
        <v>5064</v>
      </c>
    </row>
    <row r="507" spans="1:8">
      <c r="A507" s="59" t="s">
        <v>2232</v>
      </c>
      <c r="B507" s="62">
        <v>14</v>
      </c>
      <c r="C507" s="60" t="s">
        <v>5062</v>
      </c>
      <c r="D507" s="64">
        <f>IFERROR(VLOOKUP(C507,測定点マスタ!$E$2:$F$28,2,FALSE)/VLOOKUP(A507,'焼鈍条件-3CGL'!$A$2:$B$197,2,FALSE)*60,"")</f>
        <v>73.884722847364358</v>
      </c>
      <c r="E507" s="66">
        <v>456.3</v>
      </c>
      <c r="F507" s="64">
        <f t="shared" si="7"/>
        <v>28.816286388888862</v>
      </c>
      <c r="G507" s="60" t="s">
        <v>9</v>
      </c>
      <c r="H507" s="60" t="s">
        <v>5064</v>
      </c>
    </row>
    <row r="508" spans="1:8">
      <c r="A508" s="59" t="s">
        <v>2232</v>
      </c>
      <c r="B508" s="62">
        <v>15</v>
      </c>
      <c r="C508" s="60" t="s">
        <v>5065</v>
      </c>
      <c r="D508" s="64">
        <f>IFERROR(VLOOKUP(C508,測定点マスタ!$E$2:$F$28,2,FALSE)/VLOOKUP(A508,'焼鈍条件-3CGL'!$A$2:$B$197,2,FALSE)*60,"")</f>
        <v>74.794633227257847</v>
      </c>
      <c r="E508" s="66">
        <v>542.29999999999995</v>
      </c>
      <c r="F508" s="64">
        <f t="shared" si="7"/>
        <v>94.514802666683281</v>
      </c>
      <c r="G508" s="60" t="s">
        <v>9</v>
      </c>
      <c r="H508" s="60" t="s">
        <v>5064</v>
      </c>
    </row>
    <row r="509" spans="1:8">
      <c r="A509" s="59" t="s">
        <v>2232</v>
      </c>
      <c r="B509" s="62">
        <v>16</v>
      </c>
      <c r="C509" s="60" t="s">
        <v>5066</v>
      </c>
      <c r="D509" s="64">
        <f>IFERROR(VLOOKUP(C509,測定点マスタ!$E$2:$F$28,2,FALSE)/VLOOKUP(A509,'焼鈍条件-3CGL'!$A$2:$B$197,2,FALSE)*60,"")</f>
        <v>77.870130311298752</v>
      </c>
      <c r="E509" s="66">
        <v>534</v>
      </c>
      <c r="F509" s="64">
        <f t="shared" si="7"/>
        <v>-2.6987507297826991</v>
      </c>
      <c r="G509" s="60" t="s">
        <v>9</v>
      </c>
      <c r="H509" s="60" t="s">
        <v>5064</v>
      </c>
    </row>
    <row r="510" spans="1:8">
      <c r="A510" s="59" t="s">
        <v>2232</v>
      </c>
      <c r="B510" s="62">
        <v>17</v>
      </c>
      <c r="C510" s="60" t="s">
        <v>5057</v>
      </c>
      <c r="D510" s="64">
        <f>IFERROR(VLOOKUP(C510,測定点マスタ!$E$2:$F$28,2,FALSE)/VLOOKUP(A510,'焼鈍条件-3CGL'!$A$2:$B$197,2,FALSE)*60,"")</f>
        <v>84.021124479379537</v>
      </c>
      <c r="E510" s="66">
        <v>284.5</v>
      </c>
      <c r="F510" s="64">
        <f t="shared" si="7"/>
        <v>-40.562548619331274</v>
      </c>
      <c r="G510" s="60" t="s">
        <v>9</v>
      </c>
      <c r="H510" s="60" t="s">
        <v>5064</v>
      </c>
    </row>
    <row r="511" spans="1:8">
      <c r="A511" s="59" t="s">
        <v>2232</v>
      </c>
      <c r="B511" s="62">
        <v>18</v>
      </c>
      <c r="C511" s="60" t="s">
        <v>5058</v>
      </c>
      <c r="D511" s="64">
        <f>IFERROR(VLOOKUP(C511,測定点マスタ!$E$2:$F$28,2,FALSE)/VLOOKUP(A511,'焼鈍条件-3CGL'!$A$2:$B$197,2,FALSE)*60,"")</f>
        <v>87.096621563419916</v>
      </c>
      <c r="E511" s="66">
        <v>144.4</v>
      </c>
      <c r="F511" s="64">
        <f t="shared" si="7"/>
        <v>-45.553611715978661</v>
      </c>
      <c r="G511" s="60" t="s">
        <v>9</v>
      </c>
      <c r="H511" s="60" t="s">
        <v>5064</v>
      </c>
    </row>
    <row r="512" spans="1:8">
      <c r="A512" s="59" t="s">
        <v>2232</v>
      </c>
      <c r="B512" s="62">
        <v>19</v>
      </c>
      <c r="C512" s="60" t="s">
        <v>5059</v>
      </c>
      <c r="D512" s="64">
        <f>IFERROR(VLOOKUP(C512,測定点マスタ!$E$2:$F$28,2,FALSE)/VLOOKUP(A512,'焼鈍条件-3CGL'!$A$2:$B$197,2,FALSE)*60,"")</f>
        <v>90.17211864746082</v>
      </c>
      <c r="E512" s="66">
        <v>62.4</v>
      </c>
      <c r="F512" s="64">
        <f t="shared" si="7"/>
        <v>-26.662356607491876</v>
      </c>
      <c r="G512" s="60" t="s">
        <v>9</v>
      </c>
      <c r="H512" s="60" t="s">
        <v>5064</v>
      </c>
    </row>
    <row r="513" spans="1:8">
      <c r="A513" s="59" t="s">
        <v>2249</v>
      </c>
      <c r="B513" s="62">
        <v>1</v>
      </c>
      <c r="C513" s="60" t="s">
        <v>5041</v>
      </c>
      <c r="D513" s="64">
        <f>IFERROR(VLOOKUP(C513,測定点マスタ!$E$2:$F$28,2,FALSE)/VLOOKUP(A513,'焼鈍条件-3CGL'!$A$2:$B$197,2,FALSE)*60,"")</f>
        <v>0</v>
      </c>
      <c r="E513" s="66">
        <v>34.700000000000003</v>
      </c>
      <c r="F513" s="64" t="str">
        <f t="shared" si="7"/>
        <v/>
      </c>
      <c r="G513" s="60" t="s">
        <v>9</v>
      </c>
      <c r="H513" s="60" t="s">
        <v>5061</v>
      </c>
    </row>
    <row r="514" spans="1:8">
      <c r="A514" s="59" t="s">
        <v>2249</v>
      </c>
      <c r="B514" s="62">
        <v>2</v>
      </c>
      <c r="C514" s="60" t="s">
        <v>5043</v>
      </c>
      <c r="D514" s="64">
        <f>IFERROR(VLOOKUP(C514,測定点マスタ!$E$2:$F$28,2,FALSE)/VLOOKUP(A514,'焼鈍条件-3CGL'!$A$2:$B$197,2,FALSE)*60,"")</f>
        <v>12.459679094042887</v>
      </c>
      <c r="E514" s="66">
        <v>181.6</v>
      </c>
      <c r="F514" s="64">
        <f t="shared" ref="F514:F577" si="8">IF(A514=A513,IFERROR((E514-E513)/(D514-D513),""),"")</f>
        <v>11.790030777777778</v>
      </c>
      <c r="G514" s="60" t="s">
        <v>9</v>
      </c>
      <c r="H514" s="60" t="s">
        <v>5061</v>
      </c>
    </row>
    <row r="515" spans="1:8">
      <c r="A515" s="59" t="s">
        <v>2249</v>
      </c>
      <c r="B515" s="62">
        <v>3</v>
      </c>
      <c r="C515" s="60" t="s">
        <v>5044</v>
      </c>
      <c r="D515" s="64">
        <f>IFERROR(VLOOKUP(C515,測定点マスタ!$E$2:$F$28,2,FALSE)/VLOOKUP(A515,'焼鈍条件-3CGL'!$A$2:$B$197,2,FALSE)*60,"")</f>
        <v>28.241939279830547</v>
      </c>
      <c r="E515" s="66">
        <v>691.2</v>
      </c>
      <c r="F515" s="64">
        <f t="shared" si="8"/>
        <v>32.289418245614037</v>
      </c>
      <c r="G515" s="60" t="s">
        <v>9</v>
      </c>
      <c r="H515" s="60" t="s">
        <v>5061</v>
      </c>
    </row>
    <row r="516" spans="1:8">
      <c r="A516" s="59" t="s">
        <v>2249</v>
      </c>
      <c r="B516" s="62">
        <v>4</v>
      </c>
      <c r="C516" s="60" t="s">
        <v>5045</v>
      </c>
      <c r="D516" s="64">
        <f>IFERROR(VLOOKUP(C516,測定点マスタ!$E$2:$F$28,2,FALSE)/VLOOKUP(A516,'焼鈍条件-3CGL'!$A$2:$B$197,2,FALSE)*60,"")</f>
        <v>36.548392009192469</v>
      </c>
      <c r="E516" s="66">
        <v>863.6</v>
      </c>
      <c r="F516" s="64">
        <f t="shared" si="8"/>
        <v>20.754948666666674</v>
      </c>
      <c r="G516" s="60" t="s">
        <v>9</v>
      </c>
      <c r="H516" s="60" t="s">
        <v>5061</v>
      </c>
    </row>
    <row r="517" spans="1:8">
      <c r="A517" s="59" t="s">
        <v>2249</v>
      </c>
      <c r="B517" s="62">
        <v>5</v>
      </c>
      <c r="C517" s="60" t="s">
        <v>5046</v>
      </c>
      <c r="D517" s="64">
        <f>IFERROR(VLOOKUP(C517,測定点マスタ!$E$2:$F$28,2,FALSE)/VLOOKUP(A517,'焼鈍条件-3CGL'!$A$2:$B$197,2,FALSE)*60,"")</f>
        <v>44.854844738554398</v>
      </c>
      <c r="E517" s="66">
        <v>815.8</v>
      </c>
      <c r="F517" s="64">
        <f t="shared" si="8"/>
        <v>-5.7545623333333396</v>
      </c>
      <c r="G517" s="60" t="s">
        <v>9</v>
      </c>
      <c r="H517" s="60" t="s">
        <v>5061</v>
      </c>
    </row>
    <row r="518" spans="1:8">
      <c r="A518" s="59" t="s">
        <v>2249</v>
      </c>
      <c r="B518" s="62">
        <v>6</v>
      </c>
      <c r="C518" s="60" t="s">
        <v>5047</v>
      </c>
      <c r="D518" s="64">
        <f>IFERROR(VLOOKUP(C518,測定点マスタ!$E$2:$F$28,2,FALSE)/VLOOKUP(A518,'焼鈍条件-3CGL'!$A$2:$B$197,2,FALSE)*60,"")</f>
        <v>49.838716376171547</v>
      </c>
      <c r="E518" s="66">
        <v>812.9</v>
      </c>
      <c r="F518" s="64">
        <f t="shared" si="8"/>
        <v>-0.5818769444444406</v>
      </c>
      <c r="G518" s="60" t="s">
        <v>9</v>
      </c>
      <c r="H518" s="60" t="s">
        <v>5061</v>
      </c>
    </row>
    <row r="519" spans="1:8">
      <c r="A519" s="59" t="s">
        <v>2249</v>
      </c>
      <c r="B519" s="62">
        <v>7</v>
      </c>
      <c r="C519" s="60" t="s">
        <v>5049</v>
      </c>
      <c r="D519" s="64">
        <f>IFERROR(VLOOKUP(C519,測定点マスタ!$E$2:$F$28,2,FALSE)/VLOOKUP(A519,'焼鈍条件-3CGL'!$A$2:$B$197,2,FALSE)*60,"")</f>
        <v>60.637104924342054</v>
      </c>
      <c r="E519" s="66">
        <v>622.20000000000005</v>
      </c>
      <c r="F519" s="64">
        <f t="shared" si="8"/>
        <v>-17.660042435897424</v>
      </c>
      <c r="G519" s="60" t="s">
        <v>9</v>
      </c>
      <c r="H519" s="60" t="s">
        <v>5061</v>
      </c>
    </row>
    <row r="520" spans="1:8">
      <c r="A520" s="59" t="s">
        <v>2249</v>
      </c>
      <c r="B520" s="62">
        <v>8</v>
      </c>
      <c r="C520" s="60" t="s">
        <v>5050</v>
      </c>
      <c r="D520" s="64">
        <f>IFERROR(VLOOKUP(C520,測定点マスタ!$E$2:$F$28,2,FALSE)/VLOOKUP(A520,'焼鈍条件-3CGL'!$A$2:$B$197,2,FALSE)*60,"")</f>
        <v>67.282267107831601</v>
      </c>
      <c r="E520" s="66">
        <v>521</v>
      </c>
      <c r="F520" s="64">
        <f t="shared" si="8"/>
        <v>-15.229124166666661</v>
      </c>
      <c r="G520" s="60" t="s">
        <v>9</v>
      </c>
      <c r="H520" s="60" t="s">
        <v>5061</v>
      </c>
    </row>
    <row r="521" spans="1:8">
      <c r="A521" s="59" t="s">
        <v>2249</v>
      </c>
      <c r="B521" s="62">
        <v>9</v>
      </c>
      <c r="C521" s="60" t="s">
        <v>5051</v>
      </c>
      <c r="D521" s="64">
        <f>IFERROR(VLOOKUP(C521,測定点マスタ!$E$2:$F$28,2,FALSE)/VLOOKUP(A521,'焼鈍条件-3CGL'!$A$2:$B$197,2,FALSE)*60,"")</f>
        <v>73.096784018384938</v>
      </c>
      <c r="E521" s="66">
        <v>501.8</v>
      </c>
      <c r="F521" s="64">
        <f t="shared" si="8"/>
        <v>-3.3020800000000046</v>
      </c>
      <c r="G521" s="60" t="s">
        <v>9</v>
      </c>
      <c r="H521" s="60" t="s">
        <v>5061</v>
      </c>
    </row>
    <row r="522" spans="1:8">
      <c r="A522" s="59" t="s">
        <v>2249</v>
      </c>
      <c r="B522" s="62">
        <v>10</v>
      </c>
      <c r="C522" s="60" t="s">
        <v>5052</v>
      </c>
      <c r="D522" s="64">
        <f>IFERROR(VLOOKUP(C522,測定点マスタ!$E$2:$F$28,2,FALSE)/VLOOKUP(A522,'焼鈍条件-3CGL'!$A$2:$B$197,2,FALSE)*60,"")</f>
        <v>80.572591474810679</v>
      </c>
      <c r="E522" s="66">
        <v>355.4</v>
      </c>
      <c r="F522" s="64">
        <f t="shared" si="8"/>
        <v>-19.583168888888874</v>
      </c>
      <c r="G522" s="60" t="s">
        <v>9</v>
      </c>
      <c r="H522" s="60" t="s">
        <v>5061</v>
      </c>
    </row>
    <row r="523" spans="1:8">
      <c r="A523" s="59" t="s">
        <v>2249</v>
      </c>
      <c r="B523" s="62">
        <v>11</v>
      </c>
      <c r="C523" s="60" t="s">
        <v>5053</v>
      </c>
      <c r="D523" s="64">
        <f>IFERROR(VLOOKUP(C523,測定点マスタ!$E$2:$F$28,2,FALSE)/VLOOKUP(A523,'焼鈍条件-3CGL'!$A$2:$B$197,2,FALSE)*60,"")</f>
        <v>90.540334750044991</v>
      </c>
      <c r="E523" s="66">
        <v>556.79999999999995</v>
      </c>
      <c r="F523" s="64">
        <f t="shared" si="8"/>
        <v>20.205175277777773</v>
      </c>
      <c r="G523" s="60" t="s">
        <v>9</v>
      </c>
      <c r="H523" s="60" t="s">
        <v>5061</v>
      </c>
    </row>
    <row r="524" spans="1:8">
      <c r="A524" s="59" t="s">
        <v>2249</v>
      </c>
      <c r="B524" s="62">
        <v>12</v>
      </c>
      <c r="C524" s="60" t="s">
        <v>5054</v>
      </c>
      <c r="D524" s="64">
        <f>IFERROR(VLOOKUP(C524,測定点マスタ!$E$2:$F$28,2,FALSE)/VLOOKUP(A524,'焼鈍条件-3CGL'!$A$2:$B$197,2,FALSE)*60,"")</f>
        <v>101.33872329821548</v>
      </c>
      <c r="E524" s="66">
        <v>529.6</v>
      </c>
      <c r="F524" s="64">
        <f t="shared" si="8"/>
        <v>-2.5188943589743551</v>
      </c>
      <c r="G524" s="60" t="s">
        <v>9</v>
      </c>
      <c r="H524" s="60" t="s">
        <v>5061</v>
      </c>
    </row>
    <row r="525" spans="1:8">
      <c r="A525" s="59" t="s">
        <v>2249</v>
      </c>
      <c r="B525" s="62">
        <v>13</v>
      </c>
      <c r="C525" s="60" t="s">
        <v>5056</v>
      </c>
      <c r="D525" s="64">
        <f>IFERROR(VLOOKUP(C525,測定点マスタ!$E$2:$F$28,2,FALSE)/VLOOKUP(A525,'焼鈍条件-3CGL'!$A$2:$B$197,2,FALSE)*60,"")</f>
        <v>110.47582130051362</v>
      </c>
      <c r="E525" s="66">
        <v>292</v>
      </c>
      <c r="F525" s="64">
        <f t="shared" si="8"/>
        <v>-26.003879999999967</v>
      </c>
      <c r="G525" s="60" t="s">
        <v>9</v>
      </c>
      <c r="H525" s="60" t="s">
        <v>5061</v>
      </c>
    </row>
    <row r="526" spans="1:8">
      <c r="A526" s="59" t="s">
        <v>2249</v>
      </c>
      <c r="B526" s="62">
        <v>14</v>
      </c>
      <c r="C526" s="60" t="s">
        <v>5062</v>
      </c>
      <c r="D526" s="64">
        <f>IFERROR(VLOOKUP(C526,測定点マスタ!$E$2:$F$28,2,FALSE)/VLOOKUP(A526,'焼鈍条件-3CGL'!$A$2:$B$197,2,FALSE)*60,"")</f>
        <v>120.44356457574791</v>
      </c>
      <c r="E526" s="66">
        <v>455</v>
      </c>
      <c r="F526" s="64">
        <f t="shared" si="8"/>
        <v>16.352748611111132</v>
      </c>
      <c r="G526" s="60" t="s">
        <v>9</v>
      </c>
      <c r="H526" s="60" t="s">
        <v>5061</v>
      </c>
    </row>
    <row r="527" spans="1:8">
      <c r="A527" s="59" t="s">
        <v>2249</v>
      </c>
      <c r="B527" s="62">
        <v>15</v>
      </c>
      <c r="C527" s="60" t="s">
        <v>5068</v>
      </c>
      <c r="D527" s="64">
        <f>IFERROR(VLOOKUP(C527,測定点マスタ!$E$2:$F$28,2,FALSE)/VLOOKUP(A527,'焼鈍条件-3CGL'!$A$2:$B$197,2,FALSE)*60,"")</f>
        <v>131.9539347864353</v>
      </c>
      <c r="E527" s="66">
        <v>367.5</v>
      </c>
      <c r="F527" s="64">
        <f t="shared" si="8"/>
        <v>-7.6018406357387365</v>
      </c>
      <c r="G527" s="60" t="s">
        <v>9</v>
      </c>
      <c r="H527" s="60" t="s">
        <v>5061</v>
      </c>
    </row>
    <row r="528" spans="1:8">
      <c r="A528" s="59" t="s">
        <v>2249</v>
      </c>
      <c r="B528" s="62">
        <v>16</v>
      </c>
      <c r="C528" s="60" t="s">
        <v>5057</v>
      </c>
      <c r="D528" s="64">
        <f>IFERROR(VLOOKUP(C528,測定点マスタ!$E$2:$F$28,2,FALSE)/VLOOKUP(A528,'焼鈍条件-3CGL'!$A$2:$B$197,2,FALSE)*60,"")</f>
        <v>136.96747232665706</v>
      </c>
      <c r="E528" s="66">
        <v>211.5</v>
      </c>
      <c r="F528" s="64">
        <f t="shared" si="8"/>
        <v>-31.115753846155446</v>
      </c>
      <c r="G528" s="60" t="s">
        <v>9</v>
      </c>
      <c r="H528" s="60" t="s">
        <v>5061</v>
      </c>
    </row>
    <row r="529" spans="1:8">
      <c r="A529" s="59" t="s">
        <v>2249</v>
      </c>
      <c r="B529" s="62">
        <v>17</v>
      </c>
      <c r="C529" s="60" t="s">
        <v>5058</v>
      </c>
      <c r="D529" s="64">
        <f>IFERROR(VLOOKUP(C529,測定点マスタ!$E$2:$F$28,2,FALSE)/VLOOKUP(A529,'焼鈍条件-3CGL'!$A$2:$B$197,2,FALSE)*60,"")</f>
        <v>141.98100986687885</v>
      </c>
      <c r="E529" s="66">
        <v>139.19999999999999</v>
      </c>
      <c r="F529" s="64">
        <f t="shared" si="8"/>
        <v>-14.420955147929655</v>
      </c>
      <c r="G529" s="60" t="s">
        <v>9</v>
      </c>
      <c r="H529" s="60" t="s">
        <v>5061</v>
      </c>
    </row>
    <row r="530" spans="1:8">
      <c r="A530" s="59" t="s">
        <v>2249</v>
      </c>
      <c r="B530" s="62">
        <v>18</v>
      </c>
      <c r="C530" s="60" t="s">
        <v>5059</v>
      </c>
      <c r="D530" s="64">
        <f>IFERROR(VLOOKUP(C530,測定点マスタ!$E$2:$F$28,2,FALSE)/VLOOKUP(A530,'焼鈍条件-3CGL'!$A$2:$B$197,2,FALSE)*60,"")</f>
        <v>146.99454740710146</v>
      </c>
      <c r="E530" s="66">
        <v>52.1</v>
      </c>
      <c r="F530" s="64">
        <f t="shared" si="8"/>
        <v>-17.372962564100501</v>
      </c>
      <c r="G530" s="60" t="s">
        <v>9</v>
      </c>
      <c r="H530" s="60" t="s">
        <v>5061</v>
      </c>
    </row>
    <row r="531" spans="1:8">
      <c r="A531" s="59" t="s">
        <v>2256</v>
      </c>
      <c r="B531" s="62">
        <v>1</v>
      </c>
      <c r="C531" s="60" t="s">
        <v>5041</v>
      </c>
      <c r="D531" s="64">
        <f>IFERROR(VLOOKUP(C531,測定点マスタ!$E$2:$F$28,2,FALSE)/VLOOKUP(A531,'焼鈍条件-3CGL'!$A$2:$B$197,2,FALSE)*60,"")</f>
        <v>0</v>
      </c>
      <c r="E531" s="66">
        <v>28.1</v>
      </c>
      <c r="F531" s="64" t="str">
        <f t="shared" si="8"/>
        <v/>
      </c>
      <c r="G531" s="60" t="s">
        <v>12</v>
      </c>
      <c r="H531" s="60" t="s">
        <v>5042</v>
      </c>
    </row>
    <row r="532" spans="1:8">
      <c r="A532" s="59" t="s">
        <v>2256</v>
      </c>
      <c r="B532" s="62">
        <v>2</v>
      </c>
      <c r="C532" s="60" t="s">
        <v>5043</v>
      </c>
      <c r="D532" s="64">
        <f>IFERROR(VLOOKUP(C532,測定点マスタ!$E$2:$F$28,2,FALSE)/VLOOKUP(A532,'焼鈍条件-3CGL'!$A$2:$B$197,2,FALSE)*60,"")</f>
        <v>12.359072245643427</v>
      </c>
      <c r="E532" s="66">
        <v>199.2</v>
      </c>
      <c r="F532" s="64">
        <f t="shared" si="8"/>
        <v>13.844081222222222</v>
      </c>
      <c r="G532" s="60" t="s">
        <v>12</v>
      </c>
      <c r="H532" s="60" t="s">
        <v>5042</v>
      </c>
    </row>
    <row r="533" spans="1:8">
      <c r="A533" s="59" t="s">
        <v>2256</v>
      </c>
      <c r="B533" s="62">
        <v>3</v>
      </c>
      <c r="C533" s="60" t="s">
        <v>5044</v>
      </c>
      <c r="D533" s="64">
        <f>IFERROR(VLOOKUP(C533,測定点マスタ!$E$2:$F$28,2,FALSE)/VLOOKUP(A533,'焼鈍条件-3CGL'!$A$2:$B$197,2,FALSE)*60,"")</f>
        <v>28.013897090125102</v>
      </c>
      <c r="E533" s="66">
        <v>673.1</v>
      </c>
      <c r="F533" s="64">
        <f t="shared" si="8"/>
        <v>30.271817456140351</v>
      </c>
      <c r="G533" s="60" t="s">
        <v>12</v>
      </c>
      <c r="H533" s="60" t="s">
        <v>5042</v>
      </c>
    </row>
    <row r="534" spans="1:8">
      <c r="A534" s="59" t="s">
        <v>2256</v>
      </c>
      <c r="B534" s="62">
        <v>4</v>
      </c>
      <c r="C534" s="60" t="s">
        <v>5045</v>
      </c>
      <c r="D534" s="64">
        <f>IFERROR(VLOOKUP(C534,測定点マスタ!$E$2:$F$28,2,FALSE)/VLOOKUP(A534,'焼鈍条件-3CGL'!$A$2:$B$197,2,FALSE)*60,"")</f>
        <v>36.25327858722072</v>
      </c>
      <c r="E534" s="66">
        <v>848.1</v>
      </c>
      <c r="F534" s="64">
        <f t="shared" si="8"/>
        <v>21.239458333333335</v>
      </c>
      <c r="G534" s="60" t="s">
        <v>12</v>
      </c>
      <c r="H534" s="60" t="s">
        <v>5042</v>
      </c>
    </row>
    <row r="535" spans="1:8">
      <c r="A535" s="59" t="s">
        <v>2256</v>
      </c>
      <c r="B535" s="62">
        <v>5</v>
      </c>
      <c r="C535" s="60" t="s">
        <v>5047</v>
      </c>
      <c r="D535" s="64">
        <f>IFERROR(VLOOKUP(C535,測定点マスタ!$E$2:$F$28,2,FALSE)/VLOOKUP(A535,'焼鈍条件-3CGL'!$A$2:$B$197,2,FALSE)*60,"")</f>
        <v>49.436288982573707</v>
      </c>
      <c r="E535" s="66">
        <v>768.7</v>
      </c>
      <c r="F535" s="64">
        <f t="shared" si="8"/>
        <v>-6.0229035416666656</v>
      </c>
      <c r="G535" s="60" t="s">
        <v>12</v>
      </c>
      <c r="H535" s="60" t="s">
        <v>5042</v>
      </c>
    </row>
    <row r="536" spans="1:8">
      <c r="A536" s="59" t="s">
        <v>2256</v>
      </c>
      <c r="B536" s="62">
        <v>6</v>
      </c>
      <c r="C536" s="60" t="s">
        <v>5049</v>
      </c>
      <c r="D536" s="64">
        <f>IFERROR(VLOOKUP(C536,測定点マスタ!$E$2:$F$28,2,FALSE)/VLOOKUP(A536,'焼鈍条件-3CGL'!$A$2:$B$197,2,FALSE)*60,"")</f>
        <v>60.147484928798015</v>
      </c>
      <c r="E536" s="66">
        <v>607.79999999999995</v>
      </c>
      <c r="F536" s="64">
        <f t="shared" si="8"/>
        <v>-15.021665256410259</v>
      </c>
      <c r="G536" s="60" t="s">
        <v>12</v>
      </c>
      <c r="H536" s="60" t="s">
        <v>5042</v>
      </c>
    </row>
    <row r="537" spans="1:8">
      <c r="A537" s="59" t="s">
        <v>2256</v>
      </c>
      <c r="B537" s="62">
        <v>7</v>
      </c>
      <c r="C537" s="60" t="s">
        <v>5050</v>
      </c>
      <c r="D537" s="64">
        <f>IFERROR(VLOOKUP(C537,測定点マスタ!$E$2:$F$28,2,FALSE)/VLOOKUP(A537,'焼鈍条件-3CGL'!$A$2:$B$197,2,FALSE)*60,"")</f>
        <v>66.738990126474505</v>
      </c>
      <c r="E537" s="66">
        <v>505.8</v>
      </c>
      <c r="F537" s="64">
        <f t="shared" si="8"/>
        <v>-15.474462500000001</v>
      </c>
      <c r="G537" s="60" t="s">
        <v>12</v>
      </c>
      <c r="H537" s="60" t="s">
        <v>5042</v>
      </c>
    </row>
    <row r="538" spans="1:8">
      <c r="A538" s="59" t="s">
        <v>2256</v>
      </c>
      <c r="B538" s="62">
        <v>8</v>
      </c>
      <c r="C538" s="60" t="s">
        <v>5051</v>
      </c>
      <c r="D538" s="64">
        <f>IFERROR(VLOOKUP(C538,測定点マスタ!$E$2:$F$28,2,FALSE)/VLOOKUP(A538,'焼鈍条件-3CGL'!$A$2:$B$197,2,FALSE)*60,"")</f>
        <v>72.50655717444144</v>
      </c>
      <c r="E538" s="66">
        <v>466</v>
      </c>
      <c r="F538" s="64">
        <f t="shared" si="8"/>
        <v>-6.9006566666666656</v>
      </c>
      <c r="G538" s="60" t="s">
        <v>12</v>
      </c>
      <c r="H538" s="60" t="s">
        <v>5042</v>
      </c>
    </row>
    <row r="539" spans="1:8">
      <c r="A539" s="59" t="s">
        <v>2256</v>
      </c>
      <c r="B539" s="62">
        <v>9</v>
      </c>
      <c r="C539" s="60" t="s">
        <v>5060</v>
      </c>
      <c r="D539" s="64">
        <f>IFERROR(VLOOKUP(C539,測定点マスタ!$E$2:$F$28,2,FALSE)/VLOOKUP(A539,'焼鈍条件-3CGL'!$A$2:$B$197,2,FALSE)*60,"")</f>
        <v>75.802309773279688</v>
      </c>
      <c r="E539" s="66">
        <v>410.9</v>
      </c>
      <c r="F539" s="64">
        <f t="shared" si="8"/>
        <v>-16.718487916666668</v>
      </c>
      <c r="G539" s="60" t="s">
        <v>12</v>
      </c>
      <c r="H539" s="60" t="s">
        <v>5042</v>
      </c>
    </row>
    <row r="540" spans="1:8">
      <c r="A540" s="59" t="s">
        <v>2256</v>
      </c>
      <c r="B540" s="62">
        <v>10</v>
      </c>
      <c r="C540" s="60" t="s">
        <v>5052</v>
      </c>
      <c r="D540" s="64">
        <f>IFERROR(VLOOKUP(C540,測定点マスタ!$E$2:$F$28,2,FALSE)/VLOOKUP(A540,'焼鈍条件-3CGL'!$A$2:$B$197,2,FALSE)*60,"")</f>
        <v>79.922000521827499</v>
      </c>
      <c r="E540" s="66">
        <v>366.9</v>
      </c>
      <c r="F540" s="64">
        <f t="shared" si="8"/>
        <v>-10.680413333333329</v>
      </c>
      <c r="G540" s="60" t="s">
        <v>12</v>
      </c>
      <c r="H540" s="60" t="s">
        <v>5042</v>
      </c>
    </row>
    <row r="541" spans="1:8">
      <c r="A541" s="59" t="s">
        <v>2256</v>
      </c>
      <c r="B541" s="62">
        <v>11</v>
      </c>
      <c r="C541" s="60" t="s">
        <v>5053</v>
      </c>
      <c r="D541" s="64">
        <f>IFERROR(VLOOKUP(C541,測定点マスタ!$E$2:$F$28,2,FALSE)/VLOOKUP(A541,'焼鈍条件-3CGL'!$A$2:$B$197,2,FALSE)*60,"")</f>
        <v>89.809258318342245</v>
      </c>
      <c r="E541" s="66">
        <v>564.4</v>
      </c>
      <c r="F541" s="64">
        <f t="shared" si="8"/>
        <v>19.975204861111102</v>
      </c>
      <c r="G541" s="60" t="s">
        <v>12</v>
      </c>
      <c r="H541" s="60" t="s">
        <v>5042</v>
      </c>
    </row>
    <row r="542" spans="1:8">
      <c r="A542" s="59" t="s">
        <v>2256</v>
      </c>
      <c r="B542" s="62">
        <v>12</v>
      </c>
      <c r="C542" s="60" t="s">
        <v>5054</v>
      </c>
      <c r="D542" s="64">
        <f>IFERROR(VLOOKUP(C542,測定点マスタ!$E$2:$F$28,2,FALSE)/VLOOKUP(A542,'焼鈍条件-3CGL'!$A$2:$B$197,2,FALSE)*60,"")</f>
        <v>100.52045426456654</v>
      </c>
      <c r="E542" s="66">
        <v>544.6</v>
      </c>
      <c r="F542" s="64">
        <f t="shared" si="8"/>
        <v>-1.8485330769230743</v>
      </c>
      <c r="G542" s="60" t="s">
        <v>12</v>
      </c>
      <c r="H542" s="60" t="s">
        <v>5042</v>
      </c>
    </row>
    <row r="543" spans="1:8">
      <c r="A543" s="59" t="s">
        <v>2256</v>
      </c>
      <c r="B543" s="62">
        <v>13</v>
      </c>
      <c r="C543" s="60" t="s">
        <v>5056</v>
      </c>
      <c r="D543" s="64">
        <f>IFERROR(VLOOKUP(C543,測定点マスタ!$E$2:$F$28,2,FALSE)/VLOOKUP(A543,'焼鈍条件-3CGL'!$A$2:$B$197,2,FALSE)*60,"")</f>
        <v>109.58377391137174</v>
      </c>
      <c r="E543" s="66">
        <v>289.10000000000002</v>
      </c>
      <c r="F543" s="64">
        <f t="shared" si="8"/>
        <v>-28.190553787878731</v>
      </c>
      <c r="G543" s="60" t="s">
        <v>12</v>
      </c>
      <c r="H543" s="60" t="s">
        <v>5042</v>
      </c>
    </row>
    <row r="544" spans="1:8">
      <c r="A544" s="59" t="s">
        <v>2256</v>
      </c>
      <c r="B544" s="62">
        <v>14</v>
      </c>
      <c r="C544" s="60" t="s">
        <v>5068</v>
      </c>
      <c r="D544" s="64">
        <f>IFERROR(VLOOKUP(C544,測定点マスタ!$E$2:$F$28,2,FALSE)/VLOOKUP(A544,'焼鈍条件-3CGL'!$A$2:$B$197,2,FALSE)*60,"")</f>
        <v>130.88846035386194</v>
      </c>
      <c r="E544" s="66">
        <v>394.7</v>
      </c>
      <c r="F544" s="64">
        <f t="shared" si="8"/>
        <v>4.9566559116021827</v>
      </c>
      <c r="G544" s="60" t="s">
        <v>12</v>
      </c>
      <c r="H544" s="60" t="s">
        <v>5042</v>
      </c>
    </row>
    <row r="545" spans="1:8">
      <c r="A545" s="59" t="s">
        <v>2256</v>
      </c>
      <c r="B545" s="62">
        <v>15</v>
      </c>
      <c r="C545" s="60" t="s">
        <v>5057</v>
      </c>
      <c r="D545" s="64">
        <f>IFERROR(VLOOKUP(C545,測定点マスタ!$E$2:$F$28,2,FALSE)/VLOOKUP(A545,'焼鈍条件-3CGL'!$A$2:$B$197,2,FALSE)*60,"")</f>
        <v>135.86151561460872</v>
      </c>
      <c r="E545" s="66">
        <v>249.7</v>
      </c>
      <c r="F545" s="64">
        <f t="shared" si="8"/>
        <v>-29.157126232742922</v>
      </c>
      <c r="G545" s="60" t="s">
        <v>12</v>
      </c>
      <c r="H545" s="60" t="s">
        <v>5042</v>
      </c>
    </row>
    <row r="546" spans="1:8">
      <c r="A546" s="59" t="s">
        <v>2256</v>
      </c>
      <c r="B546" s="62">
        <v>16</v>
      </c>
      <c r="C546" s="60" t="s">
        <v>5058</v>
      </c>
      <c r="D546" s="64">
        <f>IFERROR(VLOOKUP(C546,測定点マスタ!$E$2:$F$28,2,FALSE)/VLOOKUP(A546,'焼鈍条件-3CGL'!$A$2:$B$197,2,FALSE)*60,"")</f>
        <v>140.83457087535544</v>
      </c>
      <c r="E546" s="66">
        <v>120.7</v>
      </c>
      <c r="F546" s="64">
        <f t="shared" si="8"/>
        <v>-25.939788165681929</v>
      </c>
      <c r="G546" s="60" t="s">
        <v>12</v>
      </c>
      <c r="H546" s="60" t="s">
        <v>5042</v>
      </c>
    </row>
    <row r="547" spans="1:8">
      <c r="A547" s="59" t="s">
        <v>2256</v>
      </c>
      <c r="B547" s="62">
        <v>17</v>
      </c>
      <c r="C547" s="60" t="s">
        <v>5059</v>
      </c>
      <c r="D547" s="64">
        <f>IFERROR(VLOOKUP(C547,測定点マスタ!$E$2:$F$28,2,FALSE)/VLOOKUP(A547,'焼鈍条件-3CGL'!$A$2:$B$197,2,FALSE)*60,"")</f>
        <v>145.80762613610304</v>
      </c>
      <c r="E547" s="66">
        <v>74.8</v>
      </c>
      <c r="F547" s="64">
        <f t="shared" si="8"/>
        <v>-9.2297385798805411</v>
      </c>
      <c r="G547" s="60" t="s">
        <v>12</v>
      </c>
      <c r="H547" s="60" t="s">
        <v>5042</v>
      </c>
    </row>
    <row r="548" spans="1:8">
      <c r="A548" s="59" t="s">
        <v>2269</v>
      </c>
      <c r="B548" s="62">
        <v>1</v>
      </c>
      <c r="C548" s="60" t="s">
        <v>5041</v>
      </c>
      <c r="D548" s="64">
        <f>IFERROR(VLOOKUP(C548,測定点マスタ!$E$2:$F$28,2,FALSE)/VLOOKUP(A548,'焼鈍条件-3CGL'!$A$2:$B$197,2,FALSE)*60,"")</f>
        <v>0</v>
      </c>
      <c r="E548" s="66">
        <v>37.4</v>
      </c>
      <c r="F548" s="64" t="str">
        <f t="shared" si="8"/>
        <v/>
      </c>
      <c r="G548" s="60" t="s">
        <v>9</v>
      </c>
      <c r="H548" s="60" t="s">
        <v>5061</v>
      </c>
    </row>
    <row r="549" spans="1:8">
      <c r="A549" s="59" t="s">
        <v>2269</v>
      </c>
      <c r="B549" s="62">
        <v>2</v>
      </c>
      <c r="C549" s="60" t="s">
        <v>5043</v>
      </c>
      <c r="D549" s="64">
        <f>IFERROR(VLOOKUP(C549,測定点マスタ!$E$2:$F$28,2,FALSE)/VLOOKUP(A549,'焼鈍条件-3CGL'!$A$2:$B$197,2,FALSE)*60,"")</f>
        <v>5.4779512462339088</v>
      </c>
      <c r="E549" s="66">
        <v>181.8</v>
      </c>
      <c r="F549" s="64">
        <f t="shared" si="8"/>
        <v>26.360219999999998</v>
      </c>
      <c r="G549" s="60" t="s">
        <v>9</v>
      </c>
      <c r="H549" s="60" t="s">
        <v>5061</v>
      </c>
    </row>
    <row r="550" spans="1:8">
      <c r="A550" s="59" t="s">
        <v>2269</v>
      </c>
      <c r="B550" s="62">
        <v>3</v>
      </c>
      <c r="C550" s="60" t="s">
        <v>5067</v>
      </c>
      <c r="D550" s="64">
        <f>IFERROR(VLOOKUP(C550,測定点マスタ!$E$2:$F$28,2,FALSE)/VLOOKUP(A550,'焼鈍条件-3CGL'!$A$2:$B$197,2,FALSE)*60,"")</f>
        <v>9.1299187437231808</v>
      </c>
      <c r="E550" s="66">
        <v>373</v>
      </c>
      <c r="F550" s="64">
        <f t="shared" si="8"/>
        <v>52.355340000000005</v>
      </c>
      <c r="G550" s="60" t="s">
        <v>9</v>
      </c>
      <c r="H550" s="60" t="s">
        <v>5061</v>
      </c>
    </row>
    <row r="551" spans="1:8">
      <c r="A551" s="59" t="s">
        <v>2269</v>
      </c>
      <c r="B551" s="62">
        <v>4</v>
      </c>
      <c r="C551" s="60" t="s">
        <v>5044</v>
      </c>
      <c r="D551" s="64">
        <f>IFERROR(VLOOKUP(C551,測定点マスタ!$E$2:$F$28,2,FALSE)/VLOOKUP(A551,'焼鈍条件-3CGL'!$A$2:$B$197,2,FALSE)*60,"")</f>
        <v>12.416689491463528</v>
      </c>
      <c r="E551" s="66">
        <v>637.9</v>
      </c>
      <c r="F551" s="64">
        <f t="shared" si="8"/>
        <v>80.595824999999948</v>
      </c>
      <c r="G551" s="60" t="s">
        <v>9</v>
      </c>
      <c r="H551" s="60" t="s">
        <v>5061</v>
      </c>
    </row>
    <row r="552" spans="1:8">
      <c r="A552" s="59" t="s">
        <v>2269</v>
      </c>
      <c r="B552" s="62">
        <v>5</v>
      </c>
      <c r="C552" s="60" t="s">
        <v>5045</v>
      </c>
      <c r="D552" s="64">
        <f>IFERROR(VLOOKUP(C552,測定点マスタ!$E$2:$F$28,2,FALSE)/VLOOKUP(A552,'焼鈍条件-3CGL'!$A$2:$B$197,2,FALSE)*60,"")</f>
        <v>16.068656988952799</v>
      </c>
      <c r="E552" s="66">
        <v>799.4</v>
      </c>
      <c r="F552" s="64">
        <f t="shared" si="8"/>
        <v>44.222737500000008</v>
      </c>
      <c r="G552" s="60" t="s">
        <v>9</v>
      </c>
      <c r="H552" s="60" t="s">
        <v>5061</v>
      </c>
    </row>
    <row r="553" spans="1:8">
      <c r="A553" s="59" t="s">
        <v>2269</v>
      </c>
      <c r="B553" s="62">
        <v>6</v>
      </c>
      <c r="C553" s="60" t="s">
        <v>5047</v>
      </c>
      <c r="D553" s="64">
        <f>IFERROR(VLOOKUP(C553,測定点マスタ!$E$2:$F$28,2,FALSE)/VLOOKUP(A553,'焼鈍条件-3CGL'!$A$2:$B$197,2,FALSE)*60,"")</f>
        <v>21.911804984935635</v>
      </c>
      <c r="E553" s="66">
        <v>750.2</v>
      </c>
      <c r="F553" s="64">
        <f t="shared" si="8"/>
        <v>-8.4201187499999879</v>
      </c>
      <c r="G553" s="60" t="s">
        <v>9</v>
      </c>
      <c r="H553" s="60" t="s">
        <v>5061</v>
      </c>
    </row>
    <row r="554" spans="1:8">
      <c r="A554" s="59" t="s">
        <v>2269</v>
      </c>
      <c r="B554" s="62">
        <v>7</v>
      </c>
      <c r="C554" s="60" t="s">
        <v>5049</v>
      </c>
      <c r="D554" s="64">
        <f>IFERROR(VLOOKUP(C554,測定点マスタ!$E$2:$F$28,2,FALSE)/VLOOKUP(A554,'焼鈍条件-3CGL'!$A$2:$B$197,2,FALSE)*60,"")</f>
        <v>26.659362731671692</v>
      </c>
      <c r="E554" s="66">
        <v>603.9</v>
      </c>
      <c r="F554" s="64">
        <f t="shared" si="8"/>
        <v>-30.81584423076923</v>
      </c>
      <c r="G554" s="60" t="s">
        <v>9</v>
      </c>
      <c r="H554" s="60" t="s">
        <v>5061</v>
      </c>
    </row>
    <row r="555" spans="1:8">
      <c r="A555" s="59" t="s">
        <v>2269</v>
      </c>
      <c r="B555" s="62">
        <v>8</v>
      </c>
      <c r="C555" s="60" t="s">
        <v>5050</v>
      </c>
      <c r="D555" s="64">
        <f>IFERROR(VLOOKUP(C555,測定点マスタ!$E$2:$F$28,2,FALSE)/VLOOKUP(A555,'焼鈍条件-3CGL'!$A$2:$B$197,2,FALSE)*60,"")</f>
        <v>29.580936729663108</v>
      </c>
      <c r="E555" s="66">
        <v>500.6</v>
      </c>
      <c r="F555" s="64">
        <f t="shared" si="8"/>
        <v>-35.357653125000006</v>
      </c>
      <c r="G555" s="60" t="s">
        <v>9</v>
      </c>
      <c r="H555" s="60" t="s">
        <v>5061</v>
      </c>
    </row>
    <row r="556" spans="1:8">
      <c r="A556" s="59" t="s">
        <v>2269</v>
      </c>
      <c r="B556" s="62">
        <v>9</v>
      </c>
      <c r="C556" s="60" t="s">
        <v>5051</v>
      </c>
      <c r="D556" s="64">
        <f>IFERROR(VLOOKUP(C556,測定点マスタ!$E$2:$F$28,2,FALSE)/VLOOKUP(A556,'焼鈍条件-3CGL'!$A$2:$B$197,2,FALSE)*60,"")</f>
        <v>32.137313977905599</v>
      </c>
      <c r="E556" s="66">
        <v>438.1</v>
      </c>
      <c r="F556" s="64">
        <f t="shared" si="8"/>
        <v>-24.448660714285712</v>
      </c>
      <c r="G556" s="60" t="s">
        <v>9</v>
      </c>
      <c r="H556" s="60" t="s">
        <v>5061</v>
      </c>
    </row>
    <row r="557" spans="1:8">
      <c r="A557" s="59" t="s">
        <v>2269</v>
      </c>
      <c r="B557" s="62">
        <v>10</v>
      </c>
      <c r="C557" s="60" t="s">
        <v>5052</v>
      </c>
      <c r="D557" s="64">
        <f>IFERROR(VLOOKUP(C557,測定点マスタ!$E$2:$F$28,2,FALSE)/VLOOKUP(A557,'焼鈍条件-3CGL'!$A$2:$B$197,2,FALSE)*60,"")</f>
        <v>35.42408472564594</v>
      </c>
      <c r="E557" s="66">
        <v>344.4</v>
      </c>
      <c r="F557" s="64">
        <f t="shared" si="8"/>
        <v>-28.508225000000046</v>
      </c>
      <c r="G557" s="60" t="s">
        <v>9</v>
      </c>
      <c r="H557" s="60" t="s">
        <v>5061</v>
      </c>
    </row>
    <row r="558" spans="1:8">
      <c r="A558" s="59" t="s">
        <v>2269</v>
      </c>
      <c r="B558" s="62">
        <v>11</v>
      </c>
      <c r="C558" s="60" t="s">
        <v>5069</v>
      </c>
      <c r="D558" s="64">
        <f>IFERROR(VLOOKUP(C558,測定点マスタ!$E$2:$F$28,2,FALSE)/VLOOKUP(A558,'焼鈍条件-3CGL'!$A$2:$B$197,2,FALSE)*60,"")</f>
        <v>37.980461973888438</v>
      </c>
      <c r="E558" s="66">
        <v>488.7</v>
      </c>
      <c r="F558" s="64">
        <f t="shared" si="8"/>
        <v>56.447067857142699</v>
      </c>
      <c r="G558" s="60" t="s">
        <v>9</v>
      </c>
      <c r="H558" s="60" t="s">
        <v>5061</v>
      </c>
    </row>
    <row r="559" spans="1:8">
      <c r="A559" s="59" t="s">
        <v>2269</v>
      </c>
      <c r="B559" s="62">
        <v>12</v>
      </c>
      <c r="C559" s="60" t="s">
        <v>5053</v>
      </c>
      <c r="D559" s="64">
        <f>IFERROR(VLOOKUP(C559,測定点マスタ!$E$2:$F$28,2,FALSE)/VLOOKUP(A559,'焼鈍条件-3CGL'!$A$2:$B$197,2,FALSE)*60,"")</f>
        <v>39.806445722633072</v>
      </c>
      <c r="E559" s="66">
        <v>521.9</v>
      </c>
      <c r="F559" s="64">
        <f t="shared" si="8"/>
        <v>18.181980000000021</v>
      </c>
      <c r="G559" s="60" t="s">
        <v>9</v>
      </c>
      <c r="H559" s="60" t="s">
        <v>5061</v>
      </c>
    </row>
    <row r="560" spans="1:8">
      <c r="A560" s="59" t="s">
        <v>2269</v>
      </c>
      <c r="B560" s="62">
        <v>13</v>
      </c>
      <c r="C560" s="60" t="s">
        <v>5054</v>
      </c>
      <c r="D560" s="64">
        <f>IFERROR(VLOOKUP(C560,測定点マスタ!$E$2:$F$28,2,FALSE)/VLOOKUP(A560,'焼鈍条件-3CGL'!$A$2:$B$197,2,FALSE)*60,"")</f>
        <v>44.554003469369128</v>
      </c>
      <c r="E560" s="66">
        <v>505</v>
      </c>
      <c r="F560" s="64">
        <f t="shared" si="8"/>
        <v>-3.5597249999999931</v>
      </c>
      <c r="G560" s="60" t="s">
        <v>9</v>
      </c>
      <c r="H560" s="60" t="s">
        <v>5061</v>
      </c>
    </row>
    <row r="561" spans="1:8">
      <c r="A561" s="59" t="s">
        <v>2269</v>
      </c>
      <c r="B561" s="62">
        <v>14</v>
      </c>
      <c r="C561" s="60" t="s">
        <v>5056</v>
      </c>
      <c r="D561" s="64">
        <f>IFERROR(VLOOKUP(C561,測定点マスタ!$E$2:$F$28,2,FALSE)/VLOOKUP(A561,'焼鈍条件-3CGL'!$A$2:$B$197,2,FALSE)*60,"")</f>
        <v>48.571167716607327</v>
      </c>
      <c r="E561" s="66">
        <v>281.2</v>
      </c>
      <c r="F561" s="64">
        <f t="shared" si="8"/>
        <v>-55.710940909090922</v>
      </c>
      <c r="G561" s="60" t="s">
        <v>9</v>
      </c>
      <c r="H561" s="60" t="s">
        <v>5061</v>
      </c>
    </row>
    <row r="562" spans="1:8">
      <c r="A562" s="59" t="s">
        <v>2269</v>
      </c>
      <c r="B562" s="62">
        <v>15</v>
      </c>
      <c r="C562" s="60" t="s">
        <v>5062</v>
      </c>
      <c r="D562" s="64">
        <f>IFERROR(VLOOKUP(C562,測定点マスタ!$E$2:$F$28,2,FALSE)/VLOOKUP(A562,'焼鈍条件-3CGL'!$A$2:$B$197,2,FALSE)*60,"")</f>
        <v>52.953528713594459</v>
      </c>
      <c r="E562" s="66">
        <v>455.8</v>
      </c>
      <c r="F562" s="64">
        <f t="shared" si="8"/>
        <v>39.841537499999966</v>
      </c>
      <c r="G562" s="60" t="s">
        <v>9</v>
      </c>
      <c r="H562" s="60" t="s">
        <v>5061</v>
      </c>
    </row>
    <row r="563" spans="1:8">
      <c r="A563" s="59" t="s">
        <v>2269</v>
      </c>
      <c r="B563" s="62">
        <v>16</v>
      </c>
      <c r="C563" s="60" t="s">
        <v>5057</v>
      </c>
      <c r="D563" s="64">
        <f>IFERROR(VLOOKUP(C563,測定点マスタ!$E$2:$F$28,2,FALSE)/VLOOKUP(A563,'焼鈍条件-3CGL'!$A$2:$B$197,2,FALSE)*60,"")</f>
        <v>60.218335485385552</v>
      </c>
      <c r="E563" s="66">
        <v>271.3</v>
      </c>
      <c r="F563" s="64">
        <f t="shared" si="8"/>
        <v>-25.396408438061272</v>
      </c>
      <c r="G563" s="60" t="s">
        <v>9</v>
      </c>
      <c r="H563" s="60" t="s">
        <v>5061</v>
      </c>
    </row>
    <row r="564" spans="1:8">
      <c r="A564" s="59" t="s">
        <v>2269</v>
      </c>
      <c r="B564" s="62">
        <v>17</v>
      </c>
      <c r="C564" s="60" t="s">
        <v>5058</v>
      </c>
      <c r="D564" s="64">
        <f>IFERROR(VLOOKUP(C564,測定点マスタ!$E$2:$F$28,2,FALSE)/VLOOKUP(A564,'焼鈍条件-3CGL'!$A$2:$B$197,2,FALSE)*60,"")</f>
        <v>62.422558724941474</v>
      </c>
      <c r="E564" s="66">
        <v>140.80000000000001</v>
      </c>
      <c r="F564" s="64">
        <f t="shared" si="8"/>
        <v>-59.204529585801573</v>
      </c>
      <c r="G564" s="60" t="s">
        <v>9</v>
      </c>
      <c r="H564" s="60" t="s">
        <v>5061</v>
      </c>
    </row>
    <row r="565" spans="1:8">
      <c r="A565" s="59" t="s">
        <v>2269</v>
      </c>
      <c r="B565" s="62">
        <v>18</v>
      </c>
      <c r="C565" s="60" t="s">
        <v>5059</v>
      </c>
      <c r="D565" s="64">
        <f>IFERROR(VLOOKUP(C565,測定点マスタ!$E$2:$F$28,2,FALSE)/VLOOKUP(A565,'焼鈍条件-3CGL'!$A$2:$B$197,2,FALSE)*60,"")</f>
        <v>64.626781964497781</v>
      </c>
      <c r="E565" s="66">
        <v>69.2</v>
      </c>
      <c r="F565" s="64">
        <f t="shared" si="8"/>
        <v>-32.483098224847936</v>
      </c>
      <c r="G565" s="60" t="s">
        <v>9</v>
      </c>
      <c r="H565" s="60" t="s">
        <v>5061</v>
      </c>
    </row>
    <row r="566" spans="1:8">
      <c r="A566" s="59" t="s">
        <v>2292</v>
      </c>
      <c r="B566" s="62">
        <v>1</v>
      </c>
      <c r="C566" s="60" t="s">
        <v>5041</v>
      </c>
      <c r="D566" s="64">
        <f>IFERROR(VLOOKUP(C566,測定点マスタ!$E$2:$F$28,2,FALSE)/VLOOKUP(A566,'焼鈍条件-3CGL'!$A$2:$B$197,2,FALSE)*60,"")</f>
        <v>0</v>
      </c>
      <c r="E566" s="66">
        <v>25.9</v>
      </c>
      <c r="F566" s="64" t="str">
        <f t="shared" si="8"/>
        <v/>
      </c>
      <c r="G566" s="60" t="s">
        <v>12</v>
      </c>
      <c r="H566" s="60" t="s">
        <v>5064</v>
      </c>
    </row>
    <row r="567" spans="1:8">
      <c r="A567" s="59" t="s">
        <v>2292</v>
      </c>
      <c r="B567" s="62">
        <v>2</v>
      </c>
      <c r="C567" s="60" t="s">
        <v>5043</v>
      </c>
      <c r="D567" s="64">
        <f>IFERROR(VLOOKUP(C567,測定点マスタ!$E$2:$F$28,2,FALSE)/VLOOKUP(A567,'焼鈍条件-3CGL'!$A$2:$B$197,2,FALSE)*60,"")</f>
        <v>8.9626258502046454</v>
      </c>
      <c r="E567" s="66">
        <v>173.3</v>
      </c>
      <c r="F567" s="64">
        <f t="shared" si="8"/>
        <v>16.446073111111115</v>
      </c>
      <c r="G567" s="60" t="s">
        <v>12</v>
      </c>
      <c r="H567" s="60" t="s">
        <v>5064</v>
      </c>
    </row>
    <row r="568" spans="1:8">
      <c r="A568" s="59" t="s">
        <v>2292</v>
      </c>
      <c r="B568" s="62">
        <v>3</v>
      </c>
      <c r="C568" s="60" t="s">
        <v>5044</v>
      </c>
      <c r="D568" s="64">
        <f>IFERROR(VLOOKUP(C568,測定点マスタ!$E$2:$F$28,2,FALSE)/VLOOKUP(A568,'焼鈍条件-3CGL'!$A$2:$B$197,2,FALSE)*60,"")</f>
        <v>20.315285260463863</v>
      </c>
      <c r="E568" s="66">
        <v>629</v>
      </c>
      <c r="F568" s="64">
        <f t="shared" si="8"/>
        <v>40.140374473684211</v>
      </c>
      <c r="G568" s="60" t="s">
        <v>12</v>
      </c>
      <c r="H568" s="60" t="s">
        <v>5064</v>
      </c>
    </row>
    <row r="569" spans="1:8">
      <c r="A569" s="59" t="s">
        <v>2292</v>
      </c>
      <c r="B569" s="62">
        <v>4</v>
      </c>
      <c r="C569" s="60" t="s">
        <v>5045</v>
      </c>
      <c r="D569" s="64">
        <f>IFERROR(VLOOKUP(C569,測定点マスタ!$E$2:$F$28,2,FALSE)/VLOOKUP(A569,'焼鈍条件-3CGL'!$A$2:$B$197,2,FALSE)*60,"")</f>
        <v>26.290369160600299</v>
      </c>
      <c r="E569" s="66">
        <v>783.7</v>
      </c>
      <c r="F569" s="64">
        <f t="shared" si="8"/>
        <v>25.89084983333332</v>
      </c>
      <c r="G569" s="60" t="s">
        <v>12</v>
      </c>
      <c r="H569" s="60" t="s">
        <v>5064</v>
      </c>
    </row>
    <row r="570" spans="1:8">
      <c r="A570" s="59" t="s">
        <v>2292</v>
      </c>
      <c r="B570" s="62">
        <v>5</v>
      </c>
      <c r="C570" s="60" t="s">
        <v>5047</v>
      </c>
      <c r="D570" s="64">
        <f>IFERROR(VLOOKUP(C570,測定点マスタ!$E$2:$F$28,2,FALSE)/VLOOKUP(A570,'焼鈍条件-3CGL'!$A$2:$B$197,2,FALSE)*60,"")</f>
        <v>35.850503400818582</v>
      </c>
      <c r="E570" s="66">
        <v>729.3</v>
      </c>
      <c r="F570" s="64">
        <f t="shared" si="8"/>
        <v>-5.690296666666681</v>
      </c>
      <c r="G570" s="60" t="s">
        <v>12</v>
      </c>
      <c r="H570" s="60" t="s">
        <v>5064</v>
      </c>
    </row>
    <row r="571" spans="1:8">
      <c r="A571" s="59" t="s">
        <v>2292</v>
      </c>
      <c r="B571" s="62">
        <v>6</v>
      </c>
      <c r="C571" s="60" t="s">
        <v>5049</v>
      </c>
      <c r="D571" s="64">
        <f>IFERROR(VLOOKUP(C571,測定点マスタ!$E$2:$F$28,2,FALSE)/VLOOKUP(A571,'焼鈍条件-3CGL'!$A$2:$B$197,2,FALSE)*60,"")</f>
        <v>43.618112470995946</v>
      </c>
      <c r="E571" s="66">
        <v>588.79999999999995</v>
      </c>
      <c r="F571" s="64">
        <f t="shared" si="8"/>
        <v>-18.087933974358965</v>
      </c>
      <c r="G571" s="60" t="s">
        <v>12</v>
      </c>
      <c r="H571" s="60" t="s">
        <v>5064</v>
      </c>
    </row>
    <row r="572" spans="1:8">
      <c r="A572" s="59" t="s">
        <v>2292</v>
      </c>
      <c r="B572" s="62">
        <v>7</v>
      </c>
      <c r="C572" s="60" t="s">
        <v>5050</v>
      </c>
      <c r="D572" s="64">
        <f>IFERROR(VLOOKUP(C572,測定点マスタ!$E$2:$F$28,2,FALSE)/VLOOKUP(A572,'焼鈍条件-3CGL'!$A$2:$B$197,2,FALSE)*60,"")</f>
        <v>48.398179591105091</v>
      </c>
      <c r="E572" s="66">
        <v>481.3</v>
      </c>
      <c r="F572" s="64">
        <f t="shared" si="8"/>
        <v>-22.489223958333323</v>
      </c>
      <c r="G572" s="60" t="s">
        <v>12</v>
      </c>
      <c r="H572" s="60" t="s">
        <v>5064</v>
      </c>
    </row>
    <row r="573" spans="1:8">
      <c r="A573" s="59" t="s">
        <v>2292</v>
      </c>
      <c r="B573" s="62">
        <v>8</v>
      </c>
      <c r="C573" s="60" t="s">
        <v>5051</v>
      </c>
      <c r="D573" s="64">
        <f>IFERROR(VLOOKUP(C573,測定点マスタ!$E$2:$F$28,2,FALSE)/VLOOKUP(A573,'焼鈍条件-3CGL'!$A$2:$B$197,2,FALSE)*60,"")</f>
        <v>52.580738321200599</v>
      </c>
      <c r="E573" s="66">
        <v>433.3</v>
      </c>
      <c r="F573" s="64">
        <f t="shared" si="8"/>
        <v>-11.476228571428555</v>
      </c>
      <c r="G573" s="60" t="s">
        <v>12</v>
      </c>
      <c r="H573" s="60" t="s">
        <v>5064</v>
      </c>
    </row>
    <row r="574" spans="1:8">
      <c r="A574" s="59" t="s">
        <v>2292</v>
      </c>
      <c r="B574" s="62">
        <v>9</v>
      </c>
      <c r="C574" s="60" t="s">
        <v>5052</v>
      </c>
      <c r="D574" s="64">
        <f>IFERROR(VLOOKUP(C574,測定点マスタ!$E$2:$F$28,2,FALSE)/VLOOKUP(A574,'焼鈍条件-3CGL'!$A$2:$B$197,2,FALSE)*60,"")</f>
        <v>57.95831383132338</v>
      </c>
      <c r="E574" s="66">
        <v>341.1</v>
      </c>
      <c r="F574" s="64">
        <f t="shared" si="8"/>
        <v>-17.145272962962981</v>
      </c>
      <c r="G574" s="60" t="s">
        <v>12</v>
      </c>
      <c r="H574" s="60" t="s">
        <v>5064</v>
      </c>
    </row>
    <row r="575" spans="1:8">
      <c r="A575" s="59" t="s">
        <v>2292</v>
      </c>
      <c r="B575" s="62">
        <v>10</v>
      </c>
      <c r="C575" s="60" t="s">
        <v>5053</v>
      </c>
      <c r="D575" s="64">
        <f>IFERROR(VLOOKUP(C575,測定点マスタ!$E$2:$F$28,2,FALSE)/VLOOKUP(A575,'焼鈍条件-3CGL'!$A$2:$B$197,2,FALSE)*60,"")</f>
        <v>65.128414511487108</v>
      </c>
      <c r="E575" s="66">
        <v>508.7</v>
      </c>
      <c r="F575" s="64">
        <f t="shared" si="8"/>
        <v>23.374846111111072</v>
      </c>
      <c r="G575" s="60" t="s">
        <v>12</v>
      </c>
      <c r="H575" s="60" t="s">
        <v>5064</v>
      </c>
    </row>
    <row r="576" spans="1:8">
      <c r="A576" s="59" t="s">
        <v>2292</v>
      </c>
      <c r="B576" s="62">
        <v>11</v>
      </c>
      <c r="C576" s="60" t="s">
        <v>5054</v>
      </c>
      <c r="D576" s="64">
        <f>IFERROR(VLOOKUP(C576,測定点マスタ!$E$2:$F$28,2,FALSE)/VLOOKUP(A576,'焼鈍条件-3CGL'!$A$2:$B$197,2,FALSE)*60,"")</f>
        <v>72.896023581664451</v>
      </c>
      <c r="E576" s="66">
        <v>496</v>
      </c>
      <c r="F576" s="64">
        <f t="shared" si="8"/>
        <v>-1.6349947435897458</v>
      </c>
      <c r="G576" s="60" t="s">
        <v>12</v>
      </c>
      <c r="H576" s="60" t="s">
        <v>5064</v>
      </c>
    </row>
    <row r="577" spans="1:8">
      <c r="A577" s="59" t="s">
        <v>2292</v>
      </c>
      <c r="B577" s="62">
        <v>12</v>
      </c>
      <c r="C577" s="60" t="s">
        <v>5056</v>
      </c>
      <c r="D577" s="64">
        <f>IFERROR(VLOOKUP(C577,測定点マスタ!$E$2:$F$28,2,FALSE)/VLOOKUP(A577,'焼鈍条件-3CGL'!$A$2:$B$197,2,FALSE)*60,"")</f>
        <v>79.468615871814535</v>
      </c>
      <c r="E577" s="66">
        <v>252</v>
      </c>
      <c r="F577" s="64">
        <f t="shared" si="8"/>
        <v>-37.123860606060553</v>
      </c>
      <c r="G577" s="60" t="s">
        <v>12</v>
      </c>
      <c r="H577" s="60" t="s">
        <v>5064</v>
      </c>
    </row>
    <row r="578" spans="1:8">
      <c r="A578" s="59" t="s">
        <v>2292</v>
      </c>
      <c r="B578" s="62">
        <v>13</v>
      </c>
      <c r="C578" s="60" t="s">
        <v>5062</v>
      </c>
      <c r="D578" s="64">
        <f>IFERROR(VLOOKUP(C578,測定点マスタ!$E$2:$F$28,2,FALSE)/VLOOKUP(A578,'焼鈍条件-3CGL'!$A$2:$B$197,2,FALSE)*60,"")</f>
        <v>86.638716551978249</v>
      </c>
      <c r="E578" s="66">
        <v>461.7</v>
      </c>
      <c r="F578" s="64">
        <f t="shared" ref="F578:F641" si="9">IF(A578=A577,IFERROR((E578-E577)/(D578-D577),""),"")</f>
        <v>29.246451250000014</v>
      </c>
      <c r="G578" s="60" t="s">
        <v>12</v>
      </c>
      <c r="H578" s="60" t="s">
        <v>5064</v>
      </c>
    </row>
    <row r="579" spans="1:8">
      <c r="A579" s="59" t="s">
        <v>2292</v>
      </c>
      <c r="B579" s="62">
        <v>14</v>
      </c>
      <c r="C579" s="60" t="s">
        <v>5065</v>
      </c>
      <c r="D579" s="64">
        <f>IFERROR(VLOOKUP(C579,測定点マスタ!$E$2:$F$28,2,FALSE)/VLOOKUP(A579,'焼鈍条件-3CGL'!$A$2:$B$197,2,FALSE)*60,"")</f>
        <v>87.705695819859571</v>
      </c>
      <c r="E579" s="66">
        <v>515</v>
      </c>
      <c r="F579" s="64">
        <f t="shared" si="9"/>
        <v>49.954110266675251</v>
      </c>
      <c r="G579" s="60" t="s">
        <v>12</v>
      </c>
      <c r="H579" s="60" t="s">
        <v>5064</v>
      </c>
    </row>
    <row r="580" spans="1:8">
      <c r="A580" s="59" t="s">
        <v>2292</v>
      </c>
      <c r="B580" s="62">
        <v>15</v>
      </c>
      <c r="C580" s="60" t="s">
        <v>5066</v>
      </c>
      <c r="D580" s="64">
        <f>IFERROR(VLOOKUP(C580,測定点マスタ!$E$2:$F$28,2,FALSE)/VLOOKUP(A580,'焼鈍条件-3CGL'!$A$2:$B$197,2,FALSE)*60,"")</f>
        <v>91.312085745299498</v>
      </c>
      <c r="E580" s="66">
        <v>502.2</v>
      </c>
      <c r="F580" s="64">
        <f t="shared" si="9"/>
        <v>-3.5492557001968099</v>
      </c>
      <c r="G580" s="60" t="s">
        <v>12</v>
      </c>
      <c r="H580" s="60" t="s">
        <v>5064</v>
      </c>
    </row>
    <row r="581" spans="1:8">
      <c r="A581" s="59" t="s">
        <v>2292</v>
      </c>
      <c r="B581" s="62">
        <v>16</v>
      </c>
      <c r="C581" s="60" t="s">
        <v>5057</v>
      </c>
      <c r="D581" s="64">
        <f>IFERROR(VLOOKUP(C581,測定点マスタ!$E$2:$F$28,2,FALSE)/VLOOKUP(A581,'焼鈍条件-3CGL'!$A$2:$B$197,2,FALSE)*60,"")</f>
        <v>98.524865596178131</v>
      </c>
      <c r="E581" s="66">
        <v>177.7</v>
      </c>
      <c r="F581" s="64">
        <f t="shared" si="9"/>
        <v>-44.989588856017932</v>
      </c>
      <c r="G581" s="60" t="s">
        <v>12</v>
      </c>
      <c r="H581" s="60" t="s">
        <v>5064</v>
      </c>
    </row>
    <row r="582" spans="1:8">
      <c r="A582" s="59" t="s">
        <v>2292</v>
      </c>
      <c r="B582" s="62">
        <v>17</v>
      </c>
      <c r="C582" s="60" t="s">
        <v>5059</v>
      </c>
      <c r="D582" s="64">
        <f>IFERROR(VLOOKUP(C582,測定点マスタ!$E$2:$F$28,2,FALSE)/VLOOKUP(A582,'焼鈍条件-3CGL'!$A$2:$B$197,2,FALSE)*60,"")</f>
        <v>105.73764544705736</v>
      </c>
      <c r="E582" s="66">
        <v>70.099999999999994</v>
      </c>
      <c r="F582" s="64">
        <f t="shared" si="9"/>
        <v>-14.917965364890996</v>
      </c>
      <c r="G582" s="60" t="s">
        <v>12</v>
      </c>
      <c r="H582" s="60" t="s">
        <v>5064</v>
      </c>
    </row>
    <row r="583" spans="1:8">
      <c r="A583" s="59" t="s">
        <v>2299</v>
      </c>
      <c r="B583" s="62">
        <v>1</v>
      </c>
      <c r="C583" s="60" t="s">
        <v>5041</v>
      </c>
      <c r="D583" s="64">
        <f>IFERROR(VLOOKUP(C583,測定点マスタ!$E$2:$F$28,2,FALSE)/VLOOKUP(A583,'焼鈍条件-3CGL'!$A$2:$B$197,2,FALSE)*60,"")</f>
        <v>0</v>
      </c>
      <c r="E583" s="66">
        <v>27.8</v>
      </c>
      <c r="F583" s="64" t="str">
        <f t="shared" si="9"/>
        <v/>
      </c>
      <c r="G583" s="60" t="s">
        <v>12</v>
      </c>
      <c r="H583" s="60" t="s">
        <v>5061</v>
      </c>
    </row>
    <row r="584" spans="1:8">
      <c r="A584" s="59" t="s">
        <v>2299</v>
      </c>
      <c r="B584" s="62">
        <v>2</v>
      </c>
      <c r="C584" s="60" t="s">
        <v>5043</v>
      </c>
      <c r="D584" s="64">
        <f>IFERROR(VLOOKUP(C584,測定点マスタ!$E$2:$F$28,2,FALSE)/VLOOKUP(A584,'焼鈍条件-3CGL'!$A$2:$B$197,2,FALSE)*60,"")</f>
        <v>8.745250842945012</v>
      </c>
      <c r="E584" s="66">
        <v>184.9</v>
      </c>
      <c r="F584" s="64">
        <f t="shared" si="9"/>
        <v>17.964035888888887</v>
      </c>
      <c r="G584" s="60" t="s">
        <v>12</v>
      </c>
      <c r="H584" s="60" t="s">
        <v>5061</v>
      </c>
    </row>
    <row r="585" spans="1:8">
      <c r="A585" s="59" t="s">
        <v>2299</v>
      </c>
      <c r="B585" s="62">
        <v>3</v>
      </c>
      <c r="C585" s="60" t="s">
        <v>5067</v>
      </c>
      <c r="D585" s="64">
        <f>IFERROR(VLOOKUP(C585,測定点マスタ!$E$2:$F$28,2,FALSE)/VLOOKUP(A585,'焼鈍条件-3CGL'!$A$2:$B$197,2,FALSE)*60,"")</f>
        <v>14.575418071575021</v>
      </c>
      <c r="E585" s="66">
        <v>378.8</v>
      </c>
      <c r="F585" s="64">
        <f t="shared" si="9"/>
        <v>33.258051166666661</v>
      </c>
      <c r="G585" s="60" t="s">
        <v>12</v>
      </c>
      <c r="H585" s="60" t="s">
        <v>5061</v>
      </c>
    </row>
    <row r="586" spans="1:8">
      <c r="A586" s="59" t="s">
        <v>2299</v>
      </c>
      <c r="B586" s="62">
        <v>4</v>
      </c>
      <c r="C586" s="60" t="s">
        <v>5044</v>
      </c>
      <c r="D586" s="64">
        <f>IFERROR(VLOOKUP(C586,測定点マスタ!$E$2:$F$28,2,FALSE)/VLOOKUP(A586,'焼鈍条件-3CGL'!$A$2:$B$197,2,FALSE)*60,"")</f>
        <v>19.822568577342025</v>
      </c>
      <c r="E586" s="66">
        <v>679.9</v>
      </c>
      <c r="F586" s="64">
        <f t="shared" si="9"/>
        <v>57.383526481481503</v>
      </c>
      <c r="G586" s="60" t="s">
        <v>12</v>
      </c>
      <c r="H586" s="60" t="s">
        <v>5061</v>
      </c>
    </row>
    <row r="587" spans="1:8">
      <c r="A587" s="59" t="s">
        <v>2299</v>
      </c>
      <c r="B587" s="62">
        <v>5</v>
      </c>
      <c r="C587" s="60" t="s">
        <v>5045</v>
      </c>
      <c r="D587" s="64">
        <f>IFERROR(VLOOKUP(C587,測定点マスタ!$E$2:$F$28,2,FALSE)/VLOOKUP(A587,'焼鈍条件-3CGL'!$A$2:$B$197,2,FALSE)*60,"")</f>
        <v>25.652735805972036</v>
      </c>
      <c r="E587" s="66">
        <v>822.1</v>
      </c>
      <c r="F587" s="64">
        <f t="shared" si="9"/>
        <v>24.390380999999998</v>
      </c>
      <c r="G587" s="60" t="s">
        <v>12</v>
      </c>
      <c r="H587" s="60" t="s">
        <v>5061</v>
      </c>
    </row>
    <row r="588" spans="1:8">
      <c r="A588" s="59" t="s">
        <v>2299</v>
      </c>
      <c r="B588" s="62">
        <v>6</v>
      </c>
      <c r="C588" s="60" t="s">
        <v>5047</v>
      </c>
      <c r="D588" s="64">
        <f>IFERROR(VLOOKUP(C588,測定点マスタ!$E$2:$F$28,2,FALSE)/VLOOKUP(A588,'焼鈍条件-3CGL'!$A$2:$B$197,2,FALSE)*60,"")</f>
        <v>34.981003371780048</v>
      </c>
      <c r="E588" s="66">
        <v>772.5</v>
      </c>
      <c r="F588" s="64">
        <f t="shared" si="9"/>
        <v>-5.3171716666666695</v>
      </c>
      <c r="G588" s="60" t="s">
        <v>12</v>
      </c>
      <c r="H588" s="60" t="s">
        <v>5061</v>
      </c>
    </row>
    <row r="589" spans="1:8">
      <c r="A589" s="59" t="s">
        <v>2299</v>
      </c>
      <c r="B589" s="62">
        <v>7</v>
      </c>
      <c r="C589" s="60" t="s">
        <v>5048</v>
      </c>
      <c r="D589" s="64">
        <f>IFERROR(VLOOKUP(C589,測定点マスタ!$E$2:$F$28,2,FALSE)/VLOOKUP(A589,'焼鈍条件-3CGL'!$A$2:$B$197,2,FALSE)*60,"")</f>
        <v>38.47910370895805</v>
      </c>
      <c r="E589" s="66">
        <v>728.4</v>
      </c>
      <c r="F589" s="64">
        <f t="shared" si="9"/>
        <v>-12.606842500000017</v>
      </c>
      <c r="G589" s="60" t="s">
        <v>12</v>
      </c>
      <c r="H589" s="60" t="s">
        <v>5061</v>
      </c>
    </row>
    <row r="590" spans="1:8">
      <c r="A590" s="59" t="s">
        <v>2299</v>
      </c>
      <c r="B590" s="62">
        <v>8</v>
      </c>
      <c r="C590" s="60" t="s">
        <v>5049</v>
      </c>
      <c r="D590" s="64">
        <f>IFERROR(VLOOKUP(C590,測定点マスタ!$E$2:$F$28,2,FALSE)/VLOOKUP(A590,'焼鈍条件-3CGL'!$A$2:$B$197,2,FALSE)*60,"")</f>
        <v>42.560220768999059</v>
      </c>
      <c r="E590" s="66">
        <v>620.4</v>
      </c>
      <c r="F590" s="64">
        <f t="shared" si="9"/>
        <v>-26.46334285714283</v>
      </c>
      <c r="G590" s="60" t="s">
        <v>12</v>
      </c>
      <c r="H590" s="60" t="s">
        <v>5061</v>
      </c>
    </row>
    <row r="591" spans="1:8">
      <c r="A591" s="59" t="s">
        <v>2299</v>
      </c>
      <c r="B591" s="62">
        <v>9</v>
      </c>
      <c r="C591" s="60" t="s">
        <v>5050</v>
      </c>
      <c r="D591" s="64">
        <f>IFERROR(VLOOKUP(C591,測定点マスタ!$E$2:$F$28,2,FALSE)/VLOOKUP(A591,'焼鈍条件-3CGL'!$A$2:$B$197,2,FALSE)*60,"")</f>
        <v>47.224354551903062</v>
      </c>
      <c r="E591" s="66">
        <v>484.5</v>
      </c>
      <c r="F591" s="64">
        <f t="shared" si="9"/>
        <v>-29.137243125000019</v>
      </c>
      <c r="G591" s="60" t="s">
        <v>12</v>
      </c>
      <c r="H591" s="60" t="s">
        <v>5061</v>
      </c>
    </row>
    <row r="592" spans="1:8">
      <c r="A592" s="59" t="s">
        <v>2299</v>
      </c>
      <c r="B592" s="62">
        <v>10</v>
      </c>
      <c r="C592" s="60" t="s">
        <v>5051</v>
      </c>
      <c r="D592" s="64">
        <f>IFERROR(VLOOKUP(C592,測定点マスタ!$E$2:$F$28,2,FALSE)/VLOOKUP(A592,'焼鈍条件-3CGL'!$A$2:$B$197,2,FALSE)*60,"")</f>
        <v>51.305471611944071</v>
      </c>
      <c r="E592" s="66">
        <v>448.3</v>
      </c>
      <c r="F592" s="64">
        <f t="shared" si="9"/>
        <v>-8.8701204761904648</v>
      </c>
      <c r="G592" s="60" t="s">
        <v>12</v>
      </c>
      <c r="H592" s="60" t="s">
        <v>5061</v>
      </c>
    </row>
    <row r="593" spans="1:8">
      <c r="A593" s="59" t="s">
        <v>2299</v>
      </c>
      <c r="B593" s="62">
        <v>11</v>
      </c>
      <c r="C593" s="60" t="s">
        <v>5052</v>
      </c>
      <c r="D593" s="64">
        <f>IFERROR(VLOOKUP(C593,測定点マスタ!$E$2:$F$28,2,FALSE)/VLOOKUP(A593,'焼鈍条件-3CGL'!$A$2:$B$197,2,FALSE)*60,"")</f>
        <v>56.552622117711081</v>
      </c>
      <c r="E593" s="66">
        <v>342.6</v>
      </c>
      <c r="F593" s="64">
        <f t="shared" si="9"/>
        <v>-20.144266851851839</v>
      </c>
      <c r="G593" s="60" t="s">
        <v>12</v>
      </c>
      <c r="H593" s="60" t="s">
        <v>5061</v>
      </c>
    </row>
    <row r="594" spans="1:8">
      <c r="A594" s="59" t="s">
        <v>2299</v>
      </c>
      <c r="B594" s="62">
        <v>12</v>
      </c>
      <c r="C594" s="60" t="s">
        <v>5069</v>
      </c>
      <c r="D594" s="64">
        <f>IFERROR(VLOOKUP(C594,測定点マスタ!$E$2:$F$28,2,FALSE)/VLOOKUP(A594,'焼鈍条件-3CGL'!$A$2:$B$197,2,FALSE)*60,"")</f>
        <v>60.633739177752076</v>
      </c>
      <c r="E594" s="66">
        <v>538.20000000000005</v>
      </c>
      <c r="F594" s="64">
        <f t="shared" si="9"/>
        <v>47.92805428571441</v>
      </c>
      <c r="G594" s="60" t="s">
        <v>12</v>
      </c>
      <c r="H594" s="60" t="s">
        <v>5061</v>
      </c>
    </row>
    <row r="595" spans="1:8">
      <c r="A595" s="59" t="s">
        <v>2299</v>
      </c>
      <c r="B595" s="62">
        <v>13</v>
      </c>
      <c r="C595" s="60" t="s">
        <v>5053</v>
      </c>
      <c r="D595" s="64">
        <f>IFERROR(VLOOKUP(C595,測定点マスタ!$E$2:$F$28,2,FALSE)/VLOOKUP(A595,'焼鈍条件-3CGL'!$A$2:$B$197,2,FALSE)*60,"")</f>
        <v>63.548822792067085</v>
      </c>
      <c r="E595" s="66">
        <v>527.1</v>
      </c>
      <c r="F595" s="64">
        <f t="shared" si="9"/>
        <v>-3.8077810000000016</v>
      </c>
      <c r="G595" s="60" t="s">
        <v>12</v>
      </c>
      <c r="H595" s="60" t="s">
        <v>5061</v>
      </c>
    </row>
    <row r="596" spans="1:8">
      <c r="A596" s="59" t="s">
        <v>2299</v>
      </c>
      <c r="B596" s="62">
        <v>14</v>
      </c>
      <c r="C596" s="60" t="s">
        <v>5054</v>
      </c>
      <c r="D596" s="64">
        <f>IFERROR(VLOOKUP(C596,測定点マスタ!$E$2:$F$28,2,FALSE)/VLOOKUP(A596,'焼鈍条件-3CGL'!$A$2:$B$197,2,FALSE)*60,"")</f>
        <v>71.128040189286097</v>
      </c>
      <c r="E596" s="66">
        <v>510.8</v>
      </c>
      <c r="F596" s="64">
        <f t="shared" si="9"/>
        <v>-2.1506178205128217</v>
      </c>
      <c r="G596" s="60" t="s">
        <v>12</v>
      </c>
      <c r="H596" s="60" t="s">
        <v>5061</v>
      </c>
    </row>
    <row r="597" spans="1:8">
      <c r="A597" s="59" t="s">
        <v>2299</v>
      </c>
      <c r="B597" s="62">
        <v>15</v>
      </c>
      <c r="C597" s="60" t="s">
        <v>5055</v>
      </c>
      <c r="D597" s="64">
        <f>IFERROR(VLOOKUP(C597,測定点マスタ!$E$2:$F$28,2,FALSE)/VLOOKUP(A597,'焼鈍条件-3CGL'!$A$2:$B$197,2,FALSE)*60,"")</f>
        <v>74.043123803601091</v>
      </c>
      <c r="E597" s="66">
        <v>575.20000000000005</v>
      </c>
      <c r="F597" s="64">
        <f t="shared" si="9"/>
        <v>22.091990666666749</v>
      </c>
      <c r="G597" s="60" t="s">
        <v>12</v>
      </c>
      <c r="H597" s="60" t="s">
        <v>5061</v>
      </c>
    </row>
    <row r="598" spans="1:8">
      <c r="A598" s="59" t="s">
        <v>2299</v>
      </c>
      <c r="B598" s="62">
        <v>16</v>
      </c>
      <c r="C598" s="60" t="s">
        <v>5056</v>
      </c>
      <c r="D598" s="64">
        <f>IFERROR(VLOOKUP(C598,測定点マスタ!$E$2:$F$28,2,FALSE)/VLOOKUP(A598,'焼鈍条件-3CGL'!$A$2:$B$197,2,FALSE)*60,"")</f>
        <v>77.541224140779107</v>
      </c>
      <c r="E598" s="66">
        <v>274.60000000000002</v>
      </c>
      <c r="F598" s="64">
        <f t="shared" si="9"/>
        <v>-85.932354999999731</v>
      </c>
      <c r="G598" s="60" t="s">
        <v>12</v>
      </c>
      <c r="H598" s="60" t="s">
        <v>5061</v>
      </c>
    </row>
    <row r="599" spans="1:8">
      <c r="A599" s="59" t="s">
        <v>2299</v>
      </c>
      <c r="B599" s="62">
        <v>17</v>
      </c>
      <c r="C599" s="60" t="s">
        <v>5062</v>
      </c>
      <c r="D599" s="64">
        <f>IFERROR(VLOOKUP(C599,測定点マスタ!$E$2:$F$28,2,FALSE)/VLOOKUP(A599,'焼鈍条件-3CGL'!$A$2:$B$197,2,FALSE)*60,"")</f>
        <v>84.537424815135125</v>
      </c>
      <c r="E599" s="66">
        <v>467.9</v>
      </c>
      <c r="F599" s="64">
        <f t="shared" si="9"/>
        <v>27.629281805555514</v>
      </c>
      <c r="G599" s="60" t="s">
        <v>12</v>
      </c>
      <c r="H599" s="60" t="s">
        <v>5061</v>
      </c>
    </row>
    <row r="600" spans="1:8">
      <c r="A600" s="59" t="s">
        <v>2299</v>
      </c>
      <c r="B600" s="62">
        <v>18</v>
      </c>
      <c r="C600" s="60" t="s">
        <v>5068</v>
      </c>
      <c r="D600" s="64">
        <f>IFERROR(VLOOKUP(C600,測定点マスタ!$E$2:$F$28,2,FALSE)/VLOOKUP(A600,'焼鈍条件-3CGL'!$A$2:$B$197,2,FALSE)*60,"")</f>
        <v>92.616370831951073</v>
      </c>
      <c r="E600" s="66">
        <v>346</v>
      </c>
      <c r="F600" s="64">
        <f t="shared" si="9"/>
        <v>-15.088601872852081</v>
      </c>
      <c r="G600" s="60" t="s">
        <v>12</v>
      </c>
      <c r="H600" s="60" t="s">
        <v>5061</v>
      </c>
    </row>
    <row r="601" spans="1:8">
      <c r="A601" s="59" t="s">
        <v>2299</v>
      </c>
      <c r="B601" s="62">
        <v>19</v>
      </c>
      <c r="C601" s="60" t="s">
        <v>5057</v>
      </c>
      <c r="D601" s="64">
        <f>IFERROR(VLOOKUP(C601,測定点マスタ!$E$2:$F$28,2,FALSE)/VLOOKUP(A601,'焼鈍条件-3CGL'!$A$2:$B$197,2,FALSE)*60,"")</f>
        <v>96.135293194945433</v>
      </c>
      <c r="E601" s="66">
        <v>210.4</v>
      </c>
      <c r="F601" s="64">
        <f t="shared" si="9"/>
        <v>-38.5345244970434</v>
      </c>
      <c r="G601" s="60" t="s">
        <v>12</v>
      </c>
      <c r="H601" s="60" t="s">
        <v>5061</v>
      </c>
    </row>
    <row r="602" spans="1:8">
      <c r="A602" s="59" t="s">
        <v>2299</v>
      </c>
      <c r="B602" s="62">
        <v>20</v>
      </c>
      <c r="C602" s="60" t="s">
        <v>5059</v>
      </c>
      <c r="D602" s="64">
        <f>IFERROR(VLOOKUP(C602,測定点マスタ!$E$2:$F$28,2,FALSE)/VLOOKUP(A602,'焼鈍条件-3CGL'!$A$2:$B$197,2,FALSE)*60,"")</f>
        <v>103.17313792093478</v>
      </c>
      <c r="E602" s="66">
        <v>37.1</v>
      </c>
      <c r="F602" s="64">
        <f t="shared" si="9"/>
        <v>-24.624015838263379</v>
      </c>
      <c r="G602" s="60" t="s">
        <v>12</v>
      </c>
      <c r="H602" s="60" t="s">
        <v>5061</v>
      </c>
    </row>
    <row r="603" spans="1:8">
      <c r="A603" s="59" t="s">
        <v>2303</v>
      </c>
      <c r="B603" s="62">
        <v>1</v>
      </c>
      <c r="C603" s="60" t="s">
        <v>5041</v>
      </c>
      <c r="D603" s="64">
        <f>IFERROR(VLOOKUP(C603,測定点マスタ!$E$2:$F$28,2,FALSE)/VLOOKUP(A603,'焼鈍条件-3CGL'!$A$2:$B$197,2,FALSE)*60,"")</f>
        <v>0</v>
      </c>
      <c r="E603" s="66">
        <v>31.9</v>
      </c>
      <c r="F603" s="64" t="str">
        <f t="shared" si="9"/>
        <v/>
      </c>
      <c r="G603" s="60" t="s">
        <v>9</v>
      </c>
      <c r="H603" s="60" t="s">
        <v>5061</v>
      </c>
    </row>
    <row r="604" spans="1:8">
      <c r="A604" s="59" t="s">
        <v>2303</v>
      </c>
      <c r="B604" s="62">
        <v>2</v>
      </c>
      <c r="C604" s="60" t="s">
        <v>5043</v>
      </c>
      <c r="D604" s="64">
        <f>IFERROR(VLOOKUP(C604,測定点マスタ!$E$2:$F$28,2,FALSE)/VLOOKUP(A604,'焼鈍条件-3CGL'!$A$2:$B$197,2,FALSE)*60,"")</f>
        <v>9.0119859413019316</v>
      </c>
      <c r="E604" s="66">
        <v>179.7</v>
      </c>
      <c r="F604" s="64">
        <f t="shared" si="9"/>
        <v>16.400380666666663</v>
      </c>
      <c r="G604" s="60" t="s">
        <v>9</v>
      </c>
      <c r="H604" s="60" t="s">
        <v>5061</v>
      </c>
    </row>
    <row r="605" spans="1:8">
      <c r="A605" s="59" t="s">
        <v>2303</v>
      </c>
      <c r="B605" s="62">
        <v>3</v>
      </c>
      <c r="C605" s="60" t="s">
        <v>5044</v>
      </c>
      <c r="D605" s="64">
        <f>IFERROR(VLOOKUP(C605,測定点マスタ!$E$2:$F$28,2,FALSE)/VLOOKUP(A605,'焼鈍条件-3CGL'!$A$2:$B$197,2,FALSE)*60,"")</f>
        <v>20.427168133617709</v>
      </c>
      <c r="E605" s="66">
        <v>668.9</v>
      </c>
      <c r="F605" s="64">
        <f t="shared" si="9"/>
        <v>42.855207368421063</v>
      </c>
      <c r="G605" s="60" t="s">
        <v>9</v>
      </c>
      <c r="H605" s="60" t="s">
        <v>5061</v>
      </c>
    </row>
    <row r="606" spans="1:8">
      <c r="A606" s="59" t="s">
        <v>2303</v>
      </c>
      <c r="B606" s="62">
        <v>4</v>
      </c>
      <c r="C606" s="60" t="s">
        <v>5045</v>
      </c>
      <c r="D606" s="64">
        <f>IFERROR(VLOOKUP(C606,測定点マスタ!$E$2:$F$28,2,FALSE)/VLOOKUP(A606,'焼鈍条件-3CGL'!$A$2:$B$197,2,FALSE)*60,"")</f>
        <v>26.43515876115233</v>
      </c>
      <c r="E606" s="66">
        <v>840.5</v>
      </c>
      <c r="F606" s="64">
        <f t="shared" si="9"/>
        <v>28.561962000000005</v>
      </c>
      <c r="G606" s="60" t="s">
        <v>9</v>
      </c>
      <c r="H606" s="60" t="s">
        <v>5061</v>
      </c>
    </row>
    <row r="607" spans="1:8">
      <c r="A607" s="59" t="s">
        <v>2303</v>
      </c>
      <c r="B607" s="62">
        <v>5</v>
      </c>
      <c r="C607" s="60" t="s">
        <v>5046</v>
      </c>
      <c r="D607" s="64">
        <f>IFERROR(VLOOKUP(C607,測定点マスタ!$E$2:$F$28,2,FALSE)/VLOOKUP(A607,'焼鈍条件-3CGL'!$A$2:$B$197,2,FALSE)*60,"")</f>
        <v>32.443149388686955</v>
      </c>
      <c r="E607" s="66">
        <v>789.5</v>
      </c>
      <c r="F607" s="64">
        <f t="shared" si="9"/>
        <v>-8.4886949999999946</v>
      </c>
      <c r="G607" s="60" t="s">
        <v>9</v>
      </c>
      <c r="H607" s="60" t="s">
        <v>5061</v>
      </c>
    </row>
    <row r="608" spans="1:8">
      <c r="A608" s="59" t="s">
        <v>2303</v>
      </c>
      <c r="B608" s="62">
        <v>6</v>
      </c>
      <c r="C608" s="60" t="s">
        <v>5047</v>
      </c>
      <c r="D608" s="64">
        <f>IFERROR(VLOOKUP(C608,測定点マスタ!$E$2:$F$28,2,FALSE)/VLOOKUP(A608,'焼鈍条件-3CGL'!$A$2:$B$197,2,FALSE)*60,"")</f>
        <v>36.047943765207727</v>
      </c>
      <c r="E608" s="66">
        <v>753.2</v>
      </c>
      <c r="F608" s="64">
        <f t="shared" si="9"/>
        <v>-10.06992249999999</v>
      </c>
      <c r="G608" s="60" t="s">
        <v>9</v>
      </c>
      <c r="H608" s="60" t="s">
        <v>5061</v>
      </c>
    </row>
    <row r="609" spans="1:8">
      <c r="A609" s="59" t="s">
        <v>2303</v>
      </c>
      <c r="B609" s="62">
        <v>7</v>
      </c>
      <c r="C609" s="60" t="s">
        <v>5049</v>
      </c>
      <c r="D609" s="64">
        <f>IFERROR(VLOOKUP(C609,測定点マスタ!$E$2:$F$28,2,FALSE)/VLOOKUP(A609,'焼鈍条件-3CGL'!$A$2:$B$197,2,FALSE)*60,"")</f>
        <v>43.858331581002737</v>
      </c>
      <c r="E609" s="66">
        <v>639.5</v>
      </c>
      <c r="F609" s="64">
        <f t="shared" si="9"/>
        <v>-14.557535769230769</v>
      </c>
      <c r="G609" s="60" t="s">
        <v>9</v>
      </c>
      <c r="H609" s="60" t="s">
        <v>5061</v>
      </c>
    </row>
    <row r="610" spans="1:8">
      <c r="A610" s="59" t="s">
        <v>2303</v>
      </c>
      <c r="B610" s="62">
        <v>8</v>
      </c>
      <c r="C610" s="60" t="s">
        <v>5050</v>
      </c>
      <c r="D610" s="64">
        <f>IFERROR(VLOOKUP(C610,測定点マスタ!$E$2:$F$28,2,FALSE)/VLOOKUP(A610,'焼鈍条件-3CGL'!$A$2:$B$197,2,FALSE)*60,"")</f>
        <v>48.664724083030428</v>
      </c>
      <c r="E610" s="66">
        <v>504.7</v>
      </c>
      <c r="F610" s="64">
        <f t="shared" si="9"/>
        <v>-28.045982500000036</v>
      </c>
      <c r="G610" s="60" t="s">
        <v>9</v>
      </c>
      <c r="H610" s="60" t="s">
        <v>5061</v>
      </c>
    </row>
    <row r="611" spans="1:8">
      <c r="A611" s="59" t="s">
        <v>2303</v>
      </c>
      <c r="B611" s="62">
        <v>9</v>
      </c>
      <c r="C611" s="60" t="s">
        <v>5051</v>
      </c>
      <c r="D611" s="64">
        <f>IFERROR(VLOOKUP(C611,測定点マスタ!$E$2:$F$28,2,FALSE)/VLOOKUP(A611,'焼鈍条件-3CGL'!$A$2:$B$197,2,FALSE)*60,"")</f>
        <v>52.87031752230466</v>
      </c>
      <c r="E611" s="66">
        <v>459.8</v>
      </c>
      <c r="F611" s="64">
        <f t="shared" si="9"/>
        <v>-10.676257857142859</v>
      </c>
      <c r="G611" s="60" t="s">
        <v>9</v>
      </c>
      <c r="H611" s="60" t="s">
        <v>5061</v>
      </c>
    </row>
    <row r="612" spans="1:8">
      <c r="A612" s="59" t="s">
        <v>2303</v>
      </c>
      <c r="B612" s="62">
        <v>10</v>
      </c>
      <c r="C612" s="60" t="s">
        <v>5052</v>
      </c>
      <c r="D612" s="64">
        <f>IFERROR(VLOOKUP(C612,測定点マスタ!$E$2:$F$28,2,FALSE)/VLOOKUP(A612,'焼鈍条件-3CGL'!$A$2:$B$197,2,FALSE)*60,"")</f>
        <v>58.277509087085825</v>
      </c>
      <c r="E612" s="66">
        <v>347.8</v>
      </c>
      <c r="F612" s="64">
        <f t="shared" si="9"/>
        <v>-20.713155555555531</v>
      </c>
      <c r="G612" s="60" t="s">
        <v>9</v>
      </c>
      <c r="H612" s="60" t="s">
        <v>5061</v>
      </c>
    </row>
    <row r="613" spans="1:8">
      <c r="A613" s="59" t="s">
        <v>2303</v>
      </c>
      <c r="B613" s="62">
        <v>11</v>
      </c>
      <c r="C613" s="60" t="s">
        <v>5053</v>
      </c>
      <c r="D613" s="64">
        <f>IFERROR(VLOOKUP(C613,測定点マスタ!$E$2:$F$28,2,FALSE)/VLOOKUP(A613,'焼鈍条件-3CGL'!$A$2:$B$197,2,FALSE)*60,"")</f>
        <v>65.487097840127362</v>
      </c>
      <c r="E613" s="66">
        <v>543.79999999999995</v>
      </c>
      <c r="F613" s="64">
        <f t="shared" si="9"/>
        <v>27.186016666666692</v>
      </c>
      <c r="G613" s="60" t="s">
        <v>9</v>
      </c>
      <c r="H613" s="60" t="s">
        <v>5061</v>
      </c>
    </row>
    <row r="614" spans="1:8">
      <c r="A614" s="59" t="s">
        <v>2303</v>
      </c>
      <c r="B614" s="62">
        <v>12</v>
      </c>
      <c r="C614" s="60" t="s">
        <v>5054</v>
      </c>
      <c r="D614" s="64">
        <f>IFERROR(VLOOKUP(C614,測定点マスタ!$E$2:$F$28,2,FALSE)/VLOOKUP(A614,'焼鈍条件-3CGL'!$A$2:$B$197,2,FALSE)*60,"")</f>
        <v>73.297485655922372</v>
      </c>
      <c r="E614" s="66">
        <v>533.29999999999995</v>
      </c>
      <c r="F614" s="64">
        <f t="shared" si="9"/>
        <v>-1.344363461538461</v>
      </c>
      <c r="G614" s="60" t="s">
        <v>9</v>
      </c>
      <c r="H614" s="60" t="s">
        <v>5061</v>
      </c>
    </row>
    <row r="615" spans="1:8">
      <c r="A615" s="59" t="s">
        <v>2303</v>
      </c>
      <c r="B615" s="62">
        <v>13</v>
      </c>
      <c r="C615" s="60" t="s">
        <v>5055</v>
      </c>
      <c r="D615" s="64">
        <f>IFERROR(VLOOKUP(C615,測定点マスタ!$E$2:$F$28,2,FALSE)/VLOOKUP(A615,'焼鈍条件-3CGL'!$A$2:$B$197,2,FALSE)*60,"")</f>
        <v>76.301480969689692</v>
      </c>
      <c r="E615" s="66">
        <v>586.70000000000005</v>
      </c>
      <c r="F615" s="64">
        <f t="shared" si="9"/>
        <v>17.776325999999976</v>
      </c>
      <c r="G615" s="60" t="s">
        <v>9</v>
      </c>
      <c r="H615" s="60" t="s">
        <v>5061</v>
      </c>
    </row>
    <row r="616" spans="1:8">
      <c r="A616" s="59" t="s">
        <v>2303</v>
      </c>
      <c r="B616" s="62">
        <v>14</v>
      </c>
      <c r="C616" s="60" t="s">
        <v>5056</v>
      </c>
      <c r="D616" s="64">
        <f>IFERROR(VLOOKUP(C616,測定点マスタ!$E$2:$F$28,2,FALSE)/VLOOKUP(A616,'焼鈍条件-3CGL'!$A$2:$B$197,2,FALSE)*60,"")</f>
        <v>79.90627534621045</v>
      </c>
      <c r="E616" s="66">
        <v>277.2</v>
      </c>
      <c r="F616" s="64">
        <f t="shared" si="9"/>
        <v>-85.857879166667033</v>
      </c>
      <c r="G616" s="60" t="s">
        <v>9</v>
      </c>
      <c r="H616" s="60" t="s">
        <v>5061</v>
      </c>
    </row>
    <row r="617" spans="1:8">
      <c r="A617" s="59" t="s">
        <v>2303</v>
      </c>
      <c r="B617" s="62">
        <v>15</v>
      </c>
      <c r="C617" s="60" t="s">
        <v>5062</v>
      </c>
      <c r="D617" s="64">
        <f>IFERROR(VLOOKUP(C617,測定点マスタ!$E$2:$F$28,2,FALSE)/VLOOKUP(A617,'焼鈍条件-3CGL'!$A$2:$B$197,2,FALSE)*60,"")</f>
        <v>87.115864099251993</v>
      </c>
      <c r="E617" s="66">
        <v>462.3</v>
      </c>
      <c r="F617" s="64">
        <f t="shared" si="9"/>
        <v>25.674141250000009</v>
      </c>
      <c r="G617" s="60" t="s">
        <v>9</v>
      </c>
      <c r="H617" s="60" t="s">
        <v>5061</v>
      </c>
    </row>
    <row r="618" spans="1:8">
      <c r="A618" s="59" t="s">
        <v>2303</v>
      </c>
      <c r="B618" s="62">
        <v>16</v>
      </c>
      <c r="C618" s="60" t="s">
        <v>5057</v>
      </c>
      <c r="D618" s="64">
        <f>IFERROR(VLOOKUP(C618,測定点マスタ!$E$2:$F$28,2,FALSE)/VLOOKUP(A618,'焼鈍条件-3CGL'!$A$2:$B$197,2,FALSE)*60,"")</f>
        <v>99.067474026169009</v>
      </c>
      <c r="E618" s="66">
        <v>223.5</v>
      </c>
      <c r="F618" s="64">
        <f t="shared" si="9"/>
        <v>-19.980571777378934</v>
      </c>
      <c r="G618" s="60" t="s">
        <v>9</v>
      </c>
      <c r="H618" s="60" t="s">
        <v>5061</v>
      </c>
    </row>
    <row r="619" spans="1:8">
      <c r="A619" s="59" t="s">
        <v>2303</v>
      </c>
      <c r="B619" s="62">
        <v>17</v>
      </c>
      <c r="C619" s="60" t="s">
        <v>5059</v>
      </c>
      <c r="D619" s="64">
        <f>IFERROR(VLOOKUP(C619,測定点マスタ!$E$2:$F$28,2,FALSE)/VLOOKUP(A619,'焼鈍条件-3CGL'!$A$2:$B$197,2,FALSE)*60,"")</f>
        <v>106.31997699797891</v>
      </c>
      <c r="E619" s="66">
        <v>42.4</v>
      </c>
      <c r="F619" s="64">
        <f t="shared" si="9"/>
        <v>-24.970689526626344</v>
      </c>
      <c r="G619" s="60" t="s">
        <v>9</v>
      </c>
      <c r="H619" s="60" t="s">
        <v>5061</v>
      </c>
    </row>
    <row r="620" spans="1:8">
      <c r="A620" s="59" t="s">
        <v>2308</v>
      </c>
      <c r="B620" s="62">
        <v>1</v>
      </c>
      <c r="C620" s="60" t="s">
        <v>5041</v>
      </c>
      <c r="D620" s="64">
        <f>IFERROR(VLOOKUP(C620,測定点マスタ!$E$2:$F$28,2,FALSE)/VLOOKUP(A620,'焼鈍条件-3CGL'!$A$2:$B$197,2,FALSE)*60,"")</f>
        <v>0</v>
      </c>
      <c r="E620" s="66">
        <v>32.4</v>
      </c>
      <c r="F620" s="64" t="str">
        <f t="shared" si="9"/>
        <v/>
      </c>
      <c r="G620" s="60" t="s">
        <v>12</v>
      </c>
      <c r="H620" s="60" t="s">
        <v>5064</v>
      </c>
    </row>
    <row r="621" spans="1:8">
      <c r="A621" s="59" t="s">
        <v>2308</v>
      </c>
      <c r="B621" s="62">
        <v>2</v>
      </c>
      <c r="C621" s="60" t="s">
        <v>5043</v>
      </c>
      <c r="D621" s="64">
        <f>IFERROR(VLOOKUP(C621,測定点マスタ!$E$2:$F$28,2,FALSE)/VLOOKUP(A621,'焼鈍条件-3CGL'!$A$2:$B$197,2,FALSE)*60,"")</f>
        <v>12.498437695288089</v>
      </c>
      <c r="E621" s="66">
        <v>171.9</v>
      </c>
      <c r="F621" s="64">
        <f t="shared" si="9"/>
        <v>11.161394999999999</v>
      </c>
      <c r="G621" s="60" t="s">
        <v>12</v>
      </c>
      <c r="H621" s="60" t="s">
        <v>5064</v>
      </c>
    </row>
    <row r="622" spans="1:8">
      <c r="A622" s="59" t="s">
        <v>2308</v>
      </c>
      <c r="B622" s="62">
        <v>3</v>
      </c>
      <c r="C622" s="60" t="s">
        <v>5067</v>
      </c>
      <c r="D622" s="64">
        <f>IFERROR(VLOOKUP(C622,測定点マスタ!$E$2:$F$28,2,FALSE)/VLOOKUP(A622,'焼鈍条件-3CGL'!$A$2:$B$197,2,FALSE)*60,"")</f>
        <v>20.830729492146812</v>
      </c>
      <c r="E622" s="66">
        <v>386.5</v>
      </c>
      <c r="F622" s="64">
        <f t="shared" si="9"/>
        <v>25.755219000000011</v>
      </c>
      <c r="G622" s="60" t="s">
        <v>12</v>
      </c>
      <c r="H622" s="60" t="s">
        <v>5064</v>
      </c>
    </row>
    <row r="623" spans="1:8">
      <c r="A623" s="59" t="s">
        <v>2308</v>
      </c>
      <c r="B623" s="62">
        <v>4</v>
      </c>
      <c r="C623" s="60" t="s">
        <v>5044</v>
      </c>
      <c r="D623" s="64">
        <f>IFERROR(VLOOKUP(C623,測定点マスタ!$E$2:$F$28,2,FALSE)/VLOOKUP(A623,'焼鈍条件-3CGL'!$A$2:$B$197,2,FALSE)*60,"")</f>
        <v>28.329792109319666</v>
      </c>
      <c r="E623" s="66">
        <v>681.7</v>
      </c>
      <c r="F623" s="64">
        <f t="shared" si="9"/>
        <v>39.364920000000005</v>
      </c>
      <c r="G623" s="60" t="s">
        <v>12</v>
      </c>
      <c r="H623" s="60" t="s">
        <v>5064</v>
      </c>
    </row>
    <row r="624" spans="1:8">
      <c r="A624" s="59" t="s">
        <v>2308</v>
      </c>
      <c r="B624" s="62">
        <v>5</v>
      </c>
      <c r="C624" s="60" t="s">
        <v>5045</v>
      </c>
      <c r="D624" s="64">
        <f>IFERROR(VLOOKUP(C624,測定点マスタ!$E$2:$F$28,2,FALSE)/VLOOKUP(A624,'焼鈍条件-3CGL'!$A$2:$B$197,2,FALSE)*60,"")</f>
        <v>36.662083906178388</v>
      </c>
      <c r="E624" s="66">
        <v>852.6</v>
      </c>
      <c r="F624" s="64">
        <f t="shared" si="9"/>
        <v>20.510563500000007</v>
      </c>
      <c r="G624" s="60" t="s">
        <v>12</v>
      </c>
      <c r="H624" s="60" t="s">
        <v>5064</v>
      </c>
    </row>
    <row r="625" spans="1:8">
      <c r="A625" s="59" t="s">
        <v>2308</v>
      </c>
      <c r="B625" s="62">
        <v>6</v>
      </c>
      <c r="C625" s="60" t="s">
        <v>5047</v>
      </c>
      <c r="D625" s="64">
        <f>IFERROR(VLOOKUP(C625,測定点マスタ!$E$2:$F$28,2,FALSE)/VLOOKUP(A625,'焼鈍条件-3CGL'!$A$2:$B$197,2,FALSE)*60,"")</f>
        <v>49.993750781152357</v>
      </c>
      <c r="E625" s="66">
        <v>795.5</v>
      </c>
      <c r="F625" s="64">
        <f t="shared" si="9"/>
        <v>-4.2830353124999991</v>
      </c>
      <c r="G625" s="60" t="s">
        <v>12</v>
      </c>
      <c r="H625" s="60" t="s">
        <v>5064</v>
      </c>
    </row>
    <row r="626" spans="1:8">
      <c r="A626" s="59" t="s">
        <v>2308</v>
      </c>
      <c r="B626" s="62">
        <v>7</v>
      </c>
      <c r="C626" s="60" t="s">
        <v>5049</v>
      </c>
      <c r="D626" s="64">
        <f>IFERROR(VLOOKUP(C626,測定点マスタ!$E$2:$F$28,2,FALSE)/VLOOKUP(A626,'焼鈍条件-3CGL'!$A$2:$B$197,2,FALSE)*60,"")</f>
        <v>60.825730117068709</v>
      </c>
      <c r="E626" s="66">
        <v>609.6</v>
      </c>
      <c r="F626" s="64">
        <f t="shared" si="9"/>
        <v>-17.162144999999985</v>
      </c>
      <c r="G626" s="60" t="s">
        <v>12</v>
      </c>
      <c r="H626" s="60" t="s">
        <v>5064</v>
      </c>
    </row>
    <row r="627" spans="1:8">
      <c r="A627" s="59" t="s">
        <v>2308</v>
      </c>
      <c r="B627" s="62">
        <v>8</v>
      </c>
      <c r="C627" s="60" t="s">
        <v>5050</v>
      </c>
      <c r="D627" s="64">
        <f>IFERROR(VLOOKUP(C627,測定点マスタ!$E$2:$F$28,2,FALSE)/VLOOKUP(A627,'焼鈍条件-3CGL'!$A$2:$B$197,2,FALSE)*60,"")</f>
        <v>67.491563554555682</v>
      </c>
      <c r="E627" s="66">
        <v>522.6</v>
      </c>
      <c r="F627" s="64">
        <f t="shared" si="9"/>
        <v>-13.051631250000014</v>
      </c>
      <c r="G627" s="60" t="s">
        <v>12</v>
      </c>
      <c r="H627" s="60" t="s">
        <v>5064</v>
      </c>
    </row>
    <row r="628" spans="1:8">
      <c r="A628" s="59" t="s">
        <v>2308</v>
      </c>
      <c r="B628" s="62">
        <v>9</v>
      </c>
      <c r="C628" s="60" t="s">
        <v>5051</v>
      </c>
      <c r="D628" s="64">
        <f>IFERROR(VLOOKUP(C628,測定点マスタ!$E$2:$F$28,2,FALSE)/VLOOKUP(A628,'焼鈍条件-3CGL'!$A$2:$B$197,2,FALSE)*60,"")</f>
        <v>73.324167812356777</v>
      </c>
      <c r="E628" s="66">
        <v>475.8</v>
      </c>
      <c r="F628" s="64">
        <f t="shared" si="9"/>
        <v>-8.0238600000000204</v>
      </c>
      <c r="G628" s="60" t="s">
        <v>12</v>
      </c>
      <c r="H628" s="60" t="s">
        <v>5064</v>
      </c>
    </row>
    <row r="629" spans="1:8">
      <c r="A629" s="59" t="s">
        <v>2308</v>
      </c>
      <c r="B629" s="62">
        <v>10</v>
      </c>
      <c r="C629" s="60" t="s">
        <v>5052</v>
      </c>
      <c r="D629" s="64">
        <f>IFERROR(VLOOKUP(C629,測定点マスタ!$E$2:$F$28,2,FALSE)/VLOOKUP(A629,'焼鈍条件-3CGL'!$A$2:$B$197,2,FALSE)*60,"")</f>
        <v>80.82323042952963</v>
      </c>
      <c r="E629" s="66">
        <v>366.6</v>
      </c>
      <c r="F629" s="64">
        <f t="shared" si="9"/>
        <v>-14.561819999999997</v>
      </c>
      <c r="G629" s="60" t="s">
        <v>12</v>
      </c>
      <c r="H629" s="60" t="s">
        <v>5064</v>
      </c>
    </row>
    <row r="630" spans="1:8">
      <c r="A630" s="59" t="s">
        <v>2308</v>
      </c>
      <c r="B630" s="62">
        <v>11</v>
      </c>
      <c r="C630" s="60" t="s">
        <v>5053</v>
      </c>
      <c r="D630" s="64">
        <f>IFERROR(VLOOKUP(C630,測定点マスタ!$E$2:$F$28,2,FALSE)/VLOOKUP(A630,'焼鈍条件-3CGL'!$A$2:$B$197,2,FALSE)*60,"")</f>
        <v>90.821980585760102</v>
      </c>
      <c r="E630" s="66">
        <v>568.1</v>
      </c>
      <c r="F630" s="64">
        <f t="shared" si="9"/>
        <v>20.152518749999999</v>
      </c>
      <c r="G630" s="60" t="s">
        <v>12</v>
      </c>
      <c r="H630" s="60" t="s">
        <v>5064</v>
      </c>
    </row>
    <row r="631" spans="1:8">
      <c r="A631" s="59" t="s">
        <v>2308</v>
      </c>
      <c r="B631" s="62">
        <v>12</v>
      </c>
      <c r="C631" s="60" t="s">
        <v>5054</v>
      </c>
      <c r="D631" s="64">
        <f>IFERROR(VLOOKUP(C631,測定点マスタ!$E$2:$F$28,2,FALSE)/VLOOKUP(A631,'焼鈍条件-3CGL'!$A$2:$B$197,2,FALSE)*60,"")</f>
        <v>101.65395992167646</v>
      </c>
      <c r="E631" s="66">
        <v>569.29999999999995</v>
      </c>
      <c r="F631" s="64">
        <f t="shared" si="9"/>
        <v>0.11078307692307048</v>
      </c>
      <c r="G631" s="60" t="s">
        <v>12</v>
      </c>
      <c r="H631" s="60" t="s">
        <v>5064</v>
      </c>
    </row>
    <row r="632" spans="1:8">
      <c r="A632" s="59" t="s">
        <v>2308</v>
      </c>
      <c r="B632" s="62">
        <v>13</v>
      </c>
      <c r="C632" s="60" t="s">
        <v>5056</v>
      </c>
      <c r="D632" s="64">
        <f>IFERROR(VLOOKUP(C632,測定点マスタ!$E$2:$F$28,2,FALSE)/VLOOKUP(A632,'焼鈍条件-3CGL'!$A$2:$B$197,2,FALSE)*60,"")</f>
        <v>110.81948089822104</v>
      </c>
      <c r="E632" s="66">
        <v>268.5</v>
      </c>
      <c r="F632" s="64">
        <f t="shared" si="9"/>
        <v>-32.818647272727318</v>
      </c>
      <c r="G632" s="60" t="s">
        <v>12</v>
      </c>
      <c r="H632" s="60" t="s">
        <v>5064</v>
      </c>
    </row>
    <row r="633" spans="1:8">
      <c r="A633" s="59" t="s">
        <v>2308</v>
      </c>
      <c r="B633" s="62">
        <v>14</v>
      </c>
      <c r="C633" s="60" t="s">
        <v>5062</v>
      </c>
      <c r="D633" s="64">
        <f>IFERROR(VLOOKUP(C633,測定点マスタ!$E$2:$F$28,2,FALSE)/VLOOKUP(A633,'焼鈍条件-3CGL'!$A$2:$B$197,2,FALSE)*60,"")</f>
        <v>120.81823105445152</v>
      </c>
      <c r="E633" s="66">
        <v>462.7</v>
      </c>
      <c r="F633" s="64">
        <f t="shared" si="9"/>
        <v>19.422427499999998</v>
      </c>
      <c r="G633" s="60" t="s">
        <v>12</v>
      </c>
      <c r="H633" s="60" t="s">
        <v>5064</v>
      </c>
    </row>
    <row r="634" spans="1:8">
      <c r="A634" s="59" t="s">
        <v>2308</v>
      </c>
      <c r="B634" s="62">
        <v>15</v>
      </c>
      <c r="C634" s="60" t="s">
        <v>5065</v>
      </c>
      <c r="D634" s="64">
        <f>IFERROR(VLOOKUP(C634,測定点マスタ!$E$2:$F$28,2,FALSE)/VLOOKUP(A634,'焼鈍条件-3CGL'!$A$2:$B$197,2,FALSE)*60,"")</f>
        <v>122.30614030389034</v>
      </c>
      <c r="E634" s="66">
        <v>537.20000000000005</v>
      </c>
      <c r="F634" s="64">
        <f t="shared" si="9"/>
        <v>50.070258000007755</v>
      </c>
      <c r="G634" s="60" t="s">
        <v>12</v>
      </c>
      <c r="H634" s="60" t="s">
        <v>5064</v>
      </c>
    </row>
    <row r="635" spans="1:8">
      <c r="A635" s="59" t="s">
        <v>2308</v>
      </c>
      <c r="B635" s="62">
        <v>16</v>
      </c>
      <c r="C635" s="60" t="s">
        <v>5066</v>
      </c>
      <c r="D635" s="64">
        <f>IFERROR(VLOOKUP(C635,測定点マスタ!$E$2:$F$28,2,FALSE)/VLOOKUP(A635,'焼鈍条件-3CGL'!$A$2:$B$197,2,FALSE)*60,"")</f>
        <v>127.33527356699496</v>
      </c>
      <c r="E635" s="66">
        <v>520.9</v>
      </c>
      <c r="F635" s="64">
        <f t="shared" si="9"/>
        <v>-3.2411151479286242</v>
      </c>
      <c r="G635" s="60" t="s">
        <v>12</v>
      </c>
      <c r="H635" s="60" t="s">
        <v>5064</v>
      </c>
    </row>
    <row r="636" spans="1:8">
      <c r="A636" s="59" t="s">
        <v>2308</v>
      </c>
      <c r="B636" s="62">
        <v>17</v>
      </c>
      <c r="C636" s="60" t="s">
        <v>5068</v>
      </c>
      <c r="D636" s="64">
        <f>IFERROR(VLOOKUP(C636,測定点マスタ!$E$2:$F$28,2,FALSE)/VLOOKUP(A636,'焼鈍条件-3CGL'!$A$2:$B$197,2,FALSE)*60,"")</f>
        <v>132.36440683009874</v>
      </c>
      <c r="E636" s="66">
        <v>342.2</v>
      </c>
      <c r="F636" s="64">
        <f t="shared" si="9"/>
        <v>-35.532961775149545</v>
      </c>
      <c r="G636" s="60" t="s">
        <v>12</v>
      </c>
      <c r="H636" s="60" t="s">
        <v>5064</v>
      </c>
    </row>
    <row r="637" spans="1:8">
      <c r="A637" s="59" t="s">
        <v>2308</v>
      </c>
      <c r="B637" s="62">
        <v>18</v>
      </c>
      <c r="C637" s="60" t="s">
        <v>5057</v>
      </c>
      <c r="D637" s="64">
        <f>IFERROR(VLOOKUP(C637,測定点マスタ!$E$2:$F$28,2,FALSE)/VLOOKUP(A637,'焼鈍条件-3CGL'!$A$2:$B$197,2,FALSE)*60,"")</f>
        <v>137.39354009320252</v>
      </c>
      <c r="E637" s="66">
        <v>247.7</v>
      </c>
      <c r="F637" s="64">
        <f t="shared" si="9"/>
        <v>-18.79051420118434</v>
      </c>
      <c r="G637" s="60" t="s">
        <v>12</v>
      </c>
      <c r="H637" s="60" t="s">
        <v>5064</v>
      </c>
    </row>
    <row r="638" spans="1:8">
      <c r="A638" s="59" t="s">
        <v>2308</v>
      </c>
      <c r="B638" s="62">
        <v>19</v>
      </c>
      <c r="C638" s="60" t="s">
        <v>5058</v>
      </c>
      <c r="D638" s="64">
        <f>IFERROR(VLOOKUP(C638,測定点マスタ!$E$2:$F$28,2,FALSE)/VLOOKUP(A638,'焼鈍条件-3CGL'!$A$2:$B$197,2,FALSE)*60,"")</f>
        <v>142.42267335630629</v>
      </c>
      <c r="E638" s="66">
        <v>116.3</v>
      </c>
      <c r="F638" s="64">
        <f t="shared" si="9"/>
        <v>-26.127762603551556</v>
      </c>
      <c r="G638" s="60" t="s">
        <v>12</v>
      </c>
      <c r="H638" s="60" t="s">
        <v>5064</v>
      </c>
    </row>
    <row r="639" spans="1:8">
      <c r="A639" s="59" t="s">
        <v>2308</v>
      </c>
      <c r="B639" s="62">
        <v>20</v>
      </c>
      <c r="C639" s="60" t="s">
        <v>5059</v>
      </c>
      <c r="D639" s="64">
        <f>IFERROR(VLOOKUP(C639,測定点マスタ!$E$2:$F$28,2,FALSE)/VLOOKUP(A639,'焼鈍条件-3CGL'!$A$2:$B$197,2,FALSE)*60,"")</f>
        <v>147.45180661941089</v>
      </c>
      <c r="E639" s="66">
        <v>58.6</v>
      </c>
      <c r="F639" s="64">
        <f t="shared" si="9"/>
        <v>-11.473149940827076</v>
      </c>
      <c r="G639" s="60" t="s">
        <v>12</v>
      </c>
      <c r="H639" s="60" t="s">
        <v>5064</v>
      </c>
    </row>
    <row r="640" spans="1:8">
      <c r="A640" s="59" t="s">
        <v>2319</v>
      </c>
      <c r="B640" s="62">
        <v>1</v>
      </c>
      <c r="C640" s="60" t="s">
        <v>5041</v>
      </c>
      <c r="D640" s="64">
        <f>IFERROR(VLOOKUP(C640,測定点マスタ!$E$2:$F$28,2,FALSE)/VLOOKUP(A640,'焼鈍条件-3CGL'!$A$2:$B$197,2,FALSE)*60,"")</f>
        <v>0</v>
      </c>
      <c r="E640" s="66">
        <v>31.7</v>
      </c>
      <c r="F640" s="64" t="str">
        <f t="shared" si="9"/>
        <v/>
      </c>
      <c r="G640" s="60" t="s">
        <v>12</v>
      </c>
      <c r="H640" s="60" t="s">
        <v>5064</v>
      </c>
    </row>
    <row r="641" spans="1:8">
      <c r="A641" s="59" t="s">
        <v>2319</v>
      </c>
      <c r="B641" s="62">
        <v>2</v>
      </c>
      <c r="C641" s="60" t="s">
        <v>5043</v>
      </c>
      <c r="D641" s="64">
        <f>IFERROR(VLOOKUP(C641,測定点マスタ!$E$2:$F$28,2,FALSE)/VLOOKUP(A641,'焼鈍条件-3CGL'!$A$2:$B$197,2,FALSE)*60,"")</f>
        <v>14.385729356478373</v>
      </c>
      <c r="E641" s="66">
        <v>204.1</v>
      </c>
      <c r="F641" s="64">
        <f t="shared" si="9"/>
        <v>11.984098666666666</v>
      </c>
      <c r="G641" s="60" t="s">
        <v>12</v>
      </c>
      <c r="H641" s="60" t="s">
        <v>5064</v>
      </c>
    </row>
    <row r="642" spans="1:8">
      <c r="A642" s="59" t="s">
        <v>2319</v>
      </c>
      <c r="B642" s="62">
        <v>3</v>
      </c>
      <c r="C642" s="60" t="s">
        <v>5067</v>
      </c>
      <c r="D642" s="64">
        <f>IFERROR(VLOOKUP(C642,測定点マスタ!$E$2:$F$28,2,FALSE)/VLOOKUP(A642,'焼鈍条件-3CGL'!$A$2:$B$197,2,FALSE)*60,"")</f>
        <v>23.976215594130622</v>
      </c>
      <c r="E642" s="66">
        <v>422.8</v>
      </c>
      <c r="F642" s="64">
        <f t="shared" ref="F642:F705" si="10">IF(A642=A641,IFERROR((E642-E641)/(D642-D641),""),"")</f>
        <v>22.803849000000003</v>
      </c>
      <c r="G642" s="60" t="s">
        <v>12</v>
      </c>
      <c r="H642" s="60" t="s">
        <v>5064</v>
      </c>
    </row>
    <row r="643" spans="1:8">
      <c r="A643" s="59" t="s">
        <v>2319</v>
      </c>
      <c r="B643" s="62">
        <v>4</v>
      </c>
      <c r="C643" s="60" t="s">
        <v>5044</v>
      </c>
      <c r="D643" s="64">
        <f>IFERROR(VLOOKUP(C643,測定点マスタ!$E$2:$F$28,2,FALSE)/VLOOKUP(A643,'焼鈍条件-3CGL'!$A$2:$B$197,2,FALSE)*60,"")</f>
        <v>32.607653208017652</v>
      </c>
      <c r="E643" s="66">
        <v>692.2</v>
      </c>
      <c r="F643" s="64">
        <f t="shared" si="10"/>
        <v>31.211486666666648</v>
      </c>
      <c r="G643" s="60" t="s">
        <v>12</v>
      </c>
      <c r="H643" s="60" t="s">
        <v>5064</v>
      </c>
    </row>
    <row r="644" spans="1:8">
      <c r="A644" s="59" t="s">
        <v>2319</v>
      </c>
      <c r="B644" s="62">
        <v>5</v>
      </c>
      <c r="C644" s="60" t="s">
        <v>5045</v>
      </c>
      <c r="D644" s="64">
        <f>IFERROR(VLOOKUP(C644,測定点マスタ!$E$2:$F$28,2,FALSE)/VLOOKUP(A644,'焼鈍条件-3CGL'!$A$2:$B$197,2,FALSE)*60,"")</f>
        <v>42.198139445669902</v>
      </c>
      <c r="E644" s="66">
        <v>860.9</v>
      </c>
      <c r="F644" s="64">
        <f t="shared" si="10"/>
        <v>17.590348999999989</v>
      </c>
      <c r="G644" s="60" t="s">
        <v>12</v>
      </c>
      <c r="H644" s="60" t="s">
        <v>5064</v>
      </c>
    </row>
    <row r="645" spans="1:8">
      <c r="A645" s="59" t="s">
        <v>2319</v>
      </c>
      <c r="B645" s="62">
        <v>6</v>
      </c>
      <c r="C645" s="60" t="s">
        <v>5047</v>
      </c>
      <c r="D645" s="64">
        <f>IFERROR(VLOOKUP(C645,測定点マスタ!$E$2:$F$28,2,FALSE)/VLOOKUP(A645,'焼鈍条件-3CGL'!$A$2:$B$197,2,FALSE)*60,"")</f>
        <v>57.542917425913494</v>
      </c>
      <c r="E645" s="66">
        <v>776.3</v>
      </c>
      <c r="F645" s="64">
        <f t="shared" si="10"/>
        <v>-5.5132762500000041</v>
      </c>
      <c r="G645" s="60" t="s">
        <v>12</v>
      </c>
      <c r="H645" s="60" t="s">
        <v>5064</v>
      </c>
    </row>
    <row r="646" spans="1:8">
      <c r="A646" s="59" t="s">
        <v>2319</v>
      </c>
      <c r="B646" s="62">
        <v>7</v>
      </c>
      <c r="C646" s="60" t="s">
        <v>5049</v>
      </c>
      <c r="D646" s="64">
        <f>IFERROR(VLOOKUP(C646,測定点マスタ!$E$2:$F$28,2,FALSE)/VLOOKUP(A646,'焼鈍条件-3CGL'!$A$2:$B$197,2,FALSE)*60,"")</f>
        <v>70.010549534861426</v>
      </c>
      <c r="E646" s="66">
        <v>657.9</v>
      </c>
      <c r="F646" s="64">
        <f t="shared" si="10"/>
        <v>-9.4965907692307621</v>
      </c>
      <c r="G646" s="60" t="s">
        <v>12</v>
      </c>
      <c r="H646" s="60" t="s">
        <v>5064</v>
      </c>
    </row>
    <row r="647" spans="1:8">
      <c r="A647" s="59" t="s">
        <v>2319</v>
      </c>
      <c r="B647" s="62">
        <v>8</v>
      </c>
      <c r="C647" s="60" t="s">
        <v>5050</v>
      </c>
      <c r="D647" s="64">
        <f>IFERROR(VLOOKUP(C647,測定点マスタ!$E$2:$F$28,2,FALSE)/VLOOKUP(A647,'焼鈍条件-3CGL'!$A$2:$B$197,2,FALSE)*60,"")</f>
        <v>77.682938524983214</v>
      </c>
      <c r="E647" s="66">
        <v>547.4</v>
      </c>
      <c r="F647" s="64">
        <f t="shared" si="10"/>
        <v>-14.40229375000002</v>
      </c>
      <c r="G647" s="60" t="s">
        <v>12</v>
      </c>
      <c r="H647" s="60" t="s">
        <v>5064</v>
      </c>
    </row>
    <row r="648" spans="1:8">
      <c r="A648" s="59" t="s">
        <v>2319</v>
      </c>
      <c r="B648" s="62">
        <v>9</v>
      </c>
      <c r="C648" s="60" t="s">
        <v>5051</v>
      </c>
      <c r="D648" s="64">
        <f>IFERROR(VLOOKUP(C648,測定点マスタ!$E$2:$F$28,2,FALSE)/VLOOKUP(A648,'焼鈍条件-3CGL'!$A$2:$B$197,2,FALSE)*60,"")</f>
        <v>84.396278891339804</v>
      </c>
      <c r="E648" s="66">
        <v>465.7</v>
      </c>
      <c r="F648" s="64">
        <f t="shared" si="10"/>
        <v>-12.169798571428542</v>
      </c>
      <c r="G648" s="60" t="s">
        <v>12</v>
      </c>
      <c r="H648" s="60" t="s">
        <v>5064</v>
      </c>
    </row>
    <row r="649" spans="1:8">
      <c r="A649" s="59" t="s">
        <v>2319</v>
      </c>
      <c r="B649" s="62">
        <v>10</v>
      </c>
      <c r="C649" s="60" t="s">
        <v>5060</v>
      </c>
      <c r="D649" s="64">
        <f>IFERROR(VLOOKUP(C649,測定点マスタ!$E$2:$F$28,2,FALSE)/VLOOKUP(A649,'焼鈍条件-3CGL'!$A$2:$B$197,2,FALSE)*60,"")</f>
        <v>88.232473386400699</v>
      </c>
      <c r="E649" s="66">
        <v>439.5</v>
      </c>
      <c r="F649" s="64">
        <f t="shared" si="10"/>
        <v>-6.8296850000000067</v>
      </c>
      <c r="G649" s="60" t="s">
        <v>12</v>
      </c>
      <c r="H649" s="60" t="s">
        <v>5064</v>
      </c>
    </row>
    <row r="650" spans="1:8">
      <c r="A650" s="59" t="s">
        <v>2319</v>
      </c>
      <c r="B650" s="62">
        <v>11</v>
      </c>
      <c r="C650" s="60" t="s">
        <v>5052</v>
      </c>
      <c r="D650" s="64">
        <f>IFERROR(VLOOKUP(C650,測定点マスタ!$E$2:$F$28,2,FALSE)/VLOOKUP(A650,'焼鈍条件-3CGL'!$A$2:$B$197,2,FALSE)*60,"")</f>
        <v>93.02771650522682</v>
      </c>
      <c r="E650" s="66">
        <v>368.1</v>
      </c>
      <c r="F650" s="64">
        <f t="shared" si="10"/>
        <v>-14.889756000000004</v>
      </c>
      <c r="G650" s="60" t="s">
        <v>12</v>
      </c>
      <c r="H650" s="60" t="s">
        <v>5064</v>
      </c>
    </row>
    <row r="651" spans="1:8">
      <c r="A651" s="59" t="s">
        <v>2319</v>
      </c>
      <c r="B651" s="62">
        <v>12</v>
      </c>
      <c r="C651" s="60" t="s">
        <v>5053</v>
      </c>
      <c r="D651" s="64">
        <f>IFERROR(VLOOKUP(C651,測定点マスタ!$E$2:$F$28,2,FALSE)/VLOOKUP(A651,'焼鈍条件-3CGL'!$A$2:$B$197,2,FALSE)*60,"")</f>
        <v>104.53629999040952</v>
      </c>
      <c r="E651" s="66">
        <v>554.6</v>
      </c>
      <c r="F651" s="64">
        <f t="shared" si="10"/>
        <v>16.205295833333334</v>
      </c>
      <c r="G651" s="60" t="s">
        <v>12</v>
      </c>
      <c r="H651" s="60" t="s">
        <v>5064</v>
      </c>
    </row>
    <row r="652" spans="1:8">
      <c r="A652" s="59" t="s">
        <v>2319</v>
      </c>
      <c r="B652" s="62">
        <v>13</v>
      </c>
      <c r="C652" s="60" t="s">
        <v>5054</v>
      </c>
      <c r="D652" s="64">
        <f>IFERROR(VLOOKUP(C652,測定点マスタ!$E$2:$F$28,2,FALSE)/VLOOKUP(A652,'焼鈍条件-3CGL'!$A$2:$B$197,2,FALSE)*60,"")</f>
        <v>117.00393209935744</v>
      </c>
      <c r="E652" s="66">
        <v>544.9</v>
      </c>
      <c r="F652" s="64">
        <f t="shared" si="10"/>
        <v>-0.77801461538461902</v>
      </c>
      <c r="G652" s="60" t="s">
        <v>12</v>
      </c>
      <c r="H652" s="60" t="s">
        <v>5064</v>
      </c>
    </row>
    <row r="653" spans="1:8">
      <c r="A653" s="59" t="s">
        <v>2319</v>
      </c>
      <c r="B653" s="62">
        <v>14</v>
      </c>
      <c r="C653" s="60" t="s">
        <v>5056</v>
      </c>
      <c r="D653" s="64">
        <f>IFERROR(VLOOKUP(C653,測定点マスタ!$E$2:$F$28,2,FALSE)/VLOOKUP(A653,'焼鈍条件-3CGL'!$A$2:$B$197,2,FALSE)*60,"")</f>
        <v>127.55346696077493</v>
      </c>
      <c r="E653" s="66">
        <v>271.7</v>
      </c>
      <c r="F653" s="64">
        <f t="shared" si="10"/>
        <v>-25.896876363636338</v>
      </c>
      <c r="G653" s="60" t="s">
        <v>12</v>
      </c>
      <c r="H653" s="60" t="s">
        <v>5064</v>
      </c>
    </row>
    <row r="654" spans="1:8">
      <c r="A654" s="59" t="s">
        <v>2319</v>
      </c>
      <c r="B654" s="62">
        <v>15</v>
      </c>
      <c r="C654" s="60" t="s">
        <v>5062</v>
      </c>
      <c r="D654" s="64">
        <f>IFERROR(VLOOKUP(C654,測定点マスタ!$E$2:$F$28,2,FALSE)/VLOOKUP(A654,'焼鈍条件-3CGL'!$A$2:$B$197,2,FALSE)*60,"")</f>
        <v>139.06205044595762</v>
      </c>
      <c r="E654" s="66">
        <v>456</v>
      </c>
      <c r="F654" s="64">
        <f t="shared" si="10"/>
        <v>16.014134166666668</v>
      </c>
      <c r="G654" s="60" t="s">
        <v>12</v>
      </c>
      <c r="H654" s="60" t="s">
        <v>5064</v>
      </c>
    </row>
    <row r="655" spans="1:8">
      <c r="A655" s="59" t="s">
        <v>2319</v>
      </c>
      <c r="B655" s="62">
        <v>16</v>
      </c>
      <c r="C655" s="60" t="s">
        <v>5065</v>
      </c>
      <c r="D655" s="64">
        <f>IFERROR(VLOOKUP(C655,測定点マスタ!$E$2:$F$28,2,FALSE)/VLOOKUP(A655,'焼鈍条件-3CGL'!$A$2:$B$197,2,FALSE)*60,"")</f>
        <v>140.77463727410952</v>
      </c>
      <c r="E655" s="66">
        <v>514.20000000000005</v>
      </c>
      <c r="F655" s="64">
        <f t="shared" si="10"/>
        <v>33.983678400005751</v>
      </c>
      <c r="G655" s="60" t="s">
        <v>12</v>
      </c>
      <c r="H655" s="60" t="s">
        <v>5064</v>
      </c>
    </row>
    <row r="656" spans="1:8">
      <c r="A656" s="59" t="s">
        <v>2319</v>
      </c>
      <c r="B656" s="62">
        <v>17</v>
      </c>
      <c r="C656" s="60" t="s">
        <v>5066</v>
      </c>
      <c r="D656" s="64">
        <f>IFERROR(VLOOKUP(C656,測定点マスタ!$E$2:$F$28,2,FALSE)/VLOOKUP(A656,'焼鈍条件-3CGL'!$A$2:$B$197,2,FALSE)*60,"")</f>
        <v>146.56318075326462</v>
      </c>
      <c r="E656" s="66">
        <v>489.9</v>
      </c>
      <c r="F656" s="64">
        <f t="shared" si="10"/>
        <v>-4.1979472189344138</v>
      </c>
      <c r="G656" s="60" t="s">
        <v>12</v>
      </c>
      <c r="H656" s="60" t="s">
        <v>5064</v>
      </c>
    </row>
    <row r="657" spans="1:8">
      <c r="A657" s="59" t="s">
        <v>2319</v>
      </c>
      <c r="B657" s="62">
        <v>18</v>
      </c>
      <c r="C657" s="60" t="s">
        <v>5057</v>
      </c>
      <c r="D657" s="64">
        <f>IFERROR(VLOOKUP(C657,測定点マスタ!$E$2:$F$28,2,FALSE)/VLOOKUP(A657,'焼鈍条件-3CGL'!$A$2:$B$197,2,FALSE)*60,"")</f>
        <v>158.14026771157285</v>
      </c>
      <c r="E657" s="66">
        <v>247.4</v>
      </c>
      <c r="F657" s="64">
        <f t="shared" si="10"/>
        <v>-20.946547337279114</v>
      </c>
      <c r="G657" s="60" t="s">
        <v>12</v>
      </c>
      <c r="H657" s="60" t="s">
        <v>5064</v>
      </c>
    </row>
    <row r="658" spans="1:8">
      <c r="A658" s="59" t="s">
        <v>2319</v>
      </c>
      <c r="B658" s="62">
        <v>19</v>
      </c>
      <c r="C658" s="60" t="s">
        <v>5059</v>
      </c>
      <c r="D658" s="64">
        <f>IFERROR(VLOOKUP(C658,測定点マスタ!$E$2:$F$28,2,FALSE)/VLOOKUP(A658,'焼鈍条件-3CGL'!$A$2:$B$197,2,FALSE)*60,"")</f>
        <v>169.71735466988204</v>
      </c>
      <c r="E658" s="66">
        <v>40.4</v>
      </c>
      <c r="F658" s="64">
        <f t="shared" si="10"/>
        <v>-17.880145562129545</v>
      </c>
      <c r="G658" s="60" t="s">
        <v>12</v>
      </c>
      <c r="H658" s="60" t="s">
        <v>5064</v>
      </c>
    </row>
    <row r="659" spans="1:8">
      <c r="A659" s="59" t="s">
        <v>2330</v>
      </c>
      <c r="B659" s="62">
        <v>1</v>
      </c>
      <c r="C659" s="60" t="s">
        <v>5041</v>
      </c>
      <c r="D659" s="64">
        <f>IFERROR(VLOOKUP(C659,測定点マスタ!$E$2:$F$28,2,FALSE)/VLOOKUP(A659,'焼鈍条件-3CGL'!$A$2:$B$197,2,FALSE)*60,"")</f>
        <v>0</v>
      </c>
      <c r="E659" s="66">
        <v>34</v>
      </c>
      <c r="F659" s="64" t="str">
        <f t="shared" si="10"/>
        <v/>
      </c>
      <c r="G659" s="60" t="s">
        <v>12</v>
      </c>
      <c r="H659" s="60" t="s">
        <v>5042</v>
      </c>
    </row>
    <row r="660" spans="1:8">
      <c r="A660" s="59" t="s">
        <v>2330</v>
      </c>
      <c r="B660" s="62">
        <v>2</v>
      </c>
      <c r="C660" s="60" t="s">
        <v>5043</v>
      </c>
      <c r="D660" s="64">
        <f>IFERROR(VLOOKUP(C660,測定点マスタ!$E$2:$F$28,2,FALSE)/VLOOKUP(A660,'焼鈍条件-3CGL'!$A$2:$B$197,2,FALSE)*60,"")</f>
        <v>11.717834544176236</v>
      </c>
      <c r="E660" s="66">
        <v>194.7</v>
      </c>
      <c r="F660" s="64">
        <f t="shared" si="10"/>
        <v>13.714137999999998</v>
      </c>
      <c r="G660" s="60" t="s">
        <v>12</v>
      </c>
      <c r="H660" s="60" t="s">
        <v>5042</v>
      </c>
    </row>
    <row r="661" spans="1:8">
      <c r="A661" s="59" t="s">
        <v>2330</v>
      </c>
      <c r="B661" s="62">
        <v>3</v>
      </c>
      <c r="C661" s="60" t="s">
        <v>5044</v>
      </c>
      <c r="D661" s="64">
        <f>IFERROR(VLOOKUP(C661,測定点マスタ!$E$2:$F$28,2,FALSE)/VLOOKUP(A661,'焼鈍条件-3CGL'!$A$2:$B$197,2,FALSE)*60,"")</f>
        <v>26.56042496679947</v>
      </c>
      <c r="E661" s="66">
        <v>688.1</v>
      </c>
      <c r="F661" s="64">
        <f t="shared" si="10"/>
        <v>33.242175789473684</v>
      </c>
      <c r="G661" s="60" t="s">
        <v>12</v>
      </c>
      <c r="H661" s="60" t="s">
        <v>5042</v>
      </c>
    </row>
    <row r="662" spans="1:8">
      <c r="A662" s="59" t="s">
        <v>2330</v>
      </c>
      <c r="B662" s="62">
        <v>4</v>
      </c>
      <c r="C662" s="60" t="s">
        <v>5045</v>
      </c>
      <c r="D662" s="64">
        <f>IFERROR(VLOOKUP(C662,測定点マスタ!$E$2:$F$28,2,FALSE)/VLOOKUP(A662,'焼鈍条件-3CGL'!$A$2:$B$197,2,FALSE)*60,"")</f>
        <v>34.372314662916963</v>
      </c>
      <c r="E662" s="66">
        <v>854.3</v>
      </c>
      <c r="F662" s="64">
        <f t="shared" si="10"/>
        <v>21.275261999999984</v>
      </c>
      <c r="G662" s="60" t="s">
        <v>12</v>
      </c>
      <c r="H662" s="60" t="s">
        <v>5042</v>
      </c>
    </row>
    <row r="663" spans="1:8">
      <c r="A663" s="59" t="s">
        <v>2330</v>
      </c>
      <c r="B663" s="62">
        <v>5</v>
      </c>
      <c r="C663" s="60" t="s">
        <v>5046</v>
      </c>
      <c r="D663" s="64">
        <f>IFERROR(VLOOKUP(C663,測定点マスタ!$E$2:$F$28,2,FALSE)/VLOOKUP(A663,'焼鈍条件-3CGL'!$A$2:$B$197,2,FALSE)*60,"")</f>
        <v>42.184204359034453</v>
      </c>
      <c r="E663" s="66">
        <v>831</v>
      </c>
      <c r="F663" s="64">
        <f t="shared" si="10"/>
        <v>-2.9826329999999945</v>
      </c>
      <c r="G663" s="60" t="s">
        <v>12</v>
      </c>
      <c r="H663" s="60" t="s">
        <v>5042</v>
      </c>
    </row>
    <row r="664" spans="1:8">
      <c r="A664" s="59" t="s">
        <v>2330</v>
      </c>
      <c r="B664" s="62">
        <v>6</v>
      </c>
      <c r="C664" s="60" t="s">
        <v>5047</v>
      </c>
      <c r="D664" s="64">
        <f>IFERROR(VLOOKUP(C664,測定点マスタ!$E$2:$F$28,2,FALSE)/VLOOKUP(A664,'焼鈍条件-3CGL'!$A$2:$B$197,2,FALSE)*60,"")</f>
        <v>46.871338176704946</v>
      </c>
      <c r="E664" s="66">
        <v>773.9</v>
      </c>
      <c r="F664" s="64">
        <f t="shared" si="10"/>
        <v>-12.182285000000011</v>
      </c>
      <c r="G664" s="60" t="s">
        <v>12</v>
      </c>
      <c r="H664" s="60" t="s">
        <v>5042</v>
      </c>
    </row>
    <row r="665" spans="1:8">
      <c r="A665" s="59" t="s">
        <v>2330</v>
      </c>
      <c r="B665" s="62">
        <v>7</v>
      </c>
      <c r="C665" s="60" t="s">
        <v>5049</v>
      </c>
      <c r="D665" s="64">
        <f>IFERROR(VLOOKUP(C665,測定点マスタ!$E$2:$F$28,2,FALSE)/VLOOKUP(A665,'焼鈍条件-3CGL'!$A$2:$B$197,2,FALSE)*60,"")</f>
        <v>57.026794781657685</v>
      </c>
      <c r="E665" s="66">
        <v>653.70000000000005</v>
      </c>
      <c r="F665" s="64">
        <f t="shared" si="10"/>
        <v>-11.836001538461531</v>
      </c>
      <c r="G665" s="60" t="s">
        <v>12</v>
      </c>
      <c r="H665" s="60" t="s">
        <v>5042</v>
      </c>
    </row>
    <row r="666" spans="1:8">
      <c r="A666" s="59" t="s">
        <v>2330</v>
      </c>
      <c r="B666" s="62">
        <v>8</v>
      </c>
      <c r="C666" s="60" t="s">
        <v>5050</v>
      </c>
      <c r="D666" s="64">
        <f>IFERROR(VLOOKUP(C666,測定点マスタ!$E$2:$F$28,2,FALSE)/VLOOKUP(A666,'焼鈍条件-3CGL'!$A$2:$B$197,2,FALSE)*60,"")</f>
        <v>63.276306538551673</v>
      </c>
      <c r="E666" s="66">
        <v>542.1</v>
      </c>
      <c r="F666" s="64">
        <f t="shared" si="10"/>
        <v>-17.857395000000018</v>
      </c>
      <c r="G666" s="60" t="s">
        <v>12</v>
      </c>
      <c r="H666" s="60" t="s">
        <v>5042</v>
      </c>
    </row>
    <row r="667" spans="1:8">
      <c r="A667" s="59" t="s">
        <v>2330</v>
      </c>
      <c r="B667" s="62">
        <v>9</v>
      </c>
      <c r="C667" s="60" t="s">
        <v>5051</v>
      </c>
      <c r="D667" s="64">
        <f>IFERROR(VLOOKUP(C667,測定点マスタ!$E$2:$F$28,2,FALSE)/VLOOKUP(A667,'焼鈍条件-3CGL'!$A$2:$B$197,2,FALSE)*60,"")</f>
        <v>68.744629325833927</v>
      </c>
      <c r="E667" s="66">
        <v>492.3</v>
      </c>
      <c r="F667" s="64">
        <f t="shared" si="10"/>
        <v>-9.1069971428571268</v>
      </c>
      <c r="G667" s="60" t="s">
        <v>12</v>
      </c>
      <c r="H667" s="60" t="s">
        <v>5042</v>
      </c>
    </row>
    <row r="668" spans="1:8">
      <c r="A668" s="59" t="s">
        <v>2330</v>
      </c>
      <c r="B668" s="62">
        <v>10</v>
      </c>
      <c r="C668" s="60" t="s">
        <v>5052</v>
      </c>
      <c r="D668" s="64">
        <f>IFERROR(VLOOKUP(C668,測定点マスタ!$E$2:$F$28,2,FALSE)/VLOOKUP(A668,'焼鈍条件-3CGL'!$A$2:$B$197,2,FALSE)*60,"")</f>
        <v>75.775330052339655</v>
      </c>
      <c r="E668" s="66">
        <v>347.8</v>
      </c>
      <c r="F668" s="64">
        <f t="shared" si="10"/>
        <v>-20.552716666666708</v>
      </c>
      <c r="G668" s="60" t="s">
        <v>12</v>
      </c>
      <c r="H668" s="60" t="s">
        <v>5042</v>
      </c>
    </row>
    <row r="669" spans="1:8">
      <c r="A669" s="59" t="s">
        <v>2330</v>
      </c>
      <c r="B669" s="62">
        <v>11</v>
      </c>
      <c r="C669" s="60" t="s">
        <v>5053</v>
      </c>
      <c r="D669" s="64">
        <f>IFERROR(VLOOKUP(C669,測定点マスタ!$E$2:$F$28,2,FALSE)/VLOOKUP(A669,'焼鈍条件-3CGL'!$A$2:$B$197,2,FALSE)*60,"")</f>
        <v>85.149597687680654</v>
      </c>
      <c r="E669" s="66">
        <v>538.70000000000005</v>
      </c>
      <c r="F669" s="64">
        <f t="shared" si="10"/>
        <v>20.364257499999983</v>
      </c>
      <c r="G669" s="60" t="s">
        <v>12</v>
      </c>
      <c r="H669" s="60" t="s">
        <v>5042</v>
      </c>
    </row>
    <row r="670" spans="1:8">
      <c r="A670" s="59" t="s">
        <v>2330</v>
      </c>
      <c r="B670" s="62">
        <v>12</v>
      </c>
      <c r="C670" s="60" t="s">
        <v>5063</v>
      </c>
      <c r="D670" s="64">
        <f>IFERROR(VLOOKUP(C670,測定点マスタ!$E$2:$F$28,2,FALSE)/VLOOKUP(A670,'焼鈍条件-3CGL'!$A$2:$B$197,2,FALSE)*60,"")</f>
        <v>89.836731505351153</v>
      </c>
      <c r="E670" s="66">
        <v>539.4</v>
      </c>
      <c r="F670" s="64">
        <f t="shared" si="10"/>
        <v>0.1493449999999853</v>
      </c>
      <c r="G670" s="60" t="s">
        <v>12</v>
      </c>
      <c r="H670" s="60" t="s">
        <v>5042</v>
      </c>
    </row>
    <row r="671" spans="1:8">
      <c r="A671" s="59" t="s">
        <v>2330</v>
      </c>
      <c r="B671" s="62">
        <v>13</v>
      </c>
      <c r="C671" s="60" t="s">
        <v>5054</v>
      </c>
      <c r="D671" s="64">
        <f>IFERROR(VLOOKUP(C671,測定点マスタ!$E$2:$F$28,2,FALSE)/VLOOKUP(A671,'焼鈍条件-3CGL'!$A$2:$B$197,2,FALSE)*60,"")</f>
        <v>95.3050542926334</v>
      </c>
      <c r="E671" s="66">
        <v>517.5</v>
      </c>
      <c r="F671" s="64">
        <f t="shared" si="10"/>
        <v>-4.0048842857142786</v>
      </c>
      <c r="G671" s="60" t="s">
        <v>12</v>
      </c>
      <c r="H671" s="60" t="s">
        <v>5042</v>
      </c>
    </row>
    <row r="672" spans="1:8">
      <c r="A672" s="59" t="s">
        <v>2330</v>
      </c>
      <c r="B672" s="62">
        <v>14</v>
      </c>
      <c r="C672" s="60" t="s">
        <v>5056</v>
      </c>
      <c r="D672" s="64">
        <f>IFERROR(VLOOKUP(C672,測定点マスタ!$E$2:$F$28,2,FALSE)/VLOOKUP(A672,'焼鈍条件-3CGL'!$A$2:$B$197,2,FALSE)*60,"")</f>
        <v>103.89813295836262</v>
      </c>
      <c r="E672" s="66">
        <v>285.5</v>
      </c>
      <c r="F672" s="64">
        <f t="shared" si="10"/>
        <v>-26.99847272727278</v>
      </c>
      <c r="G672" s="60" t="s">
        <v>12</v>
      </c>
      <c r="H672" s="60" t="s">
        <v>5042</v>
      </c>
    </row>
    <row r="673" spans="1:8">
      <c r="A673" s="59" t="s">
        <v>2330</v>
      </c>
      <c r="B673" s="62">
        <v>15</v>
      </c>
      <c r="C673" s="60" t="s">
        <v>5068</v>
      </c>
      <c r="D673" s="64">
        <f>IFERROR(VLOOKUP(C673,測定点マスタ!$E$2:$F$28,2,FALSE)/VLOOKUP(A673,'焼鈍条件-3CGL'!$A$2:$B$197,2,FALSE)*60,"")</f>
        <v>124.09744774403796</v>
      </c>
      <c r="E673" s="66">
        <v>388.1</v>
      </c>
      <c r="F673" s="64">
        <f t="shared" si="10"/>
        <v>5.0793802209944472</v>
      </c>
      <c r="G673" s="60" t="s">
        <v>12</v>
      </c>
      <c r="H673" s="60" t="s">
        <v>5042</v>
      </c>
    </row>
    <row r="674" spans="1:8">
      <c r="A674" s="59" t="s">
        <v>2330</v>
      </c>
      <c r="B674" s="62">
        <v>16</v>
      </c>
      <c r="C674" s="60" t="s">
        <v>5057</v>
      </c>
      <c r="D674" s="64">
        <f>IFERROR(VLOOKUP(C674,測定点マスタ!$E$2:$F$28,2,FALSE)/VLOOKUP(A674,'焼鈍条件-3CGL'!$A$2:$B$197,2,FALSE)*60,"")</f>
        <v>128.81248116776581</v>
      </c>
      <c r="E674" s="66">
        <v>272.7</v>
      </c>
      <c r="F674" s="64">
        <f t="shared" si="10"/>
        <v>-24.474906035504063</v>
      </c>
      <c r="G674" s="60" t="s">
        <v>12</v>
      </c>
      <c r="H674" s="60" t="s">
        <v>5042</v>
      </c>
    </row>
    <row r="675" spans="1:8">
      <c r="A675" s="59" t="s">
        <v>2330</v>
      </c>
      <c r="B675" s="62">
        <v>17</v>
      </c>
      <c r="C675" s="60" t="s">
        <v>5059</v>
      </c>
      <c r="D675" s="64">
        <f>IFERROR(VLOOKUP(C675,測定点マスタ!$E$2:$F$28,2,FALSE)/VLOOKUP(A675,'焼鈍条件-3CGL'!$A$2:$B$197,2,FALSE)*60,"")</f>
        <v>138.24254801522227</v>
      </c>
      <c r="E675" s="66">
        <v>69.900000000000006</v>
      </c>
      <c r="F675" s="64">
        <f t="shared" si="10"/>
        <v>-21.505679999999213</v>
      </c>
      <c r="G675" s="60" t="s">
        <v>12</v>
      </c>
      <c r="H675" s="60" t="s">
        <v>5042</v>
      </c>
    </row>
    <row r="676" spans="1:8">
      <c r="A676" s="59" t="s">
        <v>2343</v>
      </c>
      <c r="B676" s="62">
        <v>1</v>
      </c>
      <c r="C676" s="60" t="s">
        <v>5041</v>
      </c>
      <c r="D676" s="64">
        <f>IFERROR(VLOOKUP(C676,測定点マスタ!$E$2:$F$28,2,FALSE)/VLOOKUP(A676,'焼鈍条件-3CGL'!$A$2:$B$197,2,FALSE)*60,"")</f>
        <v>0</v>
      </c>
      <c r="E676" s="66">
        <v>35.9</v>
      </c>
      <c r="F676" s="64" t="str">
        <f t="shared" si="10"/>
        <v/>
      </c>
      <c r="G676" s="60" t="s">
        <v>9</v>
      </c>
      <c r="H676" s="60" t="s">
        <v>5042</v>
      </c>
    </row>
    <row r="677" spans="1:8">
      <c r="A677" s="59" t="s">
        <v>2343</v>
      </c>
      <c r="B677" s="62">
        <v>2</v>
      </c>
      <c r="C677" s="60" t="s">
        <v>5043</v>
      </c>
      <c r="D677" s="64">
        <f>IFERROR(VLOOKUP(C677,測定点マスタ!$E$2:$F$28,2,FALSE)/VLOOKUP(A677,'焼鈍条件-3CGL'!$A$2:$B$197,2,FALSE)*60,"")</f>
        <v>12.136413285327077</v>
      </c>
      <c r="E677" s="66">
        <v>193.6</v>
      </c>
      <c r="F677" s="64">
        <f t="shared" si="10"/>
        <v>12.993954333333331</v>
      </c>
      <c r="G677" s="60" t="s">
        <v>9</v>
      </c>
      <c r="H677" s="60" t="s">
        <v>5042</v>
      </c>
    </row>
    <row r="678" spans="1:8">
      <c r="A678" s="59" t="s">
        <v>2343</v>
      </c>
      <c r="B678" s="62">
        <v>3</v>
      </c>
      <c r="C678" s="60" t="s">
        <v>5067</v>
      </c>
      <c r="D678" s="64">
        <f>IFERROR(VLOOKUP(C678,測定点マスタ!$E$2:$F$28,2,FALSE)/VLOOKUP(A678,'焼鈍条件-3CGL'!$A$2:$B$197,2,FALSE)*60,"")</f>
        <v>20.227355475545128</v>
      </c>
      <c r="E678" s="66">
        <v>370.5</v>
      </c>
      <c r="F678" s="64">
        <f t="shared" si="10"/>
        <v>21.863955499999999</v>
      </c>
      <c r="G678" s="60" t="s">
        <v>9</v>
      </c>
      <c r="H678" s="60" t="s">
        <v>5042</v>
      </c>
    </row>
    <row r="679" spans="1:8">
      <c r="A679" s="59" t="s">
        <v>2343</v>
      </c>
      <c r="B679" s="62">
        <v>4</v>
      </c>
      <c r="C679" s="60" t="s">
        <v>5044</v>
      </c>
      <c r="D679" s="64">
        <f>IFERROR(VLOOKUP(C679,測定点マスタ!$E$2:$F$28,2,FALSE)/VLOOKUP(A679,'焼鈍条件-3CGL'!$A$2:$B$197,2,FALSE)*60,"")</f>
        <v>27.509203446741374</v>
      </c>
      <c r="E679" s="66">
        <v>710.2</v>
      </c>
      <c r="F679" s="64">
        <f t="shared" si="10"/>
        <v>46.650246111111116</v>
      </c>
      <c r="G679" s="60" t="s">
        <v>9</v>
      </c>
      <c r="H679" s="60" t="s">
        <v>5042</v>
      </c>
    </row>
    <row r="680" spans="1:8">
      <c r="A680" s="59" t="s">
        <v>2343</v>
      </c>
      <c r="B680" s="62">
        <v>5</v>
      </c>
      <c r="C680" s="60" t="s">
        <v>5045</v>
      </c>
      <c r="D680" s="64">
        <f>IFERROR(VLOOKUP(C680,測定点マスタ!$E$2:$F$28,2,FALSE)/VLOOKUP(A680,'焼鈍条件-3CGL'!$A$2:$B$197,2,FALSE)*60,"")</f>
        <v>35.600145636959425</v>
      </c>
      <c r="E680" s="66">
        <v>851.6</v>
      </c>
      <c r="F680" s="64">
        <f t="shared" si="10"/>
        <v>17.476332999999997</v>
      </c>
      <c r="G680" s="60" t="s">
        <v>9</v>
      </c>
      <c r="H680" s="60" t="s">
        <v>5042</v>
      </c>
    </row>
    <row r="681" spans="1:8">
      <c r="A681" s="59" t="s">
        <v>2343</v>
      </c>
      <c r="B681" s="62">
        <v>6</v>
      </c>
      <c r="C681" s="60" t="s">
        <v>5046</v>
      </c>
      <c r="D681" s="64">
        <f>IFERROR(VLOOKUP(C681,測定点マスタ!$E$2:$F$28,2,FALSE)/VLOOKUP(A681,'焼鈍条件-3CGL'!$A$2:$B$197,2,FALSE)*60,"")</f>
        <v>43.691087827177476</v>
      </c>
      <c r="E681" s="66">
        <v>806.7</v>
      </c>
      <c r="F681" s="64">
        <f t="shared" si="10"/>
        <v>-5.5494154999999967</v>
      </c>
      <c r="G681" s="60" t="s">
        <v>9</v>
      </c>
      <c r="H681" s="60" t="s">
        <v>5042</v>
      </c>
    </row>
    <row r="682" spans="1:8">
      <c r="A682" s="59" t="s">
        <v>2343</v>
      </c>
      <c r="B682" s="62">
        <v>7</v>
      </c>
      <c r="C682" s="60" t="s">
        <v>5047</v>
      </c>
      <c r="D682" s="64">
        <f>IFERROR(VLOOKUP(C682,測定点マスタ!$E$2:$F$28,2,FALSE)/VLOOKUP(A682,'焼鈍条件-3CGL'!$A$2:$B$197,2,FALSE)*60,"")</f>
        <v>48.545653141308307</v>
      </c>
      <c r="E682" s="66">
        <v>801.7</v>
      </c>
      <c r="F682" s="64">
        <f t="shared" si="10"/>
        <v>-1.0299583333333333</v>
      </c>
      <c r="G682" s="60" t="s">
        <v>9</v>
      </c>
      <c r="H682" s="60" t="s">
        <v>5042</v>
      </c>
    </row>
    <row r="683" spans="1:8">
      <c r="A683" s="59" t="s">
        <v>2343</v>
      </c>
      <c r="B683" s="62">
        <v>8</v>
      </c>
      <c r="C683" s="60" t="s">
        <v>5048</v>
      </c>
      <c r="D683" s="64">
        <f>IFERROR(VLOOKUP(C683,測定点マスタ!$E$2:$F$28,2,FALSE)/VLOOKUP(A683,'焼鈍条件-3CGL'!$A$2:$B$197,2,FALSE)*60,"")</f>
        <v>53.400218455439138</v>
      </c>
      <c r="E683" s="66">
        <v>733</v>
      </c>
      <c r="F683" s="64">
        <f t="shared" si="10"/>
        <v>-14.151627500000009</v>
      </c>
      <c r="G683" s="60" t="s">
        <v>9</v>
      </c>
      <c r="H683" s="60" t="s">
        <v>5042</v>
      </c>
    </row>
    <row r="684" spans="1:8">
      <c r="A684" s="59" t="s">
        <v>2343</v>
      </c>
      <c r="B684" s="62">
        <v>9</v>
      </c>
      <c r="C684" s="60" t="s">
        <v>5049</v>
      </c>
      <c r="D684" s="64">
        <f>IFERROR(VLOOKUP(C684,測定点マスタ!$E$2:$F$28,2,FALSE)/VLOOKUP(A684,'焼鈍条件-3CGL'!$A$2:$B$197,2,FALSE)*60,"")</f>
        <v>59.06387798859177</v>
      </c>
      <c r="E684" s="66">
        <v>654.6</v>
      </c>
      <c r="F684" s="64">
        <f t="shared" si="10"/>
        <v>-13.842640000000005</v>
      </c>
      <c r="G684" s="60" t="s">
        <v>9</v>
      </c>
      <c r="H684" s="60" t="s">
        <v>5042</v>
      </c>
    </row>
    <row r="685" spans="1:8">
      <c r="A685" s="59" t="s">
        <v>2343</v>
      </c>
      <c r="B685" s="62">
        <v>10</v>
      </c>
      <c r="C685" s="60" t="s">
        <v>5050</v>
      </c>
      <c r="D685" s="64">
        <f>IFERROR(VLOOKUP(C685,測定点マスタ!$E$2:$F$28,2,FALSE)/VLOOKUP(A685,'焼鈍条件-3CGL'!$A$2:$B$197,2,FALSE)*60,"")</f>
        <v>65.536631740766211</v>
      </c>
      <c r="E685" s="66">
        <v>495.9</v>
      </c>
      <c r="F685" s="64">
        <f t="shared" si="10"/>
        <v>-24.518158125000006</v>
      </c>
      <c r="G685" s="60" t="s">
        <v>9</v>
      </c>
      <c r="H685" s="60" t="s">
        <v>5042</v>
      </c>
    </row>
    <row r="686" spans="1:8">
      <c r="A686" s="59" t="s">
        <v>2343</v>
      </c>
      <c r="B686" s="62">
        <v>11</v>
      </c>
      <c r="C686" s="60" t="s">
        <v>5051</v>
      </c>
      <c r="D686" s="64">
        <f>IFERROR(VLOOKUP(C686,測定点マスタ!$E$2:$F$28,2,FALSE)/VLOOKUP(A686,'焼鈍条件-3CGL'!$A$2:$B$197,2,FALSE)*60,"")</f>
        <v>71.20029127391885</v>
      </c>
      <c r="E686" s="66">
        <v>483.8</v>
      </c>
      <c r="F686" s="64">
        <f t="shared" si="10"/>
        <v>-2.1364278571428499</v>
      </c>
      <c r="G686" s="60" t="s">
        <v>9</v>
      </c>
      <c r="H686" s="60" t="s">
        <v>5042</v>
      </c>
    </row>
    <row r="687" spans="1:8">
      <c r="A687" s="59" t="s">
        <v>2343</v>
      </c>
      <c r="B687" s="62">
        <v>12</v>
      </c>
      <c r="C687" s="60" t="s">
        <v>5060</v>
      </c>
      <c r="D687" s="64">
        <f>IFERROR(VLOOKUP(C687,測定点マスタ!$E$2:$F$28,2,FALSE)/VLOOKUP(A687,'焼鈍条件-3CGL'!$A$2:$B$197,2,FALSE)*60,"")</f>
        <v>74.436668150006085</v>
      </c>
      <c r="E687" s="66">
        <v>433.2</v>
      </c>
      <c r="F687" s="64">
        <f t="shared" si="10"/>
        <v>-15.634767499999938</v>
      </c>
      <c r="G687" s="60" t="s">
        <v>9</v>
      </c>
      <c r="H687" s="60" t="s">
        <v>5042</v>
      </c>
    </row>
    <row r="688" spans="1:8">
      <c r="A688" s="59" t="s">
        <v>2343</v>
      </c>
      <c r="B688" s="62">
        <v>13</v>
      </c>
      <c r="C688" s="60" t="s">
        <v>5052</v>
      </c>
      <c r="D688" s="64">
        <f>IFERROR(VLOOKUP(C688,測定点マスタ!$E$2:$F$28,2,FALSE)/VLOOKUP(A688,'焼鈍条件-3CGL'!$A$2:$B$197,2,FALSE)*60,"")</f>
        <v>78.482139245115093</v>
      </c>
      <c r="E688" s="66">
        <v>358.2</v>
      </c>
      <c r="F688" s="64">
        <f t="shared" si="10"/>
        <v>-18.539250000000081</v>
      </c>
      <c r="G688" s="60" t="s">
        <v>9</v>
      </c>
      <c r="H688" s="60" t="s">
        <v>5042</v>
      </c>
    </row>
    <row r="689" spans="1:8">
      <c r="A689" s="59" t="s">
        <v>2343</v>
      </c>
      <c r="B689" s="62">
        <v>14</v>
      </c>
      <c r="C689" s="60" t="s">
        <v>5053</v>
      </c>
      <c r="D689" s="64">
        <f>IFERROR(VLOOKUP(C689,測定点マスタ!$E$2:$F$28,2,FALSE)/VLOOKUP(A689,'焼鈍条件-3CGL'!$A$2:$B$197,2,FALSE)*60,"")</f>
        <v>88.191269873376754</v>
      </c>
      <c r="E689" s="66">
        <v>552.70000000000005</v>
      </c>
      <c r="F689" s="64">
        <f t="shared" si="10"/>
        <v>20.03268958333334</v>
      </c>
      <c r="G689" s="60" t="s">
        <v>9</v>
      </c>
      <c r="H689" s="60" t="s">
        <v>5042</v>
      </c>
    </row>
    <row r="690" spans="1:8">
      <c r="A690" s="59" t="s">
        <v>2343</v>
      </c>
      <c r="B690" s="62">
        <v>15</v>
      </c>
      <c r="C690" s="60" t="s">
        <v>5054</v>
      </c>
      <c r="D690" s="64">
        <f>IFERROR(VLOOKUP(C690,測定点マスタ!$E$2:$F$28,2,FALSE)/VLOOKUP(A690,'焼鈍条件-3CGL'!$A$2:$B$197,2,FALSE)*60,"")</f>
        <v>98.709494720660231</v>
      </c>
      <c r="E690" s="66">
        <v>539.70000000000005</v>
      </c>
      <c r="F690" s="64">
        <f t="shared" si="10"/>
        <v>-1.2359499999999988</v>
      </c>
      <c r="G690" s="60" t="s">
        <v>9</v>
      </c>
      <c r="H690" s="60" t="s">
        <v>5042</v>
      </c>
    </row>
    <row r="691" spans="1:8">
      <c r="A691" s="59" t="s">
        <v>2343</v>
      </c>
      <c r="B691" s="62">
        <v>16</v>
      </c>
      <c r="C691" s="60" t="s">
        <v>5056</v>
      </c>
      <c r="D691" s="64">
        <f>IFERROR(VLOOKUP(C691,測定点マスタ!$E$2:$F$28,2,FALSE)/VLOOKUP(A691,'焼鈍条件-3CGL'!$A$2:$B$197,2,FALSE)*60,"")</f>
        <v>107.60953112990009</v>
      </c>
      <c r="E691" s="66">
        <v>300.3</v>
      </c>
      <c r="F691" s="64">
        <f t="shared" si="10"/>
        <v>-26.898766363636355</v>
      </c>
      <c r="G691" s="60" t="s">
        <v>9</v>
      </c>
      <c r="H691" s="60" t="s">
        <v>5042</v>
      </c>
    </row>
    <row r="692" spans="1:8">
      <c r="A692" s="59" t="s">
        <v>2343</v>
      </c>
      <c r="B692" s="62">
        <v>17</v>
      </c>
      <c r="C692" s="60" t="s">
        <v>5068</v>
      </c>
      <c r="D692" s="64">
        <f>IFERROR(VLOOKUP(C692,測定点マスタ!$E$2:$F$28,2,FALSE)/VLOOKUP(A692,'焼鈍条件-3CGL'!$A$2:$B$197,2,FALSE)*60,"")</f>
        <v>128.53039593603546</v>
      </c>
      <c r="E692" s="66">
        <v>345.6</v>
      </c>
      <c r="F692" s="64">
        <f t="shared" si="10"/>
        <v>2.1653024585635237</v>
      </c>
      <c r="G692" s="60" t="s">
        <v>9</v>
      </c>
      <c r="H692" s="60" t="s">
        <v>5042</v>
      </c>
    </row>
    <row r="693" spans="1:8">
      <c r="A693" s="59" t="s">
        <v>2343</v>
      </c>
      <c r="B693" s="62">
        <v>18</v>
      </c>
      <c r="C693" s="60" t="s">
        <v>5057</v>
      </c>
      <c r="D693" s="64">
        <f>IFERROR(VLOOKUP(C693,測定点マスタ!$E$2:$F$28,2,FALSE)/VLOOKUP(A693,'焼鈍条件-3CGL'!$A$2:$B$197,2,FALSE)*60,"")</f>
        <v>133.41385747227395</v>
      </c>
      <c r="E693" s="66">
        <v>272.5</v>
      </c>
      <c r="F693" s="64">
        <f t="shared" si="10"/>
        <v>-14.968890295858811</v>
      </c>
      <c r="G693" s="60" t="s">
        <v>9</v>
      </c>
      <c r="H693" s="60" t="s">
        <v>5042</v>
      </c>
    </row>
    <row r="694" spans="1:8">
      <c r="A694" s="59" t="s">
        <v>2343</v>
      </c>
      <c r="B694" s="62">
        <v>19</v>
      </c>
      <c r="C694" s="60" t="s">
        <v>5058</v>
      </c>
      <c r="D694" s="64">
        <f>IFERROR(VLOOKUP(C694,測定点マスタ!$E$2:$F$28,2,FALSE)/VLOOKUP(A694,'焼鈍条件-3CGL'!$A$2:$B$197,2,FALSE)*60,"")</f>
        <v>138.29731900851249</v>
      </c>
      <c r="E694" s="66">
        <v>119.3</v>
      </c>
      <c r="F694" s="64">
        <f t="shared" si="10"/>
        <v>-31.371190059172946</v>
      </c>
      <c r="G694" s="60" t="s">
        <v>9</v>
      </c>
      <c r="H694" s="60" t="s">
        <v>5042</v>
      </c>
    </row>
    <row r="695" spans="1:8">
      <c r="A695" s="59" t="s">
        <v>2343</v>
      </c>
      <c r="B695" s="62">
        <v>20</v>
      </c>
      <c r="C695" s="60" t="s">
        <v>5059</v>
      </c>
      <c r="D695" s="64">
        <f>IFERROR(VLOOKUP(C695,測定点マスタ!$E$2:$F$28,2,FALSE)/VLOOKUP(A695,'焼鈍条件-3CGL'!$A$2:$B$197,2,FALSE)*60,"")</f>
        <v>143.18078054475183</v>
      </c>
      <c r="E695" s="66">
        <v>51.6</v>
      </c>
      <c r="F695" s="64">
        <f t="shared" si="10"/>
        <v>-13.863117278104843</v>
      </c>
      <c r="G695" s="60" t="s">
        <v>9</v>
      </c>
      <c r="H695" s="60" t="s">
        <v>5042</v>
      </c>
    </row>
    <row r="696" spans="1:8">
      <c r="A696" s="59" t="s">
        <v>2363</v>
      </c>
      <c r="B696" s="62">
        <v>1</v>
      </c>
      <c r="C696" s="60" t="s">
        <v>5041</v>
      </c>
      <c r="D696" s="64">
        <f>IFERROR(VLOOKUP(C696,測定点マスタ!$E$2:$F$28,2,FALSE)/VLOOKUP(A696,'焼鈍条件-3CGL'!$A$2:$B$197,2,FALSE)*60,"")</f>
        <v>0</v>
      </c>
      <c r="E696" s="66">
        <v>30.9</v>
      </c>
      <c r="F696" s="64" t="str">
        <f t="shared" si="10"/>
        <v/>
      </c>
      <c r="G696" s="60" t="s">
        <v>9</v>
      </c>
      <c r="H696" s="60" t="s">
        <v>5042</v>
      </c>
    </row>
    <row r="697" spans="1:8">
      <c r="A697" s="59" t="s">
        <v>2363</v>
      </c>
      <c r="B697" s="62">
        <v>2</v>
      </c>
      <c r="C697" s="60" t="s">
        <v>5043</v>
      </c>
      <c r="D697" s="64">
        <f>IFERROR(VLOOKUP(C697,測定点マスタ!$E$2:$F$28,2,FALSE)/VLOOKUP(A697,'焼鈍条件-3CGL'!$A$2:$B$197,2,FALSE)*60,"")</f>
        <v>6.0637502273906341</v>
      </c>
      <c r="E697" s="66">
        <v>167.5</v>
      </c>
      <c r="F697" s="64">
        <f t="shared" si="10"/>
        <v>22.527313111111109</v>
      </c>
      <c r="G697" s="60" t="s">
        <v>9</v>
      </c>
      <c r="H697" s="60" t="s">
        <v>5042</v>
      </c>
    </row>
    <row r="698" spans="1:8">
      <c r="A698" s="59" t="s">
        <v>2363</v>
      </c>
      <c r="B698" s="62">
        <v>3</v>
      </c>
      <c r="C698" s="60" t="s">
        <v>5044</v>
      </c>
      <c r="D698" s="64">
        <f>IFERROR(VLOOKUP(C698,測定点マスタ!$E$2:$F$28,2,FALSE)/VLOOKUP(A698,'焼鈍条件-3CGL'!$A$2:$B$197,2,FALSE)*60,"")</f>
        <v>13.744500515418769</v>
      </c>
      <c r="E698" s="66">
        <v>644.70000000000005</v>
      </c>
      <c r="F698" s="64">
        <f t="shared" si="10"/>
        <v>62.129347017543871</v>
      </c>
      <c r="G698" s="60" t="s">
        <v>9</v>
      </c>
      <c r="H698" s="60" t="s">
        <v>5042</v>
      </c>
    </row>
    <row r="699" spans="1:8">
      <c r="A699" s="59" t="s">
        <v>2363</v>
      </c>
      <c r="B699" s="62">
        <v>4</v>
      </c>
      <c r="C699" s="60" t="s">
        <v>5045</v>
      </c>
      <c r="D699" s="64">
        <f>IFERROR(VLOOKUP(C699,測定点マスタ!$E$2:$F$28,2,FALSE)/VLOOKUP(A699,'焼鈍条件-3CGL'!$A$2:$B$197,2,FALSE)*60,"")</f>
        <v>17.787000667012524</v>
      </c>
      <c r="E699" s="66">
        <v>769</v>
      </c>
      <c r="F699" s="64">
        <f t="shared" si="10"/>
        <v>30.748298166666661</v>
      </c>
      <c r="G699" s="60" t="s">
        <v>9</v>
      </c>
      <c r="H699" s="60" t="s">
        <v>5042</v>
      </c>
    </row>
    <row r="700" spans="1:8">
      <c r="A700" s="59" t="s">
        <v>2363</v>
      </c>
      <c r="B700" s="62">
        <v>5</v>
      </c>
      <c r="C700" s="60" t="s">
        <v>5047</v>
      </c>
      <c r="D700" s="64">
        <f>IFERROR(VLOOKUP(C700,測定点マスタ!$E$2:$F$28,2,FALSE)/VLOOKUP(A700,'焼鈍条件-3CGL'!$A$2:$B$197,2,FALSE)*60,"")</f>
        <v>24.255000909562536</v>
      </c>
      <c r="E700" s="66">
        <v>713.7</v>
      </c>
      <c r="F700" s="64">
        <f t="shared" si="10"/>
        <v>-8.5497832291666551</v>
      </c>
      <c r="G700" s="60" t="s">
        <v>9</v>
      </c>
      <c r="H700" s="60" t="s">
        <v>5042</v>
      </c>
    </row>
    <row r="701" spans="1:8">
      <c r="A701" s="59" t="s">
        <v>2363</v>
      </c>
      <c r="B701" s="62">
        <v>6</v>
      </c>
      <c r="C701" s="60" t="s">
        <v>5048</v>
      </c>
      <c r="D701" s="64">
        <f>IFERROR(VLOOKUP(C701,測定点マスタ!$E$2:$F$28,2,FALSE)/VLOOKUP(A701,'焼鈍条件-3CGL'!$A$2:$B$197,2,FALSE)*60,"")</f>
        <v>26.680501000518788</v>
      </c>
      <c r="E701" s="66">
        <v>686.3</v>
      </c>
      <c r="F701" s="64">
        <f t="shared" si="10"/>
        <v>-11.296639444444489</v>
      </c>
      <c r="G701" s="60" t="s">
        <v>9</v>
      </c>
      <c r="H701" s="60" t="s">
        <v>5042</v>
      </c>
    </row>
    <row r="702" spans="1:8">
      <c r="A702" s="59" t="s">
        <v>2363</v>
      </c>
      <c r="B702" s="62">
        <v>7</v>
      </c>
      <c r="C702" s="60" t="s">
        <v>5049</v>
      </c>
      <c r="D702" s="64">
        <f>IFERROR(VLOOKUP(C702,測定点マスタ!$E$2:$F$28,2,FALSE)/VLOOKUP(A702,'焼鈍条件-3CGL'!$A$2:$B$197,2,FALSE)*60,"")</f>
        <v>29.510251106634417</v>
      </c>
      <c r="E702" s="66">
        <v>581.20000000000005</v>
      </c>
      <c r="F702" s="64">
        <f t="shared" si="10"/>
        <v>-37.141088809523779</v>
      </c>
      <c r="G702" s="60" t="s">
        <v>9</v>
      </c>
      <c r="H702" s="60" t="s">
        <v>5042</v>
      </c>
    </row>
    <row r="703" spans="1:8">
      <c r="A703" s="59" t="s">
        <v>2363</v>
      </c>
      <c r="B703" s="62">
        <v>8</v>
      </c>
      <c r="C703" s="60" t="s">
        <v>5050</v>
      </c>
      <c r="D703" s="64">
        <f>IFERROR(VLOOKUP(C703,測定点マスタ!$E$2:$F$28,2,FALSE)/VLOOKUP(A703,'焼鈍条件-3CGL'!$A$2:$B$197,2,FALSE)*60,"")</f>
        <v>32.744251227909423</v>
      </c>
      <c r="E703" s="66">
        <v>475.9</v>
      </c>
      <c r="F703" s="64">
        <f t="shared" si="10"/>
        <v>-32.560295625000009</v>
      </c>
      <c r="G703" s="60" t="s">
        <v>9</v>
      </c>
      <c r="H703" s="60" t="s">
        <v>5042</v>
      </c>
    </row>
    <row r="704" spans="1:8">
      <c r="A704" s="59" t="s">
        <v>2363</v>
      </c>
      <c r="B704" s="62">
        <v>9</v>
      </c>
      <c r="C704" s="60" t="s">
        <v>5051</v>
      </c>
      <c r="D704" s="64">
        <f>IFERROR(VLOOKUP(C704,測定点マスタ!$E$2:$F$28,2,FALSE)/VLOOKUP(A704,'焼鈍条件-3CGL'!$A$2:$B$197,2,FALSE)*60,"")</f>
        <v>35.574001334025048</v>
      </c>
      <c r="E704" s="66">
        <v>417.9</v>
      </c>
      <c r="F704" s="64">
        <f t="shared" si="10"/>
        <v>-20.49650952380955</v>
      </c>
      <c r="G704" s="60" t="s">
        <v>9</v>
      </c>
      <c r="H704" s="60" t="s">
        <v>5042</v>
      </c>
    </row>
    <row r="705" spans="1:8">
      <c r="A705" s="59" t="s">
        <v>2363</v>
      </c>
      <c r="B705" s="62">
        <v>10</v>
      </c>
      <c r="C705" s="60" t="s">
        <v>5060</v>
      </c>
      <c r="D705" s="64">
        <f>IFERROR(VLOOKUP(C705,測定点マスタ!$E$2:$F$28,2,FALSE)/VLOOKUP(A705,'焼鈍条件-3CGL'!$A$2:$B$197,2,FALSE)*60,"")</f>
        <v>37.19100139466255</v>
      </c>
      <c r="E705" s="66">
        <v>391.2</v>
      </c>
      <c r="F705" s="64">
        <f t="shared" si="10"/>
        <v>-16.512058750000005</v>
      </c>
      <c r="G705" s="60" t="s">
        <v>9</v>
      </c>
      <c r="H705" s="60" t="s">
        <v>5042</v>
      </c>
    </row>
    <row r="706" spans="1:8">
      <c r="A706" s="59" t="s">
        <v>2363</v>
      </c>
      <c r="B706" s="62">
        <v>11</v>
      </c>
      <c r="C706" s="60" t="s">
        <v>5052</v>
      </c>
      <c r="D706" s="64">
        <f>IFERROR(VLOOKUP(C706,測定点マスタ!$E$2:$F$28,2,FALSE)/VLOOKUP(A706,'焼鈍条件-3CGL'!$A$2:$B$197,2,FALSE)*60,"")</f>
        <v>39.212251470459428</v>
      </c>
      <c r="E706" s="66">
        <v>317.3</v>
      </c>
      <c r="F706" s="64">
        <f t="shared" ref="F706:F769" si="11">IF(A706=A705,IFERROR((E706-E705)/(D706-D705),""),"")</f>
        <v>-36.561532333333311</v>
      </c>
      <c r="G706" s="60" t="s">
        <v>9</v>
      </c>
      <c r="H706" s="60" t="s">
        <v>5042</v>
      </c>
    </row>
    <row r="707" spans="1:8">
      <c r="A707" s="59" t="s">
        <v>2363</v>
      </c>
      <c r="B707" s="62">
        <v>12</v>
      </c>
      <c r="C707" s="60" t="s">
        <v>5053</v>
      </c>
      <c r="D707" s="64">
        <f>IFERROR(VLOOKUP(C707,測定点マスタ!$E$2:$F$28,2,FALSE)/VLOOKUP(A707,'焼鈍条件-3CGL'!$A$2:$B$197,2,FALSE)*60,"")</f>
        <v>44.063251652371939</v>
      </c>
      <c r="E707" s="66">
        <v>494.7</v>
      </c>
      <c r="F707" s="64">
        <f t="shared" si="11"/>
        <v>36.569778055555524</v>
      </c>
      <c r="G707" s="60" t="s">
        <v>9</v>
      </c>
      <c r="H707" s="60" t="s">
        <v>5042</v>
      </c>
    </row>
    <row r="708" spans="1:8">
      <c r="A708" s="59" t="s">
        <v>2363</v>
      </c>
      <c r="B708" s="62">
        <v>13</v>
      </c>
      <c r="C708" s="60" t="s">
        <v>5054</v>
      </c>
      <c r="D708" s="64">
        <f>IFERROR(VLOOKUP(C708,測定点マスタ!$E$2:$F$28,2,FALSE)/VLOOKUP(A708,'焼鈍条件-3CGL'!$A$2:$B$197,2,FALSE)*60,"")</f>
        <v>49.31850184944382</v>
      </c>
      <c r="E708" s="66">
        <v>491.3</v>
      </c>
      <c r="F708" s="64">
        <f t="shared" si="11"/>
        <v>-0.64697205128204716</v>
      </c>
      <c r="G708" s="60" t="s">
        <v>9</v>
      </c>
      <c r="H708" s="60" t="s">
        <v>5042</v>
      </c>
    </row>
    <row r="709" spans="1:8">
      <c r="A709" s="59" t="s">
        <v>2363</v>
      </c>
      <c r="B709" s="62">
        <v>14</v>
      </c>
      <c r="C709" s="60" t="s">
        <v>5055</v>
      </c>
      <c r="D709" s="64">
        <f>IFERROR(VLOOKUP(C709,測定点マスタ!$E$2:$F$28,2,FALSE)/VLOOKUP(A709,'焼鈍条件-3CGL'!$A$2:$B$197,2,FALSE)*60,"")</f>
        <v>51.339751925240698</v>
      </c>
      <c r="E709" s="66">
        <v>528.70000000000005</v>
      </c>
      <c r="F709" s="64">
        <f t="shared" si="11"/>
        <v>18.503400666666678</v>
      </c>
      <c r="G709" s="60" t="s">
        <v>9</v>
      </c>
      <c r="H709" s="60" t="s">
        <v>5042</v>
      </c>
    </row>
    <row r="710" spans="1:8">
      <c r="A710" s="59" t="s">
        <v>2363</v>
      </c>
      <c r="B710" s="62">
        <v>15</v>
      </c>
      <c r="C710" s="60" t="s">
        <v>5056</v>
      </c>
      <c r="D710" s="64">
        <f>IFERROR(VLOOKUP(C710,測定点マスタ!$E$2:$F$28,2,FALSE)/VLOOKUP(A710,'焼鈍条件-3CGL'!$A$2:$B$197,2,FALSE)*60,"")</f>
        <v>53.765252016196953</v>
      </c>
      <c r="E710" s="66">
        <v>262.8</v>
      </c>
      <c r="F710" s="64">
        <f t="shared" si="11"/>
        <v>-109.62687694444436</v>
      </c>
      <c r="G710" s="60" t="s">
        <v>9</v>
      </c>
      <c r="H710" s="60" t="s">
        <v>5042</v>
      </c>
    </row>
    <row r="711" spans="1:8">
      <c r="A711" s="59" t="s">
        <v>2363</v>
      </c>
      <c r="B711" s="62">
        <v>16</v>
      </c>
      <c r="C711" s="60" t="s">
        <v>5057</v>
      </c>
      <c r="D711" s="64">
        <f>IFERROR(VLOOKUP(C711,測定点マスタ!$E$2:$F$28,2,FALSE)/VLOOKUP(A711,'焼鈍条件-3CGL'!$A$2:$B$197,2,FALSE)*60,"")</f>
        <v>66.657939999672692</v>
      </c>
      <c r="E711" s="66">
        <v>263.39999999999998</v>
      </c>
      <c r="F711" s="64">
        <f t="shared" si="11"/>
        <v>4.6538006718922546E-2</v>
      </c>
      <c r="G711" s="60" t="s">
        <v>9</v>
      </c>
      <c r="H711" s="60" t="s">
        <v>5042</v>
      </c>
    </row>
    <row r="712" spans="1:8">
      <c r="A712" s="59" t="s">
        <v>2363</v>
      </c>
      <c r="B712" s="62">
        <v>17</v>
      </c>
      <c r="C712" s="60" t="s">
        <v>5059</v>
      </c>
      <c r="D712" s="64">
        <f>IFERROR(VLOOKUP(C712,測定点マスタ!$E$2:$F$28,2,FALSE)/VLOOKUP(A712,'焼鈍条件-3CGL'!$A$2:$B$197,2,FALSE)*60,"")</f>
        <v>71.537815182668183</v>
      </c>
      <c r="E712" s="66">
        <v>57.6</v>
      </c>
      <c r="F712" s="64">
        <f t="shared" si="11"/>
        <v>-42.17320982248372</v>
      </c>
      <c r="G712" s="60" t="s">
        <v>9</v>
      </c>
      <c r="H712" s="60" t="s">
        <v>5042</v>
      </c>
    </row>
    <row r="713" spans="1:8">
      <c r="A713" s="59" t="s">
        <v>2372</v>
      </c>
      <c r="B713" s="62">
        <v>1</v>
      </c>
      <c r="C713" s="60" t="s">
        <v>5041</v>
      </c>
      <c r="D713" s="64">
        <f>IFERROR(VLOOKUP(C713,測定点マスタ!$E$2:$F$28,2,FALSE)/VLOOKUP(A713,'焼鈍条件-3CGL'!$A$2:$B$197,2,FALSE)*60,"")</f>
        <v>0</v>
      </c>
      <c r="E713" s="66">
        <v>39.799999999999997</v>
      </c>
      <c r="F713" s="64" t="str">
        <f t="shared" si="11"/>
        <v/>
      </c>
      <c r="G713" s="60" t="s">
        <v>12</v>
      </c>
      <c r="H713" s="60" t="s">
        <v>5064</v>
      </c>
    </row>
    <row r="714" spans="1:8">
      <c r="A714" s="59" t="s">
        <v>2372</v>
      </c>
      <c r="B714" s="62">
        <v>2</v>
      </c>
      <c r="C714" s="60" t="s">
        <v>5043</v>
      </c>
      <c r="D714" s="64">
        <f>IFERROR(VLOOKUP(C714,測定点マスタ!$E$2:$F$28,2,FALSE)/VLOOKUP(A714,'焼鈍条件-3CGL'!$A$2:$B$197,2,FALSE)*60,"")</f>
        <v>7.8030848195319882</v>
      </c>
      <c r="E714" s="66">
        <v>157.30000000000001</v>
      </c>
      <c r="F714" s="64">
        <f t="shared" si="11"/>
        <v>15.058147222222225</v>
      </c>
      <c r="G714" s="60" t="s">
        <v>12</v>
      </c>
      <c r="H714" s="60" t="s">
        <v>5064</v>
      </c>
    </row>
    <row r="715" spans="1:8">
      <c r="A715" s="59" t="s">
        <v>2372</v>
      </c>
      <c r="B715" s="62">
        <v>3</v>
      </c>
      <c r="C715" s="60" t="s">
        <v>5044</v>
      </c>
      <c r="D715" s="64">
        <f>IFERROR(VLOOKUP(C715,測定点マスタ!$E$2:$F$28,2,FALSE)/VLOOKUP(A715,'焼鈍条件-3CGL'!$A$2:$B$197,2,FALSE)*60,"")</f>
        <v>17.686992257605841</v>
      </c>
      <c r="E715" s="66">
        <v>622.6</v>
      </c>
      <c r="F715" s="64">
        <f t="shared" si="11"/>
        <v>47.076523421052634</v>
      </c>
      <c r="G715" s="60" t="s">
        <v>12</v>
      </c>
      <c r="H715" s="60" t="s">
        <v>5064</v>
      </c>
    </row>
    <row r="716" spans="1:8">
      <c r="A716" s="59" t="s">
        <v>2372</v>
      </c>
      <c r="B716" s="62">
        <v>4</v>
      </c>
      <c r="C716" s="60" t="s">
        <v>5045</v>
      </c>
      <c r="D716" s="64">
        <f>IFERROR(VLOOKUP(C716,測定点マスタ!$E$2:$F$28,2,FALSE)/VLOOKUP(A716,'焼鈍条件-3CGL'!$A$2:$B$197,2,FALSE)*60,"")</f>
        <v>22.889048803960499</v>
      </c>
      <c r="E716" s="66">
        <v>762.3</v>
      </c>
      <c r="F716" s="64">
        <f t="shared" si="11"/>
        <v>26.854763833333323</v>
      </c>
      <c r="G716" s="60" t="s">
        <v>12</v>
      </c>
      <c r="H716" s="60" t="s">
        <v>5064</v>
      </c>
    </row>
    <row r="717" spans="1:8">
      <c r="A717" s="59" t="s">
        <v>2372</v>
      </c>
      <c r="B717" s="62">
        <v>5</v>
      </c>
      <c r="C717" s="60" t="s">
        <v>5047</v>
      </c>
      <c r="D717" s="64">
        <f>IFERROR(VLOOKUP(C717,測定点マスタ!$E$2:$F$28,2,FALSE)/VLOOKUP(A717,'焼鈍条件-3CGL'!$A$2:$B$197,2,FALSE)*60,"")</f>
        <v>31.212339278127953</v>
      </c>
      <c r="E717" s="66">
        <v>679.7</v>
      </c>
      <c r="F717" s="64">
        <f t="shared" si="11"/>
        <v>-9.9239597916666558</v>
      </c>
      <c r="G717" s="60" t="s">
        <v>12</v>
      </c>
      <c r="H717" s="60" t="s">
        <v>5064</v>
      </c>
    </row>
    <row r="718" spans="1:8">
      <c r="A718" s="59" t="s">
        <v>2372</v>
      </c>
      <c r="B718" s="62">
        <v>6</v>
      </c>
      <c r="C718" s="60" t="s">
        <v>5049</v>
      </c>
      <c r="D718" s="64">
        <f>IFERROR(VLOOKUP(C718,測定点マスタ!$E$2:$F$28,2,FALSE)/VLOOKUP(A718,'焼鈍条件-3CGL'!$A$2:$B$197,2,FALSE)*60,"")</f>
        <v>37.975012788389009</v>
      </c>
      <c r="E718" s="66">
        <v>582.20000000000005</v>
      </c>
      <c r="F718" s="64">
        <f t="shared" si="11"/>
        <v>-14.417375000000002</v>
      </c>
      <c r="G718" s="60" t="s">
        <v>12</v>
      </c>
      <c r="H718" s="60" t="s">
        <v>5064</v>
      </c>
    </row>
    <row r="719" spans="1:8">
      <c r="A719" s="59" t="s">
        <v>2372</v>
      </c>
      <c r="B719" s="62">
        <v>7</v>
      </c>
      <c r="C719" s="60" t="s">
        <v>5050</v>
      </c>
      <c r="D719" s="64">
        <f>IFERROR(VLOOKUP(C719,測定点マスタ!$E$2:$F$28,2,FALSE)/VLOOKUP(A719,'焼鈍条件-3CGL'!$A$2:$B$197,2,FALSE)*60,"")</f>
        <v>42.136658025472741</v>
      </c>
      <c r="E719" s="66">
        <v>481.7</v>
      </c>
      <c r="F719" s="64">
        <f t="shared" si="11"/>
        <v>-24.149103124999982</v>
      </c>
      <c r="G719" s="60" t="s">
        <v>12</v>
      </c>
      <c r="H719" s="60" t="s">
        <v>5064</v>
      </c>
    </row>
    <row r="720" spans="1:8">
      <c r="A720" s="59" t="s">
        <v>2372</v>
      </c>
      <c r="B720" s="62">
        <v>8</v>
      </c>
      <c r="C720" s="60" t="s">
        <v>5051</v>
      </c>
      <c r="D720" s="64">
        <f>IFERROR(VLOOKUP(C720,測定点マスタ!$E$2:$F$28,2,FALSE)/VLOOKUP(A720,'焼鈍条件-3CGL'!$A$2:$B$197,2,FALSE)*60,"")</f>
        <v>45.778097607920998</v>
      </c>
      <c r="E720" s="66">
        <v>446.1</v>
      </c>
      <c r="F720" s="64">
        <f t="shared" si="11"/>
        <v>-9.7763533333333363</v>
      </c>
      <c r="G720" s="60" t="s">
        <v>12</v>
      </c>
      <c r="H720" s="60" t="s">
        <v>5064</v>
      </c>
    </row>
    <row r="721" spans="1:8">
      <c r="A721" s="59" t="s">
        <v>2372</v>
      </c>
      <c r="B721" s="62">
        <v>9</v>
      </c>
      <c r="C721" s="60" t="s">
        <v>5052</v>
      </c>
      <c r="D721" s="64">
        <f>IFERROR(VLOOKUP(C721,測定点マスタ!$E$2:$F$28,2,FALSE)/VLOOKUP(A721,'焼鈍条件-3CGL'!$A$2:$B$197,2,FALSE)*60,"")</f>
        <v>50.459948499640191</v>
      </c>
      <c r="E721" s="66">
        <v>309.60000000000002</v>
      </c>
      <c r="F721" s="64">
        <f t="shared" si="11"/>
        <v>-29.155136111111108</v>
      </c>
      <c r="G721" s="60" t="s">
        <v>12</v>
      </c>
      <c r="H721" s="60" t="s">
        <v>5064</v>
      </c>
    </row>
    <row r="722" spans="1:8">
      <c r="A722" s="59" t="s">
        <v>2372</v>
      </c>
      <c r="B722" s="62">
        <v>10</v>
      </c>
      <c r="C722" s="60" t="s">
        <v>5053</v>
      </c>
      <c r="D722" s="64">
        <f>IFERROR(VLOOKUP(C722,測定点マスタ!$E$2:$F$28,2,FALSE)/VLOOKUP(A722,'焼鈍条件-3CGL'!$A$2:$B$197,2,FALSE)*60,"")</f>
        <v>56.702416355265782</v>
      </c>
      <c r="E722" s="66">
        <v>502.7</v>
      </c>
      <c r="F722" s="64">
        <f t="shared" si="11"/>
        <v>30.933279027777768</v>
      </c>
      <c r="G722" s="60" t="s">
        <v>12</v>
      </c>
      <c r="H722" s="60" t="s">
        <v>5064</v>
      </c>
    </row>
    <row r="723" spans="1:8">
      <c r="A723" s="59" t="s">
        <v>2372</v>
      </c>
      <c r="B723" s="62">
        <v>11</v>
      </c>
      <c r="C723" s="60" t="s">
        <v>5054</v>
      </c>
      <c r="D723" s="64">
        <f>IFERROR(VLOOKUP(C723,測定点マスタ!$E$2:$F$28,2,FALSE)/VLOOKUP(A723,'焼鈍条件-3CGL'!$A$2:$B$197,2,FALSE)*60,"")</f>
        <v>63.465089865526842</v>
      </c>
      <c r="E723" s="66">
        <v>501.2</v>
      </c>
      <c r="F723" s="64">
        <f t="shared" si="11"/>
        <v>-0.22180576923076914</v>
      </c>
      <c r="G723" s="60" t="s">
        <v>12</v>
      </c>
      <c r="H723" s="60" t="s">
        <v>5064</v>
      </c>
    </row>
    <row r="724" spans="1:8">
      <c r="A724" s="59" t="s">
        <v>2372</v>
      </c>
      <c r="B724" s="62">
        <v>12</v>
      </c>
      <c r="C724" s="60" t="s">
        <v>5056</v>
      </c>
      <c r="D724" s="64">
        <f>IFERROR(VLOOKUP(C724,測定点マスタ!$E$2:$F$28,2,FALSE)/VLOOKUP(A724,'焼鈍条件-3CGL'!$A$2:$B$197,2,FALSE)*60,"")</f>
        <v>69.187352066516965</v>
      </c>
      <c r="E724" s="66">
        <v>260.60000000000002</v>
      </c>
      <c r="F724" s="64">
        <f t="shared" si="11"/>
        <v>-42.046308181818191</v>
      </c>
      <c r="G724" s="60" t="s">
        <v>12</v>
      </c>
      <c r="H724" s="60" t="s">
        <v>5064</v>
      </c>
    </row>
    <row r="725" spans="1:8">
      <c r="A725" s="59" t="s">
        <v>2372</v>
      </c>
      <c r="B725" s="62">
        <v>13</v>
      </c>
      <c r="C725" s="60" t="s">
        <v>5062</v>
      </c>
      <c r="D725" s="64">
        <f>IFERROR(VLOOKUP(C725,測定点マスタ!$E$2:$F$28,2,FALSE)/VLOOKUP(A725,'焼鈍条件-3CGL'!$A$2:$B$197,2,FALSE)*60,"")</f>
        <v>75.429819922142556</v>
      </c>
      <c r="E725" s="66">
        <v>454.9</v>
      </c>
      <c r="F725" s="64">
        <f t="shared" si="11"/>
        <v>31.125510694444433</v>
      </c>
      <c r="G725" s="60" t="s">
        <v>12</v>
      </c>
      <c r="H725" s="60" t="s">
        <v>5064</v>
      </c>
    </row>
    <row r="726" spans="1:8">
      <c r="A726" s="59" t="s">
        <v>2372</v>
      </c>
      <c r="B726" s="62">
        <v>14</v>
      </c>
      <c r="C726" s="60" t="s">
        <v>5065</v>
      </c>
      <c r="D726" s="64">
        <f>IFERROR(VLOOKUP(C726,測定点マスタ!$E$2:$F$28,2,FALSE)/VLOOKUP(A726,'焼鈍条件-3CGL'!$A$2:$B$197,2,FALSE)*60,"")</f>
        <v>76.358758591134304</v>
      </c>
      <c r="E726" s="66">
        <v>547.5</v>
      </c>
      <c r="F726" s="64">
        <f t="shared" si="11"/>
        <v>99.683653066683377</v>
      </c>
      <c r="G726" s="60" t="s">
        <v>12</v>
      </c>
      <c r="H726" s="60" t="s">
        <v>5064</v>
      </c>
    </row>
    <row r="727" spans="1:8">
      <c r="A727" s="59" t="s">
        <v>2372</v>
      </c>
      <c r="B727" s="62">
        <v>15</v>
      </c>
      <c r="C727" s="60" t="s">
        <v>5066</v>
      </c>
      <c r="D727" s="64">
        <f>IFERROR(VLOOKUP(C727,測定点マスタ!$E$2:$F$28,2,FALSE)/VLOOKUP(A727,'焼鈍条件-3CGL'!$A$2:$B$197,2,FALSE)*60,"")</f>
        <v>79.498571292327327</v>
      </c>
      <c r="E727" s="66">
        <v>530.79999999999995</v>
      </c>
      <c r="F727" s="64">
        <f t="shared" si="11"/>
        <v>-5.3187885996048774</v>
      </c>
      <c r="G727" s="60" t="s">
        <v>12</v>
      </c>
      <c r="H727" s="60" t="s">
        <v>5064</v>
      </c>
    </row>
    <row r="728" spans="1:8">
      <c r="A728" s="59" t="s">
        <v>2372</v>
      </c>
      <c r="B728" s="62">
        <v>16</v>
      </c>
      <c r="C728" s="60" t="s">
        <v>5057</v>
      </c>
      <c r="D728" s="64">
        <f>IFERROR(VLOOKUP(C728,測定点マスタ!$E$2:$F$28,2,FALSE)/VLOOKUP(A728,'焼鈍条件-3CGL'!$A$2:$B$197,2,FALSE)*60,"")</f>
        <v>85.778196694712278</v>
      </c>
      <c r="E728" s="66">
        <v>277.60000000000002</v>
      </c>
      <c r="F728" s="64">
        <f t="shared" si="11"/>
        <v>-40.320876449706155</v>
      </c>
      <c r="G728" s="60" t="s">
        <v>12</v>
      </c>
      <c r="H728" s="60" t="s">
        <v>5064</v>
      </c>
    </row>
    <row r="729" spans="1:8">
      <c r="A729" s="59" t="s">
        <v>2372</v>
      </c>
      <c r="B729" s="62">
        <v>17</v>
      </c>
      <c r="C729" s="60" t="s">
        <v>5059</v>
      </c>
      <c r="D729" s="64">
        <f>IFERROR(VLOOKUP(C729,測定点マスタ!$E$2:$F$28,2,FALSE)/VLOOKUP(A729,'焼鈍条件-3CGL'!$A$2:$B$197,2,FALSE)*60,"")</f>
        <v>92.057822097097784</v>
      </c>
      <c r="E729" s="66">
        <v>43.4</v>
      </c>
      <c r="F729" s="64">
        <f t="shared" si="11"/>
        <v>-37.295218264298384</v>
      </c>
      <c r="G729" s="60" t="s">
        <v>12</v>
      </c>
      <c r="H729" s="60" t="s">
        <v>5064</v>
      </c>
    </row>
    <row r="730" spans="1:8">
      <c r="A730" s="59" t="s">
        <v>2385</v>
      </c>
      <c r="B730" s="62">
        <v>1</v>
      </c>
      <c r="C730" s="60" t="s">
        <v>5041</v>
      </c>
      <c r="D730" s="64">
        <f>IFERROR(VLOOKUP(C730,測定点マスタ!$E$2:$F$28,2,FALSE)/VLOOKUP(A730,'焼鈍条件-3CGL'!$A$2:$B$197,2,FALSE)*60,"")</f>
        <v>0</v>
      </c>
      <c r="E730" s="66">
        <v>38.200000000000003</v>
      </c>
      <c r="F730" s="64" t="str">
        <f t="shared" si="11"/>
        <v/>
      </c>
      <c r="G730" s="60" t="s">
        <v>9</v>
      </c>
      <c r="H730" s="60" t="s">
        <v>5042</v>
      </c>
    </row>
    <row r="731" spans="1:8">
      <c r="A731" s="59" t="s">
        <v>2385</v>
      </c>
      <c r="B731" s="62">
        <v>2</v>
      </c>
      <c r="C731" s="60" t="s">
        <v>5043</v>
      </c>
      <c r="D731" s="64">
        <f>IFERROR(VLOOKUP(C731,測定点マスタ!$E$2:$F$28,2,FALSE)/VLOOKUP(A731,'焼鈍条件-3CGL'!$A$2:$B$197,2,FALSE)*60,"")</f>
        <v>6.42535874919683</v>
      </c>
      <c r="E731" s="66">
        <v>171.7</v>
      </c>
      <c r="F731" s="64">
        <f t="shared" si="11"/>
        <v>20.777049999999999</v>
      </c>
      <c r="G731" s="60" t="s">
        <v>9</v>
      </c>
      <c r="H731" s="60" t="s">
        <v>5042</v>
      </c>
    </row>
    <row r="732" spans="1:8">
      <c r="A732" s="59" t="s">
        <v>2385</v>
      </c>
      <c r="B732" s="62">
        <v>3</v>
      </c>
      <c r="C732" s="60" t="s">
        <v>5067</v>
      </c>
      <c r="D732" s="64">
        <f>IFERROR(VLOOKUP(C732,測定点マスタ!$E$2:$F$28,2,FALSE)/VLOOKUP(A732,'焼鈍条件-3CGL'!$A$2:$B$197,2,FALSE)*60,"")</f>
        <v>10.708931248661385</v>
      </c>
      <c r="E732" s="66">
        <v>374</v>
      </c>
      <c r="F732" s="64">
        <f t="shared" si="11"/>
        <v>47.22693499999999</v>
      </c>
      <c r="G732" s="60" t="s">
        <v>9</v>
      </c>
      <c r="H732" s="60" t="s">
        <v>5042</v>
      </c>
    </row>
    <row r="733" spans="1:8">
      <c r="A733" s="59" t="s">
        <v>2385</v>
      </c>
      <c r="B733" s="62">
        <v>4</v>
      </c>
      <c r="C733" s="60" t="s">
        <v>5044</v>
      </c>
      <c r="D733" s="64">
        <f>IFERROR(VLOOKUP(C733,測定点マスタ!$E$2:$F$28,2,FALSE)/VLOOKUP(A733,'焼鈍条件-3CGL'!$A$2:$B$197,2,FALSE)*60,"")</f>
        <v>14.564146498179483</v>
      </c>
      <c r="E733" s="66">
        <v>636.4</v>
      </c>
      <c r="F733" s="64">
        <f t="shared" si="11"/>
        <v>68.063644444444435</v>
      </c>
      <c r="G733" s="60" t="s">
        <v>9</v>
      </c>
      <c r="H733" s="60" t="s">
        <v>5042</v>
      </c>
    </row>
    <row r="734" spans="1:8">
      <c r="A734" s="59" t="s">
        <v>2385</v>
      </c>
      <c r="B734" s="62">
        <v>5</v>
      </c>
      <c r="C734" s="60" t="s">
        <v>5045</v>
      </c>
      <c r="D734" s="64">
        <f>IFERROR(VLOOKUP(C734,測定点マスタ!$E$2:$F$28,2,FALSE)/VLOOKUP(A734,'焼鈍条件-3CGL'!$A$2:$B$197,2,FALSE)*60,"")</f>
        <v>18.847718997644034</v>
      </c>
      <c r="E734" s="66">
        <v>778.7</v>
      </c>
      <c r="F734" s="64">
        <f t="shared" si="11"/>
        <v>33.219935000000035</v>
      </c>
      <c r="G734" s="60" t="s">
        <v>9</v>
      </c>
      <c r="H734" s="60" t="s">
        <v>5042</v>
      </c>
    </row>
    <row r="735" spans="1:8">
      <c r="A735" s="59" t="s">
        <v>2385</v>
      </c>
      <c r="B735" s="62">
        <v>6</v>
      </c>
      <c r="C735" s="60" t="s">
        <v>5047</v>
      </c>
      <c r="D735" s="64">
        <f>IFERROR(VLOOKUP(C735,測定点マスタ!$E$2:$F$28,2,FALSE)/VLOOKUP(A735,'焼鈍条件-3CGL'!$A$2:$B$197,2,FALSE)*60,"")</f>
        <v>25.70143499678732</v>
      </c>
      <c r="E735" s="66">
        <v>712.3</v>
      </c>
      <c r="F735" s="64">
        <f t="shared" si="11"/>
        <v>-9.6881750000000117</v>
      </c>
      <c r="G735" s="60" t="s">
        <v>9</v>
      </c>
      <c r="H735" s="60" t="s">
        <v>5042</v>
      </c>
    </row>
    <row r="736" spans="1:8">
      <c r="A736" s="59" t="s">
        <v>2385</v>
      </c>
      <c r="B736" s="62">
        <v>7</v>
      </c>
      <c r="C736" s="60" t="s">
        <v>5049</v>
      </c>
      <c r="D736" s="64">
        <f>IFERROR(VLOOKUP(C736,測定点マスタ!$E$2:$F$28,2,FALSE)/VLOOKUP(A736,'焼鈍条件-3CGL'!$A$2:$B$197,2,FALSE)*60,"")</f>
        <v>31.270079246091242</v>
      </c>
      <c r="E736" s="66">
        <v>565.4</v>
      </c>
      <c r="F736" s="64">
        <f t="shared" si="11"/>
        <v>-26.379849999999983</v>
      </c>
      <c r="G736" s="60" t="s">
        <v>9</v>
      </c>
      <c r="H736" s="60" t="s">
        <v>5042</v>
      </c>
    </row>
    <row r="737" spans="1:8">
      <c r="A737" s="59" t="s">
        <v>2385</v>
      </c>
      <c r="B737" s="62">
        <v>8</v>
      </c>
      <c r="C737" s="60" t="s">
        <v>5050</v>
      </c>
      <c r="D737" s="64">
        <f>IFERROR(VLOOKUP(C737,測定点マスタ!$E$2:$F$28,2,FALSE)/VLOOKUP(A737,'焼鈍条件-3CGL'!$A$2:$B$197,2,FALSE)*60,"")</f>
        <v>34.69693724566288</v>
      </c>
      <c r="E737" s="66">
        <v>466.1</v>
      </c>
      <c r="F737" s="64">
        <f t="shared" si="11"/>
        <v>-28.976981250000026</v>
      </c>
      <c r="G737" s="60" t="s">
        <v>9</v>
      </c>
      <c r="H737" s="60" t="s">
        <v>5042</v>
      </c>
    </row>
    <row r="738" spans="1:8">
      <c r="A738" s="59" t="s">
        <v>2385</v>
      </c>
      <c r="B738" s="62">
        <v>9</v>
      </c>
      <c r="C738" s="60" t="s">
        <v>5051</v>
      </c>
      <c r="D738" s="64">
        <f>IFERROR(VLOOKUP(C738,測定点マスタ!$E$2:$F$28,2,FALSE)/VLOOKUP(A738,'焼鈍条件-3CGL'!$A$2:$B$197,2,FALSE)*60,"")</f>
        <v>37.695437995288067</v>
      </c>
      <c r="E738" s="66">
        <v>457.2</v>
      </c>
      <c r="F738" s="64">
        <f t="shared" si="11"/>
        <v>-2.9681500000000121</v>
      </c>
      <c r="G738" s="60" t="s">
        <v>9</v>
      </c>
      <c r="H738" s="60" t="s">
        <v>5042</v>
      </c>
    </row>
    <row r="739" spans="1:8">
      <c r="A739" s="59" t="s">
        <v>2385</v>
      </c>
      <c r="B739" s="62">
        <v>10</v>
      </c>
      <c r="C739" s="60" t="s">
        <v>5052</v>
      </c>
      <c r="D739" s="64">
        <f>IFERROR(VLOOKUP(C739,測定点マスタ!$E$2:$F$28,2,FALSE)/VLOOKUP(A739,'焼鈍条件-3CGL'!$A$2:$B$197,2,FALSE)*60,"")</f>
        <v>41.550653244806171</v>
      </c>
      <c r="E739" s="66">
        <v>339.5</v>
      </c>
      <c r="F739" s="64">
        <f t="shared" si="11"/>
        <v>-30.530072222222177</v>
      </c>
      <c r="G739" s="60" t="s">
        <v>9</v>
      </c>
      <c r="H739" s="60" t="s">
        <v>5042</v>
      </c>
    </row>
    <row r="740" spans="1:8">
      <c r="A740" s="59" t="s">
        <v>2385</v>
      </c>
      <c r="B740" s="62">
        <v>11</v>
      </c>
      <c r="C740" s="60" t="s">
        <v>5053</v>
      </c>
      <c r="D740" s="64">
        <f>IFERROR(VLOOKUP(C740,測定点マスタ!$E$2:$F$28,2,FALSE)/VLOOKUP(A740,'焼鈍条件-3CGL'!$A$2:$B$197,2,FALSE)*60,"")</f>
        <v>46.690940244163635</v>
      </c>
      <c r="E740" s="66">
        <v>502.9</v>
      </c>
      <c r="F740" s="64">
        <f t="shared" si="11"/>
        <v>31.78810833333333</v>
      </c>
      <c r="G740" s="60" t="s">
        <v>9</v>
      </c>
      <c r="H740" s="60" t="s">
        <v>5042</v>
      </c>
    </row>
    <row r="741" spans="1:8">
      <c r="A741" s="59" t="s">
        <v>2385</v>
      </c>
      <c r="B741" s="62">
        <v>12</v>
      </c>
      <c r="C741" s="60" t="s">
        <v>5054</v>
      </c>
      <c r="D741" s="64">
        <f>IFERROR(VLOOKUP(C741,測定点マスタ!$E$2:$F$28,2,FALSE)/VLOOKUP(A741,'焼鈍条件-3CGL'!$A$2:$B$197,2,FALSE)*60,"")</f>
        <v>52.25958449346755</v>
      </c>
      <c r="E741" s="66">
        <v>487.4</v>
      </c>
      <c r="F741" s="64">
        <f t="shared" si="11"/>
        <v>-2.7834423076923098</v>
      </c>
      <c r="G741" s="60" t="s">
        <v>9</v>
      </c>
      <c r="H741" s="60" t="s">
        <v>5042</v>
      </c>
    </row>
    <row r="742" spans="1:8">
      <c r="A742" s="59" t="s">
        <v>2385</v>
      </c>
      <c r="B742" s="62">
        <v>13</v>
      </c>
      <c r="C742" s="60" t="s">
        <v>5056</v>
      </c>
      <c r="D742" s="64">
        <f>IFERROR(VLOOKUP(C742,測定点マスタ!$E$2:$F$28,2,FALSE)/VLOOKUP(A742,'焼鈍条件-3CGL'!$A$2:$B$197,2,FALSE)*60,"")</f>
        <v>56.971514242878563</v>
      </c>
      <c r="E742" s="66">
        <v>277.39999999999998</v>
      </c>
      <c r="F742" s="64">
        <f t="shared" si="11"/>
        <v>-44.567727272727232</v>
      </c>
      <c r="G742" s="60" t="s">
        <v>9</v>
      </c>
      <c r="H742" s="60" t="s">
        <v>5042</v>
      </c>
    </row>
    <row r="743" spans="1:8">
      <c r="A743" s="59" t="s">
        <v>2385</v>
      </c>
      <c r="B743" s="62">
        <v>14</v>
      </c>
      <c r="C743" s="60" t="s">
        <v>5057</v>
      </c>
      <c r="D743" s="64">
        <f>IFERROR(VLOOKUP(C743,測定点マスタ!$E$2:$F$28,2,FALSE)/VLOOKUP(A743,'焼鈍条件-3CGL'!$A$2:$B$197,2,FALSE)*60,"")</f>
        <v>70.633050821527959</v>
      </c>
      <c r="E743" s="66">
        <v>242.4</v>
      </c>
      <c r="F743" s="64">
        <f t="shared" si="11"/>
        <v>-2.5619372900336028</v>
      </c>
      <c r="G743" s="60" t="s">
        <v>9</v>
      </c>
      <c r="H743" s="60" t="s">
        <v>5042</v>
      </c>
    </row>
    <row r="744" spans="1:8">
      <c r="A744" s="59" t="s">
        <v>2385</v>
      </c>
      <c r="B744" s="62">
        <v>15</v>
      </c>
      <c r="C744" s="60" t="s">
        <v>5059</v>
      </c>
      <c r="D744" s="64">
        <f>IFERROR(VLOOKUP(C744,測定点マスタ!$E$2:$F$28,2,FALSE)/VLOOKUP(A744,'焼鈍条件-3CGL'!$A$2:$B$197,2,FALSE)*60,"")</f>
        <v>75.803934767310352</v>
      </c>
      <c r="E744" s="66">
        <v>73.900000000000006</v>
      </c>
      <c r="F744" s="64">
        <f t="shared" si="11"/>
        <v>-32.586304733726664</v>
      </c>
      <c r="G744" s="60" t="s">
        <v>9</v>
      </c>
      <c r="H744" s="60" t="s">
        <v>5042</v>
      </c>
    </row>
    <row r="745" spans="1:8">
      <c r="A745" s="59" t="s">
        <v>2400</v>
      </c>
      <c r="B745" s="62">
        <v>1</v>
      </c>
      <c r="C745" s="60" t="s">
        <v>5041</v>
      </c>
      <c r="D745" s="64">
        <f>IFERROR(VLOOKUP(C745,測定点マスタ!$E$2:$F$28,2,FALSE)/VLOOKUP(A745,'焼鈍条件-3CGL'!$A$2:$B$197,2,FALSE)*60,"")</f>
        <v>0</v>
      </c>
      <c r="E745" s="66">
        <v>39</v>
      </c>
      <c r="F745" s="64" t="str">
        <f t="shared" si="11"/>
        <v/>
      </c>
      <c r="G745" s="60" t="s">
        <v>9</v>
      </c>
      <c r="H745" s="60" t="s">
        <v>5042</v>
      </c>
    </row>
    <row r="746" spans="1:8">
      <c r="A746" s="59" t="s">
        <v>2400</v>
      </c>
      <c r="B746" s="62">
        <v>2</v>
      </c>
      <c r="C746" s="60" t="s">
        <v>5043</v>
      </c>
      <c r="D746" s="64">
        <f>IFERROR(VLOOKUP(C746,測定点マスタ!$E$2:$F$28,2,FALSE)/VLOOKUP(A746,'焼鈍条件-3CGL'!$A$2:$B$197,2,FALSE)*60,"")</f>
        <v>9.188830466077901</v>
      </c>
      <c r="E746" s="66">
        <v>181</v>
      </c>
      <c r="F746" s="64">
        <f t="shared" si="11"/>
        <v>15.453544444444445</v>
      </c>
      <c r="G746" s="60" t="s">
        <v>9</v>
      </c>
      <c r="H746" s="60" t="s">
        <v>5042</v>
      </c>
    </row>
    <row r="747" spans="1:8">
      <c r="A747" s="59" t="s">
        <v>2400</v>
      </c>
      <c r="B747" s="62">
        <v>3</v>
      </c>
      <c r="C747" s="60" t="s">
        <v>5044</v>
      </c>
      <c r="D747" s="64">
        <f>IFERROR(VLOOKUP(C747,測定点マスタ!$E$2:$F$28,2,FALSE)/VLOOKUP(A747,'焼鈍条件-3CGL'!$A$2:$B$197,2,FALSE)*60,"")</f>
        <v>20.82801572310991</v>
      </c>
      <c r="E747" s="66">
        <v>673.6</v>
      </c>
      <c r="F747" s="64">
        <f t="shared" si="11"/>
        <v>42.32255</v>
      </c>
      <c r="G747" s="60" t="s">
        <v>9</v>
      </c>
      <c r="H747" s="60" t="s">
        <v>5042</v>
      </c>
    </row>
    <row r="748" spans="1:8">
      <c r="A748" s="59" t="s">
        <v>2400</v>
      </c>
      <c r="B748" s="62">
        <v>4</v>
      </c>
      <c r="C748" s="60" t="s">
        <v>5045</v>
      </c>
      <c r="D748" s="64">
        <f>IFERROR(VLOOKUP(C748,測定点マスタ!$E$2:$F$28,2,FALSE)/VLOOKUP(A748,'焼鈍条件-3CGL'!$A$2:$B$197,2,FALSE)*60,"")</f>
        <v>26.953902700495178</v>
      </c>
      <c r="E748" s="66">
        <v>848.2</v>
      </c>
      <c r="F748" s="64">
        <f t="shared" si="11"/>
        <v>28.501995000000004</v>
      </c>
      <c r="G748" s="60" t="s">
        <v>9</v>
      </c>
      <c r="H748" s="60" t="s">
        <v>5042</v>
      </c>
    </row>
    <row r="749" spans="1:8">
      <c r="A749" s="59" t="s">
        <v>2400</v>
      </c>
      <c r="B749" s="62">
        <v>5</v>
      </c>
      <c r="C749" s="60" t="s">
        <v>5046</v>
      </c>
      <c r="D749" s="64">
        <f>IFERROR(VLOOKUP(C749,測定点マスタ!$E$2:$F$28,2,FALSE)/VLOOKUP(A749,'焼鈍条件-3CGL'!$A$2:$B$197,2,FALSE)*60,"")</f>
        <v>33.079789677880449</v>
      </c>
      <c r="E749" s="66">
        <v>822.6</v>
      </c>
      <c r="F749" s="64">
        <f t="shared" si="11"/>
        <v>-4.1789866666666677</v>
      </c>
      <c r="G749" s="60" t="s">
        <v>9</v>
      </c>
      <c r="H749" s="60" t="s">
        <v>5042</v>
      </c>
    </row>
    <row r="750" spans="1:8">
      <c r="A750" s="59" t="s">
        <v>2400</v>
      </c>
      <c r="B750" s="62">
        <v>6</v>
      </c>
      <c r="C750" s="60" t="s">
        <v>5047</v>
      </c>
      <c r="D750" s="64">
        <f>IFERROR(VLOOKUP(C750,測定点マスタ!$E$2:$F$28,2,FALSE)/VLOOKUP(A750,'焼鈍条件-3CGL'!$A$2:$B$197,2,FALSE)*60,"")</f>
        <v>36.755321864311604</v>
      </c>
      <c r="E750" s="66">
        <v>794.9</v>
      </c>
      <c r="F750" s="64">
        <f t="shared" si="11"/>
        <v>-7.5363236111111336</v>
      </c>
      <c r="G750" s="60" t="s">
        <v>9</v>
      </c>
      <c r="H750" s="60" t="s">
        <v>5042</v>
      </c>
    </row>
    <row r="751" spans="1:8">
      <c r="A751" s="59" t="s">
        <v>2400</v>
      </c>
      <c r="B751" s="62">
        <v>7</v>
      </c>
      <c r="C751" s="60" t="s">
        <v>5048</v>
      </c>
      <c r="D751" s="64">
        <f>IFERROR(VLOOKUP(C751,測定点マスタ!$E$2:$F$28,2,FALSE)/VLOOKUP(A751,'焼鈍条件-3CGL'!$A$2:$B$197,2,FALSE)*60,"")</f>
        <v>40.430854050742767</v>
      </c>
      <c r="E751" s="66">
        <v>748.8</v>
      </c>
      <c r="F751" s="64">
        <f t="shared" si="11"/>
        <v>-12.542401388888887</v>
      </c>
      <c r="G751" s="60" t="s">
        <v>9</v>
      </c>
      <c r="H751" s="60" t="s">
        <v>5042</v>
      </c>
    </row>
    <row r="752" spans="1:8">
      <c r="A752" s="59" t="s">
        <v>2400</v>
      </c>
      <c r="B752" s="62">
        <v>8</v>
      </c>
      <c r="C752" s="60" t="s">
        <v>5049</v>
      </c>
      <c r="D752" s="64">
        <f>IFERROR(VLOOKUP(C752,測定点マスタ!$E$2:$F$28,2,FALSE)/VLOOKUP(A752,'焼鈍条件-3CGL'!$A$2:$B$197,2,FALSE)*60,"")</f>
        <v>44.718974934912453</v>
      </c>
      <c r="E752" s="66">
        <v>630.4</v>
      </c>
      <c r="F752" s="64">
        <f t="shared" si="11"/>
        <v>-27.611161904761907</v>
      </c>
      <c r="G752" s="60" t="s">
        <v>9</v>
      </c>
      <c r="H752" s="60" t="s">
        <v>5042</v>
      </c>
    </row>
    <row r="753" spans="1:8">
      <c r="A753" s="59" t="s">
        <v>2400</v>
      </c>
      <c r="B753" s="62">
        <v>9</v>
      </c>
      <c r="C753" s="60" t="s">
        <v>5050</v>
      </c>
      <c r="D753" s="64">
        <f>IFERROR(VLOOKUP(C753,測定点マスタ!$E$2:$F$28,2,FALSE)/VLOOKUP(A753,'焼鈍条件-3CGL'!$A$2:$B$197,2,FALSE)*60,"")</f>
        <v>49.619684516820669</v>
      </c>
      <c r="E753" s="66">
        <v>536.5</v>
      </c>
      <c r="F753" s="64">
        <f t="shared" si="11"/>
        <v>-19.160490624999984</v>
      </c>
      <c r="G753" s="60" t="s">
        <v>9</v>
      </c>
      <c r="H753" s="60" t="s">
        <v>5042</v>
      </c>
    </row>
    <row r="754" spans="1:8">
      <c r="A754" s="59" t="s">
        <v>2400</v>
      </c>
      <c r="B754" s="62">
        <v>10</v>
      </c>
      <c r="C754" s="60" t="s">
        <v>5051</v>
      </c>
      <c r="D754" s="64">
        <f>IFERROR(VLOOKUP(C754,測定点マスタ!$E$2:$F$28,2,FALSE)/VLOOKUP(A754,'焼鈍条件-3CGL'!$A$2:$B$197,2,FALSE)*60,"")</f>
        <v>53.907805400990355</v>
      </c>
      <c r="E754" s="66">
        <v>485.8</v>
      </c>
      <c r="F754" s="64">
        <f t="shared" si="11"/>
        <v>-11.823360714285714</v>
      </c>
      <c r="G754" s="60" t="s">
        <v>9</v>
      </c>
      <c r="H754" s="60" t="s">
        <v>5042</v>
      </c>
    </row>
    <row r="755" spans="1:8">
      <c r="A755" s="59" t="s">
        <v>2400</v>
      </c>
      <c r="B755" s="62">
        <v>11</v>
      </c>
      <c r="C755" s="60" t="s">
        <v>5052</v>
      </c>
      <c r="D755" s="64">
        <f>IFERROR(VLOOKUP(C755,測定点マスタ!$E$2:$F$28,2,FALSE)/VLOOKUP(A755,'焼鈍条件-3CGL'!$A$2:$B$197,2,FALSE)*60,"")</f>
        <v>59.421103680637103</v>
      </c>
      <c r="E755" s="66">
        <v>359.6</v>
      </c>
      <c r="F755" s="64">
        <f t="shared" si="11"/>
        <v>-22.89010925925923</v>
      </c>
      <c r="G755" s="60" t="s">
        <v>9</v>
      </c>
      <c r="H755" s="60" t="s">
        <v>5042</v>
      </c>
    </row>
    <row r="756" spans="1:8">
      <c r="A756" s="59" t="s">
        <v>2400</v>
      </c>
      <c r="B756" s="62">
        <v>12</v>
      </c>
      <c r="C756" s="60" t="s">
        <v>5053</v>
      </c>
      <c r="D756" s="64">
        <f>IFERROR(VLOOKUP(C756,測定点マスタ!$E$2:$F$28,2,FALSE)/VLOOKUP(A756,'焼鈍条件-3CGL'!$A$2:$B$197,2,FALSE)*60,"")</f>
        <v>66.772168053499428</v>
      </c>
      <c r="E756" s="66">
        <v>560.79999999999995</v>
      </c>
      <c r="F756" s="64">
        <f t="shared" si="11"/>
        <v>27.370186111111085</v>
      </c>
      <c r="G756" s="60" t="s">
        <v>9</v>
      </c>
      <c r="H756" s="60" t="s">
        <v>5042</v>
      </c>
    </row>
    <row r="757" spans="1:8">
      <c r="A757" s="59" t="s">
        <v>2400</v>
      </c>
      <c r="B757" s="62">
        <v>13</v>
      </c>
      <c r="C757" s="60" t="s">
        <v>5054</v>
      </c>
      <c r="D757" s="64">
        <f>IFERROR(VLOOKUP(C757,測定点マスタ!$E$2:$F$28,2,FALSE)/VLOOKUP(A757,'焼鈍条件-3CGL'!$A$2:$B$197,2,FALSE)*60,"")</f>
        <v>74.735821124100269</v>
      </c>
      <c r="E757" s="66">
        <v>555.20000000000005</v>
      </c>
      <c r="F757" s="64">
        <f t="shared" si="11"/>
        <v>-0.70319487179486084</v>
      </c>
      <c r="G757" s="60" t="s">
        <v>9</v>
      </c>
      <c r="H757" s="60" t="s">
        <v>5042</v>
      </c>
    </row>
    <row r="758" spans="1:8">
      <c r="A758" s="59" t="s">
        <v>2400</v>
      </c>
      <c r="B758" s="62">
        <v>14</v>
      </c>
      <c r="C758" s="60" t="s">
        <v>5056</v>
      </c>
      <c r="D758" s="64">
        <f>IFERROR(VLOOKUP(C758,測定点マスタ!$E$2:$F$28,2,FALSE)/VLOOKUP(A758,'焼鈍条件-3CGL'!$A$2:$B$197,2,FALSE)*60,"")</f>
        <v>81.474296799224064</v>
      </c>
      <c r="E758" s="66">
        <v>286</v>
      </c>
      <c r="F758" s="64">
        <f t="shared" si="11"/>
        <v>-39.949687878787884</v>
      </c>
      <c r="G758" s="60" t="s">
        <v>9</v>
      </c>
      <c r="H758" s="60" t="s">
        <v>5042</v>
      </c>
    </row>
    <row r="759" spans="1:8">
      <c r="A759" s="59" t="s">
        <v>2400</v>
      </c>
      <c r="B759" s="62">
        <v>15</v>
      </c>
      <c r="C759" s="60" t="s">
        <v>5057</v>
      </c>
      <c r="D759" s="64">
        <f>IFERROR(VLOOKUP(C759,測定点マスタ!$E$2:$F$28,2,FALSE)/VLOOKUP(A759,'焼鈍条件-3CGL'!$A$2:$B$197,2,FALSE)*60,"")</f>
        <v>101.01150062352771</v>
      </c>
      <c r="E759" s="66">
        <v>264.10000000000002</v>
      </c>
      <c r="F759" s="64">
        <f t="shared" si="11"/>
        <v>-1.1209382978723439</v>
      </c>
      <c r="G759" s="60" t="s">
        <v>9</v>
      </c>
      <c r="H759" s="60" t="s">
        <v>5042</v>
      </c>
    </row>
    <row r="760" spans="1:8">
      <c r="A760" s="59" t="s">
        <v>2400</v>
      </c>
      <c r="B760" s="62">
        <v>16</v>
      </c>
      <c r="C760" s="60" t="s">
        <v>5059</v>
      </c>
      <c r="D760" s="64">
        <f>IFERROR(VLOOKUP(C760,測定点マスタ!$E$2:$F$28,2,FALSE)/VLOOKUP(A760,'焼鈍条件-3CGL'!$A$2:$B$197,2,FALSE)*60,"")</f>
        <v>108.40632133194303</v>
      </c>
      <c r="E760" s="66">
        <v>66.900000000000006</v>
      </c>
      <c r="F760" s="64">
        <f t="shared" si="11"/>
        <v>-26.667313214989235</v>
      </c>
      <c r="G760" s="60" t="s">
        <v>9</v>
      </c>
      <c r="H760" s="60" t="s">
        <v>5042</v>
      </c>
    </row>
    <row r="761" spans="1:8">
      <c r="A761" s="59" t="s">
        <v>2415</v>
      </c>
      <c r="B761" s="62">
        <v>1</v>
      </c>
      <c r="C761" s="60" t="s">
        <v>5041</v>
      </c>
      <c r="D761" s="64">
        <f>IFERROR(VLOOKUP(C761,測定点マスタ!$E$2:$F$28,2,FALSE)/VLOOKUP(A761,'焼鈍条件-3CGL'!$A$2:$B$197,2,FALSE)*60,"")</f>
        <v>0</v>
      </c>
      <c r="E761" s="66">
        <v>39.5</v>
      </c>
      <c r="F761" s="64" t="str">
        <f t="shared" si="11"/>
        <v/>
      </c>
      <c r="G761" s="60" t="s">
        <v>12</v>
      </c>
      <c r="H761" s="60" t="s">
        <v>5064</v>
      </c>
    </row>
    <row r="762" spans="1:8">
      <c r="A762" s="59" t="s">
        <v>2415</v>
      </c>
      <c r="B762" s="62">
        <v>2</v>
      </c>
      <c r="C762" s="60" t="s">
        <v>5043</v>
      </c>
      <c r="D762" s="64">
        <f>IFERROR(VLOOKUP(C762,測定点マスタ!$E$2:$F$28,2,FALSE)/VLOOKUP(A762,'焼鈍条件-3CGL'!$A$2:$B$197,2,FALSE)*60,"")</f>
        <v>10.764648893035274</v>
      </c>
      <c r="E762" s="66">
        <v>184.8</v>
      </c>
      <c r="F762" s="64">
        <f t="shared" si="11"/>
        <v>13.497885666666667</v>
      </c>
      <c r="G762" s="60" t="s">
        <v>12</v>
      </c>
      <c r="H762" s="60" t="s">
        <v>5064</v>
      </c>
    </row>
    <row r="763" spans="1:8">
      <c r="A763" s="59" t="s">
        <v>2415</v>
      </c>
      <c r="B763" s="62">
        <v>3</v>
      </c>
      <c r="C763" s="60" t="s">
        <v>5044</v>
      </c>
      <c r="D763" s="64">
        <f>IFERROR(VLOOKUP(C763,測定点マスタ!$E$2:$F$28,2,FALSE)/VLOOKUP(A763,'焼鈍条件-3CGL'!$A$2:$B$197,2,FALSE)*60,"")</f>
        <v>24.399870824213284</v>
      </c>
      <c r="E763" s="66">
        <v>710.5</v>
      </c>
      <c r="F763" s="64">
        <f t="shared" si="11"/>
        <v>38.554561315789478</v>
      </c>
      <c r="G763" s="60" t="s">
        <v>12</v>
      </c>
      <c r="H763" s="60" t="s">
        <v>5064</v>
      </c>
    </row>
    <row r="764" spans="1:8">
      <c r="A764" s="59" t="s">
        <v>2415</v>
      </c>
      <c r="B764" s="62">
        <v>4</v>
      </c>
      <c r="C764" s="60" t="s">
        <v>5045</v>
      </c>
      <c r="D764" s="64">
        <f>IFERROR(VLOOKUP(C764,測定点マスタ!$E$2:$F$28,2,FALSE)/VLOOKUP(A764,'焼鈍条件-3CGL'!$A$2:$B$197,2,FALSE)*60,"")</f>
        <v>31.576303419570127</v>
      </c>
      <c r="E764" s="66">
        <v>856.8</v>
      </c>
      <c r="F764" s="64">
        <f t="shared" si="11"/>
        <v>20.386173500000009</v>
      </c>
      <c r="G764" s="60" t="s">
        <v>12</v>
      </c>
      <c r="H764" s="60" t="s">
        <v>5064</v>
      </c>
    </row>
    <row r="765" spans="1:8">
      <c r="A765" s="59" t="s">
        <v>2415</v>
      </c>
      <c r="B765" s="62">
        <v>5</v>
      </c>
      <c r="C765" s="60" t="s">
        <v>5047</v>
      </c>
      <c r="D765" s="64">
        <f>IFERROR(VLOOKUP(C765,測定点マスタ!$E$2:$F$28,2,FALSE)/VLOOKUP(A765,'焼鈍条件-3CGL'!$A$2:$B$197,2,FALSE)*60,"")</f>
        <v>43.058595572141094</v>
      </c>
      <c r="E765" s="66">
        <v>778</v>
      </c>
      <c r="F765" s="64">
        <f t="shared" si="11"/>
        <v>-6.8627412499999902</v>
      </c>
      <c r="G765" s="60" t="s">
        <v>12</v>
      </c>
      <c r="H765" s="60" t="s">
        <v>5064</v>
      </c>
    </row>
    <row r="766" spans="1:8">
      <c r="A766" s="59" t="s">
        <v>2415</v>
      </c>
      <c r="B766" s="62">
        <v>6</v>
      </c>
      <c r="C766" s="60" t="s">
        <v>5049</v>
      </c>
      <c r="D766" s="64">
        <f>IFERROR(VLOOKUP(C766,測定点マスタ!$E$2:$F$28,2,FALSE)/VLOOKUP(A766,'焼鈍条件-3CGL'!$A$2:$B$197,2,FALSE)*60,"")</f>
        <v>52.38795794610499</v>
      </c>
      <c r="E766" s="66">
        <v>616.70000000000005</v>
      </c>
      <c r="F766" s="64">
        <f t="shared" si="11"/>
        <v>-17.289498846153855</v>
      </c>
      <c r="G766" s="60" t="s">
        <v>12</v>
      </c>
      <c r="H766" s="60" t="s">
        <v>5064</v>
      </c>
    </row>
    <row r="767" spans="1:8">
      <c r="A767" s="59" t="s">
        <v>2415</v>
      </c>
      <c r="B767" s="62">
        <v>7</v>
      </c>
      <c r="C767" s="60" t="s">
        <v>5050</v>
      </c>
      <c r="D767" s="64">
        <f>IFERROR(VLOOKUP(C767,測定点マスタ!$E$2:$F$28,2,FALSE)/VLOOKUP(A767,'焼鈍条件-3CGL'!$A$2:$B$197,2,FALSE)*60,"")</f>
        <v>58.129104022390464</v>
      </c>
      <c r="E767" s="66">
        <v>538.6</v>
      </c>
      <c r="F767" s="64">
        <f t="shared" si="11"/>
        <v>-13.603555625000013</v>
      </c>
      <c r="G767" s="60" t="s">
        <v>12</v>
      </c>
      <c r="H767" s="60" t="s">
        <v>5064</v>
      </c>
    </row>
    <row r="768" spans="1:8">
      <c r="A768" s="59" t="s">
        <v>2415</v>
      </c>
      <c r="B768" s="62">
        <v>8</v>
      </c>
      <c r="C768" s="60" t="s">
        <v>5051</v>
      </c>
      <c r="D768" s="64">
        <f>IFERROR(VLOOKUP(C768,測定点マスタ!$E$2:$F$28,2,FALSE)/VLOOKUP(A768,'焼鈍条件-3CGL'!$A$2:$B$197,2,FALSE)*60,"")</f>
        <v>63.152606839140255</v>
      </c>
      <c r="E768" s="66">
        <v>491.6</v>
      </c>
      <c r="F768" s="64">
        <f t="shared" si="11"/>
        <v>-9.3560214285714345</v>
      </c>
      <c r="G768" s="60" t="s">
        <v>12</v>
      </c>
      <c r="H768" s="60" t="s">
        <v>5064</v>
      </c>
    </row>
    <row r="769" spans="1:8">
      <c r="A769" s="59" t="s">
        <v>2415</v>
      </c>
      <c r="B769" s="62">
        <v>9</v>
      </c>
      <c r="C769" s="60" t="s">
        <v>5052</v>
      </c>
      <c r="D769" s="64">
        <f>IFERROR(VLOOKUP(C769,測定点マスタ!$E$2:$F$28,2,FALSE)/VLOOKUP(A769,'焼鈍条件-3CGL'!$A$2:$B$197,2,FALSE)*60,"")</f>
        <v>69.611396174961428</v>
      </c>
      <c r="E769" s="66">
        <v>348.5</v>
      </c>
      <c r="F769" s="64">
        <f t="shared" si="11"/>
        <v>-22.155854999999971</v>
      </c>
      <c r="G769" s="60" t="s">
        <v>12</v>
      </c>
      <c r="H769" s="60" t="s">
        <v>5064</v>
      </c>
    </row>
    <row r="770" spans="1:8">
      <c r="A770" s="59" t="s">
        <v>2415</v>
      </c>
      <c r="B770" s="62">
        <v>10</v>
      </c>
      <c r="C770" s="60" t="s">
        <v>5053</v>
      </c>
      <c r="D770" s="64">
        <f>IFERROR(VLOOKUP(C770,測定点マスタ!$E$2:$F$28,2,FALSE)/VLOOKUP(A770,'焼鈍条件-3CGL'!$A$2:$B$197,2,FALSE)*60,"")</f>
        <v>78.223115289389654</v>
      </c>
      <c r="E770" s="66">
        <v>543.4</v>
      </c>
      <c r="F770" s="64">
        <f t="shared" ref="F770:F833" si="12">IF(A770=A769,IFERROR((E770-E769)/(D770-D769),""),"")</f>
        <v>22.631950416666644</v>
      </c>
      <c r="G770" s="60" t="s">
        <v>12</v>
      </c>
      <c r="H770" s="60" t="s">
        <v>5064</v>
      </c>
    </row>
    <row r="771" spans="1:8">
      <c r="A771" s="59" t="s">
        <v>2415</v>
      </c>
      <c r="B771" s="62">
        <v>11</v>
      </c>
      <c r="C771" s="60" t="s">
        <v>5054</v>
      </c>
      <c r="D771" s="64">
        <f>IFERROR(VLOOKUP(C771,測定点マスタ!$E$2:$F$28,2,FALSE)/VLOOKUP(A771,'焼鈍条件-3CGL'!$A$2:$B$197,2,FALSE)*60,"")</f>
        <v>87.552477663353557</v>
      </c>
      <c r="E771" s="66">
        <v>513.6</v>
      </c>
      <c r="F771" s="64">
        <f t="shared" si="12"/>
        <v>-3.1942161538461487</v>
      </c>
      <c r="G771" s="60" t="s">
        <v>12</v>
      </c>
      <c r="H771" s="60" t="s">
        <v>5064</v>
      </c>
    </row>
    <row r="772" spans="1:8">
      <c r="A772" s="59" t="s">
        <v>2415</v>
      </c>
      <c r="B772" s="62">
        <v>12</v>
      </c>
      <c r="C772" s="60" t="s">
        <v>5056</v>
      </c>
      <c r="D772" s="64">
        <f>IFERROR(VLOOKUP(C772,測定点マスタ!$E$2:$F$28,2,FALSE)/VLOOKUP(A772,'焼鈍条件-3CGL'!$A$2:$B$197,2,FALSE)*60,"")</f>
        <v>95.446553518246077</v>
      </c>
      <c r="E772" s="66">
        <v>299.5</v>
      </c>
      <c r="F772" s="64">
        <f t="shared" si="12"/>
        <v>-27.121604090909138</v>
      </c>
      <c r="G772" s="60" t="s">
        <v>12</v>
      </c>
      <c r="H772" s="60" t="s">
        <v>5064</v>
      </c>
    </row>
    <row r="773" spans="1:8">
      <c r="A773" s="59" t="s">
        <v>2415</v>
      </c>
      <c r="B773" s="62">
        <v>13</v>
      </c>
      <c r="C773" s="60" t="s">
        <v>5062</v>
      </c>
      <c r="D773" s="64">
        <f>IFERROR(VLOOKUP(C773,測定点マスタ!$E$2:$F$28,2,FALSE)/VLOOKUP(A773,'焼鈍条件-3CGL'!$A$2:$B$197,2,FALSE)*60,"")</f>
        <v>104.0582726326743</v>
      </c>
      <c r="E773" s="66">
        <v>458.2</v>
      </c>
      <c r="F773" s="64">
        <f t="shared" si="12"/>
        <v>18.428376249999982</v>
      </c>
      <c r="G773" s="60" t="s">
        <v>12</v>
      </c>
      <c r="H773" s="60" t="s">
        <v>5064</v>
      </c>
    </row>
    <row r="774" spans="1:8">
      <c r="A774" s="59" t="s">
        <v>2415</v>
      </c>
      <c r="B774" s="62">
        <v>14</v>
      </c>
      <c r="C774" s="60" t="s">
        <v>5065</v>
      </c>
      <c r="D774" s="64">
        <f>IFERROR(VLOOKUP(C774,測定点マスタ!$E$2:$F$28,2,FALSE)/VLOOKUP(A774,'焼鈍条件-3CGL'!$A$2:$B$197,2,FALSE)*60,"")</f>
        <v>105.33977845327354</v>
      </c>
      <c r="E774" s="66">
        <v>525.29999999999995</v>
      </c>
      <c r="F774" s="64">
        <f t="shared" si="12"/>
        <v>52.360277200008198</v>
      </c>
      <c r="G774" s="60" t="s">
        <v>12</v>
      </c>
      <c r="H774" s="60" t="s">
        <v>5064</v>
      </c>
    </row>
    <row r="775" spans="1:8">
      <c r="A775" s="59" t="s">
        <v>2415</v>
      </c>
      <c r="B775" s="62">
        <v>15</v>
      </c>
      <c r="C775" s="60" t="s">
        <v>5066</v>
      </c>
      <c r="D775" s="64">
        <f>IFERROR(VLOOKUP(C775,測定点マスタ!$E$2:$F$28,2,FALSE)/VLOOKUP(A775,'焼鈍条件-3CGL'!$A$2:$B$197,2,FALSE)*60,"")</f>
        <v>109.67126812690015</v>
      </c>
      <c r="E775" s="66">
        <v>512.70000000000005</v>
      </c>
      <c r="F775" s="64">
        <f t="shared" si="12"/>
        <v>-2.9089299408280396</v>
      </c>
      <c r="G775" s="60" t="s">
        <v>12</v>
      </c>
      <c r="H775" s="60" t="s">
        <v>5064</v>
      </c>
    </row>
    <row r="776" spans="1:8">
      <c r="A776" s="59" t="s">
        <v>2415</v>
      </c>
      <c r="B776" s="62">
        <v>16</v>
      </c>
      <c r="C776" s="60" t="s">
        <v>5057</v>
      </c>
      <c r="D776" s="64">
        <f>IFERROR(VLOOKUP(C776,測定点マスタ!$E$2:$F$28,2,FALSE)/VLOOKUP(A776,'焼鈍条件-3CGL'!$A$2:$B$197,2,FALSE)*60,"")</f>
        <v>118.33424747415192</v>
      </c>
      <c r="E776" s="66">
        <v>286.5</v>
      </c>
      <c r="F776" s="64">
        <f t="shared" si="12"/>
        <v>-26.111109230770495</v>
      </c>
      <c r="G776" s="60" t="s">
        <v>12</v>
      </c>
      <c r="H776" s="60" t="s">
        <v>5064</v>
      </c>
    </row>
    <row r="777" spans="1:8">
      <c r="A777" s="59" t="s">
        <v>2415</v>
      </c>
      <c r="B777" s="62">
        <v>17</v>
      </c>
      <c r="C777" s="60" t="s">
        <v>5059</v>
      </c>
      <c r="D777" s="64">
        <f>IFERROR(VLOOKUP(C777,測定点マスタ!$E$2:$F$28,2,FALSE)/VLOOKUP(A777,'焼鈍条件-3CGL'!$A$2:$B$197,2,FALSE)*60,"")</f>
        <v>126.99722682140444</v>
      </c>
      <c r="E777" s="66">
        <v>57.3</v>
      </c>
      <c r="F777" s="64">
        <f t="shared" si="12"/>
        <v>-26.457410414200201</v>
      </c>
      <c r="G777" s="60" t="s">
        <v>12</v>
      </c>
      <c r="H777" s="60" t="s">
        <v>5064</v>
      </c>
    </row>
    <row r="778" spans="1:8">
      <c r="A778" s="59" t="s">
        <v>2424</v>
      </c>
      <c r="B778" s="62">
        <v>1</v>
      </c>
      <c r="C778" s="60" t="s">
        <v>5041</v>
      </c>
      <c r="D778" s="64">
        <f>IFERROR(VLOOKUP(C778,測定点マスタ!$E$2:$F$28,2,FALSE)/VLOOKUP(A778,'焼鈍条件-3CGL'!$A$2:$B$197,2,FALSE)*60,"")</f>
        <v>0</v>
      </c>
      <c r="E778" s="66">
        <v>28.3</v>
      </c>
      <c r="F778" s="64" t="str">
        <f t="shared" si="12"/>
        <v/>
      </c>
      <c r="G778" s="60" t="s">
        <v>12</v>
      </c>
      <c r="H778" s="60" t="s">
        <v>5061</v>
      </c>
    </row>
    <row r="779" spans="1:8">
      <c r="A779" s="59" t="s">
        <v>2424</v>
      </c>
      <c r="B779" s="62">
        <v>2</v>
      </c>
      <c r="C779" s="60" t="s">
        <v>5043</v>
      </c>
      <c r="D779" s="64">
        <f>IFERROR(VLOOKUP(C779,測定点マスタ!$E$2:$F$28,2,FALSE)/VLOOKUP(A779,'焼鈍条件-3CGL'!$A$2:$B$197,2,FALSE)*60,"")</f>
        <v>6.5611535966056973</v>
      </c>
      <c r="E779" s="66">
        <v>191.5</v>
      </c>
      <c r="F779" s="64">
        <f t="shared" si="12"/>
        <v>24.873674666666663</v>
      </c>
      <c r="G779" s="60" t="s">
        <v>12</v>
      </c>
      <c r="H779" s="60" t="s">
        <v>5061</v>
      </c>
    </row>
    <row r="780" spans="1:8">
      <c r="A780" s="59" t="s">
        <v>2424</v>
      </c>
      <c r="B780" s="62">
        <v>3</v>
      </c>
      <c r="C780" s="60" t="s">
        <v>5044</v>
      </c>
      <c r="D780" s="64">
        <f>IFERROR(VLOOKUP(C780,測定点マスタ!$E$2:$F$28,2,FALSE)/VLOOKUP(A780,'焼鈍条件-3CGL'!$A$2:$B$197,2,FALSE)*60,"")</f>
        <v>14.871948152306246</v>
      </c>
      <c r="E780" s="66">
        <v>668.6</v>
      </c>
      <c r="F780" s="64">
        <f t="shared" si="12"/>
        <v>57.407266754385972</v>
      </c>
      <c r="G780" s="60" t="s">
        <v>12</v>
      </c>
      <c r="H780" s="60" t="s">
        <v>5061</v>
      </c>
    </row>
    <row r="781" spans="1:8">
      <c r="A781" s="59" t="s">
        <v>2424</v>
      </c>
      <c r="B781" s="62">
        <v>4</v>
      </c>
      <c r="C781" s="60" t="s">
        <v>5045</v>
      </c>
      <c r="D781" s="64">
        <f>IFERROR(VLOOKUP(C781,測定点マスタ!$E$2:$F$28,2,FALSE)/VLOOKUP(A781,'焼鈍条件-3CGL'!$A$2:$B$197,2,FALSE)*60,"")</f>
        <v>19.246050550043378</v>
      </c>
      <c r="E781" s="66">
        <v>795</v>
      </c>
      <c r="F781" s="64">
        <f t="shared" si="12"/>
        <v>28.897357333333318</v>
      </c>
      <c r="G781" s="60" t="s">
        <v>12</v>
      </c>
      <c r="H781" s="60" t="s">
        <v>5061</v>
      </c>
    </row>
    <row r="782" spans="1:8">
      <c r="A782" s="59" t="s">
        <v>2424</v>
      </c>
      <c r="B782" s="62">
        <v>5</v>
      </c>
      <c r="C782" s="60" t="s">
        <v>5046</v>
      </c>
      <c r="D782" s="64">
        <f>IFERROR(VLOOKUP(C782,測定点マスタ!$E$2:$F$28,2,FALSE)/VLOOKUP(A782,'焼鈍条件-3CGL'!$A$2:$B$197,2,FALSE)*60,"")</f>
        <v>23.620152947780507</v>
      </c>
      <c r="E782" s="66">
        <v>741.1</v>
      </c>
      <c r="F782" s="64">
        <f t="shared" si="12"/>
        <v>-12.322528166666666</v>
      </c>
      <c r="G782" s="60" t="s">
        <v>12</v>
      </c>
      <c r="H782" s="60" t="s">
        <v>5061</v>
      </c>
    </row>
    <row r="783" spans="1:8">
      <c r="A783" s="59" t="s">
        <v>2424</v>
      </c>
      <c r="B783" s="62">
        <v>6</v>
      </c>
      <c r="C783" s="60" t="s">
        <v>5047</v>
      </c>
      <c r="D783" s="64">
        <f>IFERROR(VLOOKUP(C783,測定点マスタ!$E$2:$F$28,2,FALSE)/VLOOKUP(A783,'焼鈍条件-3CGL'!$A$2:$B$197,2,FALSE)*60,"")</f>
        <v>26.244614386422789</v>
      </c>
      <c r="E783" s="66">
        <v>725.9</v>
      </c>
      <c r="F783" s="64">
        <f t="shared" si="12"/>
        <v>-5.7916644444444545</v>
      </c>
      <c r="G783" s="60" t="s">
        <v>12</v>
      </c>
      <c r="H783" s="60" t="s">
        <v>5061</v>
      </c>
    </row>
    <row r="784" spans="1:8">
      <c r="A784" s="59" t="s">
        <v>2424</v>
      </c>
      <c r="B784" s="62">
        <v>7</v>
      </c>
      <c r="C784" s="60" t="s">
        <v>5049</v>
      </c>
      <c r="D784" s="64">
        <f>IFERROR(VLOOKUP(C784,測定点マスタ!$E$2:$F$28,2,FALSE)/VLOOKUP(A784,'焼鈍条件-3CGL'!$A$2:$B$197,2,FALSE)*60,"")</f>
        <v>31.930947503481054</v>
      </c>
      <c r="E784" s="66">
        <v>577.1</v>
      </c>
      <c r="F784" s="64">
        <f t="shared" si="12"/>
        <v>-26.168006153846171</v>
      </c>
      <c r="G784" s="60" t="s">
        <v>12</v>
      </c>
      <c r="H784" s="60" t="s">
        <v>5061</v>
      </c>
    </row>
    <row r="785" spans="1:8">
      <c r="A785" s="59" t="s">
        <v>2424</v>
      </c>
      <c r="B785" s="62">
        <v>8</v>
      </c>
      <c r="C785" s="60" t="s">
        <v>5050</v>
      </c>
      <c r="D785" s="64">
        <f>IFERROR(VLOOKUP(C785,測定点マスタ!$E$2:$F$28,2,FALSE)/VLOOKUP(A785,'焼鈍条件-3CGL'!$A$2:$B$197,2,FALSE)*60,"")</f>
        <v>35.430229421670759</v>
      </c>
      <c r="E785" s="66">
        <v>473.2</v>
      </c>
      <c r="F785" s="64">
        <f t="shared" si="12"/>
        <v>-29.69180604166667</v>
      </c>
      <c r="G785" s="60" t="s">
        <v>12</v>
      </c>
      <c r="H785" s="60" t="s">
        <v>5061</v>
      </c>
    </row>
    <row r="786" spans="1:8">
      <c r="A786" s="59" t="s">
        <v>2424</v>
      </c>
      <c r="B786" s="62">
        <v>9</v>
      </c>
      <c r="C786" s="60" t="s">
        <v>5051</v>
      </c>
      <c r="D786" s="64">
        <f>IFERROR(VLOOKUP(C786,測定点マスタ!$E$2:$F$28,2,FALSE)/VLOOKUP(A786,'焼鈍条件-3CGL'!$A$2:$B$197,2,FALSE)*60,"")</f>
        <v>38.492101100086757</v>
      </c>
      <c r="E786" s="66">
        <v>441.4</v>
      </c>
      <c r="F786" s="64">
        <f t="shared" si="12"/>
        <v>-10.38580428571427</v>
      </c>
      <c r="G786" s="60" t="s">
        <v>12</v>
      </c>
      <c r="H786" s="60" t="s">
        <v>5061</v>
      </c>
    </row>
    <row r="787" spans="1:8">
      <c r="A787" s="59" t="s">
        <v>2424</v>
      </c>
      <c r="B787" s="62">
        <v>10</v>
      </c>
      <c r="C787" s="60" t="s">
        <v>5052</v>
      </c>
      <c r="D787" s="64">
        <f>IFERROR(VLOOKUP(C787,測定点マスタ!$E$2:$F$28,2,FALSE)/VLOOKUP(A787,'焼鈍条件-3CGL'!$A$2:$B$197,2,FALSE)*60,"")</f>
        <v>42.42879325805017</v>
      </c>
      <c r="E787" s="66">
        <v>340.5</v>
      </c>
      <c r="F787" s="64">
        <f t="shared" si="12"/>
        <v>-25.630655370370391</v>
      </c>
      <c r="G787" s="60" t="s">
        <v>12</v>
      </c>
      <c r="H787" s="60" t="s">
        <v>5061</v>
      </c>
    </row>
    <row r="788" spans="1:8">
      <c r="A788" s="59" t="s">
        <v>2424</v>
      </c>
      <c r="B788" s="62">
        <v>11</v>
      </c>
      <c r="C788" s="60" t="s">
        <v>5053</v>
      </c>
      <c r="D788" s="64">
        <f>IFERROR(VLOOKUP(C788,測定点マスタ!$E$2:$F$28,2,FALSE)/VLOOKUP(A788,'焼鈍条件-3CGL'!$A$2:$B$197,2,FALSE)*60,"")</f>
        <v>47.677716135334734</v>
      </c>
      <c r="E788" s="66">
        <v>531.20000000000005</v>
      </c>
      <c r="F788" s="64">
        <f t="shared" si="12"/>
        <v>36.33126347222219</v>
      </c>
      <c r="G788" s="60" t="s">
        <v>12</v>
      </c>
      <c r="H788" s="60" t="s">
        <v>5061</v>
      </c>
    </row>
    <row r="789" spans="1:8">
      <c r="A789" s="59" t="s">
        <v>2424</v>
      </c>
      <c r="B789" s="62">
        <v>12</v>
      </c>
      <c r="C789" s="60" t="s">
        <v>5054</v>
      </c>
      <c r="D789" s="64">
        <f>IFERROR(VLOOKUP(C789,測定点マスタ!$E$2:$F$28,2,FALSE)/VLOOKUP(A789,'焼鈍条件-3CGL'!$A$2:$B$197,2,FALSE)*60,"")</f>
        <v>53.364049252393002</v>
      </c>
      <c r="E789" s="66">
        <v>513.6</v>
      </c>
      <c r="F789" s="64">
        <f t="shared" si="12"/>
        <v>-3.0951405128205178</v>
      </c>
      <c r="G789" s="60" t="s">
        <v>12</v>
      </c>
      <c r="H789" s="60" t="s">
        <v>5061</v>
      </c>
    </row>
    <row r="790" spans="1:8">
      <c r="A790" s="59" t="s">
        <v>2424</v>
      </c>
      <c r="B790" s="62">
        <v>13</v>
      </c>
      <c r="C790" s="60" t="s">
        <v>5056</v>
      </c>
      <c r="D790" s="64">
        <f>IFERROR(VLOOKUP(C790,測定点マスタ!$E$2:$F$28,2,FALSE)/VLOOKUP(A790,'焼鈍条件-3CGL'!$A$2:$B$197,2,FALSE)*60,"")</f>
        <v>58.175561889903847</v>
      </c>
      <c r="E790" s="66">
        <v>245.9</v>
      </c>
      <c r="F790" s="64">
        <f t="shared" si="12"/>
        <v>-55.637388939393944</v>
      </c>
      <c r="G790" s="60" t="s">
        <v>12</v>
      </c>
      <c r="H790" s="60" t="s">
        <v>5061</v>
      </c>
    </row>
    <row r="791" spans="1:8">
      <c r="A791" s="59" t="s">
        <v>2424</v>
      </c>
      <c r="B791" s="62">
        <v>14</v>
      </c>
      <c r="C791" s="60" t="s">
        <v>5062</v>
      </c>
      <c r="D791" s="64">
        <f>IFERROR(VLOOKUP(C791,測定点マスタ!$E$2:$F$28,2,FALSE)/VLOOKUP(A791,'焼鈍条件-3CGL'!$A$2:$B$197,2,FALSE)*60,"")</f>
        <v>63.424484767188403</v>
      </c>
      <c r="E791" s="66">
        <v>456.4</v>
      </c>
      <c r="F791" s="64">
        <f t="shared" si="12"/>
        <v>40.103465972222224</v>
      </c>
      <c r="G791" s="60" t="s">
        <v>12</v>
      </c>
      <c r="H791" s="60" t="s">
        <v>5061</v>
      </c>
    </row>
    <row r="792" spans="1:8">
      <c r="A792" s="59" t="s">
        <v>2424</v>
      </c>
      <c r="B792" s="62">
        <v>15</v>
      </c>
      <c r="C792" s="60" t="s">
        <v>5057</v>
      </c>
      <c r="D792" s="64">
        <f>IFERROR(VLOOKUP(C792,測定点マスタ!$E$2:$F$28,2,FALSE)/VLOOKUP(A792,'焼鈍条件-3CGL'!$A$2:$B$197,2,FALSE)*60,"")</f>
        <v>72.125824179829706</v>
      </c>
      <c r="E792" s="66">
        <v>174.8</v>
      </c>
      <c r="F792" s="64">
        <f t="shared" si="12"/>
        <v>-32.362833656493343</v>
      </c>
      <c r="G792" s="60" t="s">
        <v>12</v>
      </c>
      <c r="H792" s="60" t="s">
        <v>5061</v>
      </c>
    </row>
    <row r="793" spans="1:8">
      <c r="A793" s="59" t="s">
        <v>2424</v>
      </c>
      <c r="B793" s="62">
        <v>16</v>
      </c>
      <c r="C793" s="60" t="s">
        <v>5059</v>
      </c>
      <c r="D793" s="64">
        <f>IFERROR(VLOOKUP(C793,測定点マスタ!$E$2:$F$28,2,FALSE)/VLOOKUP(A793,'焼鈍条件-3CGL'!$A$2:$B$197,2,FALSE)*60,"")</f>
        <v>77.405990645669718</v>
      </c>
      <c r="E793" s="66">
        <v>59.7</v>
      </c>
      <c r="F793" s="64">
        <f t="shared" si="12"/>
        <v>-21.798555167652083</v>
      </c>
      <c r="G793" s="60" t="s">
        <v>12</v>
      </c>
      <c r="H793" s="60" t="s">
        <v>5061</v>
      </c>
    </row>
    <row r="794" spans="1:8">
      <c r="A794" s="59" t="s">
        <v>2444</v>
      </c>
      <c r="B794" s="62">
        <v>1</v>
      </c>
      <c r="C794" s="60" t="s">
        <v>5041</v>
      </c>
      <c r="D794" s="64">
        <f>IFERROR(VLOOKUP(C794,測定点マスタ!$E$2:$F$28,2,FALSE)/VLOOKUP(A794,'焼鈍条件-3CGL'!$A$2:$B$197,2,FALSE)*60,"")</f>
        <v>0</v>
      </c>
      <c r="E794" s="66">
        <v>28.1</v>
      </c>
      <c r="F794" s="64" t="str">
        <f t="shared" si="12"/>
        <v/>
      </c>
      <c r="G794" s="60" t="s">
        <v>9</v>
      </c>
      <c r="H794" s="60" t="s">
        <v>5061</v>
      </c>
    </row>
    <row r="795" spans="1:8">
      <c r="A795" s="59" t="s">
        <v>2444</v>
      </c>
      <c r="B795" s="62">
        <v>2</v>
      </c>
      <c r="C795" s="60" t="s">
        <v>5043</v>
      </c>
      <c r="D795" s="64">
        <f>IFERROR(VLOOKUP(C795,測定点マスタ!$E$2:$F$28,2,FALSE)/VLOOKUP(A795,'焼鈍条件-3CGL'!$A$2:$B$197,2,FALSE)*60,"")</f>
        <v>5.9536409822184586</v>
      </c>
      <c r="E795" s="66">
        <v>180.4</v>
      </c>
      <c r="F795" s="64">
        <f t="shared" si="12"/>
        <v>25.580984888888892</v>
      </c>
      <c r="G795" s="60" t="s">
        <v>9</v>
      </c>
      <c r="H795" s="60" t="s">
        <v>5061</v>
      </c>
    </row>
    <row r="796" spans="1:8">
      <c r="A796" s="59" t="s">
        <v>2444</v>
      </c>
      <c r="B796" s="62">
        <v>3</v>
      </c>
      <c r="C796" s="60" t="s">
        <v>5067</v>
      </c>
      <c r="D796" s="64">
        <f>IFERROR(VLOOKUP(C796,測定点マスタ!$E$2:$F$28,2,FALSE)/VLOOKUP(A796,'焼鈍条件-3CGL'!$A$2:$B$197,2,FALSE)*60,"")</f>
        <v>9.9227349703640968</v>
      </c>
      <c r="E796" s="66">
        <v>352.5</v>
      </c>
      <c r="F796" s="64">
        <f t="shared" si="12"/>
        <v>43.360021333333343</v>
      </c>
      <c r="G796" s="60" t="s">
        <v>9</v>
      </c>
      <c r="H796" s="60" t="s">
        <v>5061</v>
      </c>
    </row>
    <row r="797" spans="1:8">
      <c r="A797" s="59" t="s">
        <v>2444</v>
      </c>
      <c r="B797" s="62">
        <v>4</v>
      </c>
      <c r="C797" s="60" t="s">
        <v>5044</v>
      </c>
      <c r="D797" s="64">
        <f>IFERROR(VLOOKUP(C797,測定点マスタ!$E$2:$F$28,2,FALSE)/VLOOKUP(A797,'焼鈍条件-3CGL'!$A$2:$B$197,2,FALSE)*60,"")</f>
        <v>13.494919559695173</v>
      </c>
      <c r="E797" s="66">
        <v>618.20000000000005</v>
      </c>
      <c r="F797" s="64">
        <f t="shared" si="12"/>
        <v>74.380254814814805</v>
      </c>
      <c r="G797" s="60" t="s">
        <v>9</v>
      </c>
      <c r="H797" s="60" t="s">
        <v>5061</v>
      </c>
    </row>
    <row r="798" spans="1:8">
      <c r="A798" s="59" t="s">
        <v>2444</v>
      </c>
      <c r="B798" s="62">
        <v>5</v>
      </c>
      <c r="C798" s="60" t="s">
        <v>5045</v>
      </c>
      <c r="D798" s="64">
        <f>IFERROR(VLOOKUP(C798,測定点マスタ!$E$2:$F$28,2,FALSE)/VLOOKUP(A798,'焼鈍条件-3CGL'!$A$2:$B$197,2,FALSE)*60,"")</f>
        <v>17.464013547840811</v>
      </c>
      <c r="E798" s="66">
        <v>764.7</v>
      </c>
      <c r="F798" s="64">
        <f t="shared" si="12"/>
        <v>36.910186666666682</v>
      </c>
      <c r="G798" s="60" t="s">
        <v>9</v>
      </c>
      <c r="H798" s="60" t="s">
        <v>5061</v>
      </c>
    </row>
    <row r="799" spans="1:8">
      <c r="A799" s="59" t="s">
        <v>2444</v>
      </c>
      <c r="B799" s="62">
        <v>6</v>
      </c>
      <c r="C799" s="60" t="s">
        <v>5047</v>
      </c>
      <c r="D799" s="64">
        <f>IFERROR(VLOOKUP(C799,測定点マスタ!$E$2:$F$28,2,FALSE)/VLOOKUP(A799,'焼鈍条件-3CGL'!$A$2:$B$197,2,FALSE)*60,"")</f>
        <v>23.814563928873834</v>
      </c>
      <c r="E799" s="66">
        <v>695</v>
      </c>
      <c r="F799" s="64">
        <f t="shared" si="12"/>
        <v>-10.975426666666673</v>
      </c>
      <c r="G799" s="60" t="s">
        <v>9</v>
      </c>
      <c r="H799" s="60" t="s">
        <v>5061</v>
      </c>
    </row>
    <row r="800" spans="1:8">
      <c r="A800" s="59" t="s">
        <v>2444</v>
      </c>
      <c r="B800" s="62">
        <v>7</v>
      </c>
      <c r="C800" s="60" t="s">
        <v>5049</v>
      </c>
      <c r="D800" s="64">
        <f>IFERROR(VLOOKUP(C800,測定点マスタ!$E$2:$F$28,2,FALSE)/VLOOKUP(A800,'焼鈍条件-3CGL'!$A$2:$B$197,2,FALSE)*60,"")</f>
        <v>28.974386113463165</v>
      </c>
      <c r="E800" s="66">
        <v>553.9</v>
      </c>
      <c r="F800" s="64">
        <f t="shared" si="12"/>
        <v>-27.345903589743596</v>
      </c>
      <c r="G800" s="60" t="s">
        <v>9</v>
      </c>
      <c r="H800" s="60" t="s">
        <v>5061</v>
      </c>
    </row>
    <row r="801" spans="1:8">
      <c r="A801" s="59" t="s">
        <v>2444</v>
      </c>
      <c r="B801" s="62">
        <v>8</v>
      </c>
      <c r="C801" s="60" t="s">
        <v>5050</v>
      </c>
      <c r="D801" s="64">
        <f>IFERROR(VLOOKUP(C801,測定点マスタ!$E$2:$F$28,2,FALSE)/VLOOKUP(A801,'焼鈍条件-3CGL'!$A$2:$B$197,2,FALSE)*60,"")</f>
        <v>32.149661303979677</v>
      </c>
      <c r="E801" s="66">
        <v>455.5</v>
      </c>
      <c r="F801" s="64">
        <f t="shared" si="12"/>
        <v>-30.989439999999988</v>
      </c>
      <c r="G801" s="60" t="s">
        <v>9</v>
      </c>
      <c r="H801" s="60" t="s">
        <v>5061</v>
      </c>
    </row>
    <row r="802" spans="1:8">
      <c r="A802" s="59" t="s">
        <v>2444</v>
      </c>
      <c r="B802" s="62">
        <v>9</v>
      </c>
      <c r="C802" s="60" t="s">
        <v>5051</v>
      </c>
      <c r="D802" s="64">
        <f>IFERROR(VLOOKUP(C802,測定点マスタ!$E$2:$F$28,2,FALSE)/VLOOKUP(A802,'焼鈍条件-3CGL'!$A$2:$B$197,2,FALSE)*60,"")</f>
        <v>34.928027095681621</v>
      </c>
      <c r="E802" s="66">
        <v>441.5</v>
      </c>
      <c r="F802" s="64">
        <f t="shared" si="12"/>
        <v>-5.0389333333333397</v>
      </c>
      <c r="G802" s="60" t="s">
        <v>9</v>
      </c>
      <c r="H802" s="60" t="s">
        <v>5061</v>
      </c>
    </row>
    <row r="803" spans="1:8">
      <c r="A803" s="59" t="s">
        <v>2444</v>
      </c>
      <c r="B803" s="62">
        <v>10</v>
      </c>
      <c r="C803" s="60" t="s">
        <v>5060</v>
      </c>
      <c r="D803" s="64">
        <f>IFERROR(VLOOKUP(C803,測定点マスタ!$E$2:$F$28,2,FALSE)/VLOOKUP(A803,'焼鈍条件-3CGL'!$A$2:$B$197,2,FALSE)*60,"")</f>
        <v>36.515664690939879</v>
      </c>
      <c r="E803" s="66">
        <v>400.5</v>
      </c>
      <c r="F803" s="64">
        <f t="shared" si="12"/>
        <v>-25.824533333333299</v>
      </c>
      <c r="G803" s="60" t="s">
        <v>9</v>
      </c>
      <c r="H803" s="60" t="s">
        <v>5061</v>
      </c>
    </row>
    <row r="804" spans="1:8">
      <c r="A804" s="59" t="s">
        <v>2444</v>
      </c>
      <c r="B804" s="62">
        <v>11</v>
      </c>
      <c r="C804" s="60" t="s">
        <v>5052</v>
      </c>
      <c r="D804" s="64">
        <f>IFERROR(VLOOKUP(C804,測定点マスタ!$E$2:$F$28,2,FALSE)/VLOOKUP(A804,'焼鈍条件-3CGL'!$A$2:$B$197,2,FALSE)*60,"")</f>
        <v>38.500211685012701</v>
      </c>
      <c r="E804" s="66">
        <v>320.7</v>
      </c>
      <c r="F804" s="64">
        <f t="shared" si="12"/>
        <v>-40.210687999999955</v>
      </c>
      <c r="G804" s="60" t="s">
        <v>9</v>
      </c>
      <c r="H804" s="60" t="s">
        <v>5061</v>
      </c>
    </row>
    <row r="805" spans="1:8">
      <c r="A805" s="59" t="s">
        <v>2444</v>
      </c>
      <c r="B805" s="62">
        <v>12</v>
      </c>
      <c r="C805" s="60" t="s">
        <v>5053</v>
      </c>
      <c r="D805" s="64">
        <f>IFERROR(VLOOKUP(C805,測定点マスタ!$E$2:$F$28,2,FALSE)/VLOOKUP(A805,'焼鈍条件-3CGL'!$A$2:$B$197,2,FALSE)*60,"")</f>
        <v>43.263124470787467</v>
      </c>
      <c r="E805" s="66">
        <v>507.1</v>
      </c>
      <c r="F805" s="64">
        <f t="shared" si="12"/>
        <v>39.135715555555571</v>
      </c>
      <c r="G805" s="60" t="s">
        <v>9</v>
      </c>
      <c r="H805" s="60" t="s">
        <v>5061</v>
      </c>
    </row>
    <row r="806" spans="1:8">
      <c r="A806" s="59" t="s">
        <v>2444</v>
      </c>
      <c r="B806" s="62">
        <v>13</v>
      </c>
      <c r="C806" s="60" t="s">
        <v>5054</v>
      </c>
      <c r="D806" s="64">
        <f>IFERROR(VLOOKUP(C806,測定点マスタ!$E$2:$F$28,2,FALSE)/VLOOKUP(A806,'焼鈍条件-3CGL'!$A$2:$B$197,2,FALSE)*60,"")</f>
        <v>48.422946655376798</v>
      </c>
      <c r="E806" s="66">
        <v>504.4</v>
      </c>
      <c r="F806" s="64">
        <f t="shared" si="12"/>
        <v>-0.52327384615385497</v>
      </c>
      <c r="G806" s="60" t="s">
        <v>9</v>
      </c>
      <c r="H806" s="60" t="s">
        <v>5061</v>
      </c>
    </row>
    <row r="807" spans="1:8">
      <c r="A807" s="59" t="s">
        <v>2444</v>
      </c>
      <c r="B807" s="62">
        <v>14</v>
      </c>
      <c r="C807" s="60" t="s">
        <v>5056</v>
      </c>
      <c r="D807" s="64">
        <f>IFERROR(VLOOKUP(C807,測定点マスタ!$E$2:$F$28,2,FALSE)/VLOOKUP(A807,'焼鈍条件-3CGL'!$A$2:$B$197,2,FALSE)*60,"")</f>
        <v>52.788950042337</v>
      </c>
      <c r="E807" s="66">
        <v>254.4</v>
      </c>
      <c r="F807" s="64">
        <f t="shared" si="12"/>
        <v>-57.260606060606072</v>
      </c>
      <c r="G807" s="60" t="s">
        <v>9</v>
      </c>
      <c r="H807" s="60" t="s">
        <v>5061</v>
      </c>
    </row>
    <row r="808" spans="1:8">
      <c r="A808" s="59" t="s">
        <v>2444</v>
      </c>
      <c r="B808" s="62">
        <v>15</v>
      </c>
      <c r="C808" s="60" t="s">
        <v>5062</v>
      </c>
      <c r="D808" s="64">
        <f>IFERROR(VLOOKUP(C808,測定点マスタ!$E$2:$F$28,2,FALSE)/VLOOKUP(A808,'焼鈍条件-3CGL'!$A$2:$B$197,2,FALSE)*60,"")</f>
        <v>57.551862828111766</v>
      </c>
      <c r="E808" s="66">
        <v>464.9</v>
      </c>
      <c r="F808" s="64">
        <f t="shared" si="12"/>
        <v>44.195644444444447</v>
      </c>
      <c r="G808" s="60" t="s">
        <v>9</v>
      </c>
      <c r="H808" s="60" t="s">
        <v>5061</v>
      </c>
    </row>
    <row r="809" spans="1:8">
      <c r="A809" s="59" t="s">
        <v>2444</v>
      </c>
      <c r="B809" s="62">
        <v>16</v>
      </c>
      <c r="C809" s="60" t="s">
        <v>5068</v>
      </c>
      <c r="D809" s="64">
        <f>IFERROR(VLOOKUP(C809,測定点マスタ!$E$2:$F$28,2,FALSE)/VLOOKUP(A809,'焼鈍条件-3CGL'!$A$2:$B$197,2,FALSE)*60,"")</f>
        <v>63.051893068827923</v>
      </c>
      <c r="E809" s="66">
        <v>419.2</v>
      </c>
      <c r="F809" s="64">
        <f t="shared" si="12"/>
        <v>-8.30904522336761</v>
      </c>
      <c r="G809" s="60" t="s">
        <v>9</v>
      </c>
      <c r="H809" s="60" t="s">
        <v>5061</v>
      </c>
    </row>
    <row r="810" spans="1:8">
      <c r="A810" s="59" t="s">
        <v>2444</v>
      </c>
      <c r="B810" s="62">
        <v>17</v>
      </c>
      <c r="C810" s="60" t="s">
        <v>5057</v>
      </c>
      <c r="D810" s="64">
        <f>IFERROR(VLOOKUP(C810,測定点マスタ!$E$2:$F$28,2,FALSE)/VLOOKUP(A810,'焼鈍条件-3CGL'!$A$2:$B$197,2,FALSE)*60,"")</f>
        <v>65.447524797387146</v>
      </c>
      <c r="E810" s="66">
        <v>228.8</v>
      </c>
      <c r="F810" s="64">
        <f t="shared" si="12"/>
        <v>-79.477992268248173</v>
      </c>
      <c r="G810" s="60" t="s">
        <v>9</v>
      </c>
      <c r="H810" s="60" t="s">
        <v>5061</v>
      </c>
    </row>
    <row r="811" spans="1:8">
      <c r="A811" s="59" t="s">
        <v>2444</v>
      </c>
      <c r="B811" s="62">
        <v>18</v>
      </c>
      <c r="C811" s="60" t="s">
        <v>5059</v>
      </c>
      <c r="D811" s="64">
        <f>IFERROR(VLOOKUP(C811,測定点マスタ!$E$2:$F$28,2,FALSE)/VLOOKUP(A811,'焼鈍条件-3CGL'!$A$2:$B$197,2,FALSE)*60,"")</f>
        <v>70.238788254505977</v>
      </c>
      <c r="E811" s="66">
        <v>46.5</v>
      </c>
      <c r="F811" s="64">
        <f t="shared" si="12"/>
        <v>-38.048419092700854</v>
      </c>
      <c r="G811" s="60" t="s">
        <v>9</v>
      </c>
      <c r="H811" s="60" t="s">
        <v>5061</v>
      </c>
    </row>
    <row r="812" spans="1:8">
      <c r="A812" s="59" t="s">
        <v>2455</v>
      </c>
      <c r="B812" s="62">
        <v>1</v>
      </c>
      <c r="C812" s="60" t="s">
        <v>5041</v>
      </c>
      <c r="D812" s="64">
        <f>IFERROR(VLOOKUP(C812,測定点マスタ!$E$2:$F$28,2,FALSE)/VLOOKUP(A812,'焼鈍条件-3CGL'!$A$2:$B$197,2,FALSE)*60,"")</f>
        <v>0</v>
      </c>
      <c r="E812" s="66">
        <v>39.799999999999997</v>
      </c>
      <c r="F812" s="64" t="str">
        <f t="shared" si="12"/>
        <v/>
      </c>
      <c r="G812" s="60" t="s">
        <v>12</v>
      </c>
      <c r="H812" s="60" t="s">
        <v>5064</v>
      </c>
    </row>
    <row r="813" spans="1:8">
      <c r="A813" s="59" t="s">
        <v>2455</v>
      </c>
      <c r="B813" s="62">
        <v>2</v>
      </c>
      <c r="C813" s="60" t="s">
        <v>5043</v>
      </c>
      <c r="D813" s="64">
        <f>IFERROR(VLOOKUP(C813,測定点マスタ!$E$2:$F$28,2,FALSE)/VLOOKUP(A813,'焼鈍条件-3CGL'!$A$2:$B$197,2,FALSE)*60,"")</f>
        <v>6.9623337742811389</v>
      </c>
      <c r="E813" s="66">
        <v>155.1</v>
      </c>
      <c r="F813" s="64">
        <f t="shared" si="12"/>
        <v>16.560538999999999</v>
      </c>
      <c r="G813" s="60" t="s">
        <v>12</v>
      </c>
      <c r="H813" s="60" t="s">
        <v>5064</v>
      </c>
    </row>
    <row r="814" spans="1:8">
      <c r="A814" s="59" t="s">
        <v>2455</v>
      </c>
      <c r="B814" s="62">
        <v>3</v>
      </c>
      <c r="C814" s="60" t="s">
        <v>5044</v>
      </c>
      <c r="D814" s="64">
        <f>IFERROR(VLOOKUP(C814,測定点マスタ!$E$2:$F$28,2,FALSE)/VLOOKUP(A814,'焼鈍条件-3CGL'!$A$2:$B$197,2,FALSE)*60,"")</f>
        <v>15.781289888370582</v>
      </c>
      <c r="E814" s="66">
        <v>610.20000000000005</v>
      </c>
      <c r="F814" s="64">
        <f t="shared" si="12"/>
        <v>51.604747105263165</v>
      </c>
      <c r="G814" s="60" t="s">
        <v>12</v>
      </c>
      <c r="H814" s="60" t="s">
        <v>5064</v>
      </c>
    </row>
    <row r="815" spans="1:8">
      <c r="A815" s="59" t="s">
        <v>2455</v>
      </c>
      <c r="B815" s="62">
        <v>4</v>
      </c>
      <c r="C815" s="60" t="s">
        <v>5045</v>
      </c>
      <c r="D815" s="64">
        <f>IFERROR(VLOOKUP(C815,測定点マスタ!$E$2:$F$28,2,FALSE)/VLOOKUP(A815,'焼鈍条件-3CGL'!$A$2:$B$197,2,FALSE)*60,"")</f>
        <v>20.422845737891343</v>
      </c>
      <c r="E815" s="66">
        <v>741.6</v>
      </c>
      <c r="F815" s="64">
        <f t="shared" si="12"/>
        <v>28.309472999999983</v>
      </c>
      <c r="G815" s="60" t="s">
        <v>12</v>
      </c>
      <c r="H815" s="60" t="s">
        <v>5064</v>
      </c>
    </row>
    <row r="816" spans="1:8">
      <c r="A816" s="59" t="s">
        <v>2455</v>
      </c>
      <c r="B816" s="62">
        <v>5</v>
      </c>
      <c r="C816" s="60" t="s">
        <v>5047</v>
      </c>
      <c r="D816" s="64">
        <f>IFERROR(VLOOKUP(C816,測定点マスタ!$E$2:$F$28,2,FALSE)/VLOOKUP(A816,'焼鈍条件-3CGL'!$A$2:$B$197,2,FALSE)*60,"")</f>
        <v>27.849335097124555</v>
      </c>
      <c r="E816" s="66">
        <v>656</v>
      </c>
      <c r="F816" s="64">
        <f t="shared" si="12"/>
        <v>-11.526307500000007</v>
      </c>
      <c r="G816" s="60" t="s">
        <v>12</v>
      </c>
      <c r="H816" s="60" t="s">
        <v>5064</v>
      </c>
    </row>
    <row r="817" spans="1:8">
      <c r="A817" s="59" t="s">
        <v>2455</v>
      </c>
      <c r="B817" s="62">
        <v>6</v>
      </c>
      <c r="C817" s="60" t="s">
        <v>5049</v>
      </c>
      <c r="D817" s="64">
        <f>IFERROR(VLOOKUP(C817,測定点マスタ!$E$2:$F$28,2,FALSE)/VLOOKUP(A817,'焼鈍条件-3CGL'!$A$2:$B$197,2,FALSE)*60,"")</f>
        <v>33.883357701501545</v>
      </c>
      <c r="E817" s="66">
        <v>554.79999999999995</v>
      </c>
      <c r="F817" s="64">
        <f t="shared" si="12"/>
        <v>-16.771564615384616</v>
      </c>
      <c r="G817" s="60" t="s">
        <v>12</v>
      </c>
      <c r="H817" s="60" t="s">
        <v>5064</v>
      </c>
    </row>
    <row r="818" spans="1:8">
      <c r="A818" s="59" t="s">
        <v>2455</v>
      </c>
      <c r="B818" s="62">
        <v>7</v>
      </c>
      <c r="C818" s="60" t="s">
        <v>5050</v>
      </c>
      <c r="D818" s="64">
        <f>IFERROR(VLOOKUP(C818,測定点マスタ!$E$2:$F$28,2,FALSE)/VLOOKUP(A818,'焼鈍条件-3CGL'!$A$2:$B$197,2,FALSE)*60,"")</f>
        <v>37.596602381118146</v>
      </c>
      <c r="E818" s="66">
        <v>461.3</v>
      </c>
      <c r="F818" s="64">
        <f t="shared" si="12"/>
        <v>-25.18013437500003</v>
      </c>
      <c r="G818" s="60" t="s">
        <v>12</v>
      </c>
      <c r="H818" s="60" t="s">
        <v>5064</v>
      </c>
    </row>
    <row r="819" spans="1:8">
      <c r="A819" s="59" t="s">
        <v>2455</v>
      </c>
      <c r="B819" s="62">
        <v>8</v>
      </c>
      <c r="C819" s="60" t="s">
        <v>5051</v>
      </c>
      <c r="D819" s="64">
        <f>IFERROR(VLOOKUP(C819,測定点マスタ!$E$2:$F$28,2,FALSE)/VLOOKUP(A819,'焼鈍条件-3CGL'!$A$2:$B$197,2,FALSE)*60,"")</f>
        <v>40.845691475782687</v>
      </c>
      <c r="E819" s="66">
        <v>413.9</v>
      </c>
      <c r="F819" s="64">
        <f t="shared" si="12"/>
        <v>-14.588704285714256</v>
      </c>
      <c r="G819" s="60" t="s">
        <v>12</v>
      </c>
      <c r="H819" s="60" t="s">
        <v>5064</v>
      </c>
    </row>
    <row r="820" spans="1:8">
      <c r="A820" s="59" t="s">
        <v>2455</v>
      </c>
      <c r="B820" s="62">
        <v>9</v>
      </c>
      <c r="C820" s="60" t="s">
        <v>5060</v>
      </c>
      <c r="D820" s="64">
        <f>IFERROR(VLOOKUP(C820,測定点マスタ!$E$2:$F$28,2,FALSE)/VLOOKUP(A820,'焼鈍条件-3CGL'!$A$2:$B$197,2,FALSE)*60,"")</f>
        <v>42.702313815590983</v>
      </c>
      <c r="E820" s="66">
        <v>385.2</v>
      </c>
      <c r="F820" s="64">
        <f t="shared" si="12"/>
        <v>-15.458178750000052</v>
      </c>
      <c r="G820" s="60" t="s">
        <v>12</v>
      </c>
      <c r="H820" s="60" t="s">
        <v>5064</v>
      </c>
    </row>
    <row r="821" spans="1:8">
      <c r="A821" s="59" t="s">
        <v>2455</v>
      </c>
      <c r="B821" s="62">
        <v>10</v>
      </c>
      <c r="C821" s="60" t="s">
        <v>5052</v>
      </c>
      <c r="D821" s="64">
        <f>IFERROR(VLOOKUP(C821,測定点マスタ!$E$2:$F$28,2,FALSE)/VLOOKUP(A821,'焼鈍条件-3CGL'!$A$2:$B$197,2,FALSE)*60,"")</f>
        <v>45.023091740351369</v>
      </c>
      <c r="E821" s="66">
        <v>331.2</v>
      </c>
      <c r="F821" s="64">
        <f t="shared" si="12"/>
        <v>-23.268059999999945</v>
      </c>
      <c r="G821" s="60" t="s">
        <v>12</v>
      </c>
      <c r="H821" s="60" t="s">
        <v>5064</v>
      </c>
    </row>
    <row r="822" spans="1:8">
      <c r="A822" s="59" t="s">
        <v>2455</v>
      </c>
      <c r="B822" s="62">
        <v>11</v>
      </c>
      <c r="C822" s="60" t="s">
        <v>5053</v>
      </c>
      <c r="D822" s="64">
        <f>IFERROR(VLOOKUP(C822,測定点マスタ!$E$2:$F$28,2,FALSE)/VLOOKUP(A822,'焼鈍条件-3CGL'!$A$2:$B$197,2,FALSE)*60,"")</f>
        <v>50.59295875977628</v>
      </c>
      <c r="E822" s="66">
        <v>498.8</v>
      </c>
      <c r="F822" s="64">
        <f t="shared" si="12"/>
        <v>30.090485000000001</v>
      </c>
      <c r="G822" s="60" t="s">
        <v>12</v>
      </c>
      <c r="H822" s="60" t="s">
        <v>5064</v>
      </c>
    </row>
    <row r="823" spans="1:8">
      <c r="A823" s="59" t="s">
        <v>2455</v>
      </c>
      <c r="B823" s="62">
        <v>12</v>
      </c>
      <c r="C823" s="60" t="s">
        <v>5054</v>
      </c>
      <c r="D823" s="64">
        <f>IFERROR(VLOOKUP(C823,測定点マスタ!$E$2:$F$28,2,FALSE)/VLOOKUP(A823,'焼鈍条件-3CGL'!$A$2:$B$197,2,FALSE)*60,"")</f>
        <v>56.626981364153266</v>
      </c>
      <c r="E823" s="66">
        <v>486.8</v>
      </c>
      <c r="F823" s="64">
        <f t="shared" si="12"/>
        <v>-1.9887230769230773</v>
      </c>
      <c r="G823" s="60" t="s">
        <v>12</v>
      </c>
      <c r="H823" s="60" t="s">
        <v>5064</v>
      </c>
    </row>
    <row r="824" spans="1:8">
      <c r="A824" s="59" t="s">
        <v>2455</v>
      </c>
      <c r="B824" s="62">
        <v>13</v>
      </c>
      <c r="C824" s="60" t="s">
        <v>5056</v>
      </c>
      <c r="D824" s="64">
        <f>IFERROR(VLOOKUP(C824,測定点マスタ!$E$2:$F$28,2,FALSE)/VLOOKUP(A824,'焼鈍条件-3CGL'!$A$2:$B$197,2,FALSE)*60,"")</f>
        <v>61.732692798626104</v>
      </c>
      <c r="E824" s="66">
        <v>231.4</v>
      </c>
      <c r="F824" s="64">
        <f t="shared" si="12"/>
        <v>-50.022411818181794</v>
      </c>
      <c r="G824" s="60" t="s">
        <v>12</v>
      </c>
      <c r="H824" s="60" t="s">
        <v>5064</v>
      </c>
    </row>
    <row r="825" spans="1:8">
      <c r="A825" s="59" t="s">
        <v>2455</v>
      </c>
      <c r="B825" s="62">
        <v>14</v>
      </c>
      <c r="C825" s="60" t="s">
        <v>5062</v>
      </c>
      <c r="D825" s="64">
        <f>IFERROR(VLOOKUP(C825,測定点マスタ!$E$2:$F$28,2,FALSE)/VLOOKUP(A825,'焼鈍条件-3CGL'!$A$2:$B$197,2,FALSE)*60,"")</f>
        <v>67.302559818051023</v>
      </c>
      <c r="E825" s="66">
        <v>461.9</v>
      </c>
      <c r="F825" s="64">
        <f t="shared" si="12"/>
        <v>41.383393749999939</v>
      </c>
      <c r="G825" s="60" t="s">
        <v>12</v>
      </c>
      <c r="H825" s="60" t="s">
        <v>5064</v>
      </c>
    </row>
    <row r="826" spans="1:8">
      <c r="A826" s="59" t="s">
        <v>2455</v>
      </c>
      <c r="B826" s="62">
        <v>15</v>
      </c>
      <c r="C826" s="60" t="s">
        <v>5065</v>
      </c>
      <c r="D826" s="64">
        <f>IFERROR(VLOOKUP(C826,測定点マスタ!$E$2:$F$28,2,FALSE)/VLOOKUP(A826,'焼鈍条件-3CGL'!$A$2:$B$197,2,FALSE)*60,"")</f>
        <v>68.131409076893874</v>
      </c>
      <c r="E826" s="66">
        <v>549.79999999999995</v>
      </c>
      <c r="F826" s="64">
        <f t="shared" si="12"/>
        <v>106.0506468000181</v>
      </c>
      <c r="G826" s="60" t="s">
        <v>12</v>
      </c>
      <c r="H826" s="60" t="s">
        <v>5064</v>
      </c>
    </row>
    <row r="827" spans="1:8">
      <c r="A827" s="59" t="s">
        <v>2455</v>
      </c>
      <c r="B827" s="62">
        <v>16</v>
      </c>
      <c r="C827" s="60" t="s">
        <v>5066</v>
      </c>
      <c r="D827" s="64">
        <f>IFERROR(VLOOKUP(C827,測定点マスタ!$E$2:$F$28,2,FALSE)/VLOOKUP(A827,'焼鈍条件-3CGL'!$A$2:$B$197,2,FALSE)*60,"")</f>
        <v>70.932919571783529</v>
      </c>
      <c r="E827" s="66">
        <v>536.1</v>
      </c>
      <c r="F827" s="64">
        <f t="shared" si="12"/>
        <v>-4.890219053253821</v>
      </c>
      <c r="G827" s="60" t="s">
        <v>12</v>
      </c>
      <c r="H827" s="60" t="s">
        <v>5064</v>
      </c>
    </row>
    <row r="828" spans="1:8">
      <c r="A828" s="59" t="s">
        <v>2455</v>
      </c>
      <c r="B828" s="62">
        <v>17</v>
      </c>
      <c r="C828" s="60" t="s">
        <v>5057</v>
      </c>
      <c r="D828" s="64">
        <f>IFERROR(VLOOKUP(C828,測定点マスタ!$E$2:$F$28,2,FALSE)/VLOOKUP(A828,'焼鈍条件-3CGL'!$A$2:$B$197,2,FALSE)*60,"")</f>
        <v>76.535940561561887</v>
      </c>
      <c r="E828" s="66">
        <v>223.5</v>
      </c>
      <c r="F828" s="64">
        <f t="shared" si="12"/>
        <v>-55.791331242606276</v>
      </c>
      <c r="G828" s="60" t="s">
        <v>12</v>
      </c>
      <c r="H828" s="60" t="s">
        <v>5064</v>
      </c>
    </row>
    <row r="829" spans="1:8">
      <c r="A829" s="59" t="s">
        <v>2455</v>
      </c>
      <c r="B829" s="62">
        <v>18</v>
      </c>
      <c r="C829" s="60" t="s">
        <v>5059</v>
      </c>
      <c r="D829" s="64">
        <f>IFERROR(VLOOKUP(C829,測定点マスタ!$E$2:$F$28,2,FALSE)/VLOOKUP(A829,'焼鈍条件-3CGL'!$A$2:$B$197,2,FALSE)*60,"")</f>
        <v>82.138961551340728</v>
      </c>
      <c r="E829" s="66">
        <v>47.2</v>
      </c>
      <c r="F829" s="64">
        <f t="shared" si="12"/>
        <v>-31.46516857988048</v>
      </c>
      <c r="G829" s="60" t="s">
        <v>12</v>
      </c>
      <c r="H829" s="60" t="s">
        <v>5064</v>
      </c>
    </row>
    <row r="830" spans="1:8">
      <c r="A830" s="59" t="s">
        <v>2457</v>
      </c>
      <c r="B830" s="62">
        <v>1</v>
      </c>
      <c r="C830" s="60" t="s">
        <v>5041</v>
      </c>
      <c r="D830" s="64">
        <f>IFERROR(VLOOKUP(C830,測定点マスタ!$E$2:$F$28,2,FALSE)/VLOOKUP(A830,'焼鈍条件-3CGL'!$A$2:$B$197,2,FALSE)*60,"")</f>
        <v>0</v>
      </c>
      <c r="E830" s="66">
        <v>25.3</v>
      </c>
      <c r="F830" s="64" t="str">
        <f t="shared" si="12"/>
        <v/>
      </c>
      <c r="G830" s="60" t="s">
        <v>9</v>
      </c>
      <c r="H830" s="60" t="s">
        <v>5042</v>
      </c>
    </row>
    <row r="831" spans="1:8">
      <c r="A831" s="59" t="s">
        <v>2457</v>
      </c>
      <c r="B831" s="62">
        <v>2</v>
      </c>
      <c r="C831" s="60" t="s">
        <v>5043</v>
      </c>
      <c r="D831" s="64">
        <f>IFERROR(VLOOKUP(C831,測定点マスタ!$E$2:$F$28,2,FALSE)/VLOOKUP(A831,'焼鈍条件-3CGL'!$A$2:$B$197,2,FALSE)*60,"")</f>
        <v>7.9270709472849781</v>
      </c>
      <c r="E831" s="66">
        <v>160.4</v>
      </c>
      <c r="F831" s="64">
        <f t="shared" si="12"/>
        <v>17.042864999999999</v>
      </c>
      <c r="G831" s="60" t="s">
        <v>9</v>
      </c>
      <c r="H831" s="60" t="s">
        <v>5042</v>
      </c>
    </row>
    <row r="832" spans="1:8">
      <c r="A832" s="59" t="s">
        <v>2457</v>
      </c>
      <c r="B832" s="62">
        <v>3</v>
      </c>
      <c r="C832" s="60" t="s">
        <v>5044</v>
      </c>
      <c r="D832" s="64">
        <f>IFERROR(VLOOKUP(C832,測定点マスタ!$E$2:$F$28,2,FALSE)/VLOOKUP(A832,'焼鈍条件-3CGL'!$A$2:$B$197,2,FALSE)*60,"")</f>
        <v>17.968027480512617</v>
      </c>
      <c r="E832" s="66">
        <v>632.70000000000005</v>
      </c>
      <c r="F832" s="64">
        <f t="shared" si="12"/>
        <v>47.037351315789479</v>
      </c>
      <c r="G832" s="60" t="s">
        <v>9</v>
      </c>
      <c r="H832" s="60" t="s">
        <v>5042</v>
      </c>
    </row>
    <row r="833" spans="1:8">
      <c r="A833" s="59" t="s">
        <v>2457</v>
      </c>
      <c r="B833" s="62">
        <v>4</v>
      </c>
      <c r="C833" s="60" t="s">
        <v>5045</v>
      </c>
      <c r="D833" s="64">
        <f>IFERROR(VLOOKUP(C833,測定点マスタ!$E$2:$F$28,2,FALSE)/VLOOKUP(A833,'焼鈍条件-3CGL'!$A$2:$B$197,2,FALSE)*60,"")</f>
        <v>23.252741445369271</v>
      </c>
      <c r="E833" s="66">
        <v>776.5</v>
      </c>
      <c r="F833" s="64">
        <f t="shared" si="12"/>
        <v>27.210554999999985</v>
      </c>
      <c r="G833" s="60" t="s">
        <v>9</v>
      </c>
      <c r="H833" s="60" t="s">
        <v>5042</v>
      </c>
    </row>
    <row r="834" spans="1:8">
      <c r="A834" s="59" t="s">
        <v>2457</v>
      </c>
      <c r="B834" s="62">
        <v>5</v>
      </c>
      <c r="C834" s="60" t="s">
        <v>5047</v>
      </c>
      <c r="D834" s="64">
        <f>IFERROR(VLOOKUP(C834,測定点マスタ!$E$2:$F$28,2,FALSE)/VLOOKUP(A834,'焼鈍条件-3CGL'!$A$2:$B$197,2,FALSE)*60,"")</f>
        <v>31.708283789139912</v>
      </c>
      <c r="E834" s="66">
        <v>690.5</v>
      </c>
      <c r="F834" s="64">
        <f t="shared" ref="F834:F897" si="13">IF(A834=A833,IFERROR((E834-E833)/(D834-D833),""),"")</f>
        <v>-10.170843750000001</v>
      </c>
      <c r="G834" s="60" t="s">
        <v>9</v>
      </c>
      <c r="H834" s="60" t="s">
        <v>5042</v>
      </c>
    </row>
    <row r="835" spans="1:8">
      <c r="A835" s="59" t="s">
        <v>2457</v>
      </c>
      <c r="B835" s="62">
        <v>6</v>
      </c>
      <c r="C835" s="60" t="s">
        <v>5049</v>
      </c>
      <c r="D835" s="64">
        <f>IFERROR(VLOOKUP(C835,測定点マスタ!$E$2:$F$28,2,FALSE)/VLOOKUP(A835,'焼鈍条件-3CGL'!$A$2:$B$197,2,FALSE)*60,"")</f>
        <v>38.57841194345356</v>
      </c>
      <c r="E835" s="66">
        <v>582.9</v>
      </c>
      <c r="F835" s="64">
        <f t="shared" si="13"/>
        <v>-15.662007692307697</v>
      </c>
      <c r="G835" s="60" t="s">
        <v>9</v>
      </c>
      <c r="H835" s="60" t="s">
        <v>5042</v>
      </c>
    </row>
    <row r="836" spans="1:8">
      <c r="A836" s="59" t="s">
        <v>2457</v>
      </c>
      <c r="B836" s="62">
        <v>7</v>
      </c>
      <c r="C836" s="60" t="s">
        <v>5050</v>
      </c>
      <c r="D836" s="64">
        <f>IFERROR(VLOOKUP(C836,測定点マスタ!$E$2:$F$28,2,FALSE)/VLOOKUP(A836,'焼鈍条件-3CGL'!$A$2:$B$197,2,FALSE)*60,"")</f>
        <v>42.806183115338882</v>
      </c>
      <c r="E836" s="66">
        <v>470.1</v>
      </c>
      <c r="F836" s="64">
        <f t="shared" si="13"/>
        <v>-26.680724999999985</v>
      </c>
      <c r="G836" s="60" t="s">
        <v>9</v>
      </c>
      <c r="H836" s="60" t="s">
        <v>5042</v>
      </c>
    </row>
    <row r="837" spans="1:8">
      <c r="A837" s="59" t="s">
        <v>2457</v>
      </c>
      <c r="B837" s="62">
        <v>8</v>
      </c>
      <c r="C837" s="60" t="s">
        <v>5051</v>
      </c>
      <c r="D837" s="64">
        <f>IFERROR(VLOOKUP(C837,測定点マスタ!$E$2:$F$28,2,FALSE)/VLOOKUP(A837,'焼鈍条件-3CGL'!$A$2:$B$197,2,FALSE)*60,"")</f>
        <v>46.505482890738541</v>
      </c>
      <c r="E837" s="66">
        <v>435.2</v>
      </c>
      <c r="F837" s="64">
        <f t="shared" si="13"/>
        <v>-9.4342178571428601</v>
      </c>
      <c r="G837" s="60" t="s">
        <v>9</v>
      </c>
      <c r="H837" s="60" t="s">
        <v>5042</v>
      </c>
    </row>
    <row r="838" spans="1:8">
      <c r="A838" s="59" t="s">
        <v>2457</v>
      </c>
      <c r="B838" s="62">
        <v>9</v>
      </c>
      <c r="C838" s="60" t="s">
        <v>5052</v>
      </c>
      <c r="D838" s="64">
        <f>IFERROR(VLOOKUP(C838,測定点マスタ!$E$2:$F$28,2,FALSE)/VLOOKUP(A838,'焼鈍条件-3CGL'!$A$2:$B$197,2,FALSE)*60,"")</f>
        <v>51.261725459109527</v>
      </c>
      <c r="E838" s="66">
        <v>321</v>
      </c>
      <c r="F838" s="64">
        <f t="shared" si="13"/>
        <v>-24.010550000000002</v>
      </c>
      <c r="G838" s="60" t="s">
        <v>9</v>
      </c>
      <c r="H838" s="60" t="s">
        <v>5042</v>
      </c>
    </row>
    <row r="839" spans="1:8">
      <c r="A839" s="59" t="s">
        <v>2457</v>
      </c>
      <c r="B839" s="62">
        <v>10</v>
      </c>
      <c r="C839" s="60" t="s">
        <v>5053</v>
      </c>
      <c r="D839" s="64">
        <f>IFERROR(VLOOKUP(C839,測定点マスタ!$E$2:$F$28,2,FALSE)/VLOOKUP(A839,'焼鈍条件-3CGL'!$A$2:$B$197,2,FALSE)*60,"")</f>
        <v>57.603382216937511</v>
      </c>
      <c r="E839" s="66">
        <v>504.7</v>
      </c>
      <c r="F839" s="64">
        <f t="shared" si="13"/>
        <v>28.967193749999993</v>
      </c>
      <c r="G839" s="60" t="s">
        <v>9</v>
      </c>
      <c r="H839" s="60" t="s">
        <v>5042</v>
      </c>
    </row>
    <row r="840" spans="1:8">
      <c r="A840" s="59" t="s">
        <v>2457</v>
      </c>
      <c r="B840" s="62">
        <v>11</v>
      </c>
      <c r="C840" s="60" t="s">
        <v>5054</v>
      </c>
      <c r="D840" s="64">
        <f>IFERROR(VLOOKUP(C840,測定点マスタ!$E$2:$F$28,2,FALSE)/VLOOKUP(A840,'焼鈍条件-3CGL'!$A$2:$B$197,2,FALSE)*60,"")</f>
        <v>64.473510371251166</v>
      </c>
      <c r="E840" s="66">
        <v>476.6</v>
      </c>
      <c r="F840" s="64">
        <f t="shared" si="13"/>
        <v>-4.0901711538461445</v>
      </c>
      <c r="G840" s="60" t="s">
        <v>9</v>
      </c>
      <c r="H840" s="60" t="s">
        <v>5042</v>
      </c>
    </row>
    <row r="841" spans="1:8">
      <c r="A841" s="59" t="s">
        <v>2457</v>
      </c>
      <c r="B841" s="62">
        <v>12</v>
      </c>
      <c r="C841" s="60" t="s">
        <v>5056</v>
      </c>
      <c r="D841" s="64">
        <f>IFERROR(VLOOKUP(C841,測定点マスタ!$E$2:$F$28,2,FALSE)/VLOOKUP(A841,'焼鈍条件-3CGL'!$A$2:$B$197,2,FALSE)*60,"")</f>
        <v>70.286695732593472</v>
      </c>
      <c r="E841" s="66">
        <v>245</v>
      </c>
      <c r="F841" s="64">
        <f t="shared" si="13"/>
        <v>-39.840463636363715</v>
      </c>
      <c r="G841" s="60" t="s">
        <v>9</v>
      </c>
      <c r="H841" s="60" t="s">
        <v>5042</v>
      </c>
    </row>
    <row r="842" spans="1:8">
      <c r="A842" s="59" t="s">
        <v>2457</v>
      </c>
      <c r="B842" s="62">
        <v>13</v>
      </c>
      <c r="C842" s="60" t="s">
        <v>5068</v>
      </c>
      <c r="D842" s="64">
        <f>IFERROR(VLOOKUP(C842,測定点マスタ!$E$2:$F$28,2,FALSE)/VLOOKUP(A842,'焼鈍条件-3CGL'!$A$2:$B$197,2,FALSE)*60,"")</f>
        <v>83.951456127437183</v>
      </c>
      <c r="E842" s="66">
        <v>416.5</v>
      </c>
      <c r="F842" s="64">
        <f t="shared" si="13"/>
        <v>12.550531077347991</v>
      </c>
      <c r="G842" s="60" t="s">
        <v>9</v>
      </c>
      <c r="H842" s="60" t="s">
        <v>5042</v>
      </c>
    </row>
    <row r="843" spans="1:8">
      <c r="A843" s="59" t="s">
        <v>2457</v>
      </c>
      <c r="B843" s="62">
        <v>14</v>
      </c>
      <c r="C843" s="60" t="s">
        <v>5057</v>
      </c>
      <c r="D843" s="64">
        <f>IFERROR(VLOOKUP(C843,測定点マスタ!$E$2:$F$28,2,FALSE)/VLOOKUP(A843,'焼鈍条件-3CGL'!$A$2:$B$197,2,FALSE)*60,"")</f>
        <v>87.141158484796946</v>
      </c>
      <c r="E843" s="66">
        <v>176.5</v>
      </c>
      <c r="F843" s="64">
        <f t="shared" si="13"/>
        <v>-75.242130177518192</v>
      </c>
      <c r="G843" s="60" t="s">
        <v>9</v>
      </c>
      <c r="H843" s="60" t="s">
        <v>5042</v>
      </c>
    </row>
    <row r="844" spans="1:8">
      <c r="A844" s="59" t="s">
        <v>2457</v>
      </c>
      <c r="B844" s="62">
        <v>15</v>
      </c>
      <c r="C844" s="60" t="s">
        <v>5059</v>
      </c>
      <c r="D844" s="64">
        <f>IFERROR(VLOOKUP(C844,測定点マスタ!$E$2:$F$28,2,FALSE)/VLOOKUP(A844,'焼鈍条件-3CGL'!$A$2:$B$197,2,FALSE)*60,"")</f>
        <v>93.520563199516985</v>
      </c>
      <c r="E844" s="66">
        <v>40.799999999999997</v>
      </c>
      <c r="F844" s="64">
        <f t="shared" si="13"/>
        <v>-21.271577218934166</v>
      </c>
      <c r="G844" s="60" t="s">
        <v>9</v>
      </c>
      <c r="H844" s="60" t="s">
        <v>5042</v>
      </c>
    </row>
    <row r="845" spans="1:8">
      <c r="A845" s="59" t="s">
        <v>2475</v>
      </c>
      <c r="B845" s="62">
        <v>1</v>
      </c>
      <c r="C845" s="60" t="s">
        <v>5041</v>
      </c>
      <c r="D845" s="64">
        <f>IFERROR(VLOOKUP(C845,測定点マスタ!$E$2:$F$28,2,FALSE)/VLOOKUP(A845,'焼鈍条件-3CGL'!$A$2:$B$197,2,FALSE)*60,"")</f>
        <v>0</v>
      </c>
      <c r="E845" s="66">
        <v>29.7</v>
      </c>
      <c r="F845" s="64" t="str">
        <f t="shared" si="13"/>
        <v/>
      </c>
      <c r="G845" s="60" t="s">
        <v>12</v>
      </c>
      <c r="H845" s="60" t="s">
        <v>5061</v>
      </c>
    </row>
    <row r="846" spans="1:8">
      <c r="A846" s="59" t="s">
        <v>2475</v>
      </c>
      <c r="B846" s="62">
        <v>2</v>
      </c>
      <c r="C846" s="60" t="s">
        <v>5043</v>
      </c>
      <c r="D846" s="64">
        <f>IFERROR(VLOOKUP(C846,測定点マスタ!$E$2:$F$28,2,FALSE)/VLOOKUP(A846,'焼鈍条件-3CGL'!$A$2:$B$197,2,FALSE)*60,"")</f>
        <v>10.279957509508959</v>
      </c>
      <c r="E846" s="66">
        <v>183</v>
      </c>
      <c r="F846" s="64">
        <f t="shared" si="13"/>
        <v>14.912513000000004</v>
      </c>
      <c r="G846" s="60" t="s">
        <v>12</v>
      </c>
      <c r="H846" s="60" t="s">
        <v>5061</v>
      </c>
    </row>
    <row r="847" spans="1:8">
      <c r="A847" s="59" t="s">
        <v>2475</v>
      </c>
      <c r="B847" s="62">
        <v>3</v>
      </c>
      <c r="C847" s="60" t="s">
        <v>5044</v>
      </c>
      <c r="D847" s="64">
        <f>IFERROR(VLOOKUP(C847,測定点マスタ!$E$2:$F$28,2,FALSE)/VLOOKUP(A847,'焼鈍条件-3CGL'!$A$2:$B$197,2,FALSE)*60,"")</f>
        <v>23.301237021553643</v>
      </c>
      <c r="E847" s="66">
        <v>713</v>
      </c>
      <c r="F847" s="64">
        <f t="shared" si="13"/>
        <v>40.702605263157892</v>
      </c>
      <c r="G847" s="60" t="s">
        <v>12</v>
      </c>
      <c r="H847" s="60" t="s">
        <v>5061</v>
      </c>
    </row>
    <row r="848" spans="1:8">
      <c r="A848" s="59" t="s">
        <v>2475</v>
      </c>
      <c r="B848" s="62">
        <v>4</v>
      </c>
      <c r="C848" s="60" t="s">
        <v>5045</v>
      </c>
      <c r="D848" s="64">
        <f>IFERROR(VLOOKUP(C848,測定点マスタ!$E$2:$F$28,2,FALSE)/VLOOKUP(A848,'焼鈍条件-3CGL'!$A$2:$B$197,2,FALSE)*60,"")</f>
        <v>30.154542027892951</v>
      </c>
      <c r="E848" s="66">
        <v>857.5</v>
      </c>
      <c r="F848" s="64">
        <f t="shared" si="13"/>
        <v>21.084717499999996</v>
      </c>
      <c r="G848" s="60" t="s">
        <v>12</v>
      </c>
      <c r="H848" s="60" t="s">
        <v>5061</v>
      </c>
    </row>
    <row r="849" spans="1:8">
      <c r="A849" s="59" t="s">
        <v>2475</v>
      </c>
      <c r="B849" s="62">
        <v>5</v>
      </c>
      <c r="C849" s="60" t="s">
        <v>5047</v>
      </c>
      <c r="D849" s="64">
        <f>IFERROR(VLOOKUP(C849,測定点マスタ!$E$2:$F$28,2,FALSE)/VLOOKUP(A849,'焼鈍条件-3CGL'!$A$2:$B$197,2,FALSE)*60,"")</f>
        <v>41.119830038035836</v>
      </c>
      <c r="E849" s="66">
        <v>787.1</v>
      </c>
      <c r="F849" s="64">
        <f t="shared" si="13"/>
        <v>-6.4202600000000016</v>
      </c>
      <c r="G849" s="60" t="s">
        <v>12</v>
      </c>
      <c r="H849" s="60" t="s">
        <v>5061</v>
      </c>
    </row>
    <row r="850" spans="1:8">
      <c r="A850" s="59" t="s">
        <v>2475</v>
      </c>
      <c r="B850" s="62">
        <v>6</v>
      </c>
      <c r="C850" s="60" t="s">
        <v>5049</v>
      </c>
      <c r="D850" s="64">
        <f>IFERROR(VLOOKUP(C850,測定点マスタ!$E$2:$F$28,2,FALSE)/VLOOKUP(A850,'焼鈍条件-3CGL'!$A$2:$B$197,2,FALSE)*60,"")</f>
        <v>50.029126546276935</v>
      </c>
      <c r="E850" s="66">
        <v>607.79999999999995</v>
      </c>
      <c r="F850" s="64">
        <f t="shared" si="13"/>
        <v>-20.12504576923078</v>
      </c>
      <c r="G850" s="60" t="s">
        <v>12</v>
      </c>
      <c r="H850" s="60" t="s">
        <v>5061</v>
      </c>
    </row>
    <row r="851" spans="1:8">
      <c r="A851" s="59" t="s">
        <v>2475</v>
      </c>
      <c r="B851" s="62">
        <v>7</v>
      </c>
      <c r="C851" s="60" t="s">
        <v>5050</v>
      </c>
      <c r="D851" s="64">
        <f>IFERROR(VLOOKUP(C851,測定点マスタ!$E$2:$F$28,2,FALSE)/VLOOKUP(A851,'焼鈍条件-3CGL'!$A$2:$B$197,2,FALSE)*60,"")</f>
        <v>55.511770551348384</v>
      </c>
      <c r="E851" s="66">
        <v>531.79999999999995</v>
      </c>
      <c r="F851" s="64">
        <f t="shared" si="13"/>
        <v>-13.861924999999991</v>
      </c>
      <c r="G851" s="60" t="s">
        <v>12</v>
      </c>
      <c r="H851" s="60" t="s">
        <v>5061</v>
      </c>
    </row>
    <row r="852" spans="1:8">
      <c r="A852" s="59" t="s">
        <v>2475</v>
      </c>
      <c r="B852" s="62">
        <v>8</v>
      </c>
      <c r="C852" s="60" t="s">
        <v>5051</v>
      </c>
      <c r="D852" s="64">
        <f>IFERROR(VLOOKUP(C852,測定点マスタ!$E$2:$F$28,2,FALSE)/VLOOKUP(A852,'焼鈍条件-3CGL'!$A$2:$B$197,2,FALSE)*60,"")</f>
        <v>60.309084055785902</v>
      </c>
      <c r="E852" s="66">
        <v>472.4</v>
      </c>
      <c r="F852" s="64">
        <f t="shared" si="13"/>
        <v>-12.381929999999986</v>
      </c>
      <c r="G852" s="60" t="s">
        <v>12</v>
      </c>
      <c r="H852" s="60" t="s">
        <v>5061</v>
      </c>
    </row>
    <row r="853" spans="1:8">
      <c r="A853" s="59" t="s">
        <v>2475</v>
      </c>
      <c r="B853" s="62">
        <v>9</v>
      </c>
      <c r="C853" s="60" t="s">
        <v>5052</v>
      </c>
      <c r="D853" s="64">
        <f>IFERROR(VLOOKUP(C853,測定点マスタ!$E$2:$F$28,2,FALSE)/VLOOKUP(A853,'焼鈍条件-3CGL'!$A$2:$B$197,2,FALSE)*60,"")</f>
        <v>66.477058561491276</v>
      </c>
      <c r="E853" s="66">
        <v>379.6</v>
      </c>
      <c r="F853" s="64">
        <f t="shared" si="13"/>
        <v>-15.045457777777777</v>
      </c>
      <c r="G853" s="60" t="s">
        <v>12</v>
      </c>
      <c r="H853" s="60" t="s">
        <v>5061</v>
      </c>
    </row>
    <row r="854" spans="1:8">
      <c r="A854" s="59" t="s">
        <v>2475</v>
      </c>
      <c r="B854" s="62">
        <v>10</v>
      </c>
      <c r="C854" s="60" t="s">
        <v>5053</v>
      </c>
      <c r="D854" s="64">
        <f>IFERROR(VLOOKUP(C854,測定点マスタ!$E$2:$F$28,2,FALSE)/VLOOKUP(A854,'焼鈍条件-3CGL'!$A$2:$B$197,2,FALSE)*60,"")</f>
        <v>74.70102456909845</v>
      </c>
      <c r="E854" s="66">
        <v>560.6</v>
      </c>
      <c r="F854" s="64">
        <f t="shared" si="13"/>
        <v>22.008845833333318</v>
      </c>
      <c r="G854" s="60" t="s">
        <v>12</v>
      </c>
      <c r="H854" s="60" t="s">
        <v>5061</v>
      </c>
    </row>
    <row r="855" spans="1:8">
      <c r="A855" s="59" t="s">
        <v>2475</v>
      </c>
      <c r="B855" s="62">
        <v>11</v>
      </c>
      <c r="C855" s="60" t="s">
        <v>5054</v>
      </c>
      <c r="D855" s="64">
        <f>IFERROR(VLOOKUP(C855,測定点マスタ!$E$2:$F$28,2,FALSE)/VLOOKUP(A855,'焼鈍条件-3CGL'!$A$2:$B$197,2,FALSE)*60,"")</f>
        <v>83.610321077339535</v>
      </c>
      <c r="E855" s="66">
        <v>538.9</v>
      </c>
      <c r="F855" s="64">
        <f t="shared" si="13"/>
        <v>-2.4356580769230862</v>
      </c>
      <c r="G855" s="60" t="s">
        <v>12</v>
      </c>
      <c r="H855" s="60" t="s">
        <v>5061</v>
      </c>
    </row>
    <row r="856" spans="1:8">
      <c r="A856" s="59" t="s">
        <v>2475</v>
      </c>
      <c r="B856" s="62">
        <v>12</v>
      </c>
      <c r="C856" s="60" t="s">
        <v>5055</v>
      </c>
      <c r="D856" s="64">
        <f>IFERROR(VLOOKUP(C856,測定点マスタ!$E$2:$F$28,2,FALSE)/VLOOKUP(A856,'焼鈍条件-3CGL'!$A$2:$B$197,2,FALSE)*60,"")</f>
        <v>87.036973580509198</v>
      </c>
      <c r="E856" s="66">
        <v>595.20000000000005</v>
      </c>
      <c r="F856" s="64">
        <f t="shared" si="13"/>
        <v>16.430028999999973</v>
      </c>
      <c r="G856" s="60" t="s">
        <v>12</v>
      </c>
      <c r="H856" s="60" t="s">
        <v>5061</v>
      </c>
    </row>
    <row r="857" spans="1:8">
      <c r="A857" s="59" t="s">
        <v>2475</v>
      </c>
      <c r="B857" s="62">
        <v>13</v>
      </c>
      <c r="C857" s="60" t="s">
        <v>5056</v>
      </c>
      <c r="D857" s="64">
        <f>IFERROR(VLOOKUP(C857,測定点マスタ!$E$2:$F$28,2,FALSE)/VLOOKUP(A857,'焼鈍条件-3CGL'!$A$2:$B$197,2,FALSE)*60,"")</f>
        <v>91.148956584312785</v>
      </c>
      <c r="E857" s="66">
        <v>274.7</v>
      </c>
      <c r="F857" s="64">
        <f t="shared" si="13"/>
        <v>-77.94292916666663</v>
      </c>
      <c r="G857" s="60" t="s">
        <v>12</v>
      </c>
      <c r="H857" s="60" t="s">
        <v>5061</v>
      </c>
    </row>
    <row r="858" spans="1:8">
      <c r="A858" s="59" t="s">
        <v>2475</v>
      </c>
      <c r="B858" s="62">
        <v>14</v>
      </c>
      <c r="C858" s="60" t="s">
        <v>5062</v>
      </c>
      <c r="D858" s="64">
        <f>IFERROR(VLOOKUP(C858,測定点マスタ!$E$2:$F$28,2,FALSE)/VLOOKUP(A858,'焼鈍条件-3CGL'!$A$2:$B$197,2,FALSE)*60,"")</f>
        <v>99.372922591919945</v>
      </c>
      <c r="E858" s="66">
        <v>465.7</v>
      </c>
      <c r="F858" s="64">
        <f t="shared" si="13"/>
        <v>23.22480416666669</v>
      </c>
      <c r="G858" s="60" t="s">
        <v>12</v>
      </c>
      <c r="H858" s="60" t="s">
        <v>5061</v>
      </c>
    </row>
    <row r="859" spans="1:8">
      <c r="A859" s="59" t="s">
        <v>2475</v>
      </c>
      <c r="B859" s="62">
        <v>15</v>
      </c>
      <c r="C859" s="60" t="s">
        <v>5057</v>
      </c>
      <c r="D859" s="64">
        <f>IFERROR(VLOOKUP(C859,測定点マスタ!$E$2:$F$28,2,FALSE)/VLOOKUP(A859,'焼鈍条件-3CGL'!$A$2:$B$197,2,FALSE)*60,"")</f>
        <v>113.00610433667339</v>
      </c>
      <c r="E859" s="66">
        <v>281.3</v>
      </c>
      <c r="F859" s="64">
        <f t="shared" si="13"/>
        <v>-13.525822764811595</v>
      </c>
      <c r="G859" s="60" t="s">
        <v>12</v>
      </c>
      <c r="H859" s="60" t="s">
        <v>5061</v>
      </c>
    </row>
    <row r="860" spans="1:8">
      <c r="A860" s="59" t="s">
        <v>2475</v>
      </c>
      <c r="B860" s="62">
        <v>16</v>
      </c>
      <c r="C860" s="60" t="s">
        <v>5058</v>
      </c>
      <c r="D860" s="64">
        <f>IFERROR(VLOOKUP(C860,測定点マスタ!$E$2:$F$28,2,FALSE)/VLOOKUP(A860,'焼鈍条件-3CGL'!$A$2:$B$197,2,FALSE)*60,"")</f>
        <v>117.14256342978513</v>
      </c>
      <c r="E860" s="66">
        <v>135.69999999999999</v>
      </c>
      <c r="F860" s="64">
        <f t="shared" si="13"/>
        <v>-35.199187692309401</v>
      </c>
      <c r="G860" s="60" t="s">
        <v>12</v>
      </c>
      <c r="H860" s="60" t="s">
        <v>5061</v>
      </c>
    </row>
    <row r="861" spans="1:8">
      <c r="A861" s="59" t="s">
        <v>2475</v>
      </c>
      <c r="B861" s="62">
        <v>17</v>
      </c>
      <c r="C861" s="60" t="s">
        <v>5059</v>
      </c>
      <c r="D861" s="64">
        <f>IFERROR(VLOOKUP(C861,測定点マスタ!$E$2:$F$28,2,FALSE)/VLOOKUP(A861,'焼鈍条件-3CGL'!$A$2:$B$197,2,FALSE)*60,"")</f>
        <v>121.27902252289759</v>
      </c>
      <c r="E861" s="66">
        <v>47.8</v>
      </c>
      <c r="F861" s="64">
        <f t="shared" si="13"/>
        <v>-21.250059053251739</v>
      </c>
      <c r="G861" s="60" t="s">
        <v>12</v>
      </c>
      <c r="H861" s="60" t="s">
        <v>5061</v>
      </c>
    </row>
    <row r="862" spans="1:8">
      <c r="A862" s="59" t="s">
        <v>2486</v>
      </c>
      <c r="B862" s="62">
        <v>1</v>
      </c>
      <c r="C862" s="60" t="s">
        <v>5041</v>
      </c>
      <c r="D862" s="64">
        <f>IFERROR(VLOOKUP(C862,測定点マスタ!$E$2:$F$28,2,FALSE)/VLOOKUP(A862,'焼鈍条件-3CGL'!$A$2:$B$197,2,FALSE)*60,"")</f>
        <v>0</v>
      </c>
      <c r="E862" s="66">
        <v>33.700000000000003</v>
      </c>
      <c r="F862" s="64" t="str">
        <f t="shared" si="13"/>
        <v/>
      </c>
      <c r="G862" s="60" t="s">
        <v>9</v>
      </c>
      <c r="H862" s="60" t="s">
        <v>5064</v>
      </c>
    </row>
    <row r="863" spans="1:8">
      <c r="A863" s="59" t="s">
        <v>2486</v>
      </c>
      <c r="B863" s="62">
        <v>2</v>
      </c>
      <c r="C863" s="60" t="s">
        <v>5043</v>
      </c>
      <c r="D863" s="64">
        <f>IFERROR(VLOOKUP(C863,測定点マスタ!$E$2:$F$28,2,FALSE)/VLOOKUP(A863,'焼鈍条件-3CGL'!$A$2:$B$197,2,FALSE)*60,"")</f>
        <v>8.2323347816144512</v>
      </c>
      <c r="E863" s="66">
        <v>175.2</v>
      </c>
      <c r="F863" s="64">
        <f t="shared" si="13"/>
        <v>17.188319444444446</v>
      </c>
      <c r="G863" s="60" t="s">
        <v>9</v>
      </c>
      <c r="H863" s="60" t="s">
        <v>5064</v>
      </c>
    </row>
    <row r="864" spans="1:8">
      <c r="A864" s="59" t="s">
        <v>2486</v>
      </c>
      <c r="B864" s="62">
        <v>3</v>
      </c>
      <c r="C864" s="60" t="s">
        <v>5044</v>
      </c>
      <c r="D864" s="64">
        <f>IFERROR(VLOOKUP(C864,測定点マスタ!$E$2:$F$28,2,FALSE)/VLOOKUP(A864,'焼鈍条件-3CGL'!$A$2:$B$197,2,FALSE)*60,"")</f>
        <v>18.659958838326091</v>
      </c>
      <c r="E864" s="66">
        <v>694.3</v>
      </c>
      <c r="F864" s="64">
        <f t="shared" si="13"/>
        <v>49.781234649122801</v>
      </c>
      <c r="G864" s="60" t="s">
        <v>9</v>
      </c>
      <c r="H864" s="60" t="s">
        <v>5064</v>
      </c>
    </row>
    <row r="865" spans="1:8">
      <c r="A865" s="59" t="s">
        <v>2486</v>
      </c>
      <c r="B865" s="62">
        <v>4</v>
      </c>
      <c r="C865" s="60" t="s">
        <v>5045</v>
      </c>
      <c r="D865" s="64">
        <f>IFERROR(VLOOKUP(C865,測定点マスタ!$E$2:$F$28,2,FALSE)/VLOOKUP(A865,'焼鈍条件-3CGL'!$A$2:$B$197,2,FALSE)*60,"")</f>
        <v>24.148182026069058</v>
      </c>
      <c r="E865" s="66">
        <v>830.9</v>
      </c>
      <c r="F865" s="64">
        <f t="shared" si="13"/>
        <v>24.88965833333334</v>
      </c>
      <c r="G865" s="60" t="s">
        <v>9</v>
      </c>
      <c r="H865" s="60" t="s">
        <v>5064</v>
      </c>
    </row>
    <row r="866" spans="1:8">
      <c r="A866" s="59" t="s">
        <v>2486</v>
      </c>
      <c r="B866" s="62">
        <v>5</v>
      </c>
      <c r="C866" s="60" t="s">
        <v>5047</v>
      </c>
      <c r="D866" s="64">
        <f>IFERROR(VLOOKUP(C866,測定点マスタ!$E$2:$F$28,2,FALSE)/VLOOKUP(A866,'焼鈍条件-3CGL'!$A$2:$B$197,2,FALSE)*60,"")</f>
        <v>32.929339126457805</v>
      </c>
      <c r="E866" s="66">
        <v>757.1</v>
      </c>
      <c r="F866" s="64">
        <f t="shared" si="13"/>
        <v>-8.4043593749999967</v>
      </c>
      <c r="G866" s="60" t="s">
        <v>9</v>
      </c>
      <c r="H866" s="60" t="s">
        <v>5064</v>
      </c>
    </row>
    <row r="867" spans="1:8">
      <c r="A867" s="59" t="s">
        <v>2486</v>
      </c>
      <c r="B867" s="62">
        <v>6</v>
      </c>
      <c r="C867" s="60" t="s">
        <v>5049</v>
      </c>
      <c r="D867" s="64">
        <f>IFERROR(VLOOKUP(C867,測定点マスタ!$E$2:$F$28,2,FALSE)/VLOOKUP(A867,'焼鈍条件-3CGL'!$A$2:$B$197,2,FALSE)*60,"")</f>
        <v>40.064029270523669</v>
      </c>
      <c r="E867" s="66">
        <v>637.79999999999995</v>
      </c>
      <c r="F867" s="64">
        <f t="shared" si="13"/>
        <v>-16.721118589743586</v>
      </c>
      <c r="G867" s="60" t="s">
        <v>9</v>
      </c>
      <c r="H867" s="60" t="s">
        <v>5064</v>
      </c>
    </row>
    <row r="868" spans="1:8">
      <c r="A868" s="59" t="s">
        <v>2486</v>
      </c>
      <c r="B868" s="62">
        <v>7</v>
      </c>
      <c r="C868" s="60" t="s">
        <v>5050</v>
      </c>
      <c r="D868" s="64">
        <f>IFERROR(VLOOKUP(C868,測定点マスタ!$E$2:$F$28,2,FALSE)/VLOOKUP(A868,'焼鈍条件-3CGL'!$A$2:$B$197,2,FALSE)*60,"")</f>
        <v>44.454607820718046</v>
      </c>
      <c r="E868" s="66">
        <v>493.5</v>
      </c>
      <c r="F868" s="64">
        <f t="shared" si="13"/>
        <v>-32.865828124999972</v>
      </c>
      <c r="G868" s="60" t="s">
        <v>9</v>
      </c>
      <c r="H868" s="60" t="s">
        <v>5064</v>
      </c>
    </row>
    <row r="869" spans="1:8">
      <c r="A869" s="59" t="s">
        <v>2486</v>
      </c>
      <c r="B869" s="62">
        <v>8</v>
      </c>
      <c r="C869" s="60" t="s">
        <v>5051</v>
      </c>
      <c r="D869" s="64">
        <f>IFERROR(VLOOKUP(C869,測定点マスタ!$E$2:$F$28,2,FALSE)/VLOOKUP(A869,'焼鈍条件-3CGL'!$A$2:$B$197,2,FALSE)*60,"")</f>
        <v>48.296364052138117</v>
      </c>
      <c r="E869" s="66">
        <v>456.3</v>
      </c>
      <c r="F869" s="64">
        <f t="shared" si="13"/>
        <v>-9.6830714285714432</v>
      </c>
      <c r="G869" s="60" t="s">
        <v>9</v>
      </c>
      <c r="H869" s="60" t="s">
        <v>5064</v>
      </c>
    </row>
    <row r="870" spans="1:8">
      <c r="A870" s="59" t="s">
        <v>2486</v>
      </c>
      <c r="B870" s="62">
        <v>9</v>
      </c>
      <c r="C870" s="60" t="s">
        <v>5052</v>
      </c>
      <c r="D870" s="64">
        <f>IFERROR(VLOOKUP(C870,測定点マスタ!$E$2:$F$28,2,FALSE)/VLOOKUP(A870,'焼鈍条件-3CGL'!$A$2:$B$197,2,FALSE)*60,"")</f>
        <v>53.235764921106785</v>
      </c>
      <c r="E870" s="66">
        <v>340.3</v>
      </c>
      <c r="F870" s="64">
        <f t="shared" si="13"/>
        <v>-23.484629629629644</v>
      </c>
      <c r="G870" s="60" t="s">
        <v>9</v>
      </c>
      <c r="H870" s="60" t="s">
        <v>5064</v>
      </c>
    </row>
    <row r="871" spans="1:8">
      <c r="A871" s="59" t="s">
        <v>2486</v>
      </c>
      <c r="B871" s="62">
        <v>10</v>
      </c>
      <c r="C871" s="60" t="s">
        <v>5069</v>
      </c>
      <c r="D871" s="64">
        <f>IFERROR(VLOOKUP(C871,測定点マスタ!$E$2:$F$28,2,FALSE)/VLOOKUP(A871,'焼鈍条件-3CGL'!$A$2:$B$197,2,FALSE)*60,"")</f>
        <v>57.07752115252687</v>
      </c>
      <c r="E871" s="66">
        <v>524.79999999999995</v>
      </c>
      <c r="F871" s="64">
        <f t="shared" si="13"/>
        <v>48.02491071428561</v>
      </c>
      <c r="G871" s="60" t="s">
        <v>9</v>
      </c>
      <c r="H871" s="60" t="s">
        <v>5064</v>
      </c>
    </row>
    <row r="872" spans="1:8">
      <c r="A872" s="59" t="s">
        <v>2486</v>
      </c>
      <c r="B872" s="62">
        <v>11</v>
      </c>
      <c r="C872" s="60" t="s">
        <v>5053</v>
      </c>
      <c r="D872" s="64">
        <f>IFERROR(VLOOKUP(C872,測定点マスタ!$E$2:$F$28,2,FALSE)/VLOOKUP(A872,'焼鈍条件-3CGL'!$A$2:$B$197,2,FALSE)*60,"")</f>
        <v>59.82163274639835</v>
      </c>
      <c r="E872" s="66">
        <v>549.4</v>
      </c>
      <c r="F872" s="64">
        <f t="shared" si="13"/>
        <v>8.964650000000022</v>
      </c>
      <c r="G872" s="60" t="s">
        <v>9</v>
      </c>
      <c r="H872" s="60" t="s">
        <v>5064</v>
      </c>
    </row>
    <row r="873" spans="1:8">
      <c r="A873" s="59" t="s">
        <v>2486</v>
      </c>
      <c r="B873" s="62">
        <v>12</v>
      </c>
      <c r="C873" s="60" t="s">
        <v>5054</v>
      </c>
      <c r="D873" s="64">
        <f>IFERROR(VLOOKUP(C873,測定点マスタ!$E$2:$F$28,2,FALSE)/VLOOKUP(A873,'焼鈍条件-3CGL'!$A$2:$B$197,2,FALSE)*60,"")</f>
        <v>66.956322890464207</v>
      </c>
      <c r="E873" s="66">
        <v>529.5</v>
      </c>
      <c r="F873" s="64">
        <f t="shared" si="13"/>
        <v>-2.7891891025641002</v>
      </c>
      <c r="G873" s="60" t="s">
        <v>9</v>
      </c>
      <c r="H873" s="60" t="s">
        <v>5064</v>
      </c>
    </row>
    <row r="874" spans="1:8">
      <c r="A874" s="59" t="s">
        <v>2486</v>
      </c>
      <c r="B874" s="62">
        <v>13</v>
      </c>
      <c r="C874" s="60" t="s">
        <v>5056</v>
      </c>
      <c r="D874" s="64">
        <f>IFERROR(VLOOKUP(C874,測定点マスタ!$E$2:$F$28,2,FALSE)/VLOOKUP(A874,'焼鈍条件-3CGL'!$A$2:$B$197,2,FALSE)*60,"")</f>
        <v>72.993368396981481</v>
      </c>
      <c r="E874" s="66">
        <v>294.7</v>
      </c>
      <c r="F874" s="64">
        <f t="shared" si="13"/>
        <v>-38.893196969696916</v>
      </c>
      <c r="G874" s="60" t="s">
        <v>9</v>
      </c>
      <c r="H874" s="60" t="s">
        <v>5064</v>
      </c>
    </row>
    <row r="875" spans="1:8">
      <c r="A875" s="59" t="s">
        <v>2486</v>
      </c>
      <c r="B875" s="62">
        <v>14</v>
      </c>
      <c r="C875" s="60" t="s">
        <v>5062</v>
      </c>
      <c r="D875" s="64">
        <f>IFERROR(VLOOKUP(C875,測定点マスタ!$E$2:$F$28,2,FALSE)/VLOOKUP(A875,'焼鈍条件-3CGL'!$A$2:$B$197,2,FALSE)*60,"")</f>
        <v>79.579236222273025</v>
      </c>
      <c r="E875" s="66">
        <v>467</v>
      </c>
      <c r="F875" s="64">
        <f t="shared" si="13"/>
        <v>26.162079861111184</v>
      </c>
      <c r="G875" s="60" t="s">
        <v>9</v>
      </c>
      <c r="H875" s="60" t="s">
        <v>5064</v>
      </c>
    </row>
    <row r="876" spans="1:8">
      <c r="A876" s="59" t="s">
        <v>2486</v>
      </c>
      <c r="B876" s="62">
        <v>15</v>
      </c>
      <c r="C876" s="60" t="s">
        <v>5065</v>
      </c>
      <c r="D876" s="64">
        <f>IFERROR(VLOOKUP(C876,測定点マスタ!$E$2:$F$28,2,FALSE)/VLOOKUP(A876,'焼鈍条件-3CGL'!$A$2:$B$197,2,FALSE)*60,"")</f>
        <v>80.559276077226983</v>
      </c>
      <c r="E876" s="66">
        <v>527</v>
      </c>
      <c r="F876" s="64">
        <f t="shared" si="13"/>
        <v>61.222000000008968</v>
      </c>
      <c r="G876" s="60" t="s">
        <v>9</v>
      </c>
      <c r="H876" s="60" t="s">
        <v>5064</v>
      </c>
    </row>
    <row r="877" spans="1:8">
      <c r="A877" s="59" t="s">
        <v>2486</v>
      </c>
      <c r="B877" s="62">
        <v>16</v>
      </c>
      <c r="C877" s="60" t="s">
        <v>5066</v>
      </c>
      <c r="D877" s="64">
        <f>IFERROR(VLOOKUP(C877,測定点マスタ!$E$2:$F$28,2,FALSE)/VLOOKUP(A877,'焼鈍条件-3CGL'!$A$2:$B$197,2,FALSE)*60,"")</f>
        <v>83.871810786972247</v>
      </c>
      <c r="E877" s="66">
        <v>515.9</v>
      </c>
      <c r="F877" s="64">
        <f t="shared" si="13"/>
        <v>-3.3509082840232693</v>
      </c>
      <c r="G877" s="60" t="s">
        <v>9</v>
      </c>
      <c r="H877" s="60" t="s">
        <v>5064</v>
      </c>
    </row>
    <row r="878" spans="1:8">
      <c r="A878" s="59" t="s">
        <v>2486</v>
      </c>
      <c r="B878" s="62">
        <v>17</v>
      </c>
      <c r="C878" s="60" t="s">
        <v>5057</v>
      </c>
      <c r="D878" s="64">
        <f>IFERROR(VLOOKUP(C878,測定点マスタ!$E$2:$F$28,2,FALSE)/VLOOKUP(A878,'焼鈍条件-3CGL'!$A$2:$B$197,2,FALSE)*60,"")</f>
        <v>90.496880206461654</v>
      </c>
      <c r="E878" s="66">
        <v>272.8</v>
      </c>
      <c r="F878" s="64">
        <f t="shared" si="13"/>
        <v>-36.693955128206895</v>
      </c>
      <c r="G878" s="60" t="s">
        <v>9</v>
      </c>
      <c r="H878" s="60" t="s">
        <v>5064</v>
      </c>
    </row>
    <row r="879" spans="1:8">
      <c r="A879" s="59" t="s">
        <v>2486</v>
      </c>
      <c r="B879" s="62">
        <v>18</v>
      </c>
      <c r="C879" s="60" t="s">
        <v>5059</v>
      </c>
      <c r="D879" s="64">
        <f>IFERROR(VLOOKUP(C879,測定点マスタ!$E$2:$F$28,2,FALSE)/VLOOKUP(A879,'焼鈍条件-3CGL'!$A$2:$B$197,2,FALSE)*60,"")</f>
        <v>97.121949625951615</v>
      </c>
      <c r="E879" s="66">
        <v>74.900000000000006</v>
      </c>
      <c r="F879" s="64">
        <f t="shared" si="13"/>
        <v>-29.871385108480204</v>
      </c>
      <c r="G879" s="60" t="s">
        <v>9</v>
      </c>
      <c r="H879" s="60" t="s">
        <v>5064</v>
      </c>
    </row>
    <row r="880" spans="1:8">
      <c r="A880" s="59" t="s">
        <v>2491</v>
      </c>
      <c r="B880" s="62">
        <v>1</v>
      </c>
      <c r="C880" s="60" t="s">
        <v>5041</v>
      </c>
      <c r="D880" s="64">
        <f>IFERROR(VLOOKUP(C880,測定点マスタ!$E$2:$F$28,2,FALSE)/VLOOKUP(A880,'焼鈍条件-3CGL'!$A$2:$B$197,2,FALSE)*60,"")</f>
        <v>0</v>
      </c>
      <c r="E880" s="66">
        <v>25.9</v>
      </c>
      <c r="F880" s="64" t="str">
        <f t="shared" si="13"/>
        <v/>
      </c>
      <c r="G880" s="60" t="s">
        <v>12</v>
      </c>
      <c r="H880" s="60" t="s">
        <v>5061</v>
      </c>
    </row>
    <row r="881" spans="1:8">
      <c r="A881" s="59" t="s">
        <v>2491</v>
      </c>
      <c r="B881" s="62">
        <v>2</v>
      </c>
      <c r="C881" s="60" t="s">
        <v>5043</v>
      </c>
      <c r="D881" s="64">
        <f>IFERROR(VLOOKUP(C881,測定点マスタ!$E$2:$F$28,2,FALSE)/VLOOKUP(A881,'焼鈍条件-3CGL'!$A$2:$B$197,2,FALSE)*60,"")</f>
        <v>12.187525390677896</v>
      </c>
      <c r="E881" s="66">
        <v>175.9</v>
      </c>
      <c r="F881" s="64">
        <f t="shared" si="13"/>
        <v>12.307666666666668</v>
      </c>
      <c r="G881" s="60" t="s">
        <v>12</v>
      </c>
      <c r="H881" s="60" t="s">
        <v>5061</v>
      </c>
    </row>
    <row r="882" spans="1:8">
      <c r="A882" s="59" t="s">
        <v>2491</v>
      </c>
      <c r="B882" s="62">
        <v>3</v>
      </c>
      <c r="C882" s="60" t="s">
        <v>5067</v>
      </c>
      <c r="D882" s="64">
        <f>IFERROR(VLOOKUP(C882,測定点マスタ!$E$2:$F$28,2,FALSE)/VLOOKUP(A882,'焼鈍条件-3CGL'!$A$2:$B$197,2,FALSE)*60,"")</f>
        <v>20.312542317796495</v>
      </c>
      <c r="E882" s="66">
        <v>381.3</v>
      </c>
      <c r="F882" s="64">
        <f t="shared" si="13"/>
        <v>25.279947333333332</v>
      </c>
      <c r="G882" s="60" t="s">
        <v>12</v>
      </c>
      <c r="H882" s="60" t="s">
        <v>5061</v>
      </c>
    </row>
    <row r="883" spans="1:8">
      <c r="A883" s="59" t="s">
        <v>2491</v>
      </c>
      <c r="B883" s="62">
        <v>4</v>
      </c>
      <c r="C883" s="60" t="s">
        <v>5044</v>
      </c>
      <c r="D883" s="64">
        <f>IFERROR(VLOOKUP(C883,測定点マスタ!$E$2:$F$28,2,FALSE)/VLOOKUP(A883,'焼鈍条件-3CGL'!$A$2:$B$197,2,FALSE)*60,"")</f>
        <v>27.625057552203231</v>
      </c>
      <c r="E883" s="66">
        <v>661.7</v>
      </c>
      <c r="F883" s="64">
        <f t="shared" si="13"/>
        <v>38.345219259259281</v>
      </c>
      <c r="G883" s="60" t="s">
        <v>12</v>
      </c>
      <c r="H883" s="60" t="s">
        <v>5061</v>
      </c>
    </row>
    <row r="884" spans="1:8">
      <c r="A884" s="59" t="s">
        <v>2491</v>
      </c>
      <c r="B884" s="62">
        <v>5</v>
      </c>
      <c r="C884" s="60" t="s">
        <v>5045</v>
      </c>
      <c r="D884" s="64">
        <f>IFERROR(VLOOKUP(C884,測定点マスタ!$E$2:$F$28,2,FALSE)/VLOOKUP(A884,'焼鈍条件-3CGL'!$A$2:$B$197,2,FALSE)*60,"")</f>
        <v>35.750074479321832</v>
      </c>
      <c r="E884" s="66">
        <v>785.9</v>
      </c>
      <c r="F884" s="64">
        <f t="shared" si="13"/>
        <v>15.286121999999986</v>
      </c>
      <c r="G884" s="60" t="s">
        <v>12</v>
      </c>
      <c r="H884" s="60" t="s">
        <v>5061</v>
      </c>
    </row>
    <row r="885" spans="1:8">
      <c r="A885" s="59" t="s">
        <v>2491</v>
      </c>
      <c r="B885" s="62">
        <v>6</v>
      </c>
      <c r="C885" s="60" t="s">
        <v>5047</v>
      </c>
      <c r="D885" s="64">
        <f>IFERROR(VLOOKUP(C885,測定点マスタ!$E$2:$F$28,2,FALSE)/VLOOKUP(A885,'焼鈍条件-3CGL'!$A$2:$B$197,2,FALSE)*60,"")</f>
        <v>48.750101562711585</v>
      </c>
      <c r="E885" s="66">
        <v>740.9</v>
      </c>
      <c r="F885" s="64">
        <f t="shared" si="13"/>
        <v>-3.4615312500000011</v>
      </c>
      <c r="G885" s="60" t="s">
        <v>12</v>
      </c>
      <c r="H885" s="60" t="s">
        <v>5061</v>
      </c>
    </row>
    <row r="886" spans="1:8">
      <c r="A886" s="59" t="s">
        <v>2491</v>
      </c>
      <c r="B886" s="62">
        <v>7</v>
      </c>
      <c r="C886" s="60" t="s">
        <v>5049</v>
      </c>
      <c r="D886" s="64">
        <f>IFERROR(VLOOKUP(C886,測定点マスタ!$E$2:$F$28,2,FALSE)/VLOOKUP(A886,'焼鈍条件-3CGL'!$A$2:$B$197,2,FALSE)*60,"")</f>
        <v>59.312623567965765</v>
      </c>
      <c r="E886" s="66">
        <v>586.4</v>
      </c>
      <c r="F886" s="64">
        <f t="shared" si="13"/>
        <v>-14.627188461538458</v>
      </c>
      <c r="G886" s="60" t="s">
        <v>12</v>
      </c>
      <c r="H886" s="60" t="s">
        <v>5061</v>
      </c>
    </row>
    <row r="887" spans="1:8">
      <c r="A887" s="59" t="s">
        <v>2491</v>
      </c>
      <c r="B887" s="62">
        <v>8</v>
      </c>
      <c r="C887" s="60" t="s">
        <v>5050</v>
      </c>
      <c r="D887" s="64">
        <f>IFERROR(VLOOKUP(C887,測定点マスタ!$E$2:$F$28,2,FALSE)/VLOOKUP(A887,'焼鈍条件-3CGL'!$A$2:$B$197,2,FALSE)*60,"")</f>
        <v>65.812637109660642</v>
      </c>
      <c r="E887" s="66">
        <v>493.1</v>
      </c>
      <c r="F887" s="64">
        <f t="shared" si="13"/>
        <v>-14.353816249999998</v>
      </c>
      <c r="G887" s="60" t="s">
        <v>12</v>
      </c>
      <c r="H887" s="60" t="s">
        <v>5061</v>
      </c>
    </row>
    <row r="888" spans="1:8">
      <c r="A888" s="59" t="s">
        <v>2491</v>
      </c>
      <c r="B888" s="62">
        <v>9</v>
      </c>
      <c r="C888" s="60" t="s">
        <v>5051</v>
      </c>
      <c r="D888" s="64">
        <f>IFERROR(VLOOKUP(C888,測定点マスタ!$E$2:$F$28,2,FALSE)/VLOOKUP(A888,'焼鈍条件-3CGL'!$A$2:$B$197,2,FALSE)*60,"")</f>
        <v>71.500148958643663</v>
      </c>
      <c r="E888" s="66">
        <v>438.7</v>
      </c>
      <c r="F888" s="64">
        <f t="shared" si="13"/>
        <v>-9.5648152380952389</v>
      </c>
      <c r="G888" s="60" t="s">
        <v>12</v>
      </c>
      <c r="H888" s="60" t="s">
        <v>5061</v>
      </c>
    </row>
    <row r="889" spans="1:8">
      <c r="A889" s="59" t="s">
        <v>2491</v>
      </c>
      <c r="B889" s="62">
        <v>10</v>
      </c>
      <c r="C889" s="60" t="s">
        <v>5052</v>
      </c>
      <c r="D889" s="64">
        <f>IFERROR(VLOOKUP(C889,測定点マスタ!$E$2:$F$28,2,FALSE)/VLOOKUP(A889,'焼鈍条件-3CGL'!$A$2:$B$197,2,FALSE)*60,"")</f>
        <v>78.812664193050395</v>
      </c>
      <c r="E889" s="66">
        <v>328.8</v>
      </c>
      <c r="F889" s="64">
        <f t="shared" si="13"/>
        <v>-15.02902851851853</v>
      </c>
      <c r="G889" s="60" t="s">
        <v>12</v>
      </c>
      <c r="H889" s="60" t="s">
        <v>5061</v>
      </c>
    </row>
    <row r="890" spans="1:8">
      <c r="A890" s="59" t="s">
        <v>2491</v>
      </c>
      <c r="B890" s="62">
        <v>11</v>
      </c>
      <c r="C890" s="60" t="s">
        <v>5053</v>
      </c>
      <c r="D890" s="64">
        <f>IFERROR(VLOOKUP(C890,測定点マスタ!$E$2:$F$28,2,FALSE)/VLOOKUP(A890,'焼鈍条件-3CGL'!$A$2:$B$197,2,FALSE)*60,"")</f>
        <v>88.562684505592713</v>
      </c>
      <c r="E890" s="66">
        <v>514.5</v>
      </c>
      <c r="F890" s="64">
        <f t="shared" si="13"/>
        <v>19.046114166666666</v>
      </c>
      <c r="G890" s="60" t="s">
        <v>12</v>
      </c>
      <c r="H890" s="60" t="s">
        <v>5061</v>
      </c>
    </row>
    <row r="891" spans="1:8">
      <c r="A891" s="59" t="s">
        <v>2491</v>
      </c>
      <c r="B891" s="62">
        <v>12</v>
      </c>
      <c r="C891" s="60" t="s">
        <v>5054</v>
      </c>
      <c r="D891" s="64">
        <f>IFERROR(VLOOKUP(C891,測定点マスタ!$E$2:$F$28,2,FALSE)/VLOOKUP(A891,'焼鈍条件-3CGL'!$A$2:$B$197,2,FALSE)*60,"")</f>
        <v>99.125206510846894</v>
      </c>
      <c r="E891" s="66">
        <v>508.9</v>
      </c>
      <c r="F891" s="64">
        <f t="shared" si="13"/>
        <v>-0.53017641025641227</v>
      </c>
      <c r="G891" s="60" t="s">
        <v>12</v>
      </c>
      <c r="H891" s="60" t="s">
        <v>5061</v>
      </c>
    </row>
    <row r="892" spans="1:8">
      <c r="A892" s="59" t="s">
        <v>2491</v>
      </c>
      <c r="B892" s="62">
        <v>13</v>
      </c>
      <c r="C892" s="60" t="s">
        <v>5056</v>
      </c>
      <c r="D892" s="64">
        <f>IFERROR(VLOOKUP(C892,測定点マスタ!$E$2:$F$28,2,FALSE)/VLOOKUP(A892,'焼鈍条件-3CGL'!$A$2:$B$197,2,FALSE)*60,"")</f>
        <v>108.06272513067735</v>
      </c>
      <c r="E892" s="66">
        <v>264.3</v>
      </c>
      <c r="F892" s="64">
        <f t="shared" si="13"/>
        <v>-27.367775151515154</v>
      </c>
      <c r="G892" s="60" t="s">
        <v>12</v>
      </c>
      <c r="H892" s="60" t="s">
        <v>5061</v>
      </c>
    </row>
    <row r="893" spans="1:8">
      <c r="A893" s="59" t="s">
        <v>2491</v>
      </c>
      <c r="B893" s="62">
        <v>14</v>
      </c>
      <c r="C893" s="60" t="s">
        <v>5062</v>
      </c>
      <c r="D893" s="64">
        <f>IFERROR(VLOOKUP(C893,測定点マスタ!$E$2:$F$28,2,FALSE)/VLOOKUP(A893,'焼鈍条件-3CGL'!$A$2:$B$197,2,FALSE)*60,"")</f>
        <v>117.81274544321967</v>
      </c>
      <c r="E893" s="66">
        <v>459.1</v>
      </c>
      <c r="F893" s="64">
        <f t="shared" si="13"/>
        <v>19.979445555555557</v>
      </c>
      <c r="G893" s="60" t="s">
        <v>12</v>
      </c>
      <c r="H893" s="60" t="s">
        <v>5061</v>
      </c>
    </row>
    <row r="894" spans="1:8">
      <c r="A894" s="59" t="s">
        <v>2491</v>
      </c>
      <c r="B894" s="62">
        <v>15</v>
      </c>
      <c r="C894" s="60" t="s">
        <v>5057</v>
      </c>
      <c r="D894" s="64">
        <f>IFERROR(VLOOKUP(C894,測定点マスタ!$E$2:$F$28,2,FALSE)/VLOOKUP(A894,'焼鈍条件-3CGL'!$A$2:$B$197,2,FALSE)*60,"")</f>
        <v>133.97572554466618</v>
      </c>
      <c r="E894" s="66">
        <v>240.6</v>
      </c>
      <c r="F894" s="64">
        <f t="shared" si="13"/>
        <v>-13.518546618791255</v>
      </c>
      <c r="G894" s="60" t="s">
        <v>12</v>
      </c>
      <c r="H894" s="60" t="s">
        <v>5061</v>
      </c>
    </row>
    <row r="895" spans="1:8">
      <c r="A895" s="59" t="s">
        <v>2491</v>
      </c>
      <c r="B895" s="62">
        <v>16</v>
      </c>
      <c r="C895" s="60" t="s">
        <v>5059</v>
      </c>
      <c r="D895" s="64">
        <f>IFERROR(VLOOKUP(C895,測定点マスタ!$E$2:$F$28,2,FALSE)/VLOOKUP(A895,'焼鈍条件-3CGL'!$A$2:$B$197,2,FALSE)*60,"")</f>
        <v>143.78378169240258</v>
      </c>
      <c r="E895" s="66">
        <v>42.3</v>
      </c>
      <c r="F895" s="64">
        <f t="shared" si="13"/>
        <v>-20.218073491123466</v>
      </c>
      <c r="G895" s="60" t="s">
        <v>12</v>
      </c>
      <c r="H895" s="60" t="s">
        <v>5061</v>
      </c>
    </row>
    <row r="896" spans="1:8">
      <c r="A896" s="59" t="s">
        <v>2506</v>
      </c>
      <c r="B896" s="62">
        <v>1</v>
      </c>
      <c r="C896" s="60" t="s">
        <v>5041</v>
      </c>
      <c r="D896" s="64">
        <f>IFERROR(VLOOKUP(C896,測定点マスタ!$E$2:$F$28,2,FALSE)/VLOOKUP(A896,'焼鈍条件-3CGL'!$A$2:$B$197,2,FALSE)*60,"")</f>
        <v>0</v>
      </c>
      <c r="E896" s="66">
        <v>26.9</v>
      </c>
      <c r="F896" s="64" t="str">
        <f t="shared" si="13"/>
        <v/>
      </c>
      <c r="G896" s="60" t="s">
        <v>9</v>
      </c>
      <c r="H896" s="60" t="s">
        <v>5042</v>
      </c>
    </row>
    <row r="897" spans="1:8">
      <c r="A897" s="59" t="s">
        <v>2506</v>
      </c>
      <c r="B897" s="62">
        <v>2</v>
      </c>
      <c r="C897" s="60" t="s">
        <v>5043</v>
      </c>
      <c r="D897" s="64">
        <f>IFERROR(VLOOKUP(C897,測定点マスタ!$E$2:$F$28,2,FALSE)/VLOOKUP(A897,'焼鈍条件-3CGL'!$A$2:$B$197,2,FALSE)*60,"")</f>
        <v>9.6322616550366025</v>
      </c>
      <c r="E897" s="66">
        <v>186.3</v>
      </c>
      <c r="F897" s="64">
        <f t="shared" si="13"/>
        <v>16.54855377777778</v>
      </c>
      <c r="G897" s="60" t="s">
        <v>9</v>
      </c>
      <c r="H897" s="60" t="s">
        <v>5042</v>
      </c>
    </row>
    <row r="898" spans="1:8">
      <c r="A898" s="59" t="s">
        <v>2506</v>
      </c>
      <c r="B898" s="62">
        <v>3</v>
      </c>
      <c r="C898" s="60" t="s">
        <v>5067</v>
      </c>
      <c r="D898" s="64">
        <f>IFERROR(VLOOKUP(C898,測定点マスタ!$E$2:$F$28,2,FALSE)/VLOOKUP(A898,'焼鈍条件-3CGL'!$A$2:$B$197,2,FALSE)*60,"")</f>
        <v>16.053769425061002</v>
      </c>
      <c r="E898" s="66">
        <v>405.8</v>
      </c>
      <c r="F898" s="64">
        <f t="shared" ref="F898:F961" si="14">IF(A898=A897,IFERROR((E898-E897)/(D898-D897),""),"")</f>
        <v>34.182003333333341</v>
      </c>
      <c r="G898" s="60" t="s">
        <v>9</v>
      </c>
      <c r="H898" s="60" t="s">
        <v>5042</v>
      </c>
    </row>
    <row r="899" spans="1:8">
      <c r="A899" s="59" t="s">
        <v>2506</v>
      </c>
      <c r="B899" s="62">
        <v>4</v>
      </c>
      <c r="C899" s="60" t="s">
        <v>5044</v>
      </c>
      <c r="D899" s="64">
        <f>IFERROR(VLOOKUP(C899,測定点マスタ!$E$2:$F$28,2,FALSE)/VLOOKUP(A899,'焼鈍条件-3CGL'!$A$2:$B$197,2,FALSE)*60,"")</f>
        <v>21.833126418082966</v>
      </c>
      <c r="E899" s="66">
        <v>676.4</v>
      </c>
      <c r="F899" s="64">
        <f t="shared" si="14"/>
        <v>46.82181777777776</v>
      </c>
      <c r="G899" s="60" t="s">
        <v>9</v>
      </c>
      <c r="H899" s="60" t="s">
        <v>5042</v>
      </c>
    </row>
    <row r="900" spans="1:8">
      <c r="A900" s="59" t="s">
        <v>2506</v>
      </c>
      <c r="B900" s="62">
        <v>5</v>
      </c>
      <c r="C900" s="60" t="s">
        <v>5045</v>
      </c>
      <c r="D900" s="64">
        <f>IFERROR(VLOOKUP(C900,測定点マスタ!$E$2:$F$28,2,FALSE)/VLOOKUP(A900,'焼鈍条件-3CGL'!$A$2:$B$197,2,FALSE)*60,"")</f>
        <v>28.254634188107364</v>
      </c>
      <c r="E900" s="66">
        <v>837.2</v>
      </c>
      <c r="F900" s="64">
        <f t="shared" si="14"/>
        <v>25.040848000000025</v>
      </c>
      <c r="G900" s="60" t="s">
        <v>9</v>
      </c>
      <c r="H900" s="60" t="s">
        <v>5042</v>
      </c>
    </row>
    <row r="901" spans="1:8">
      <c r="A901" s="59" t="s">
        <v>2506</v>
      </c>
      <c r="B901" s="62">
        <v>6</v>
      </c>
      <c r="C901" s="60" t="s">
        <v>5047</v>
      </c>
      <c r="D901" s="64">
        <f>IFERROR(VLOOKUP(C901,測定点マスタ!$E$2:$F$28,2,FALSE)/VLOOKUP(A901,'焼鈍条件-3CGL'!$A$2:$B$197,2,FALSE)*60,"")</f>
        <v>38.52904662014641</v>
      </c>
      <c r="E901" s="66">
        <v>778.6</v>
      </c>
      <c r="F901" s="64">
        <f t="shared" si="14"/>
        <v>-5.7034891666666674</v>
      </c>
      <c r="G901" s="60" t="s">
        <v>9</v>
      </c>
      <c r="H901" s="60" t="s">
        <v>5042</v>
      </c>
    </row>
    <row r="902" spans="1:8">
      <c r="A902" s="59" t="s">
        <v>2506</v>
      </c>
      <c r="B902" s="62">
        <v>7</v>
      </c>
      <c r="C902" s="60" t="s">
        <v>5048</v>
      </c>
      <c r="D902" s="64">
        <f>IFERROR(VLOOKUP(C902,測定点マスタ!$E$2:$F$28,2,FALSE)/VLOOKUP(A902,'焼鈍条件-3CGL'!$A$2:$B$197,2,FALSE)*60,"")</f>
        <v>42.381951282161047</v>
      </c>
      <c r="E902" s="66">
        <v>742.8</v>
      </c>
      <c r="F902" s="64">
        <f t="shared" si="14"/>
        <v>-9.2916911111111382</v>
      </c>
      <c r="G902" s="60" t="s">
        <v>9</v>
      </c>
      <c r="H902" s="60" t="s">
        <v>5042</v>
      </c>
    </row>
    <row r="903" spans="1:8">
      <c r="A903" s="59" t="s">
        <v>2506</v>
      </c>
      <c r="B903" s="62">
        <v>8</v>
      </c>
      <c r="C903" s="60" t="s">
        <v>5049</v>
      </c>
      <c r="D903" s="64">
        <f>IFERROR(VLOOKUP(C903,測定点マスタ!$E$2:$F$28,2,FALSE)/VLOOKUP(A903,'焼鈍条件-3CGL'!$A$2:$B$197,2,FALSE)*60,"")</f>
        <v>46.877006721178127</v>
      </c>
      <c r="E903" s="66">
        <v>637</v>
      </c>
      <c r="F903" s="64">
        <f t="shared" si="14"/>
        <v>-23.536973333333332</v>
      </c>
      <c r="G903" s="60" t="s">
        <v>9</v>
      </c>
      <c r="H903" s="60" t="s">
        <v>5042</v>
      </c>
    </row>
    <row r="904" spans="1:8">
      <c r="A904" s="59" t="s">
        <v>2506</v>
      </c>
      <c r="B904" s="62">
        <v>9</v>
      </c>
      <c r="C904" s="60" t="s">
        <v>5050</v>
      </c>
      <c r="D904" s="64">
        <f>IFERROR(VLOOKUP(C904,測定点マスタ!$E$2:$F$28,2,FALSE)/VLOOKUP(A904,'焼鈍条件-3CGL'!$A$2:$B$197,2,FALSE)*60,"")</f>
        <v>52.014212937197648</v>
      </c>
      <c r="E904" s="66">
        <v>500.4</v>
      </c>
      <c r="F904" s="64">
        <f t="shared" si="14"/>
        <v>-26.590328333333339</v>
      </c>
      <c r="G904" s="60" t="s">
        <v>9</v>
      </c>
      <c r="H904" s="60" t="s">
        <v>5042</v>
      </c>
    </row>
    <row r="905" spans="1:8">
      <c r="A905" s="59" t="s">
        <v>2506</v>
      </c>
      <c r="B905" s="62">
        <v>10</v>
      </c>
      <c r="C905" s="60" t="s">
        <v>5051</v>
      </c>
      <c r="D905" s="64">
        <f>IFERROR(VLOOKUP(C905,測定点マスタ!$E$2:$F$28,2,FALSE)/VLOOKUP(A905,'焼鈍条件-3CGL'!$A$2:$B$197,2,FALSE)*60,"")</f>
        <v>56.509268376214727</v>
      </c>
      <c r="E905" s="66">
        <v>477.1</v>
      </c>
      <c r="F905" s="64">
        <f t="shared" si="14"/>
        <v>-5.1834733333333256</v>
      </c>
      <c r="G905" s="60" t="s">
        <v>9</v>
      </c>
      <c r="H905" s="60" t="s">
        <v>5042</v>
      </c>
    </row>
    <row r="906" spans="1:8">
      <c r="A906" s="59" t="s">
        <v>2506</v>
      </c>
      <c r="B906" s="62">
        <v>11</v>
      </c>
      <c r="C906" s="60" t="s">
        <v>5052</v>
      </c>
      <c r="D906" s="64">
        <f>IFERROR(VLOOKUP(C906,測定点マスタ!$E$2:$F$28,2,FALSE)/VLOOKUP(A906,'焼鈍条件-3CGL'!$A$2:$B$197,2,FALSE)*60,"")</f>
        <v>62.288625369236691</v>
      </c>
      <c r="E906" s="66">
        <v>367.3</v>
      </c>
      <c r="F906" s="64">
        <f t="shared" si="14"/>
        <v>-18.99865333333333</v>
      </c>
      <c r="G906" s="60" t="s">
        <v>9</v>
      </c>
      <c r="H906" s="60" t="s">
        <v>5042</v>
      </c>
    </row>
    <row r="907" spans="1:8">
      <c r="A907" s="59" t="s">
        <v>2506</v>
      </c>
      <c r="B907" s="62">
        <v>12</v>
      </c>
      <c r="C907" s="60" t="s">
        <v>5069</v>
      </c>
      <c r="D907" s="64">
        <f>IFERROR(VLOOKUP(C907,測定点マスタ!$E$2:$F$28,2,FALSE)/VLOOKUP(A907,'焼鈍条件-3CGL'!$A$2:$B$197,2,FALSE)*60,"")</f>
        <v>66.783680808253777</v>
      </c>
      <c r="E907" s="66">
        <v>527.1</v>
      </c>
      <c r="F907" s="64">
        <f t="shared" si="14"/>
        <v>35.550173333333291</v>
      </c>
      <c r="G907" s="60" t="s">
        <v>9</v>
      </c>
      <c r="H907" s="60" t="s">
        <v>5042</v>
      </c>
    </row>
    <row r="908" spans="1:8">
      <c r="A908" s="59" t="s">
        <v>2506</v>
      </c>
      <c r="B908" s="62">
        <v>13</v>
      </c>
      <c r="C908" s="60" t="s">
        <v>5053</v>
      </c>
      <c r="D908" s="64">
        <f>IFERROR(VLOOKUP(C908,測定点マスタ!$E$2:$F$28,2,FALSE)/VLOOKUP(A908,'焼鈍条件-3CGL'!$A$2:$B$197,2,FALSE)*60,"")</f>
        <v>69.994434693265973</v>
      </c>
      <c r="E908" s="66">
        <v>544.20000000000005</v>
      </c>
      <c r="F908" s="64">
        <f t="shared" si="14"/>
        <v>5.3258520000000162</v>
      </c>
      <c r="G908" s="60" t="s">
        <v>9</v>
      </c>
      <c r="H908" s="60" t="s">
        <v>5042</v>
      </c>
    </row>
    <row r="909" spans="1:8">
      <c r="A909" s="59" t="s">
        <v>2506</v>
      </c>
      <c r="B909" s="62">
        <v>14</v>
      </c>
      <c r="C909" s="60" t="s">
        <v>5063</v>
      </c>
      <c r="D909" s="64">
        <f>IFERROR(VLOOKUP(C909,測定点マスタ!$E$2:$F$28,2,FALSE)/VLOOKUP(A909,'焼鈍条件-3CGL'!$A$2:$B$197,2,FALSE)*60,"")</f>
        <v>73.84733935528061</v>
      </c>
      <c r="E909" s="66">
        <v>541.5</v>
      </c>
      <c r="F909" s="64">
        <f t="shared" si="14"/>
        <v>-0.70077000000001244</v>
      </c>
      <c r="G909" s="60" t="s">
        <v>9</v>
      </c>
      <c r="H909" s="60" t="s">
        <v>5042</v>
      </c>
    </row>
    <row r="910" spans="1:8">
      <c r="A910" s="59" t="s">
        <v>2506</v>
      </c>
      <c r="B910" s="62">
        <v>15</v>
      </c>
      <c r="C910" s="60" t="s">
        <v>5054</v>
      </c>
      <c r="D910" s="64">
        <f>IFERROR(VLOOKUP(C910,測定点マスタ!$E$2:$F$28,2,FALSE)/VLOOKUP(A910,'焼鈍条件-3CGL'!$A$2:$B$197,2,FALSE)*60,"")</f>
        <v>78.342394794297704</v>
      </c>
      <c r="E910" s="66">
        <v>518.5</v>
      </c>
      <c r="F910" s="64">
        <f t="shared" si="14"/>
        <v>-5.1167333333333191</v>
      </c>
      <c r="G910" s="60" t="s">
        <v>9</v>
      </c>
      <c r="H910" s="60" t="s">
        <v>5042</v>
      </c>
    </row>
    <row r="911" spans="1:8">
      <c r="A911" s="59" t="s">
        <v>2506</v>
      </c>
      <c r="B911" s="62">
        <v>16</v>
      </c>
      <c r="C911" s="60" t="s">
        <v>5056</v>
      </c>
      <c r="D911" s="64">
        <f>IFERROR(VLOOKUP(C911,測定点マスタ!$E$2:$F$28,2,FALSE)/VLOOKUP(A911,'焼鈍条件-3CGL'!$A$2:$B$197,2,FALSE)*60,"")</f>
        <v>85.406053341324537</v>
      </c>
      <c r="E911" s="66">
        <v>263.3</v>
      </c>
      <c r="F911" s="64">
        <f t="shared" si="14"/>
        <v>-36.128586666666713</v>
      </c>
      <c r="G911" s="60" t="s">
        <v>9</v>
      </c>
      <c r="H911" s="60" t="s">
        <v>5042</v>
      </c>
    </row>
    <row r="912" spans="1:8">
      <c r="A912" s="59" t="s">
        <v>2506</v>
      </c>
      <c r="B912" s="62">
        <v>17</v>
      </c>
      <c r="C912" s="60" t="s">
        <v>5068</v>
      </c>
      <c r="D912" s="64">
        <f>IFERROR(VLOOKUP(C912,測定点マスタ!$E$2:$F$28,2,FALSE)/VLOOKUP(A912,'焼鈍条件-3CGL'!$A$2:$B$197,2,FALSE)*60,"")</f>
        <v>102.01023771810202</v>
      </c>
      <c r="E912" s="66">
        <v>324.10000000000002</v>
      </c>
      <c r="F912" s="64">
        <f t="shared" si="14"/>
        <v>3.6617275874769581</v>
      </c>
      <c r="G912" s="60" t="s">
        <v>9</v>
      </c>
      <c r="H912" s="60" t="s">
        <v>5042</v>
      </c>
    </row>
    <row r="913" spans="1:8">
      <c r="A913" s="59" t="s">
        <v>2506</v>
      </c>
      <c r="B913" s="62">
        <v>18</v>
      </c>
      <c r="C913" s="60" t="s">
        <v>5057</v>
      </c>
      <c r="D913" s="64">
        <f>IFERROR(VLOOKUP(C913,測定点マスタ!$E$2:$F$28,2,FALSE)/VLOOKUP(A913,'焼鈍条件-3CGL'!$A$2:$B$197,2,FALSE)*60,"")</f>
        <v>105.88607633643798</v>
      </c>
      <c r="E913" s="66">
        <v>275</v>
      </c>
      <c r="F913" s="64">
        <f t="shared" si="14"/>
        <v>-12.668226114399065</v>
      </c>
      <c r="G913" s="60" t="s">
        <v>9</v>
      </c>
      <c r="H913" s="60" t="s">
        <v>5042</v>
      </c>
    </row>
    <row r="914" spans="1:8">
      <c r="A914" s="59" t="s">
        <v>2506</v>
      </c>
      <c r="B914" s="62">
        <v>19</v>
      </c>
      <c r="C914" s="60" t="s">
        <v>5058</v>
      </c>
      <c r="D914" s="64">
        <f>IFERROR(VLOOKUP(C914,測定点マスタ!$E$2:$F$28,2,FALSE)/VLOOKUP(A914,'焼鈍条件-3CGL'!$A$2:$B$197,2,FALSE)*60,"")</f>
        <v>109.76191495477394</v>
      </c>
      <c r="E914" s="66">
        <v>126.9</v>
      </c>
      <c r="F914" s="64">
        <f t="shared" si="14"/>
        <v>-38.211085285997974</v>
      </c>
      <c r="G914" s="60" t="s">
        <v>9</v>
      </c>
      <c r="H914" s="60" t="s">
        <v>5042</v>
      </c>
    </row>
    <row r="915" spans="1:8">
      <c r="A915" s="59" t="s">
        <v>2506</v>
      </c>
      <c r="B915" s="62">
        <v>20</v>
      </c>
      <c r="C915" s="60" t="s">
        <v>5059</v>
      </c>
      <c r="D915" s="64">
        <f>IFERROR(VLOOKUP(C915,測定点マスタ!$E$2:$F$28,2,FALSE)/VLOOKUP(A915,'焼鈍条件-3CGL'!$A$2:$B$197,2,FALSE)*60,"")</f>
        <v>113.63775357311059</v>
      </c>
      <c r="E915" s="66">
        <v>68.400000000000006</v>
      </c>
      <c r="F915" s="64">
        <f t="shared" si="14"/>
        <v>-15.093507692305796</v>
      </c>
      <c r="G915" s="60" t="s">
        <v>9</v>
      </c>
      <c r="H915" s="60" t="s">
        <v>5042</v>
      </c>
    </row>
    <row r="916" spans="1:8">
      <c r="A916" s="59" t="s">
        <v>2521</v>
      </c>
      <c r="B916" s="62">
        <v>1</v>
      </c>
      <c r="C916" s="60" t="s">
        <v>5041</v>
      </c>
      <c r="D916" s="64">
        <f>IFERROR(VLOOKUP(C916,測定点マスタ!$E$2:$F$28,2,FALSE)/VLOOKUP(A916,'焼鈍条件-3CGL'!$A$2:$B$197,2,FALSE)*60,"")</f>
        <v>0</v>
      </c>
      <c r="E916" s="66">
        <v>39.6</v>
      </c>
      <c r="F916" s="64" t="str">
        <f t="shared" si="14"/>
        <v/>
      </c>
      <c r="G916" s="60" t="s">
        <v>9</v>
      </c>
      <c r="H916" s="60" t="s">
        <v>5042</v>
      </c>
    </row>
    <row r="917" spans="1:8">
      <c r="A917" s="59" t="s">
        <v>2521</v>
      </c>
      <c r="B917" s="62">
        <v>2</v>
      </c>
      <c r="C917" s="60" t="s">
        <v>5043</v>
      </c>
      <c r="D917" s="64">
        <f>IFERROR(VLOOKUP(C917,測定点マスタ!$E$2:$F$28,2,FALSE)/VLOOKUP(A917,'焼鈍条件-3CGL'!$A$2:$B$197,2,FALSE)*60,"")</f>
        <v>10.675523397188778</v>
      </c>
      <c r="E917" s="66">
        <v>196.4</v>
      </c>
      <c r="F917" s="64">
        <f t="shared" si="14"/>
        <v>14.687804444444447</v>
      </c>
      <c r="G917" s="60" t="s">
        <v>9</v>
      </c>
      <c r="H917" s="60" t="s">
        <v>5042</v>
      </c>
    </row>
    <row r="918" spans="1:8">
      <c r="A918" s="59" t="s">
        <v>2521</v>
      </c>
      <c r="B918" s="62">
        <v>3</v>
      </c>
      <c r="C918" s="60" t="s">
        <v>5044</v>
      </c>
      <c r="D918" s="64">
        <f>IFERROR(VLOOKUP(C918,測定点マスタ!$E$2:$F$28,2,FALSE)/VLOOKUP(A918,'焼鈍条件-3CGL'!$A$2:$B$197,2,FALSE)*60,"")</f>
        <v>24.197853033627897</v>
      </c>
      <c r="E918" s="66">
        <v>688.4</v>
      </c>
      <c r="F918" s="64">
        <f t="shared" si="14"/>
        <v>36.384263157894736</v>
      </c>
      <c r="G918" s="60" t="s">
        <v>9</v>
      </c>
      <c r="H918" s="60" t="s">
        <v>5042</v>
      </c>
    </row>
    <row r="919" spans="1:8">
      <c r="A919" s="59" t="s">
        <v>2521</v>
      </c>
      <c r="B919" s="62">
        <v>4</v>
      </c>
      <c r="C919" s="60" t="s">
        <v>5045</v>
      </c>
      <c r="D919" s="64">
        <f>IFERROR(VLOOKUP(C919,測定点マスタ!$E$2:$F$28,2,FALSE)/VLOOKUP(A919,'焼鈍条件-3CGL'!$A$2:$B$197,2,FALSE)*60,"")</f>
        <v>31.314868631753747</v>
      </c>
      <c r="E919" s="66">
        <v>833.7</v>
      </c>
      <c r="F919" s="64">
        <f t="shared" si="14"/>
        <v>20.415860833333351</v>
      </c>
      <c r="G919" s="60" t="s">
        <v>9</v>
      </c>
      <c r="H919" s="60" t="s">
        <v>5042</v>
      </c>
    </row>
    <row r="920" spans="1:8">
      <c r="A920" s="59" t="s">
        <v>2521</v>
      </c>
      <c r="B920" s="62">
        <v>5</v>
      </c>
      <c r="C920" s="60" t="s">
        <v>5046</v>
      </c>
      <c r="D920" s="64">
        <f>IFERROR(VLOOKUP(C920,測定点マスタ!$E$2:$F$28,2,FALSE)/VLOOKUP(A920,'焼鈍条件-3CGL'!$A$2:$B$197,2,FALSE)*60,"")</f>
        <v>38.4318842298796</v>
      </c>
      <c r="E920" s="66">
        <v>810</v>
      </c>
      <c r="F920" s="64">
        <f t="shared" si="14"/>
        <v>-3.3300475000000063</v>
      </c>
      <c r="G920" s="60" t="s">
        <v>9</v>
      </c>
      <c r="H920" s="60" t="s">
        <v>5042</v>
      </c>
    </row>
    <row r="921" spans="1:8">
      <c r="A921" s="59" t="s">
        <v>2521</v>
      </c>
      <c r="B921" s="62">
        <v>6</v>
      </c>
      <c r="C921" s="60" t="s">
        <v>5047</v>
      </c>
      <c r="D921" s="64">
        <f>IFERROR(VLOOKUP(C921,測定点マスタ!$E$2:$F$28,2,FALSE)/VLOOKUP(A921,'焼鈍条件-3CGL'!$A$2:$B$197,2,FALSE)*60,"")</f>
        <v>42.702093588755112</v>
      </c>
      <c r="E921" s="66">
        <v>757.7</v>
      </c>
      <c r="F921" s="64">
        <f t="shared" si="14"/>
        <v>-12.247643055555544</v>
      </c>
      <c r="G921" s="60" t="s">
        <v>9</v>
      </c>
      <c r="H921" s="60" t="s">
        <v>5042</v>
      </c>
    </row>
    <row r="922" spans="1:8">
      <c r="A922" s="59" t="s">
        <v>2521</v>
      </c>
      <c r="B922" s="62">
        <v>7</v>
      </c>
      <c r="C922" s="60" t="s">
        <v>5049</v>
      </c>
      <c r="D922" s="64">
        <f>IFERROR(VLOOKUP(C922,測定点マスタ!$E$2:$F$28,2,FALSE)/VLOOKUP(A922,'焼鈍条件-3CGL'!$A$2:$B$197,2,FALSE)*60,"")</f>
        <v>51.954213866318725</v>
      </c>
      <c r="E922" s="66">
        <v>599.4</v>
      </c>
      <c r="F922" s="64">
        <f t="shared" si="14"/>
        <v>-17.109591666666667</v>
      </c>
      <c r="G922" s="60" t="s">
        <v>9</v>
      </c>
      <c r="H922" s="60" t="s">
        <v>5042</v>
      </c>
    </row>
    <row r="923" spans="1:8">
      <c r="A923" s="59" t="s">
        <v>2521</v>
      </c>
      <c r="B923" s="62">
        <v>8</v>
      </c>
      <c r="C923" s="60" t="s">
        <v>5050</v>
      </c>
      <c r="D923" s="64">
        <f>IFERROR(VLOOKUP(C923,測定点マスタ!$E$2:$F$28,2,FALSE)/VLOOKUP(A923,'焼鈍条件-3CGL'!$A$2:$B$197,2,FALSE)*60,"")</f>
        <v>57.647826344819407</v>
      </c>
      <c r="E923" s="66">
        <v>490.8</v>
      </c>
      <c r="F923" s="64">
        <f t="shared" si="14"/>
        <v>-19.074006249999993</v>
      </c>
      <c r="G923" s="60" t="s">
        <v>9</v>
      </c>
      <c r="H923" s="60" t="s">
        <v>5042</v>
      </c>
    </row>
    <row r="924" spans="1:8">
      <c r="A924" s="59" t="s">
        <v>2521</v>
      </c>
      <c r="B924" s="62">
        <v>9</v>
      </c>
      <c r="C924" s="60" t="s">
        <v>5051</v>
      </c>
      <c r="D924" s="64">
        <f>IFERROR(VLOOKUP(C924,測定点マスタ!$E$2:$F$28,2,FALSE)/VLOOKUP(A924,'焼鈍条件-3CGL'!$A$2:$B$197,2,FALSE)*60,"")</f>
        <v>62.629737263507494</v>
      </c>
      <c r="E924" s="66">
        <v>464.8</v>
      </c>
      <c r="F924" s="64">
        <f t="shared" si="14"/>
        <v>-5.2188809523809629</v>
      </c>
      <c r="G924" s="60" t="s">
        <v>9</v>
      </c>
      <c r="H924" s="60" t="s">
        <v>5042</v>
      </c>
    </row>
    <row r="925" spans="1:8">
      <c r="A925" s="59" t="s">
        <v>2521</v>
      </c>
      <c r="B925" s="62">
        <v>10</v>
      </c>
      <c r="C925" s="60" t="s">
        <v>5060</v>
      </c>
      <c r="D925" s="64">
        <f>IFERROR(VLOOKUP(C925,測定点マスタ!$E$2:$F$28,2,FALSE)/VLOOKUP(A925,'焼鈍条件-3CGL'!$A$2:$B$197,2,FALSE)*60,"")</f>
        <v>65.476543502757835</v>
      </c>
      <c r="E925" s="66">
        <v>430.7</v>
      </c>
      <c r="F925" s="64">
        <f t="shared" si="14"/>
        <v>-11.978335416666674</v>
      </c>
      <c r="G925" s="60" t="s">
        <v>9</v>
      </c>
      <c r="H925" s="60" t="s">
        <v>5042</v>
      </c>
    </row>
    <row r="926" spans="1:8">
      <c r="A926" s="59" t="s">
        <v>2521</v>
      </c>
      <c r="B926" s="62">
        <v>11</v>
      </c>
      <c r="C926" s="60" t="s">
        <v>5052</v>
      </c>
      <c r="D926" s="64">
        <f>IFERROR(VLOOKUP(C926,測定点マスタ!$E$2:$F$28,2,FALSE)/VLOOKUP(A926,'焼鈍条件-3CGL'!$A$2:$B$197,2,FALSE)*60,"")</f>
        <v>69.035051301820758</v>
      </c>
      <c r="E926" s="66">
        <v>364.4</v>
      </c>
      <c r="F926" s="64">
        <f t="shared" si="14"/>
        <v>-18.631405000000019</v>
      </c>
      <c r="G926" s="60" t="s">
        <v>9</v>
      </c>
      <c r="H926" s="60" t="s">
        <v>5042</v>
      </c>
    </row>
    <row r="927" spans="1:8">
      <c r="A927" s="59" t="s">
        <v>2521</v>
      </c>
      <c r="B927" s="62">
        <v>12</v>
      </c>
      <c r="C927" s="60" t="s">
        <v>5069</v>
      </c>
      <c r="D927" s="64">
        <f>IFERROR(VLOOKUP(C927,測定点マスタ!$E$2:$F$28,2,FALSE)/VLOOKUP(A927,'焼鈍条件-3CGL'!$A$2:$B$197,2,FALSE)*60,"")</f>
        <v>74.016962220508859</v>
      </c>
      <c r="E927" s="66">
        <v>545.1</v>
      </c>
      <c r="F927" s="64">
        <f t="shared" si="14"/>
        <v>36.271222619047599</v>
      </c>
      <c r="G927" s="60" t="s">
        <v>9</v>
      </c>
      <c r="H927" s="60" t="s">
        <v>5042</v>
      </c>
    </row>
    <row r="928" spans="1:8">
      <c r="A928" s="59" t="s">
        <v>2521</v>
      </c>
      <c r="B928" s="62">
        <v>13</v>
      </c>
      <c r="C928" s="60" t="s">
        <v>5053</v>
      </c>
      <c r="D928" s="64">
        <f>IFERROR(VLOOKUP(C928,測定点マスタ!$E$2:$F$28,2,FALSE)/VLOOKUP(A928,'焼鈍条件-3CGL'!$A$2:$B$197,2,FALSE)*60,"")</f>
        <v>77.575470019571782</v>
      </c>
      <c r="E928" s="66">
        <v>561.70000000000005</v>
      </c>
      <c r="F928" s="64">
        <f t="shared" si="14"/>
        <v>4.664876666666677</v>
      </c>
      <c r="G928" s="60" t="s">
        <v>9</v>
      </c>
      <c r="H928" s="60" t="s">
        <v>5042</v>
      </c>
    </row>
    <row r="929" spans="1:8">
      <c r="A929" s="59" t="s">
        <v>2521</v>
      </c>
      <c r="B929" s="62">
        <v>14</v>
      </c>
      <c r="C929" s="60" t="s">
        <v>5054</v>
      </c>
      <c r="D929" s="64">
        <f>IFERROR(VLOOKUP(C929,測定点マスタ!$E$2:$F$28,2,FALSE)/VLOOKUP(A929,'焼鈍条件-3CGL'!$A$2:$B$197,2,FALSE)*60,"")</f>
        <v>86.827590297135401</v>
      </c>
      <c r="E929" s="66">
        <v>550.20000000000005</v>
      </c>
      <c r="F929" s="64">
        <f t="shared" si="14"/>
        <v>-1.2429583333333318</v>
      </c>
      <c r="G929" s="60" t="s">
        <v>9</v>
      </c>
      <c r="H929" s="60" t="s">
        <v>5042</v>
      </c>
    </row>
    <row r="930" spans="1:8">
      <c r="A930" s="59" t="s">
        <v>2521</v>
      </c>
      <c r="B930" s="62">
        <v>15</v>
      </c>
      <c r="C930" s="60" t="s">
        <v>5056</v>
      </c>
      <c r="D930" s="64">
        <f>IFERROR(VLOOKUP(C930,測定点マスタ!$E$2:$F$28,2,FALSE)/VLOOKUP(A930,'焼鈍条件-3CGL'!$A$2:$B$197,2,FALSE)*60,"")</f>
        <v>94.656307455073829</v>
      </c>
      <c r="E930" s="66">
        <v>291.60000000000002</v>
      </c>
      <c r="F930" s="64">
        <f t="shared" si="14"/>
        <v>-33.032231818181863</v>
      </c>
      <c r="G930" s="60" t="s">
        <v>9</v>
      </c>
      <c r="H930" s="60" t="s">
        <v>5042</v>
      </c>
    </row>
    <row r="931" spans="1:8">
      <c r="A931" s="59" t="s">
        <v>2521</v>
      </c>
      <c r="B931" s="62">
        <v>16</v>
      </c>
      <c r="C931" s="60" t="s">
        <v>5057</v>
      </c>
      <c r="D931" s="64">
        <f>IFERROR(VLOOKUP(C931,測定点マスタ!$E$2:$F$28,2,FALSE)/VLOOKUP(A931,'焼鈍条件-3CGL'!$A$2:$B$197,2,FALSE)*60,"")</f>
        <v>117.3545036305251</v>
      </c>
      <c r="E931" s="66">
        <v>202.3</v>
      </c>
      <c r="F931" s="64">
        <f t="shared" si="14"/>
        <v>-3.9342333333333523</v>
      </c>
      <c r="G931" s="60" t="s">
        <v>9</v>
      </c>
      <c r="H931" s="60" t="s">
        <v>5042</v>
      </c>
    </row>
    <row r="932" spans="1:8">
      <c r="A932" s="59" t="s">
        <v>2521</v>
      </c>
      <c r="B932" s="62">
        <v>17</v>
      </c>
      <c r="C932" s="60" t="s">
        <v>5059</v>
      </c>
      <c r="D932" s="64">
        <f>IFERROR(VLOOKUP(C932,測定点マスタ!$E$2:$F$28,2,FALSE)/VLOOKUP(A932,'焼鈍条件-3CGL'!$A$2:$B$197,2,FALSE)*60,"")</f>
        <v>125.94575817397735</v>
      </c>
      <c r="E932" s="66">
        <v>71</v>
      </c>
      <c r="F932" s="64">
        <f t="shared" si="14"/>
        <v>-15.28298333333275</v>
      </c>
      <c r="G932" s="60" t="s">
        <v>9</v>
      </c>
      <c r="H932" s="60" t="s">
        <v>5042</v>
      </c>
    </row>
    <row r="933" spans="1:8">
      <c r="A933" s="59" t="s">
        <v>2544</v>
      </c>
      <c r="B933" s="62">
        <v>1</v>
      </c>
      <c r="C933" s="60" t="s">
        <v>5041</v>
      </c>
      <c r="D933" s="64">
        <f>IFERROR(VLOOKUP(C933,測定点マスタ!$E$2:$F$28,2,FALSE)/VLOOKUP(A933,'焼鈍条件-3CGL'!$A$2:$B$197,2,FALSE)*60,"")</f>
        <v>0</v>
      </c>
      <c r="E933" s="66">
        <v>34.4</v>
      </c>
      <c r="F933" s="64" t="str">
        <f t="shared" si="14"/>
        <v/>
      </c>
      <c r="G933" s="60" t="s">
        <v>12</v>
      </c>
      <c r="H933" s="60" t="s">
        <v>5042</v>
      </c>
    </row>
    <row r="934" spans="1:8">
      <c r="A934" s="59" t="s">
        <v>2544</v>
      </c>
      <c r="B934" s="62">
        <v>2</v>
      </c>
      <c r="C934" s="60" t="s">
        <v>5043</v>
      </c>
      <c r="D934" s="64">
        <f>IFERROR(VLOOKUP(C934,測定点マスタ!$E$2:$F$28,2,FALSE)/VLOOKUP(A934,'焼鈍条件-3CGL'!$A$2:$B$197,2,FALSE)*60,"")</f>
        <v>5.454545454545455</v>
      </c>
      <c r="E934" s="66">
        <v>175.3</v>
      </c>
      <c r="F934" s="64">
        <f t="shared" si="14"/>
        <v>25.831666666666667</v>
      </c>
      <c r="G934" s="60" t="s">
        <v>12</v>
      </c>
      <c r="H934" s="60" t="s">
        <v>5042</v>
      </c>
    </row>
    <row r="935" spans="1:8">
      <c r="A935" s="59" t="s">
        <v>2544</v>
      </c>
      <c r="B935" s="62">
        <v>3</v>
      </c>
      <c r="C935" s="60" t="s">
        <v>5044</v>
      </c>
      <c r="D935" s="64">
        <f>IFERROR(VLOOKUP(C935,測定点マスタ!$E$2:$F$28,2,FALSE)/VLOOKUP(A935,'焼鈍条件-3CGL'!$A$2:$B$197,2,FALSE)*60,"")</f>
        <v>12.363636363636363</v>
      </c>
      <c r="E935" s="66">
        <v>635.20000000000005</v>
      </c>
      <c r="F935" s="64">
        <f t="shared" si="14"/>
        <v>66.56447368421054</v>
      </c>
      <c r="G935" s="60" t="s">
        <v>12</v>
      </c>
      <c r="H935" s="60" t="s">
        <v>5042</v>
      </c>
    </row>
    <row r="936" spans="1:8">
      <c r="A936" s="59" t="s">
        <v>2544</v>
      </c>
      <c r="B936" s="62">
        <v>4</v>
      </c>
      <c r="C936" s="60" t="s">
        <v>5045</v>
      </c>
      <c r="D936" s="64">
        <f>IFERROR(VLOOKUP(C936,測定点マスタ!$E$2:$F$28,2,FALSE)/VLOOKUP(A936,'焼鈍条件-3CGL'!$A$2:$B$197,2,FALSE)*60,"")</f>
        <v>16</v>
      </c>
      <c r="E936" s="66">
        <v>763.1</v>
      </c>
      <c r="F936" s="64">
        <f t="shared" si="14"/>
        <v>35.172499999999992</v>
      </c>
      <c r="G936" s="60" t="s">
        <v>12</v>
      </c>
      <c r="H936" s="60" t="s">
        <v>5042</v>
      </c>
    </row>
    <row r="937" spans="1:8">
      <c r="A937" s="59" t="s">
        <v>2544</v>
      </c>
      <c r="B937" s="62">
        <v>5</v>
      </c>
      <c r="C937" s="60" t="s">
        <v>5047</v>
      </c>
      <c r="D937" s="64">
        <f>IFERROR(VLOOKUP(C937,測定点マスタ!$E$2:$F$28,2,FALSE)/VLOOKUP(A937,'焼鈍条件-3CGL'!$A$2:$B$197,2,FALSE)*60,"")</f>
        <v>21.81818181818182</v>
      </c>
      <c r="E937" s="66">
        <v>703.5</v>
      </c>
      <c r="F937" s="64">
        <f t="shared" si="14"/>
        <v>-10.24375</v>
      </c>
      <c r="G937" s="60" t="s">
        <v>12</v>
      </c>
      <c r="H937" s="60" t="s">
        <v>5042</v>
      </c>
    </row>
    <row r="938" spans="1:8">
      <c r="A938" s="59" t="s">
        <v>2544</v>
      </c>
      <c r="B938" s="62">
        <v>6</v>
      </c>
      <c r="C938" s="60" t="s">
        <v>5048</v>
      </c>
      <c r="D938" s="64">
        <f>IFERROR(VLOOKUP(C938,測定点マスタ!$E$2:$F$28,2,FALSE)/VLOOKUP(A938,'焼鈍条件-3CGL'!$A$2:$B$197,2,FALSE)*60,"")</f>
        <v>24</v>
      </c>
      <c r="E938" s="66">
        <v>643</v>
      </c>
      <c r="F938" s="64">
        <f t="shared" si="14"/>
        <v>-27.729166666666693</v>
      </c>
      <c r="G938" s="60" t="s">
        <v>12</v>
      </c>
      <c r="H938" s="60" t="s">
        <v>5042</v>
      </c>
    </row>
    <row r="939" spans="1:8">
      <c r="A939" s="59" t="s">
        <v>2544</v>
      </c>
      <c r="B939" s="62">
        <v>7</v>
      </c>
      <c r="C939" s="60" t="s">
        <v>5049</v>
      </c>
      <c r="D939" s="64">
        <f>IFERROR(VLOOKUP(C939,測定点マスタ!$E$2:$F$28,2,FALSE)/VLOOKUP(A939,'焼鈍条件-3CGL'!$A$2:$B$197,2,FALSE)*60,"")</f>
        <v>26.545454545454547</v>
      </c>
      <c r="E939" s="66">
        <v>539.4</v>
      </c>
      <c r="F939" s="64">
        <f t="shared" si="14"/>
        <v>-40.699999999999989</v>
      </c>
      <c r="G939" s="60" t="s">
        <v>12</v>
      </c>
      <c r="H939" s="60" t="s">
        <v>5042</v>
      </c>
    </row>
    <row r="940" spans="1:8">
      <c r="A940" s="59" t="s">
        <v>2544</v>
      </c>
      <c r="B940" s="62">
        <v>8</v>
      </c>
      <c r="C940" s="60" t="s">
        <v>5050</v>
      </c>
      <c r="D940" s="64">
        <f>IFERROR(VLOOKUP(C940,測定点マスタ!$E$2:$F$28,2,FALSE)/VLOOKUP(A940,'焼鈍条件-3CGL'!$A$2:$B$197,2,FALSE)*60,"")</f>
        <v>29.454545454545453</v>
      </c>
      <c r="E940" s="66">
        <v>468.5</v>
      </c>
      <c r="F940" s="64">
        <f t="shared" si="14"/>
        <v>-24.371875000000014</v>
      </c>
      <c r="G940" s="60" t="s">
        <v>12</v>
      </c>
      <c r="H940" s="60" t="s">
        <v>5042</v>
      </c>
    </row>
    <row r="941" spans="1:8">
      <c r="A941" s="59" t="s">
        <v>2544</v>
      </c>
      <c r="B941" s="62">
        <v>9</v>
      </c>
      <c r="C941" s="60" t="s">
        <v>5051</v>
      </c>
      <c r="D941" s="64">
        <f>IFERROR(VLOOKUP(C941,測定点マスタ!$E$2:$F$28,2,FALSE)/VLOOKUP(A941,'焼鈍条件-3CGL'!$A$2:$B$197,2,FALSE)*60,"")</f>
        <v>32</v>
      </c>
      <c r="E941" s="66">
        <v>413.7</v>
      </c>
      <c r="F941" s="64">
        <f t="shared" si="14"/>
        <v>-21.528571428571421</v>
      </c>
      <c r="G941" s="60" t="s">
        <v>12</v>
      </c>
      <c r="H941" s="60" t="s">
        <v>5042</v>
      </c>
    </row>
    <row r="942" spans="1:8">
      <c r="A942" s="59" t="s">
        <v>2544</v>
      </c>
      <c r="B942" s="62">
        <v>10</v>
      </c>
      <c r="C942" s="60" t="s">
        <v>5052</v>
      </c>
      <c r="D942" s="64">
        <f>IFERROR(VLOOKUP(C942,測定点マスタ!$E$2:$F$28,2,FALSE)/VLOOKUP(A942,'焼鈍条件-3CGL'!$A$2:$B$197,2,FALSE)*60,"")</f>
        <v>35.272727272727273</v>
      </c>
      <c r="E942" s="66">
        <v>345.6</v>
      </c>
      <c r="F942" s="64">
        <f t="shared" si="14"/>
        <v>-20.808333333333319</v>
      </c>
      <c r="G942" s="60" t="s">
        <v>12</v>
      </c>
      <c r="H942" s="60" t="s">
        <v>5042</v>
      </c>
    </row>
    <row r="943" spans="1:8">
      <c r="A943" s="59" t="s">
        <v>2544</v>
      </c>
      <c r="B943" s="62">
        <v>11</v>
      </c>
      <c r="C943" s="60" t="s">
        <v>5053</v>
      </c>
      <c r="D943" s="64">
        <f>IFERROR(VLOOKUP(C943,測定点マスタ!$E$2:$F$28,2,FALSE)/VLOOKUP(A943,'焼鈍条件-3CGL'!$A$2:$B$197,2,FALSE)*60,"")</f>
        <v>39.63636363636364</v>
      </c>
      <c r="E943" s="66">
        <v>511.6</v>
      </c>
      <c r="F943" s="64">
        <f t="shared" si="14"/>
        <v>38.041666666666636</v>
      </c>
      <c r="G943" s="60" t="s">
        <v>12</v>
      </c>
      <c r="H943" s="60" t="s">
        <v>5042</v>
      </c>
    </row>
    <row r="944" spans="1:8">
      <c r="A944" s="59" t="s">
        <v>2544</v>
      </c>
      <c r="B944" s="62">
        <v>12</v>
      </c>
      <c r="C944" s="60" t="s">
        <v>5054</v>
      </c>
      <c r="D944" s="64">
        <f>IFERROR(VLOOKUP(C944,測定点マスタ!$E$2:$F$28,2,FALSE)/VLOOKUP(A944,'焼鈍条件-3CGL'!$A$2:$B$197,2,FALSE)*60,"")</f>
        <v>44.36363636363636</v>
      </c>
      <c r="E944" s="66">
        <v>492.5</v>
      </c>
      <c r="F944" s="64">
        <f t="shared" si="14"/>
        <v>-4.0403846153846272</v>
      </c>
      <c r="G944" s="60" t="s">
        <v>12</v>
      </c>
      <c r="H944" s="60" t="s">
        <v>5042</v>
      </c>
    </row>
    <row r="945" spans="1:8">
      <c r="A945" s="59" t="s">
        <v>2544</v>
      </c>
      <c r="B945" s="62">
        <v>13</v>
      </c>
      <c r="C945" s="60" t="s">
        <v>5055</v>
      </c>
      <c r="D945" s="64">
        <f>IFERROR(VLOOKUP(C945,測定点マスタ!$E$2:$F$28,2,FALSE)/VLOOKUP(A945,'焼鈍条件-3CGL'!$A$2:$B$197,2,FALSE)*60,"")</f>
        <v>46.18181818181818</v>
      </c>
      <c r="E945" s="66">
        <v>500.7</v>
      </c>
      <c r="F945" s="64">
        <f t="shared" si="14"/>
        <v>4.5099999999999891</v>
      </c>
      <c r="G945" s="60" t="s">
        <v>12</v>
      </c>
      <c r="H945" s="60" t="s">
        <v>5042</v>
      </c>
    </row>
    <row r="946" spans="1:8">
      <c r="A946" s="59" t="s">
        <v>2544</v>
      </c>
      <c r="B946" s="62">
        <v>14</v>
      </c>
      <c r="C946" s="60" t="s">
        <v>5056</v>
      </c>
      <c r="D946" s="64">
        <f>IFERROR(VLOOKUP(C946,測定点マスタ!$E$2:$F$28,2,FALSE)/VLOOKUP(A946,'焼鈍条件-3CGL'!$A$2:$B$197,2,FALSE)*60,"")</f>
        <v>48.36363636363636</v>
      </c>
      <c r="E946" s="66">
        <v>248.5</v>
      </c>
      <c r="F946" s="64">
        <f t="shared" si="14"/>
        <v>-115.59166666666677</v>
      </c>
      <c r="G946" s="60" t="s">
        <v>12</v>
      </c>
      <c r="H946" s="60" t="s">
        <v>5042</v>
      </c>
    </row>
    <row r="947" spans="1:8">
      <c r="A947" s="59" t="s">
        <v>2544</v>
      </c>
      <c r="B947" s="62">
        <v>15</v>
      </c>
      <c r="C947" s="60" t="s">
        <v>5068</v>
      </c>
      <c r="D947" s="64">
        <f>IFERROR(VLOOKUP(C947,測定点マスタ!$E$2:$F$28,2,FALSE)/VLOOKUP(A947,'焼鈍条件-3CGL'!$A$2:$B$197,2,FALSE)*60,"")</f>
        <v>57.766233766233817</v>
      </c>
      <c r="E947" s="66">
        <v>408.9</v>
      </c>
      <c r="F947" s="64">
        <f t="shared" si="14"/>
        <v>17.059116022099346</v>
      </c>
      <c r="G947" s="60" t="s">
        <v>12</v>
      </c>
      <c r="H947" s="60" t="s">
        <v>5042</v>
      </c>
    </row>
    <row r="948" spans="1:8">
      <c r="A948" s="59" t="s">
        <v>2544</v>
      </c>
      <c r="B948" s="62">
        <v>16</v>
      </c>
      <c r="C948" s="60" t="s">
        <v>5057</v>
      </c>
      <c r="D948" s="64">
        <f>IFERROR(VLOOKUP(C948,測定点マスタ!$E$2:$F$28,2,FALSE)/VLOOKUP(A948,'焼鈍条件-3CGL'!$A$2:$B$197,2,FALSE)*60,"")</f>
        <v>59.961038961038909</v>
      </c>
      <c r="E948" s="66">
        <v>218.7</v>
      </c>
      <c r="F948" s="64">
        <f t="shared" si="14"/>
        <v>-86.659171597637197</v>
      </c>
      <c r="G948" s="60" t="s">
        <v>12</v>
      </c>
      <c r="H948" s="60" t="s">
        <v>5042</v>
      </c>
    </row>
    <row r="949" spans="1:8">
      <c r="A949" s="59" t="s">
        <v>2544</v>
      </c>
      <c r="B949" s="62">
        <v>17</v>
      </c>
      <c r="C949" s="60" t="s">
        <v>5059</v>
      </c>
      <c r="D949" s="64">
        <f>IFERROR(VLOOKUP(C949,測定点マスタ!$E$2:$F$28,2,FALSE)/VLOOKUP(A949,'焼鈍条件-3CGL'!$A$2:$B$197,2,FALSE)*60,"")</f>
        <v>64.350649350649448</v>
      </c>
      <c r="E949" s="66">
        <v>39.4</v>
      </c>
      <c r="F949" s="64">
        <f t="shared" si="14"/>
        <v>-40.846449704140618</v>
      </c>
      <c r="G949" s="60" t="s">
        <v>12</v>
      </c>
      <c r="H949" s="60" t="s">
        <v>5042</v>
      </c>
    </row>
    <row r="950" spans="1:8">
      <c r="A950" s="59" t="s">
        <v>2567</v>
      </c>
      <c r="B950" s="62">
        <v>1</v>
      </c>
      <c r="C950" s="60" t="s">
        <v>5041</v>
      </c>
      <c r="D950" s="64">
        <f>IFERROR(VLOOKUP(C950,測定点マスタ!$E$2:$F$28,2,FALSE)/VLOOKUP(A950,'焼鈍条件-3CGL'!$A$2:$B$197,2,FALSE)*60,"")</f>
        <v>0</v>
      </c>
      <c r="E950" s="66">
        <v>31.1</v>
      </c>
      <c r="F950" s="64" t="str">
        <f t="shared" si="14"/>
        <v/>
      </c>
      <c r="G950" s="60" t="s">
        <v>12</v>
      </c>
      <c r="H950" s="60" t="s">
        <v>5042</v>
      </c>
    </row>
    <row r="951" spans="1:8">
      <c r="A951" s="59" t="s">
        <v>2567</v>
      </c>
      <c r="B951" s="62">
        <v>2</v>
      </c>
      <c r="C951" s="60" t="s">
        <v>5043</v>
      </c>
      <c r="D951" s="64">
        <f>IFERROR(VLOOKUP(C951,測定点マスタ!$E$2:$F$28,2,FALSE)/VLOOKUP(A951,'焼鈍条件-3CGL'!$A$2:$B$197,2,FALSE)*60,"")</f>
        <v>8.3887143829168487</v>
      </c>
      <c r="E951" s="66">
        <v>186</v>
      </c>
      <c r="F951" s="64">
        <f t="shared" si="14"/>
        <v>18.465284777777779</v>
      </c>
      <c r="G951" s="60" t="s">
        <v>12</v>
      </c>
      <c r="H951" s="60" t="s">
        <v>5042</v>
      </c>
    </row>
    <row r="952" spans="1:8">
      <c r="A952" s="59" t="s">
        <v>2567</v>
      </c>
      <c r="B952" s="62">
        <v>3</v>
      </c>
      <c r="C952" s="60" t="s">
        <v>5044</v>
      </c>
      <c r="D952" s="64">
        <f>IFERROR(VLOOKUP(C952,測定点マスタ!$E$2:$F$28,2,FALSE)/VLOOKUP(A952,'焼鈍条件-3CGL'!$A$2:$B$197,2,FALSE)*60,"")</f>
        <v>19.014419267944856</v>
      </c>
      <c r="E952" s="66">
        <v>645.70000000000005</v>
      </c>
      <c r="F952" s="64">
        <f t="shared" si="14"/>
        <v>43.263012192982465</v>
      </c>
      <c r="G952" s="60" t="s">
        <v>12</v>
      </c>
      <c r="H952" s="60" t="s">
        <v>5042</v>
      </c>
    </row>
    <row r="953" spans="1:8">
      <c r="A953" s="59" t="s">
        <v>2567</v>
      </c>
      <c r="B953" s="62">
        <v>4</v>
      </c>
      <c r="C953" s="60" t="s">
        <v>5045</v>
      </c>
      <c r="D953" s="64">
        <f>IFERROR(VLOOKUP(C953,測定点マスタ!$E$2:$F$28,2,FALSE)/VLOOKUP(A953,'焼鈍条件-3CGL'!$A$2:$B$197,2,FALSE)*60,"")</f>
        <v>24.606895523222754</v>
      </c>
      <c r="E953" s="66">
        <v>795.2</v>
      </c>
      <c r="F953" s="64">
        <f t="shared" si="14"/>
        <v>26.732344166666675</v>
      </c>
      <c r="G953" s="60" t="s">
        <v>12</v>
      </c>
      <c r="H953" s="60" t="s">
        <v>5042</v>
      </c>
    </row>
    <row r="954" spans="1:8">
      <c r="A954" s="59" t="s">
        <v>2567</v>
      </c>
      <c r="B954" s="62">
        <v>5</v>
      </c>
      <c r="C954" s="60" t="s">
        <v>5047</v>
      </c>
      <c r="D954" s="64">
        <f>IFERROR(VLOOKUP(C954,測定点マスタ!$E$2:$F$28,2,FALSE)/VLOOKUP(A954,'焼鈍条件-3CGL'!$A$2:$B$197,2,FALSE)*60,"")</f>
        <v>33.554857531667395</v>
      </c>
      <c r="E954" s="66">
        <v>706.4</v>
      </c>
      <c r="F954" s="64">
        <f t="shared" si="14"/>
        <v>-9.9240475000000057</v>
      </c>
      <c r="G954" s="60" t="s">
        <v>12</v>
      </c>
      <c r="H954" s="60" t="s">
        <v>5042</v>
      </c>
    </row>
    <row r="955" spans="1:8">
      <c r="A955" s="59" t="s">
        <v>2567</v>
      </c>
      <c r="B955" s="62">
        <v>6</v>
      </c>
      <c r="C955" s="60" t="s">
        <v>5048</v>
      </c>
      <c r="D955" s="64">
        <f>IFERROR(VLOOKUP(C955,測定点マスタ!$E$2:$F$28,2,FALSE)/VLOOKUP(A955,'焼鈍条件-3CGL'!$A$2:$B$197,2,FALSE)*60,"")</f>
        <v>36.910343284834134</v>
      </c>
      <c r="E955" s="66">
        <v>684.8</v>
      </c>
      <c r="F955" s="64">
        <f t="shared" si="14"/>
        <v>-6.437220000000007</v>
      </c>
      <c r="G955" s="60" t="s">
        <v>12</v>
      </c>
      <c r="H955" s="60" t="s">
        <v>5042</v>
      </c>
    </row>
    <row r="956" spans="1:8">
      <c r="A956" s="59" t="s">
        <v>2567</v>
      </c>
      <c r="B956" s="62">
        <v>7</v>
      </c>
      <c r="C956" s="60" t="s">
        <v>5049</v>
      </c>
      <c r="D956" s="64">
        <f>IFERROR(VLOOKUP(C956,測定点マスタ!$E$2:$F$28,2,FALSE)/VLOOKUP(A956,'焼鈍条件-3CGL'!$A$2:$B$197,2,FALSE)*60,"")</f>
        <v>40.825076663528662</v>
      </c>
      <c r="E956" s="66">
        <v>589.4</v>
      </c>
      <c r="F956" s="64">
        <f t="shared" si="14"/>
        <v>-24.369475714285716</v>
      </c>
      <c r="G956" s="60" t="s">
        <v>12</v>
      </c>
      <c r="H956" s="60" t="s">
        <v>5042</v>
      </c>
    </row>
    <row r="957" spans="1:8">
      <c r="A957" s="59" t="s">
        <v>2567</v>
      </c>
      <c r="B957" s="62">
        <v>8</v>
      </c>
      <c r="C957" s="60" t="s">
        <v>5050</v>
      </c>
      <c r="D957" s="64">
        <f>IFERROR(VLOOKUP(C957,測定点マスタ!$E$2:$F$28,2,FALSE)/VLOOKUP(A957,'焼鈍条件-3CGL'!$A$2:$B$197,2,FALSE)*60,"")</f>
        <v>45.299057667750979</v>
      </c>
      <c r="E957" s="66">
        <v>508.7</v>
      </c>
      <c r="F957" s="64">
        <f t="shared" si="14"/>
        <v>-18.037626875000008</v>
      </c>
      <c r="G957" s="60" t="s">
        <v>12</v>
      </c>
      <c r="H957" s="60" t="s">
        <v>5042</v>
      </c>
    </row>
    <row r="958" spans="1:8">
      <c r="A958" s="59" t="s">
        <v>2567</v>
      </c>
      <c r="B958" s="62">
        <v>9</v>
      </c>
      <c r="C958" s="60" t="s">
        <v>5051</v>
      </c>
      <c r="D958" s="64">
        <f>IFERROR(VLOOKUP(C958,測定点マスタ!$E$2:$F$28,2,FALSE)/VLOOKUP(A958,'焼鈍条件-3CGL'!$A$2:$B$197,2,FALSE)*60,"")</f>
        <v>49.213791046445508</v>
      </c>
      <c r="E958" s="66">
        <v>466.4</v>
      </c>
      <c r="F958" s="64">
        <f t="shared" si="14"/>
        <v>-10.805333571428578</v>
      </c>
      <c r="G958" s="60" t="s">
        <v>12</v>
      </c>
      <c r="H958" s="60" t="s">
        <v>5042</v>
      </c>
    </row>
    <row r="959" spans="1:8">
      <c r="A959" s="59" t="s">
        <v>2567</v>
      </c>
      <c r="B959" s="62">
        <v>10</v>
      </c>
      <c r="C959" s="60" t="s">
        <v>5060</v>
      </c>
      <c r="D959" s="64">
        <f>IFERROR(VLOOKUP(C959,測定点マスタ!$E$2:$F$28,2,FALSE)/VLOOKUP(A959,'焼鈍条件-3CGL'!$A$2:$B$197,2,FALSE)*60,"")</f>
        <v>51.450781548556677</v>
      </c>
      <c r="E959" s="66">
        <v>391.1</v>
      </c>
      <c r="F959" s="64">
        <f t="shared" si="14"/>
        <v>-33.661296249999836</v>
      </c>
      <c r="G959" s="60" t="s">
        <v>12</v>
      </c>
      <c r="H959" s="60" t="s">
        <v>5042</v>
      </c>
    </row>
    <row r="960" spans="1:8">
      <c r="A960" s="59" t="s">
        <v>2567</v>
      </c>
      <c r="B960" s="62">
        <v>11</v>
      </c>
      <c r="C960" s="60" t="s">
        <v>5052</v>
      </c>
      <c r="D960" s="64">
        <f>IFERROR(VLOOKUP(C960,測定点マスタ!$E$2:$F$28,2,FALSE)/VLOOKUP(A960,'焼鈍条件-3CGL'!$A$2:$B$197,2,FALSE)*60,"")</f>
        <v>54.24701967619562</v>
      </c>
      <c r="E960" s="66">
        <v>352</v>
      </c>
      <c r="F960" s="64">
        <f t="shared" si="14"/>
        <v>-13.983072333333372</v>
      </c>
      <c r="G960" s="60" t="s">
        <v>12</v>
      </c>
      <c r="H960" s="60" t="s">
        <v>5042</v>
      </c>
    </row>
    <row r="961" spans="1:8">
      <c r="A961" s="59" t="s">
        <v>2567</v>
      </c>
      <c r="B961" s="62">
        <v>12</v>
      </c>
      <c r="C961" s="60" t="s">
        <v>5053</v>
      </c>
      <c r="D961" s="64">
        <f>IFERROR(VLOOKUP(C961,測定点マスタ!$E$2:$F$28,2,FALSE)/VLOOKUP(A961,'焼鈍条件-3CGL'!$A$2:$B$197,2,FALSE)*60,"")</f>
        <v>60.957991182529099</v>
      </c>
      <c r="E961" s="66">
        <v>521.70000000000005</v>
      </c>
      <c r="F961" s="64">
        <f t="shared" si="14"/>
        <v>25.286949861111118</v>
      </c>
      <c r="G961" s="60" t="s">
        <v>12</v>
      </c>
      <c r="H961" s="60" t="s">
        <v>5042</v>
      </c>
    </row>
    <row r="962" spans="1:8">
      <c r="A962" s="59" t="s">
        <v>2567</v>
      </c>
      <c r="B962" s="62">
        <v>13</v>
      </c>
      <c r="C962" s="60" t="s">
        <v>5054</v>
      </c>
      <c r="D962" s="64">
        <f>IFERROR(VLOOKUP(C962,測定点マスタ!$E$2:$F$28,2,FALSE)/VLOOKUP(A962,'焼鈍条件-3CGL'!$A$2:$B$197,2,FALSE)*60,"")</f>
        <v>68.228210314390367</v>
      </c>
      <c r="E962" s="66">
        <v>499.1</v>
      </c>
      <c r="F962" s="64">
        <f t="shared" ref="F962:F1025" si="15">IF(A962=A961,IFERROR((E962-E961)/(D962-D961),""),"")</f>
        <v>-3.1085720512820552</v>
      </c>
      <c r="G962" s="60" t="s">
        <v>12</v>
      </c>
      <c r="H962" s="60" t="s">
        <v>5042</v>
      </c>
    </row>
    <row r="963" spans="1:8">
      <c r="A963" s="59" t="s">
        <v>2567</v>
      </c>
      <c r="B963" s="62">
        <v>14</v>
      </c>
      <c r="C963" s="60" t="s">
        <v>5055</v>
      </c>
      <c r="D963" s="64">
        <f>IFERROR(VLOOKUP(C963,測定点マスタ!$E$2:$F$28,2,FALSE)/VLOOKUP(A963,'焼鈍条件-3CGL'!$A$2:$B$197,2,FALSE)*60,"")</f>
        <v>71.024448442029325</v>
      </c>
      <c r="E963" s="66">
        <v>542.79999999999995</v>
      </c>
      <c r="F963" s="64">
        <f t="shared" si="15"/>
        <v>15.628139666666597</v>
      </c>
      <c r="G963" s="60" t="s">
        <v>12</v>
      </c>
      <c r="H963" s="60" t="s">
        <v>5042</v>
      </c>
    </row>
    <row r="964" spans="1:8">
      <c r="A964" s="59" t="s">
        <v>2567</v>
      </c>
      <c r="B964" s="62">
        <v>15</v>
      </c>
      <c r="C964" s="60" t="s">
        <v>5056</v>
      </c>
      <c r="D964" s="64">
        <f>IFERROR(VLOOKUP(C964,測定点マスタ!$E$2:$F$28,2,FALSE)/VLOOKUP(A964,'焼鈍条件-3CGL'!$A$2:$B$197,2,FALSE)*60,"")</f>
        <v>74.379934195196057</v>
      </c>
      <c r="E964" s="66">
        <v>279.89999999999998</v>
      </c>
      <c r="F964" s="64">
        <f t="shared" si="15"/>
        <v>-78.349311944444608</v>
      </c>
      <c r="G964" s="60" t="s">
        <v>12</v>
      </c>
      <c r="H964" s="60" t="s">
        <v>5042</v>
      </c>
    </row>
    <row r="965" spans="1:8">
      <c r="A965" s="59" t="s">
        <v>2567</v>
      </c>
      <c r="B965" s="62">
        <v>16</v>
      </c>
      <c r="C965" s="60" t="s">
        <v>5068</v>
      </c>
      <c r="D965" s="64">
        <f>IFERROR(VLOOKUP(C965,測定点マスタ!$E$2:$F$28,2,FALSE)/VLOOKUP(A965,'焼鈍条件-3CGL'!$A$2:$B$197,2,FALSE)*60,"")</f>
        <v>88.840479940986128</v>
      </c>
      <c r="E965" s="66">
        <v>342.4</v>
      </c>
      <c r="F965" s="64">
        <f t="shared" si="15"/>
        <v>4.3221052025782472</v>
      </c>
      <c r="G965" s="60" t="s">
        <v>12</v>
      </c>
      <c r="H965" s="60" t="s">
        <v>5042</v>
      </c>
    </row>
    <row r="966" spans="1:8">
      <c r="A966" s="59" t="s">
        <v>2567</v>
      </c>
      <c r="B966" s="62">
        <v>17</v>
      </c>
      <c r="C966" s="60" t="s">
        <v>5057</v>
      </c>
      <c r="D966" s="64">
        <f>IFERROR(VLOOKUP(C966,測定点マスタ!$E$2:$F$28,2,FALSE)/VLOOKUP(A966,'焼鈍条件-3CGL'!$A$2:$B$197,2,FALSE)*60,"")</f>
        <v>92.215938823635852</v>
      </c>
      <c r="E966" s="66">
        <v>215.7</v>
      </c>
      <c r="F966" s="64">
        <f t="shared" si="15"/>
        <v>-37.535637199212722</v>
      </c>
      <c r="G966" s="60" t="s">
        <v>12</v>
      </c>
      <c r="H966" s="60" t="s">
        <v>5042</v>
      </c>
    </row>
    <row r="967" spans="1:8">
      <c r="A967" s="59" t="s">
        <v>2567</v>
      </c>
      <c r="B967" s="62">
        <v>18</v>
      </c>
      <c r="C967" s="60" t="s">
        <v>5059</v>
      </c>
      <c r="D967" s="64">
        <f>IFERROR(VLOOKUP(C967,測定点マスタ!$E$2:$F$28,2,FALSE)/VLOOKUP(A967,'焼鈍条件-3CGL'!$A$2:$B$197,2,FALSE)*60,"")</f>
        <v>98.966856588935855</v>
      </c>
      <c r="E967" s="66">
        <v>74.8</v>
      </c>
      <c r="F967" s="64">
        <f t="shared" si="15"/>
        <v>-20.871236311636299</v>
      </c>
      <c r="G967" s="60" t="s">
        <v>12</v>
      </c>
      <c r="H967" s="60" t="s">
        <v>5042</v>
      </c>
    </row>
    <row r="968" spans="1:8">
      <c r="A968" s="59" t="s">
        <v>2582</v>
      </c>
      <c r="B968" s="62">
        <v>1</v>
      </c>
      <c r="C968" s="60" t="s">
        <v>5041</v>
      </c>
      <c r="D968" s="64">
        <f>IFERROR(VLOOKUP(C968,測定点マスタ!$E$2:$F$28,2,FALSE)/VLOOKUP(A968,'焼鈍条件-3CGL'!$A$2:$B$197,2,FALSE)*60,"")</f>
        <v>0</v>
      </c>
      <c r="E968" s="66">
        <v>27.3</v>
      </c>
      <c r="F968" s="64" t="str">
        <f t="shared" si="15"/>
        <v/>
      </c>
      <c r="G968" s="60" t="s">
        <v>12</v>
      </c>
      <c r="H968" s="60" t="s">
        <v>5061</v>
      </c>
    </row>
    <row r="969" spans="1:8">
      <c r="A969" s="59" t="s">
        <v>2582</v>
      </c>
      <c r="B969" s="62">
        <v>2</v>
      </c>
      <c r="C969" s="60" t="s">
        <v>5043</v>
      </c>
      <c r="D969" s="64">
        <f>IFERROR(VLOOKUP(C969,測定点マスタ!$E$2:$F$28,2,FALSE)/VLOOKUP(A969,'焼鈍条件-3CGL'!$A$2:$B$197,2,FALSE)*60,"")</f>
        <v>9.7257342929391175</v>
      </c>
      <c r="E969" s="66">
        <v>195.1</v>
      </c>
      <c r="F969" s="64">
        <f t="shared" si="15"/>
        <v>17.253195999999996</v>
      </c>
      <c r="G969" s="60" t="s">
        <v>12</v>
      </c>
      <c r="H969" s="60" t="s">
        <v>5061</v>
      </c>
    </row>
    <row r="970" spans="1:8">
      <c r="A970" s="59" t="s">
        <v>2582</v>
      </c>
      <c r="B970" s="62">
        <v>3</v>
      </c>
      <c r="C970" s="60" t="s">
        <v>5067</v>
      </c>
      <c r="D970" s="64">
        <f>IFERROR(VLOOKUP(C970,測定点マスタ!$E$2:$F$28,2,FALSE)/VLOOKUP(A970,'焼鈍条件-3CGL'!$A$2:$B$197,2,FALSE)*60,"")</f>
        <v>16.209557154898526</v>
      </c>
      <c r="E970" s="66">
        <v>397</v>
      </c>
      <c r="F970" s="64">
        <f t="shared" si="15"/>
        <v>31.139037000000013</v>
      </c>
      <c r="G970" s="60" t="s">
        <v>12</v>
      </c>
      <c r="H970" s="60" t="s">
        <v>5061</v>
      </c>
    </row>
    <row r="971" spans="1:8">
      <c r="A971" s="59" t="s">
        <v>2582</v>
      </c>
      <c r="B971" s="62">
        <v>4</v>
      </c>
      <c r="C971" s="60" t="s">
        <v>5044</v>
      </c>
      <c r="D971" s="64">
        <f>IFERROR(VLOOKUP(C971,測定点マスタ!$E$2:$F$28,2,FALSE)/VLOOKUP(A971,'焼鈍条件-3CGL'!$A$2:$B$197,2,FALSE)*60,"")</f>
        <v>22.044997730662001</v>
      </c>
      <c r="E971" s="66">
        <v>669.8</v>
      </c>
      <c r="F971" s="64">
        <f t="shared" si="15"/>
        <v>46.748826666666623</v>
      </c>
      <c r="G971" s="60" t="s">
        <v>12</v>
      </c>
      <c r="H971" s="60" t="s">
        <v>5061</v>
      </c>
    </row>
    <row r="972" spans="1:8">
      <c r="A972" s="59" t="s">
        <v>2582</v>
      </c>
      <c r="B972" s="62">
        <v>5</v>
      </c>
      <c r="C972" s="60" t="s">
        <v>5045</v>
      </c>
      <c r="D972" s="64">
        <f>IFERROR(VLOOKUP(C972,測定点マスタ!$E$2:$F$28,2,FALSE)/VLOOKUP(A972,'焼鈍条件-3CGL'!$A$2:$B$197,2,FALSE)*60,"")</f>
        <v>28.528820592621411</v>
      </c>
      <c r="E972" s="66">
        <v>819.7</v>
      </c>
      <c r="F972" s="64">
        <f t="shared" si="15"/>
        <v>23.119077000000019</v>
      </c>
      <c r="G972" s="60" t="s">
        <v>12</v>
      </c>
      <c r="H972" s="60" t="s">
        <v>5061</v>
      </c>
    </row>
    <row r="973" spans="1:8">
      <c r="A973" s="59" t="s">
        <v>2582</v>
      </c>
      <c r="B973" s="62">
        <v>6</v>
      </c>
      <c r="C973" s="60" t="s">
        <v>5047</v>
      </c>
      <c r="D973" s="64">
        <f>IFERROR(VLOOKUP(C973,測定点マスタ!$E$2:$F$28,2,FALSE)/VLOOKUP(A973,'焼鈍条件-3CGL'!$A$2:$B$197,2,FALSE)*60,"")</f>
        <v>38.90293717175647</v>
      </c>
      <c r="E973" s="66">
        <v>725.4</v>
      </c>
      <c r="F973" s="64">
        <f t="shared" si="15"/>
        <v>-9.0899306250000063</v>
      </c>
      <c r="G973" s="60" t="s">
        <v>12</v>
      </c>
      <c r="H973" s="60" t="s">
        <v>5061</v>
      </c>
    </row>
    <row r="974" spans="1:8">
      <c r="A974" s="59" t="s">
        <v>2582</v>
      </c>
      <c r="B974" s="62">
        <v>7</v>
      </c>
      <c r="C974" s="60" t="s">
        <v>5048</v>
      </c>
      <c r="D974" s="64">
        <f>IFERROR(VLOOKUP(C974,測定点マスタ!$E$2:$F$28,2,FALSE)/VLOOKUP(A974,'焼鈍条件-3CGL'!$A$2:$B$197,2,FALSE)*60,"")</f>
        <v>42.793230888932115</v>
      </c>
      <c r="E974" s="66">
        <v>688.6</v>
      </c>
      <c r="F974" s="64">
        <f t="shared" si="15"/>
        <v>-9.4594399999999936</v>
      </c>
      <c r="G974" s="60" t="s">
        <v>12</v>
      </c>
      <c r="H974" s="60" t="s">
        <v>5061</v>
      </c>
    </row>
    <row r="975" spans="1:8">
      <c r="A975" s="59" t="s">
        <v>2582</v>
      </c>
      <c r="B975" s="62">
        <v>8</v>
      </c>
      <c r="C975" s="60" t="s">
        <v>5049</v>
      </c>
      <c r="D975" s="64">
        <f>IFERROR(VLOOKUP(C975,測定点マスタ!$E$2:$F$28,2,FALSE)/VLOOKUP(A975,'焼鈍条件-3CGL'!$A$2:$B$197,2,FALSE)*60,"")</f>
        <v>47.331906892303707</v>
      </c>
      <c r="E975" s="66">
        <v>609.1</v>
      </c>
      <c r="F975" s="64">
        <f t="shared" si="15"/>
        <v>-17.516121428571413</v>
      </c>
      <c r="G975" s="60" t="s">
        <v>12</v>
      </c>
      <c r="H975" s="60" t="s">
        <v>5061</v>
      </c>
    </row>
    <row r="976" spans="1:8">
      <c r="A976" s="59" t="s">
        <v>2582</v>
      </c>
      <c r="B976" s="62">
        <v>9</v>
      </c>
      <c r="C976" s="60" t="s">
        <v>5050</v>
      </c>
      <c r="D976" s="64">
        <f>IFERROR(VLOOKUP(C976,測定点マスタ!$E$2:$F$28,2,FALSE)/VLOOKUP(A976,'焼鈍条件-3CGL'!$A$2:$B$197,2,FALSE)*60,"")</f>
        <v>52.518965181871231</v>
      </c>
      <c r="E976" s="66">
        <v>476.8</v>
      </c>
      <c r="F976" s="64">
        <f t="shared" si="15"/>
        <v>-25.505786250000025</v>
      </c>
      <c r="G976" s="60" t="s">
        <v>12</v>
      </c>
      <c r="H976" s="60" t="s">
        <v>5061</v>
      </c>
    </row>
    <row r="977" spans="1:8">
      <c r="A977" s="59" t="s">
        <v>2582</v>
      </c>
      <c r="B977" s="62">
        <v>10</v>
      </c>
      <c r="C977" s="60" t="s">
        <v>5051</v>
      </c>
      <c r="D977" s="64">
        <f>IFERROR(VLOOKUP(C977,測定点マスタ!$E$2:$F$28,2,FALSE)/VLOOKUP(A977,'焼鈍条件-3CGL'!$A$2:$B$197,2,FALSE)*60,"")</f>
        <v>57.057641185242822</v>
      </c>
      <c r="E977" s="66">
        <v>448.6</v>
      </c>
      <c r="F977" s="64">
        <f t="shared" si="15"/>
        <v>-6.2132657142857068</v>
      </c>
      <c r="G977" s="60" t="s">
        <v>12</v>
      </c>
      <c r="H977" s="60" t="s">
        <v>5061</v>
      </c>
    </row>
    <row r="978" spans="1:8">
      <c r="A978" s="59" t="s">
        <v>2582</v>
      </c>
      <c r="B978" s="62">
        <v>11</v>
      </c>
      <c r="C978" s="60" t="s">
        <v>5060</v>
      </c>
      <c r="D978" s="64">
        <f>IFERROR(VLOOKUP(C978,測定点マスタ!$E$2:$F$28,2,FALSE)/VLOOKUP(A978,'焼鈍条件-3CGL'!$A$2:$B$197,2,FALSE)*60,"")</f>
        <v>59.651170330026588</v>
      </c>
      <c r="E978" s="66">
        <v>411.3</v>
      </c>
      <c r="F978" s="64">
        <f t="shared" si="15"/>
        <v>-14.381947499999999</v>
      </c>
      <c r="G978" s="60" t="s">
        <v>12</v>
      </c>
      <c r="H978" s="60" t="s">
        <v>5061</v>
      </c>
    </row>
    <row r="979" spans="1:8">
      <c r="A979" s="59" t="s">
        <v>2582</v>
      </c>
      <c r="B979" s="62">
        <v>12</v>
      </c>
      <c r="C979" s="60" t="s">
        <v>5052</v>
      </c>
      <c r="D979" s="64">
        <f>IFERROR(VLOOKUP(C979,測定点マスタ!$E$2:$F$28,2,FALSE)/VLOOKUP(A979,'焼鈍条件-3CGL'!$A$2:$B$197,2,FALSE)*60,"")</f>
        <v>62.893081761006293</v>
      </c>
      <c r="E979" s="66">
        <v>356.7</v>
      </c>
      <c r="F979" s="64">
        <f t="shared" si="15"/>
        <v>-16.841916000000008</v>
      </c>
      <c r="G979" s="60" t="s">
        <v>12</v>
      </c>
      <c r="H979" s="60" t="s">
        <v>5061</v>
      </c>
    </row>
    <row r="980" spans="1:8">
      <c r="A980" s="59" t="s">
        <v>2582</v>
      </c>
      <c r="B980" s="62">
        <v>13</v>
      </c>
      <c r="C980" s="60" t="s">
        <v>5069</v>
      </c>
      <c r="D980" s="64">
        <f>IFERROR(VLOOKUP(C980,測定点マスタ!$E$2:$F$28,2,FALSE)/VLOOKUP(A980,'焼鈍条件-3CGL'!$A$2:$B$197,2,FALSE)*60,"")</f>
        <v>67.431757764377878</v>
      </c>
      <c r="E980" s="66">
        <v>527.6</v>
      </c>
      <c r="F980" s="64">
        <f t="shared" si="15"/>
        <v>37.65415285714289</v>
      </c>
      <c r="G980" s="60" t="s">
        <v>12</v>
      </c>
      <c r="H980" s="60" t="s">
        <v>5061</v>
      </c>
    </row>
    <row r="981" spans="1:8">
      <c r="A981" s="59" t="s">
        <v>2582</v>
      </c>
      <c r="B981" s="62">
        <v>14</v>
      </c>
      <c r="C981" s="60" t="s">
        <v>5053</v>
      </c>
      <c r="D981" s="64">
        <f>IFERROR(VLOOKUP(C981,測定点マスタ!$E$2:$F$28,2,FALSE)/VLOOKUP(A981,'焼鈍条件-3CGL'!$A$2:$B$197,2,FALSE)*60,"")</f>
        <v>70.67366919535759</v>
      </c>
      <c r="E981" s="66">
        <v>523.4</v>
      </c>
      <c r="F981" s="64">
        <f t="shared" si="15"/>
        <v>-1.2955320000000115</v>
      </c>
      <c r="G981" s="60" t="s">
        <v>12</v>
      </c>
      <c r="H981" s="60" t="s">
        <v>5061</v>
      </c>
    </row>
    <row r="982" spans="1:8">
      <c r="A982" s="59" t="s">
        <v>2582</v>
      </c>
      <c r="B982" s="62">
        <v>15</v>
      </c>
      <c r="C982" s="60" t="s">
        <v>5054</v>
      </c>
      <c r="D982" s="64">
        <f>IFERROR(VLOOKUP(C982,測定点マスタ!$E$2:$F$28,2,FALSE)/VLOOKUP(A982,'焼鈍条件-3CGL'!$A$2:$B$197,2,FALSE)*60,"")</f>
        <v>79.102638915904819</v>
      </c>
      <c r="E982" s="66">
        <v>500.3</v>
      </c>
      <c r="F982" s="64">
        <f t="shared" si="15"/>
        <v>-2.740548461538459</v>
      </c>
      <c r="G982" s="60" t="s">
        <v>12</v>
      </c>
      <c r="H982" s="60" t="s">
        <v>5061</v>
      </c>
    </row>
    <row r="983" spans="1:8">
      <c r="A983" s="59" t="s">
        <v>2582</v>
      </c>
      <c r="B983" s="62">
        <v>16</v>
      </c>
      <c r="C983" s="60" t="s">
        <v>5056</v>
      </c>
      <c r="D983" s="64">
        <f>IFERROR(VLOOKUP(C983,測定点マスタ!$E$2:$F$28,2,FALSE)/VLOOKUP(A983,'焼鈍条件-3CGL'!$A$2:$B$197,2,FALSE)*60,"")</f>
        <v>86.234844064060169</v>
      </c>
      <c r="E983" s="66">
        <v>280.7</v>
      </c>
      <c r="F983" s="64">
        <f t="shared" si="15"/>
        <v>-30.789916363636376</v>
      </c>
      <c r="G983" s="60" t="s">
        <v>12</v>
      </c>
      <c r="H983" s="60" t="s">
        <v>5061</v>
      </c>
    </row>
    <row r="984" spans="1:8">
      <c r="A984" s="59" t="s">
        <v>2582</v>
      </c>
      <c r="B984" s="62">
        <v>17</v>
      </c>
      <c r="C984" s="60" t="s">
        <v>5062</v>
      </c>
      <c r="D984" s="64">
        <f>IFERROR(VLOOKUP(C984,測定点マスタ!$E$2:$F$28,2,FALSE)/VLOOKUP(A984,'焼鈍条件-3CGL'!$A$2:$B$197,2,FALSE)*60,"")</f>
        <v>94.015431498411473</v>
      </c>
      <c r="E984" s="66">
        <v>460.8</v>
      </c>
      <c r="F984" s="64">
        <f t="shared" si="15"/>
        <v>23.147352499999972</v>
      </c>
      <c r="G984" s="60" t="s">
        <v>12</v>
      </c>
      <c r="H984" s="60" t="s">
        <v>5061</v>
      </c>
    </row>
    <row r="985" spans="1:8">
      <c r="A985" s="59" t="s">
        <v>2582</v>
      </c>
      <c r="B985" s="62">
        <v>18</v>
      </c>
      <c r="C985" s="60" t="s">
        <v>5057</v>
      </c>
      <c r="D985" s="64">
        <f>IFERROR(VLOOKUP(C985,測定点マスタ!$E$2:$F$28,2,FALSE)/VLOOKUP(A985,'焼鈍条件-3CGL'!$A$2:$B$197,2,FALSE)*60,"")</f>
        <v>106.91360769166634</v>
      </c>
      <c r="E985" s="66">
        <v>207.9</v>
      </c>
      <c r="F985" s="64">
        <f t="shared" si="15"/>
        <v>-19.607423267504643</v>
      </c>
      <c r="G985" s="60" t="s">
        <v>12</v>
      </c>
      <c r="H985" s="60" t="s">
        <v>5061</v>
      </c>
    </row>
    <row r="986" spans="1:8">
      <c r="A986" s="59" t="s">
        <v>2582</v>
      </c>
      <c r="B986" s="62">
        <v>19</v>
      </c>
      <c r="C986" s="60" t="s">
        <v>5058</v>
      </c>
      <c r="D986" s="64">
        <f>IFERROR(VLOOKUP(C986,測定点マスタ!$E$2:$F$28,2,FALSE)/VLOOKUP(A986,'焼鈍条件-3CGL'!$A$2:$B$197,2,FALSE)*60,"")</f>
        <v>110.82705791906308</v>
      </c>
      <c r="E986" s="66">
        <v>112.9</v>
      </c>
      <c r="F986" s="64">
        <f t="shared" si="15"/>
        <v>-24.27525443787102</v>
      </c>
      <c r="G986" s="60" t="s">
        <v>12</v>
      </c>
      <c r="H986" s="60" t="s">
        <v>5061</v>
      </c>
    </row>
    <row r="987" spans="1:8">
      <c r="A987" s="59" t="s">
        <v>2582</v>
      </c>
      <c r="B987" s="62">
        <v>20</v>
      </c>
      <c r="C987" s="60" t="s">
        <v>5059</v>
      </c>
      <c r="D987" s="64">
        <f>IFERROR(VLOOKUP(C987,測定点マスタ!$E$2:$F$28,2,FALSE)/VLOOKUP(A987,'焼鈍条件-3CGL'!$A$2:$B$197,2,FALSE)*60,"")</f>
        <v>114.74050814646048</v>
      </c>
      <c r="E987" s="66">
        <v>68.7</v>
      </c>
      <c r="F987" s="64">
        <f t="shared" si="15"/>
        <v>-11.29438153846017</v>
      </c>
      <c r="G987" s="60" t="s">
        <v>12</v>
      </c>
      <c r="H987" s="60" t="s">
        <v>5061</v>
      </c>
    </row>
    <row r="988" spans="1:8">
      <c r="A988" s="59" t="s">
        <v>2592</v>
      </c>
      <c r="B988" s="62">
        <v>1</v>
      </c>
      <c r="C988" s="60" t="s">
        <v>5041</v>
      </c>
      <c r="D988" s="64">
        <f>IFERROR(VLOOKUP(C988,測定点マスタ!$E$2:$F$28,2,FALSE)/VLOOKUP(A988,'焼鈍条件-3CGL'!$A$2:$B$197,2,FALSE)*60,"")</f>
        <v>0</v>
      </c>
      <c r="E988" s="66">
        <v>27.3</v>
      </c>
      <c r="F988" s="64" t="str">
        <f t="shared" si="15"/>
        <v/>
      </c>
      <c r="G988" s="60" t="s">
        <v>12</v>
      </c>
      <c r="H988" s="60" t="s">
        <v>5061</v>
      </c>
    </row>
    <row r="989" spans="1:8">
      <c r="A989" s="59" t="s">
        <v>2592</v>
      </c>
      <c r="B989" s="62">
        <v>2</v>
      </c>
      <c r="C989" s="60" t="s">
        <v>5043</v>
      </c>
      <c r="D989" s="64">
        <f>IFERROR(VLOOKUP(C989,測定点マスタ!$E$2:$F$28,2,FALSE)/VLOOKUP(A989,'焼鈍条件-3CGL'!$A$2:$B$197,2,FALSE)*60,"")</f>
        <v>10.109519797809604</v>
      </c>
      <c r="E989" s="66">
        <v>180.2</v>
      </c>
      <c r="F989" s="64">
        <f t="shared" si="15"/>
        <v>15.124358333333332</v>
      </c>
      <c r="G989" s="60" t="s">
        <v>12</v>
      </c>
      <c r="H989" s="60" t="s">
        <v>5061</v>
      </c>
    </row>
    <row r="990" spans="1:8">
      <c r="A990" s="59" t="s">
        <v>2592</v>
      </c>
      <c r="B990" s="62">
        <v>3</v>
      </c>
      <c r="C990" s="60" t="s">
        <v>5044</v>
      </c>
      <c r="D990" s="64">
        <f>IFERROR(VLOOKUP(C990,測定点マスタ!$E$2:$F$28,2,FALSE)/VLOOKUP(A990,'焼鈍条件-3CGL'!$A$2:$B$197,2,FALSE)*60,"")</f>
        <v>22.91491154170177</v>
      </c>
      <c r="E990" s="66">
        <v>700.5</v>
      </c>
      <c r="F990" s="64">
        <f t="shared" si="15"/>
        <v>40.631322368421046</v>
      </c>
      <c r="G990" s="60" t="s">
        <v>12</v>
      </c>
      <c r="H990" s="60" t="s">
        <v>5061</v>
      </c>
    </row>
    <row r="991" spans="1:8">
      <c r="A991" s="59" t="s">
        <v>2592</v>
      </c>
      <c r="B991" s="62">
        <v>4</v>
      </c>
      <c r="C991" s="60" t="s">
        <v>5045</v>
      </c>
      <c r="D991" s="64">
        <f>IFERROR(VLOOKUP(C991,測定点マスタ!$E$2:$F$28,2,FALSE)/VLOOKUP(A991,'焼鈍条件-3CGL'!$A$2:$B$197,2,FALSE)*60,"")</f>
        <v>29.654591406908171</v>
      </c>
      <c r="E991" s="66">
        <v>867.2</v>
      </c>
      <c r="F991" s="64">
        <f t="shared" si="15"/>
        <v>24.734112500000013</v>
      </c>
      <c r="G991" s="60" t="s">
        <v>12</v>
      </c>
      <c r="H991" s="60" t="s">
        <v>5061</v>
      </c>
    </row>
    <row r="992" spans="1:8">
      <c r="A992" s="59" t="s">
        <v>2592</v>
      </c>
      <c r="B992" s="62">
        <v>5</v>
      </c>
      <c r="C992" s="60" t="s">
        <v>5047</v>
      </c>
      <c r="D992" s="64">
        <f>IFERROR(VLOOKUP(C992,測定点マスタ!$E$2:$F$28,2,FALSE)/VLOOKUP(A992,'焼鈍条件-3CGL'!$A$2:$B$197,2,FALSE)*60,"")</f>
        <v>40.438079191238415</v>
      </c>
      <c r="E992" s="66">
        <v>784.8</v>
      </c>
      <c r="F992" s="64">
        <f t="shared" si="15"/>
        <v>-7.6413125000000086</v>
      </c>
      <c r="G992" s="60" t="s">
        <v>12</v>
      </c>
      <c r="H992" s="60" t="s">
        <v>5061</v>
      </c>
    </row>
    <row r="993" spans="1:8">
      <c r="A993" s="59" t="s">
        <v>2592</v>
      </c>
      <c r="B993" s="62">
        <v>6</v>
      </c>
      <c r="C993" s="60" t="s">
        <v>5049</v>
      </c>
      <c r="D993" s="64">
        <f>IFERROR(VLOOKUP(C993,測定点マスタ!$E$2:$F$28,2,FALSE)/VLOOKUP(A993,'焼鈍条件-3CGL'!$A$2:$B$197,2,FALSE)*60,"")</f>
        <v>49.199663016006731</v>
      </c>
      <c r="E993" s="66">
        <v>646.4</v>
      </c>
      <c r="F993" s="64">
        <f t="shared" si="15"/>
        <v>-15.79623076923078</v>
      </c>
      <c r="G993" s="60" t="s">
        <v>12</v>
      </c>
      <c r="H993" s="60" t="s">
        <v>5061</v>
      </c>
    </row>
    <row r="994" spans="1:8">
      <c r="A994" s="59" t="s">
        <v>2592</v>
      </c>
      <c r="B994" s="62">
        <v>7</v>
      </c>
      <c r="C994" s="60" t="s">
        <v>5050</v>
      </c>
      <c r="D994" s="64">
        <f>IFERROR(VLOOKUP(C994,測定点マスタ!$E$2:$F$28,2,FALSE)/VLOOKUP(A994,'焼鈍条件-3CGL'!$A$2:$B$197,2,FALSE)*60,"")</f>
        <v>54.591406908171862</v>
      </c>
      <c r="E994" s="66">
        <v>525.20000000000005</v>
      </c>
      <c r="F994" s="64">
        <f t="shared" si="15"/>
        <v>-22.47881249999995</v>
      </c>
      <c r="G994" s="60" t="s">
        <v>12</v>
      </c>
      <c r="H994" s="60" t="s">
        <v>5061</v>
      </c>
    </row>
    <row r="995" spans="1:8">
      <c r="A995" s="59" t="s">
        <v>2592</v>
      </c>
      <c r="B995" s="62">
        <v>8</v>
      </c>
      <c r="C995" s="60" t="s">
        <v>5051</v>
      </c>
      <c r="D995" s="64">
        <f>IFERROR(VLOOKUP(C995,測定点マスタ!$E$2:$F$28,2,FALSE)/VLOOKUP(A995,'焼鈍条件-3CGL'!$A$2:$B$197,2,FALSE)*60,"")</f>
        <v>59.309182813816342</v>
      </c>
      <c r="E995" s="66">
        <v>497.8</v>
      </c>
      <c r="F995" s="64">
        <f t="shared" si="15"/>
        <v>-5.8078214285714385</v>
      </c>
      <c r="G995" s="60" t="s">
        <v>12</v>
      </c>
      <c r="H995" s="60" t="s">
        <v>5061</v>
      </c>
    </row>
    <row r="996" spans="1:8">
      <c r="A996" s="59" t="s">
        <v>2592</v>
      </c>
      <c r="B996" s="62">
        <v>9</v>
      </c>
      <c r="C996" s="60" t="s">
        <v>5052</v>
      </c>
      <c r="D996" s="64">
        <f>IFERROR(VLOOKUP(C996,測定点マスタ!$E$2:$F$28,2,FALSE)/VLOOKUP(A996,'焼鈍条件-3CGL'!$A$2:$B$197,2,FALSE)*60,"")</f>
        <v>65.37489469250211</v>
      </c>
      <c r="E996" s="66">
        <v>368.3</v>
      </c>
      <c r="F996" s="64">
        <f t="shared" si="15"/>
        <v>-21.349513888888868</v>
      </c>
      <c r="G996" s="60" t="s">
        <v>12</v>
      </c>
      <c r="H996" s="60" t="s">
        <v>5061</v>
      </c>
    </row>
    <row r="997" spans="1:8">
      <c r="A997" s="59" t="s">
        <v>2592</v>
      </c>
      <c r="B997" s="62">
        <v>10</v>
      </c>
      <c r="C997" s="60" t="s">
        <v>5053</v>
      </c>
      <c r="D997" s="64">
        <f>IFERROR(VLOOKUP(C997,測定点マスタ!$E$2:$F$28,2,FALSE)/VLOOKUP(A997,'焼鈍条件-3CGL'!$A$2:$B$197,2,FALSE)*60,"")</f>
        <v>73.462510530749782</v>
      </c>
      <c r="E997" s="66">
        <v>571.70000000000005</v>
      </c>
      <c r="F997" s="64">
        <f t="shared" si="15"/>
        <v>25.149562500000041</v>
      </c>
      <c r="G997" s="60" t="s">
        <v>12</v>
      </c>
      <c r="H997" s="60" t="s">
        <v>5061</v>
      </c>
    </row>
    <row r="998" spans="1:8">
      <c r="A998" s="59" t="s">
        <v>2592</v>
      </c>
      <c r="B998" s="62">
        <v>11</v>
      </c>
      <c r="C998" s="60" t="s">
        <v>5063</v>
      </c>
      <c r="D998" s="64">
        <f>IFERROR(VLOOKUP(C998,測定点マスタ!$E$2:$F$28,2,FALSE)/VLOOKUP(A998,'焼鈍条件-3CGL'!$A$2:$B$197,2,FALSE)*60,"")</f>
        <v>77.506318449873618</v>
      </c>
      <c r="E998" s="66">
        <v>573.6</v>
      </c>
      <c r="F998" s="64">
        <f t="shared" si="15"/>
        <v>0.46985416666666169</v>
      </c>
      <c r="G998" s="60" t="s">
        <v>12</v>
      </c>
      <c r="H998" s="60" t="s">
        <v>5061</v>
      </c>
    </row>
    <row r="999" spans="1:8">
      <c r="A999" s="59" t="s">
        <v>2592</v>
      </c>
      <c r="B999" s="62">
        <v>12</v>
      </c>
      <c r="C999" s="60" t="s">
        <v>5054</v>
      </c>
      <c r="D999" s="64">
        <f>IFERROR(VLOOKUP(C999,測定点マスタ!$E$2:$F$28,2,FALSE)/VLOOKUP(A999,'焼鈍条件-3CGL'!$A$2:$B$197,2,FALSE)*60,"")</f>
        <v>82.224094355518105</v>
      </c>
      <c r="E999" s="66">
        <v>566.9</v>
      </c>
      <c r="F999" s="64">
        <f t="shared" si="15"/>
        <v>-1.4201607142857224</v>
      </c>
      <c r="G999" s="60" t="s">
        <v>12</v>
      </c>
      <c r="H999" s="60" t="s">
        <v>5061</v>
      </c>
    </row>
    <row r="1000" spans="1:8">
      <c r="A1000" s="59" t="s">
        <v>2592</v>
      </c>
      <c r="B1000" s="62">
        <v>13</v>
      </c>
      <c r="C1000" s="60" t="s">
        <v>5056</v>
      </c>
      <c r="D1000" s="64">
        <f>IFERROR(VLOOKUP(C1000,測定点マスタ!$E$2:$F$28,2,FALSE)/VLOOKUP(A1000,'焼鈍条件-3CGL'!$A$2:$B$197,2,FALSE)*60,"")</f>
        <v>89.637742207245154</v>
      </c>
      <c r="E1000" s="66">
        <v>272.5</v>
      </c>
      <c r="F1000" s="64">
        <f t="shared" si="15"/>
        <v>-39.710545454545418</v>
      </c>
      <c r="G1000" s="60" t="s">
        <v>12</v>
      </c>
      <c r="H1000" s="60" t="s">
        <v>5061</v>
      </c>
    </row>
    <row r="1001" spans="1:8">
      <c r="A1001" s="59" t="s">
        <v>2592</v>
      </c>
      <c r="B1001" s="62">
        <v>14</v>
      </c>
      <c r="C1001" s="60" t="s">
        <v>5062</v>
      </c>
      <c r="D1001" s="64">
        <f>IFERROR(VLOOKUP(C1001,測定点マスタ!$E$2:$F$28,2,FALSE)/VLOOKUP(A1001,'焼鈍条件-3CGL'!$A$2:$B$197,2,FALSE)*60,"")</f>
        <v>97.72535804549284</v>
      </c>
      <c r="E1001" s="66">
        <v>455.9</v>
      </c>
      <c r="F1001" s="64">
        <f t="shared" si="15"/>
        <v>22.676645833333325</v>
      </c>
      <c r="G1001" s="60" t="s">
        <v>12</v>
      </c>
      <c r="H1001" s="60" t="s">
        <v>5061</v>
      </c>
    </row>
    <row r="1002" spans="1:8">
      <c r="A1002" s="59" t="s">
        <v>2592</v>
      </c>
      <c r="B1002" s="62">
        <v>15</v>
      </c>
      <c r="C1002" s="60" t="s">
        <v>5057</v>
      </c>
      <c r="D1002" s="64">
        <f>IFERROR(VLOOKUP(C1002,測定点マスタ!$E$2:$F$28,2,FALSE)/VLOOKUP(A1002,'焼鈍条件-3CGL'!$A$2:$B$197,2,FALSE)*60,"")</f>
        <v>111.13250692020689</v>
      </c>
      <c r="E1002" s="66">
        <v>247.8</v>
      </c>
      <c r="F1002" s="64">
        <f t="shared" si="15"/>
        <v>-15.521570017953449</v>
      </c>
      <c r="G1002" s="60" t="s">
        <v>12</v>
      </c>
      <c r="H1002" s="60" t="s">
        <v>5061</v>
      </c>
    </row>
    <row r="1003" spans="1:8">
      <c r="A1003" s="59" t="s">
        <v>2592</v>
      </c>
      <c r="B1003" s="62">
        <v>16</v>
      </c>
      <c r="C1003" s="60" t="s">
        <v>5059</v>
      </c>
      <c r="D1003" s="64">
        <f>IFERROR(VLOOKUP(C1003,測定点マスタ!$E$2:$F$28,2,FALSE)/VLOOKUP(A1003,'焼鈍条件-3CGL'!$A$2:$B$197,2,FALSE)*60,"")</f>
        <v>119.26826332892064</v>
      </c>
      <c r="E1003" s="66">
        <v>39.700000000000003</v>
      </c>
      <c r="F1003" s="64">
        <f t="shared" si="15"/>
        <v>-25.578445266271238</v>
      </c>
      <c r="G1003" s="60" t="s">
        <v>12</v>
      </c>
      <c r="H1003" s="60" t="s">
        <v>5061</v>
      </c>
    </row>
    <row r="1004" spans="1:8">
      <c r="A1004" s="59" t="s">
        <v>2597</v>
      </c>
      <c r="B1004" s="62">
        <v>1</v>
      </c>
      <c r="C1004" s="60" t="s">
        <v>5041</v>
      </c>
      <c r="D1004" s="64">
        <f>IFERROR(VLOOKUP(C1004,測定点マスタ!$E$2:$F$28,2,FALSE)/VLOOKUP(A1004,'焼鈍条件-3CGL'!$A$2:$B$197,2,FALSE)*60,"")</f>
        <v>0</v>
      </c>
      <c r="E1004" s="66">
        <v>28.3</v>
      </c>
      <c r="F1004" s="64" t="str">
        <f t="shared" si="15"/>
        <v/>
      </c>
      <c r="G1004" s="60" t="s">
        <v>12</v>
      </c>
      <c r="H1004" s="60" t="s">
        <v>5061</v>
      </c>
    </row>
    <row r="1005" spans="1:8">
      <c r="A1005" s="59" t="s">
        <v>2597</v>
      </c>
      <c r="B1005" s="62">
        <v>2</v>
      </c>
      <c r="C1005" s="60" t="s">
        <v>5043</v>
      </c>
      <c r="D1005" s="64">
        <f>IFERROR(VLOOKUP(C1005,測定点マスタ!$E$2:$F$28,2,FALSE)/VLOOKUP(A1005,'焼鈍条件-3CGL'!$A$2:$B$197,2,FALSE)*60,"")</f>
        <v>6.2663621678828054</v>
      </c>
      <c r="E1005" s="66">
        <v>184.4</v>
      </c>
      <c r="F1005" s="64">
        <f t="shared" si="15"/>
        <v>24.910784888888887</v>
      </c>
      <c r="G1005" s="60" t="s">
        <v>12</v>
      </c>
      <c r="H1005" s="60" t="s">
        <v>5061</v>
      </c>
    </row>
    <row r="1006" spans="1:8">
      <c r="A1006" s="59" t="s">
        <v>2597</v>
      </c>
      <c r="B1006" s="62">
        <v>3</v>
      </c>
      <c r="C1006" s="60" t="s">
        <v>5044</v>
      </c>
      <c r="D1006" s="64">
        <f>IFERROR(VLOOKUP(C1006,測定点マスタ!$E$2:$F$28,2,FALSE)/VLOOKUP(A1006,'焼鈍条件-3CGL'!$A$2:$B$197,2,FALSE)*60,"")</f>
        <v>14.203754247201026</v>
      </c>
      <c r="E1006" s="66">
        <v>644.9</v>
      </c>
      <c r="F1006" s="64">
        <f t="shared" si="15"/>
        <v>58.016536842105261</v>
      </c>
      <c r="G1006" s="60" t="s">
        <v>12</v>
      </c>
      <c r="H1006" s="60" t="s">
        <v>5061</v>
      </c>
    </row>
    <row r="1007" spans="1:8">
      <c r="A1007" s="59" t="s">
        <v>2597</v>
      </c>
      <c r="B1007" s="62">
        <v>4</v>
      </c>
      <c r="C1007" s="60" t="s">
        <v>5045</v>
      </c>
      <c r="D1007" s="64">
        <f>IFERROR(VLOOKUP(C1007,測定点マスタ!$E$2:$F$28,2,FALSE)/VLOOKUP(A1007,'焼鈍条件-3CGL'!$A$2:$B$197,2,FALSE)*60,"")</f>
        <v>18.381329025789562</v>
      </c>
      <c r="E1007" s="66">
        <v>778.2</v>
      </c>
      <c r="F1007" s="64">
        <f t="shared" si="15"/>
        <v>31.908465333333357</v>
      </c>
      <c r="G1007" s="60" t="s">
        <v>12</v>
      </c>
      <c r="H1007" s="60" t="s">
        <v>5061</v>
      </c>
    </row>
    <row r="1008" spans="1:8">
      <c r="A1008" s="59" t="s">
        <v>2597</v>
      </c>
      <c r="B1008" s="62">
        <v>5</v>
      </c>
      <c r="C1008" s="60" t="s">
        <v>5046</v>
      </c>
      <c r="D1008" s="64">
        <f>IFERROR(VLOOKUP(C1008,測定点マスタ!$E$2:$F$28,2,FALSE)/VLOOKUP(A1008,'焼鈍条件-3CGL'!$A$2:$B$197,2,FALSE)*60,"")</f>
        <v>22.558903804378097</v>
      </c>
      <c r="E1008" s="66">
        <v>762.3</v>
      </c>
      <c r="F1008" s="64">
        <f t="shared" si="15"/>
        <v>-3.8060360000000228</v>
      </c>
      <c r="G1008" s="60" t="s">
        <v>12</v>
      </c>
      <c r="H1008" s="60" t="s">
        <v>5061</v>
      </c>
    </row>
    <row r="1009" spans="1:8">
      <c r="A1009" s="59" t="s">
        <v>2597</v>
      </c>
      <c r="B1009" s="62">
        <v>6</v>
      </c>
      <c r="C1009" s="60" t="s">
        <v>5047</v>
      </c>
      <c r="D1009" s="64">
        <f>IFERROR(VLOOKUP(C1009,測定点マスタ!$E$2:$F$28,2,FALSE)/VLOOKUP(A1009,'焼鈍条件-3CGL'!$A$2:$B$197,2,FALSE)*60,"")</f>
        <v>25.065448671531222</v>
      </c>
      <c r="E1009" s="66">
        <v>698.1</v>
      </c>
      <c r="F1009" s="64">
        <f t="shared" si="15"/>
        <v>-25.612946666666616</v>
      </c>
      <c r="G1009" s="60" t="s">
        <v>12</v>
      </c>
      <c r="H1009" s="60" t="s">
        <v>5061</v>
      </c>
    </row>
    <row r="1010" spans="1:8">
      <c r="A1010" s="59" t="s">
        <v>2597</v>
      </c>
      <c r="B1010" s="62">
        <v>7</v>
      </c>
      <c r="C1010" s="60" t="s">
        <v>5049</v>
      </c>
      <c r="D1010" s="64">
        <f>IFERROR(VLOOKUP(C1010,測定点マスタ!$E$2:$F$28,2,FALSE)/VLOOKUP(A1010,'焼鈍条件-3CGL'!$A$2:$B$197,2,FALSE)*60,"")</f>
        <v>30.496295883696316</v>
      </c>
      <c r="E1010" s="66">
        <v>574.29999999999995</v>
      </c>
      <c r="F1010" s="64">
        <f t="shared" si="15"/>
        <v>-22.795706666666693</v>
      </c>
      <c r="G1010" s="60" t="s">
        <v>12</v>
      </c>
      <c r="H1010" s="60" t="s">
        <v>5061</v>
      </c>
    </row>
    <row r="1011" spans="1:8">
      <c r="A1011" s="59" t="s">
        <v>2597</v>
      </c>
      <c r="B1011" s="62">
        <v>8</v>
      </c>
      <c r="C1011" s="60" t="s">
        <v>5050</v>
      </c>
      <c r="D1011" s="64">
        <f>IFERROR(VLOOKUP(C1011,測定点マスタ!$E$2:$F$28,2,FALSE)/VLOOKUP(A1011,'焼鈍条件-3CGL'!$A$2:$B$197,2,FALSE)*60,"")</f>
        <v>33.83835570656715</v>
      </c>
      <c r="E1011" s="66">
        <v>479.8</v>
      </c>
      <c r="F1011" s="64">
        <f t="shared" si="15"/>
        <v>-28.275974999999949</v>
      </c>
      <c r="G1011" s="60" t="s">
        <v>12</v>
      </c>
      <c r="H1011" s="60" t="s">
        <v>5061</v>
      </c>
    </row>
    <row r="1012" spans="1:8">
      <c r="A1012" s="59" t="s">
        <v>2597</v>
      </c>
      <c r="B1012" s="62">
        <v>9</v>
      </c>
      <c r="C1012" s="60" t="s">
        <v>5051</v>
      </c>
      <c r="D1012" s="64">
        <f>IFERROR(VLOOKUP(C1012,測定点マスタ!$E$2:$F$28,2,FALSE)/VLOOKUP(A1012,'焼鈍条件-3CGL'!$A$2:$B$197,2,FALSE)*60,"")</f>
        <v>36.762658051579123</v>
      </c>
      <c r="E1012" s="66">
        <v>431.5</v>
      </c>
      <c r="F1012" s="64">
        <f t="shared" si="15"/>
        <v>-16.516760000000016</v>
      </c>
      <c r="G1012" s="60" t="s">
        <v>12</v>
      </c>
      <c r="H1012" s="60" t="s">
        <v>5061</v>
      </c>
    </row>
    <row r="1013" spans="1:8">
      <c r="A1013" s="59" t="s">
        <v>2597</v>
      </c>
      <c r="B1013" s="62">
        <v>10</v>
      </c>
      <c r="C1013" s="60" t="s">
        <v>5052</v>
      </c>
      <c r="D1013" s="64">
        <f>IFERROR(VLOOKUP(C1013,測定点マスタ!$E$2:$F$28,2,FALSE)/VLOOKUP(A1013,'焼鈍条件-3CGL'!$A$2:$B$197,2,FALSE)*60,"")</f>
        <v>40.52247535230881</v>
      </c>
      <c r="E1013" s="66">
        <v>352.2</v>
      </c>
      <c r="F1013" s="64">
        <f t="shared" si="15"/>
        <v>-21.091450370370353</v>
      </c>
      <c r="G1013" s="60" t="s">
        <v>12</v>
      </c>
      <c r="H1013" s="60" t="s">
        <v>5061</v>
      </c>
    </row>
    <row r="1014" spans="1:8">
      <c r="A1014" s="59" t="s">
        <v>2597</v>
      </c>
      <c r="B1014" s="62">
        <v>11</v>
      </c>
      <c r="C1014" s="60" t="s">
        <v>5053</v>
      </c>
      <c r="D1014" s="64">
        <f>IFERROR(VLOOKUP(C1014,測定点マスタ!$E$2:$F$28,2,FALSE)/VLOOKUP(A1014,'焼鈍条件-3CGL'!$A$2:$B$197,2,FALSE)*60,"")</f>
        <v>45.535565086615058</v>
      </c>
      <c r="E1014" s="66">
        <v>525.9</v>
      </c>
      <c r="F1014" s="64">
        <f t="shared" si="15"/>
        <v>34.649289999999965</v>
      </c>
      <c r="G1014" s="60" t="s">
        <v>12</v>
      </c>
      <c r="H1014" s="60" t="s">
        <v>5061</v>
      </c>
    </row>
    <row r="1015" spans="1:8">
      <c r="A1015" s="59" t="s">
        <v>2597</v>
      </c>
      <c r="B1015" s="62">
        <v>12</v>
      </c>
      <c r="C1015" s="60" t="s">
        <v>5063</v>
      </c>
      <c r="D1015" s="64">
        <f>IFERROR(VLOOKUP(C1015,測定点マスタ!$E$2:$F$28,2,FALSE)/VLOOKUP(A1015,'焼鈍条件-3CGL'!$A$2:$B$197,2,FALSE)*60,"")</f>
        <v>48.042109953768176</v>
      </c>
      <c r="E1015" s="66">
        <v>530.70000000000005</v>
      </c>
      <c r="F1015" s="64">
        <f t="shared" si="15"/>
        <v>1.9149866666666975</v>
      </c>
      <c r="G1015" s="60" t="s">
        <v>12</v>
      </c>
      <c r="H1015" s="60" t="s">
        <v>5061</v>
      </c>
    </row>
    <row r="1016" spans="1:8">
      <c r="A1016" s="59" t="s">
        <v>2597</v>
      </c>
      <c r="B1016" s="62">
        <v>13</v>
      </c>
      <c r="C1016" s="60" t="s">
        <v>5054</v>
      </c>
      <c r="D1016" s="64">
        <f>IFERROR(VLOOKUP(C1016,測定点マスタ!$E$2:$F$28,2,FALSE)/VLOOKUP(A1016,'焼鈍条件-3CGL'!$A$2:$B$197,2,FALSE)*60,"")</f>
        <v>50.966412298780156</v>
      </c>
      <c r="E1016" s="66">
        <v>522.6</v>
      </c>
      <c r="F1016" s="64">
        <f t="shared" si="15"/>
        <v>-2.7698914285714316</v>
      </c>
      <c r="G1016" s="60" t="s">
        <v>12</v>
      </c>
      <c r="H1016" s="60" t="s">
        <v>5061</v>
      </c>
    </row>
    <row r="1017" spans="1:8">
      <c r="A1017" s="59" t="s">
        <v>2597</v>
      </c>
      <c r="B1017" s="62">
        <v>14</v>
      </c>
      <c r="C1017" s="60" t="s">
        <v>5056</v>
      </c>
      <c r="D1017" s="64">
        <f>IFERROR(VLOOKUP(C1017,測定点マスタ!$E$2:$F$28,2,FALSE)/VLOOKUP(A1017,'焼鈍条件-3CGL'!$A$2:$B$197,2,FALSE)*60,"")</f>
        <v>55.561744555227541</v>
      </c>
      <c r="E1017" s="66">
        <v>260.3</v>
      </c>
      <c r="F1017" s="64">
        <f t="shared" si="15"/>
        <v>-57.079659393939465</v>
      </c>
      <c r="G1017" s="60" t="s">
        <v>12</v>
      </c>
      <c r="H1017" s="60" t="s">
        <v>5061</v>
      </c>
    </row>
    <row r="1018" spans="1:8">
      <c r="A1018" s="59" t="s">
        <v>2597</v>
      </c>
      <c r="B1018" s="62">
        <v>15</v>
      </c>
      <c r="C1018" s="60" t="s">
        <v>5062</v>
      </c>
      <c r="D1018" s="64">
        <f>IFERROR(VLOOKUP(C1018,測定点マスタ!$E$2:$F$28,2,FALSE)/VLOOKUP(A1018,'焼鈍条件-3CGL'!$A$2:$B$197,2,FALSE)*60,"")</f>
        <v>60.574834289533783</v>
      </c>
      <c r="E1018" s="66">
        <v>458.7</v>
      </c>
      <c r="F1018" s="64">
        <f t="shared" si="15"/>
        <v>39.576391111111128</v>
      </c>
      <c r="G1018" s="60" t="s">
        <v>12</v>
      </c>
      <c r="H1018" s="60" t="s">
        <v>5061</v>
      </c>
    </row>
    <row r="1019" spans="1:8">
      <c r="A1019" s="59" t="s">
        <v>2597</v>
      </c>
      <c r="B1019" s="62">
        <v>16</v>
      </c>
      <c r="C1019" s="60" t="s">
        <v>5057</v>
      </c>
      <c r="D1019" s="64">
        <f>IFERROR(VLOOKUP(C1019,測定点マスタ!$E$2:$F$28,2,FALSE)/VLOOKUP(A1019,'焼鈍条件-3CGL'!$A$2:$B$197,2,FALSE)*60,"")</f>
        <v>68.885224116940208</v>
      </c>
      <c r="E1019" s="66">
        <v>219.8</v>
      </c>
      <c r="F1019" s="64">
        <f t="shared" si="15"/>
        <v>-28.747147241173145</v>
      </c>
      <c r="G1019" s="60" t="s">
        <v>12</v>
      </c>
      <c r="H1019" s="60" t="s">
        <v>5061</v>
      </c>
    </row>
    <row r="1020" spans="1:8">
      <c r="A1020" s="59" t="s">
        <v>2597</v>
      </c>
      <c r="B1020" s="62">
        <v>17</v>
      </c>
      <c r="C1020" s="60" t="s">
        <v>5059</v>
      </c>
      <c r="D1020" s="64">
        <f>IFERROR(VLOOKUP(C1020,測定点マスタ!$E$2:$F$28,2,FALSE)/VLOOKUP(A1020,'焼鈍条件-3CGL'!$A$2:$B$197,2,FALSE)*60,"")</f>
        <v>73.928153671093682</v>
      </c>
      <c r="E1020" s="66">
        <v>67.2</v>
      </c>
      <c r="F1020" s="64">
        <f t="shared" si="15"/>
        <v>-30.260188717947706</v>
      </c>
      <c r="G1020" s="60" t="s">
        <v>12</v>
      </c>
      <c r="H1020" s="60" t="s">
        <v>5061</v>
      </c>
    </row>
    <row r="1021" spans="1:8">
      <c r="A1021" s="59" t="s">
        <v>2612</v>
      </c>
      <c r="B1021" s="62">
        <v>1</v>
      </c>
      <c r="C1021" s="60" t="s">
        <v>5041</v>
      </c>
      <c r="D1021" s="64">
        <f>IFERROR(VLOOKUP(C1021,測定点マスタ!$E$2:$F$28,2,FALSE)/VLOOKUP(A1021,'焼鈍条件-3CGL'!$A$2:$B$197,2,FALSE)*60,"")</f>
        <v>0</v>
      </c>
      <c r="E1021" s="66">
        <v>39.200000000000003</v>
      </c>
      <c r="F1021" s="64" t="str">
        <f t="shared" si="15"/>
        <v/>
      </c>
      <c r="G1021" s="60" t="s">
        <v>9</v>
      </c>
      <c r="H1021" s="60" t="s">
        <v>5042</v>
      </c>
    </row>
    <row r="1022" spans="1:8">
      <c r="A1022" s="59" t="s">
        <v>2612</v>
      </c>
      <c r="B1022" s="62">
        <v>2</v>
      </c>
      <c r="C1022" s="60" t="s">
        <v>5043</v>
      </c>
      <c r="D1022" s="64">
        <f>IFERROR(VLOOKUP(C1022,測定点マスタ!$E$2:$F$28,2,FALSE)/VLOOKUP(A1022,'焼鈍条件-3CGL'!$A$2:$B$197,2,FALSE)*60,"")</f>
        <v>6.5307307162034682</v>
      </c>
      <c r="E1022" s="66">
        <v>160</v>
      </c>
      <c r="F1022" s="64">
        <f t="shared" si="15"/>
        <v>18.497164444444444</v>
      </c>
      <c r="G1022" s="60" t="s">
        <v>9</v>
      </c>
      <c r="H1022" s="60" t="s">
        <v>5042</v>
      </c>
    </row>
    <row r="1023" spans="1:8">
      <c r="A1023" s="59" t="s">
        <v>2612</v>
      </c>
      <c r="B1023" s="62">
        <v>3</v>
      </c>
      <c r="C1023" s="60" t="s">
        <v>5067</v>
      </c>
      <c r="D1023" s="64">
        <f>IFERROR(VLOOKUP(C1023,測定点マスタ!$E$2:$F$28,2,FALSE)/VLOOKUP(A1023,'焼鈍条件-3CGL'!$A$2:$B$197,2,FALSE)*60,"")</f>
        <v>10.884551193672449</v>
      </c>
      <c r="E1023" s="66">
        <v>322.3</v>
      </c>
      <c r="F1023" s="64">
        <f t="shared" si="15"/>
        <v>37.277604999999987</v>
      </c>
      <c r="G1023" s="60" t="s">
        <v>9</v>
      </c>
      <c r="H1023" s="60" t="s">
        <v>5042</v>
      </c>
    </row>
    <row r="1024" spans="1:8">
      <c r="A1024" s="59" t="s">
        <v>2612</v>
      </c>
      <c r="B1024" s="62">
        <v>4</v>
      </c>
      <c r="C1024" s="60" t="s">
        <v>5044</v>
      </c>
      <c r="D1024" s="64">
        <f>IFERROR(VLOOKUP(C1024,測定点マスタ!$E$2:$F$28,2,FALSE)/VLOOKUP(A1024,'焼鈍条件-3CGL'!$A$2:$B$197,2,FALSE)*60,"")</f>
        <v>14.802989623394529</v>
      </c>
      <c r="E1024" s="66">
        <v>624</v>
      </c>
      <c r="F1024" s="64">
        <f t="shared" si="15"/>
        <v>76.994957407407426</v>
      </c>
      <c r="G1024" s="60" t="s">
        <v>9</v>
      </c>
      <c r="H1024" s="60" t="s">
        <v>5042</v>
      </c>
    </row>
    <row r="1025" spans="1:8">
      <c r="A1025" s="59" t="s">
        <v>2612</v>
      </c>
      <c r="B1025" s="62">
        <v>5</v>
      </c>
      <c r="C1025" s="60" t="s">
        <v>5045</v>
      </c>
      <c r="D1025" s="64">
        <f>IFERROR(VLOOKUP(C1025,測定点マスタ!$E$2:$F$28,2,FALSE)/VLOOKUP(A1025,'焼鈍条件-3CGL'!$A$2:$B$197,2,FALSE)*60,"")</f>
        <v>19.156810100863506</v>
      </c>
      <c r="E1025" s="66">
        <v>747.2</v>
      </c>
      <c r="F1025" s="64">
        <f t="shared" si="15"/>
        <v>28.29698666666669</v>
      </c>
      <c r="G1025" s="60" t="s">
        <v>9</v>
      </c>
      <c r="H1025" s="60" t="s">
        <v>5042</v>
      </c>
    </row>
    <row r="1026" spans="1:8">
      <c r="A1026" s="59" t="s">
        <v>2612</v>
      </c>
      <c r="B1026" s="62">
        <v>6</v>
      </c>
      <c r="C1026" s="60" t="s">
        <v>5047</v>
      </c>
      <c r="D1026" s="64">
        <f>IFERROR(VLOOKUP(C1026,測定点マスタ!$E$2:$F$28,2,FALSE)/VLOOKUP(A1026,'焼鈍条件-3CGL'!$A$2:$B$197,2,FALSE)*60,"")</f>
        <v>26.122922864813873</v>
      </c>
      <c r="E1026" s="66">
        <v>697.1</v>
      </c>
      <c r="F1026" s="64">
        <f t="shared" ref="F1026:F1089" si="16">IF(A1026=A1025,IFERROR((E1026-E1025)/(D1026-D1025),""),"")</f>
        <v>-7.1919593750000033</v>
      </c>
      <c r="G1026" s="60" t="s">
        <v>9</v>
      </c>
      <c r="H1026" s="60" t="s">
        <v>5042</v>
      </c>
    </row>
    <row r="1027" spans="1:8">
      <c r="A1027" s="59" t="s">
        <v>2612</v>
      </c>
      <c r="B1027" s="62">
        <v>7</v>
      </c>
      <c r="C1027" s="60" t="s">
        <v>5049</v>
      </c>
      <c r="D1027" s="64">
        <f>IFERROR(VLOOKUP(C1027,測定点マスタ!$E$2:$F$28,2,FALSE)/VLOOKUP(A1027,'焼鈍条件-3CGL'!$A$2:$B$197,2,FALSE)*60,"")</f>
        <v>31.782889485523548</v>
      </c>
      <c r="E1027" s="66">
        <v>558.1</v>
      </c>
      <c r="F1027" s="64">
        <f t="shared" si="16"/>
        <v>-24.558448717948711</v>
      </c>
      <c r="G1027" s="60" t="s">
        <v>9</v>
      </c>
      <c r="H1027" s="60" t="s">
        <v>5042</v>
      </c>
    </row>
    <row r="1028" spans="1:8">
      <c r="A1028" s="59" t="s">
        <v>2612</v>
      </c>
      <c r="B1028" s="62">
        <v>8</v>
      </c>
      <c r="C1028" s="60" t="s">
        <v>5050</v>
      </c>
      <c r="D1028" s="64">
        <f>IFERROR(VLOOKUP(C1028,測定点マスタ!$E$2:$F$28,2,FALSE)/VLOOKUP(A1028,'焼鈍条件-3CGL'!$A$2:$B$197,2,FALSE)*60,"")</f>
        <v>35.265945867498729</v>
      </c>
      <c r="E1028" s="66">
        <v>472</v>
      </c>
      <c r="F1028" s="64">
        <f t="shared" si="16"/>
        <v>-24.719668750000018</v>
      </c>
      <c r="G1028" s="60" t="s">
        <v>9</v>
      </c>
      <c r="H1028" s="60" t="s">
        <v>5042</v>
      </c>
    </row>
    <row r="1029" spans="1:8">
      <c r="A1029" s="59" t="s">
        <v>2612</v>
      </c>
      <c r="B1029" s="62">
        <v>9</v>
      </c>
      <c r="C1029" s="60" t="s">
        <v>5051</v>
      </c>
      <c r="D1029" s="64">
        <f>IFERROR(VLOOKUP(C1029,測定点マスタ!$E$2:$F$28,2,FALSE)/VLOOKUP(A1029,'焼鈍条件-3CGL'!$A$2:$B$197,2,FALSE)*60,"")</f>
        <v>38.313620201727012</v>
      </c>
      <c r="E1029" s="66">
        <v>443.5</v>
      </c>
      <c r="F1029" s="64">
        <f t="shared" si="16"/>
        <v>-9.3513928571428639</v>
      </c>
      <c r="G1029" s="60" t="s">
        <v>9</v>
      </c>
      <c r="H1029" s="60" t="s">
        <v>5042</v>
      </c>
    </row>
    <row r="1030" spans="1:8">
      <c r="A1030" s="59" t="s">
        <v>2612</v>
      </c>
      <c r="B1030" s="62">
        <v>10</v>
      </c>
      <c r="C1030" s="60" t="s">
        <v>5052</v>
      </c>
      <c r="D1030" s="64">
        <f>IFERROR(VLOOKUP(C1030,測定点マスタ!$E$2:$F$28,2,FALSE)/VLOOKUP(A1030,'焼鈍条件-3CGL'!$A$2:$B$197,2,FALSE)*60,"")</f>
        <v>42.232058631449092</v>
      </c>
      <c r="E1030" s="66">
        <v>341.8</v>
      </c>
      <c r="F1030" s="64">
        <f t="shared" si="16"/>
        <v>-25.954216666666671</v>
      </c>
      <c r="G1030" s="60" t="s">
        <v>9</v>
      </c>
      <c r="H1030" s="60" t="s">
        <v>5042</v>
      </c>
    </row>
    <row r="1031" spans="1:8">
      <c r="A1031" s="59" t="s">
        <v>2612</v>
      </c>
      <c r="B1031" s="62">
        <v>11</v>
      </c>
      <c r="C1031" s="60" t="s">
        <v>5053</v>
      </c>
      <c r="D1031" s="64">
        <f>IFERROR(VLOOKUP(C1031,測定点マスタ!$E$2:$F$28,2,FALSE)/VLOOKUP(A1031,'焼鈍条件-3CGL'!$A$2:$B$197,2,FALSE)*60,"")</f>
        <v>47.456643204411868</v>
      </c>
      <c r="E1031" s="66">
        <v>490.8</v>
      </c>
      <c r="F1031" s="64">
        <f t="shared" si="16"/>
        <v>28.519013888888882</v>
      </c>
      <c r="G1031" s="60" t="s">
        <v>9</v>
      </c>
      <c r="H1031" s="60" t="s">
        <v>5042</v>
      </c>
    </row>
    <row r="1032" spans="1:8">
      <c r="A1032" s="59" t="s">
        <v>2612</v>
      </c>
      <c r="B1032" s="62">
        <v>12</v>
      </c>
      <c r="C1032" s="60" t="s">
        <v>5054</v>
      </c>
      <c r="D1032" s="64">
        <f>IFERROR(VLOOKUP(C1032,測定点マスタ!$E$2:$F$28,2,FALSE)/VLOOKUP(A1032,'焼鈍条件-3CGL'!$A$2:$B$197,2,FALSE)*60,"")</f>
        <v>53.116609825121543</v>
      </c>
      <c r="E1032" s="66">
        <v>483</v>
      </c>
      <c r="F1032" s="64">
        <f t="shared" si="16"/>
        <v>-1.3781000000000017</v>
      </c>
      <c r="G1032" s="60" t="s">
        <v>9</v>
      </c>
      <c r="H1032" s="60" t="s">
        <v>5042</v>
      </c>
    </row>
    <row r="1033" spans="1:8">
      <c r="A1033" s="59" t="s">
        <v>2612</v>
      </c>
      <c r="B1033" s="62">
        <v>13</v>
      </c>
      <c r="C1033" s="60" t="s">
        <v>5056</v>
      </c>
      <c r="D1033" s="64">
        <f>IFERROR(VLOOKUP(C1033,測定点マスタ!$E$2:$F$28,2,FALSE)/VLOOKUP(A1033,'焼鈍条件-3CGL'!$A$2:$B$197,2,FALSE)*60,"")</f>
        <v>57.90581235033742</v>
      </c>
      <c r="E1033" s="66">
        <v>249.4</v>
      </c>
      <c r="F1033" s="64">
        <f t="shared" si="16"/>
        <v>-48.776387878787872</v>
      </c>
      <c r="G1033" s="60" t="s">
        <v>9</v>
      </c>
      <c r="H1033" s="60" t="s">
        <v>5042</v>
      </c>
    </row>
    <row r="1034" spans="1:8">
      <c r="A1034" s="59" t="s">
        <v>2612</v>
      </c>
      <c r="B1034" s="62">
        <v>14</v>
      </c>
      <c r="C1034" s="60" t="s">
        <v>5068</v>
      </c>
      <c r="D1034" s="64">
        <f>IFERROR(VLOOKUP(C1034,測定点マスタ!$E$2:$F$28,2,FALSE)/VLOOKUP(A1034,'焼鈍条件-3CGL'!$A$2:$B$197,2,FALSE)*60,"")</f>
        <v>69.163548156364413</v>
      </c>
      <c r="E1034" s="66">
        <v>349.3</v>
      </c>
      <c r="F1034" s="64">
        <f t="shared" si="16"/>
        <v>8.8738980662982954</v>
      </c>
      <c r="G1034" s="60" t="s">
        <v>9</v>
      </c>
      <c r="H1034" s="60" t="s">
        <v>5042</v>
      </c>
    </row>
    <row r="1035" spans="1:8">
      <c r="A1035" s="59" t="s">
        <v>2612</v>
      </c>
      <c r="B1035" s="62">
        <v>15</v>
      </c>
      <c r="C1035" s="60" t="s">
        <v>5057</v>
      </c>
      <c r="D1035" s="64">
        <f>IFERROR(VLOOKUP(C1035,測定点マスタ!$E$2:$F$28,2,FALSE)/VLOOKUP(A1035,'焼鈍条件-3CGL'!$A$2:$B$197,2,FALSE)*60,"")</f>
        <v>71.791389801693782</v>
      </c>
      <c r="E1035" s="66">
        <v>281.2</v>
      </c>
      <c r="F1035" s="64">
        <f t="shared" si="16"/>
        <v>-25.914803550297073</v>
      </c>
      <c r="G1035" s="60" t="s">
        <v>9</v>
      </c>
      <c r="H1035" s="60" t="s">
        <v>5042</v>
      </c>
    </row>
    <row r="1036" spans="1:8">
      <c r="A1036" s="59" t="s">
        <v>2612</v>
      </c>
      <c r="B1036" s="62">
        <v>16</v>
      </c>
      <c r="C1036" s="60" t="s">
        <v>5059</v>
      </c>
      <c r="D1036" s="64">
        <f>IFERROR(VLOOKUP(C1036,測定点マスタ!$E$2:$F$28,2,FALSE)/VLOOKUP(A1036,'焼鈍条件-3CGL'!$A$2:$B$197,2,FALSE)*60,"")</f>
        <v>77.047073092352946</v>
      </c>
      <c r="E1036" s="66">
        <v>36.200000000000003</v>
      </c>
      <c r="F1036" s="64">
        <f t="shared" si="16"/>
        <v>-46.616203155816926</v>
      </c>
      <c r="G1036" s="60" t="s">
        <v>9</v>
      </c>
      <c r="H1036" s="60" t="s">
        <v>5042</v>
      </c>
    </row>
    <row r="1037" spans="1:8">
      <c r="A1037" s="59" t="s">
        <v>2619</v>
      </c>
      <c r="B1037" s="62">
        <v>1</v>
      </c>
      <c r="C1037" s="60" t="s">
        <v>5041</v>
      </c>
      <c r="D1037" s="64">
        <f>IFERROR(VLOOKUP(C1037,測定点マスタ!$E$2:$F$28,2,FALSE)/VLOOKUP(A1037,'焼鈍条件-3CGL'!$A$2:$B$197,2,FALSE)*60,"")</f>
        <v>0</v>
      </c>
      <c r="E1037" s="66">
        <v>34.1</v>
      </c>
      <c r="F1037" s="64" t="str">
        <f t="shared" si="16"/>
        <v/>
      </c>
      <c r="G1037" s="60" t="s">
        <v>9</v>
      </c>
      <c r="H1037" s="60" t="s">
        <v>5061</v>
      </c>
    </row>
    <row r="1038" spans="1:8">
      <c r="A1038" s="59" t="s">
        <v>2619</v>
      </c>
      <c r="B1038" s="62">
        <v>2</v>
      </c>
      <c r="C1038" s="60" t="s">
        <v>5043</v>
      </c>
      <c r="D1038" s="64">
        <f>IFERROR(VLOOKUP(C1038,測定点マスタ!$E$2:$F$28,2,FALSE)/VLOOKUP(A1038,'焼鈍条件-3CGL'!$A$2:$B$197,2,FALSE)*60,"")</f>
        <v>8.9135386748539176</v>
      </c>
      <c r="E1038" s="66">
        <v>195.7</v>
      </c>
      <c r="F1038" s="64">
        <f t="shared" si="16"/>
        <v>18.129724444444442</v>
      </c>
      <c r="G1038" s="60" t="s">
        <v>9</v>
      </c>
      <c r="H1038" s="60" t="s">
        <v>5061</v>
      </c>
    </row>
    <row r="1039" spans="1:8">
      <c r="A1039" s="59" t="s">
        <v>2619</v>
      </c>
      <c r="B1039" s="62">
        <v>3</v>
      </c>
      <c r="C1039" s="60" t="s">
        <v>5067</v>
      </c>
      <c r="D1039" s="64">
        <f>IFERROR(VLOOKUP(C1039,測定点マスタ!$E$2:$F$28,2,FALSE)/VLOOKUP(A1039,'焼鈍条件-3CGL'!$A$2:$B$197,2,FALSE)*60,"")</f>
        <v>14.855897791423196</v>
      </c>
      <c r="E1039" s="66">
        <v>385.8</v>
      </c>
      <c r="F1039" s="64">
        <f t="shared" si="16"/>
        <v>31.990661666666668</v>
      </c>
      <c r="G1039" s="60" t="s">
        <v>9</v>
      </c>
      <c r="H1039" s="60" t="s">
        <v>5061</v>
      </c>
    </row>
    <row r="1040" spans="1:8">
      <c r="A1040" s="59" t="s">
        <v>2619</v>
      </c>
      <c r="B1040" s="62">
        <v>4</v>
      </c>
      <c r="C1040" s="60" t="s">
        <v>5044</v>
      </c>
      <c r="D1040" s="64">
        <f>IFERROR(VLOOKUP(C1040,測定点マスタ!$E$2:$F$28,2,FALSE)/VLOOKUP(A1040,'焼鈍条件-3CGL'!$A$2:$B$197,2,FALSE)*60,"")</f>
        <v>20.204020996335547</v>
      </c>
      <c r="E1040" s="66">
        <v>669.9</v>
      </c>
      <c r="F1040" s="64">
        <f t="shared" si="16"/>
        <v>53.121438888888875</v>
      </c>
      <c r="G1040" s="60" t="s">
        <v>9</v>
      </c>
      <c r="H1040" s="60" t="s">
        <v>5061</v>
      </c>
    </row>
    <row r="1041" spans="1:8">
      <c r="A1041" s="59" t="s">
        <v>2619</v>
      </c>
      <c r="B1041" s="62">
        <v>5</v>
      </c>
      <c r="C1041" s="60" t="s">
        <v>5045</v>
      </c>
      <c r="D1041" s="64">
        <f>IFERROR(VLOOKUP(C1041,測定点マスタ!$E$2:$F$28,2,FALSE)/VLOOKUP(A1041,'焼鈍条件-3CGL'!$A$2:$B$197,2,FALSE)*60,"")</f>
        <v>26.146380112904822</v>
      </c>
      <c r="E1041" s="66">
        <v>806.3</v>
      </c>
      <c r="F1041" s="64">
        <f t="shared" si="16"/>
        <v>22.953846666666674</v>
      </c>
      <c r="G1041" s="60" t="s">
        <v>9</v>
      </c>
      <c r="H1041" s="60" t="s">
        <v>5061</v>
      </c>
    </row>
    <row r="1042" spans="1:8">
      <c r="A1042" s="59" t="s">
        <v>2619</v>
      </c>
      <c r="B1042" s="62">
        <v>6</v>
      </c>
      <c r="C1042" s="60" t="s">
        <v>5046</v>
      </c>
      <c r="D1042" s="64">
        <f>IFERROR(VLOOKUP(C1042,測定点マスタ!$E$2:$F$28,2,FALSE)/VLOOKUP(A1042,'焼鈍条件-3CGL'!$A$2:$B$197,2,FALSE)*60,"")</f>
        <v>32.088739229474101</v>
      </c>
      <c r="E1042" s="66">
        <v>784.6</v>
      </c>
      <c r="F1042" s="64">
        <f t="shared" si="16"/>
        <v>-3.6517483333333218</v>
      </c>
      <c r="G1042" s="60" t="s">
        <v>9</v>
      </c>
      <c r="H1042" s="60" t="s">
        <v>5061</v>
      </c>
    </row>
    <row r="1043" spans="1:8">
      <c r="A1043" s="59" t="s">
        <v>2619</v>
      </c>
      <c r="B1043" s="62">
        <v>7</v>
      </c>
      <c r="C1043" s="60" t="s">
        <v>5047</v>
      </c>
      <c r="D1043" s="64">
        <f>IFERROR(VLOOKUP(C1043,測定点マスタ!$E$2:$F$28,2,FALSE)/VLOOKUP(A1043,'焼鈍条件-3CGL'!$A$2:$B$197,2,FALSE)*60,"")</f>
        <v>35.65415469941567</v>
      </c>
      <c r="E1043" s="66">
        <v>758.2</v>
      </c>
      <c r="F1043" s="64">
        <f t="shared" si="16"/>
        <v>-7.4044666666666537</v>
      </c>
      <c r="G1043" s="60" t="s">
        <v>9</v>
      </c>
      <c r="H1043" s="60" t="s">
        <v>5061</v>
      </c>
    </row>
    <row r="1044" spans="1:8">
      <c r="A1044" s="59" t="s">
        <v>2619</v>
      </c>
      <c r="B1044" s="62">
        <v>8</v>
      </c>
      <c r="C1044" s="60" t="s">
        <v>5049</v>
      </c>
      <c r="D1044" s="64">
        <f>IFERROR(VLOOKUP(C1044,測定点マスタ!$E$2:$F$28,2,FALSE)/VLOOKUP(A1044,'焼鈍条件-3CGL'!$A$2:$B$197,2,FALSE)*60,"")</f>
        <v>43.379221550955727</v>
      </c>
      <c r="E1044" s="66">
        <v>613.1</v>
      </c>
      <c r="F1044" s="64">
        <f t="shared" si="16"/>
        <v>-18.783008974358989</v>
      </c>
      <c r="G1044" s="60" t="s">
        <v>9</v>
      </c>
      <c r="H1044" s="60" t="s">
        <v>5061</v>
      </c>
    </row>
    <row r="1045" spans="1:8">
      <c r="A1045" s="59" t="s">
        <v>2619</v>
      </c>
      <c r="B1045" s="62">
        <v>9</v>
      </c>
      <c r="C1045" s="60" t="s">
        <v>5050</v>
      </c>
      <c r="D1045" s="64">
        <f>IFERROR(VLOOKUP(C1045,測定点マスタ!$E$2:$F$28,2,FALSE)/VLOOKUP(A1045,'焼鈍条件-3CGL'!$A$2:$B$197,2,FALSE)*60,"")</f>
        <v>48.133108844211151</v>
      </c>
      <c r="E1045" s="66">
        <v>513.4</v>
      </c>
      <c r="F1045" s="64">
        <f t="shared" si="16"/>
        <v>-20.972310416666669</v>
      </c>
      <c r="G1045" s="60" t="s">
        <v>9</v>
      </c>
      <c r="H1045" s="60" t="s">
        <v>5061</v>
      </c>
    </row>
    <row r="1046" spans="1:8">
      <c r="A1046" s="59" t="s">
        <v>2619</v>
      </c>
      <c r="B1046" s="62">
        <v>10</v>
      </c>
      <c r="C1046" s="60" t="s">
        <v>5051</v>
      </c>
      <c r="D1046" s="64">
        <f>IFERROR(VLOOKUP(C1046,測定点マスタ!$E$2:$F$28,2,FALSE)/VLOOKUP(A1046,'焼鈍条件-3CGL'!$A$2:$B$197,2,FALSE)*60,"")</f>
        <v>52.292760225809644</v>
      </c>
      <c r="E1046" s="66">
        <v>447.7</v>
      </c>
      <c r="F1046" s="64">
        <f t="shared" si="16"/>
        <v>-15.79459285714286</v>
      </c>
      <c r="G1046" s="60" t="s">
        <v>9</v>
      </c>
      <c r="H1046" s="60" t="s">
        <v>5061</v>
      </c>
    </row>
    <row r="1047" spans="1:8">
      <c r="A1047" s="59" t="s">
        <v>2619</v>
      </c>
      <c r="B1047" s="62">
        <v>11</v>
      </c>
      <c r="C1047" s="60" t="s">
        <v>5060</v>
      </c>
      <c r="D1047" s="64">
        <f>IFERROR(VLOOKUP(C1047,測定点マスタ!$E$2:$F$28,2,FALSE)/VLOOKUP(A1047,'焼鈍条件-3CGL'!$A$2:$B$197,2,FALSE)*60,"")</f>
        <v>54.669703872437353</v>
      </c>
      <c r="E1047" s="66">
        <v>396.4</v>
      </c>
      <c r="F1047" s="64">
        <f t="shared" si="16"/>
        <v>-21.58233750000003</v>
      </c>
      <c r="G1047" s="60" t="s">
        <v>9</v>
      </c>
      <c r="H1047" s="60" t="s">
        <v>5061</v>
      </c>
    </row>
    <row r="1048" spans="1:8">
      <c r="A1048" s="59" t="s">
        <v>2619</v>
      </c>
      <c r="B1048" s="62">
        <v>12</v>
      </c>
      <c r="C1048" s="60" t="s">
        <v>5052</v>
      </c>
      <c r="D1048" s="64">
        <f>IFERROR(VLOOKUP(C1048,測定点マスタ!$E$2:$F$28,2,FALSE)/VLOOKUP(A1048,'焼鈍条件-3CGL'!$A$2:$B$197,2,FALSE)*60,"")</f>
        <v>57.640883430721999</v>
      </c>
      <c r="E1048" s="66">
        <v>348.6</v>
      </c>
      <c r="F1048" s="64">
        <f t="shared" si="16"/>
        <v>-16.087886666666613</v>
      </c>
      <c r="G1048" s="60" t="s">
        <v>9</v>
      </c>
      <c r="H1048" s="60" t="s">
        <v>5061</v>
      </c>
    </row>
    <row r="1049" spans="1:8">
      <c r="A1049" s="59" t="s">
        <v>2619</v>
      </c>
      <c r="B1049" s="62">
        <v>13</v>
      </c>
      <c r="C1049" s="60" t="s">
        <v>5053</v>
      </c>
      <c r="D1049" s="64">
        <f>IFERROR(VLOOKUP(C1049,測定点マスタ!$E$2:$F$28,2,FALSE)/VLOOKUP(A1049,'焼鈍条件-3CGL'!$A$2:$B$197,2,FALSE)*60,"")</f>
        <v>64.771714370605125</v>
      </c>
      <c r="E1049" s="66">
        <v>532.70000000000005</v>
      </c>
      <c r="F1049" s="64">
        <f t="shared" si="16"/>
        <v>25.817468055555587</v>
      </c>
      <c r="G1049" s="60" t="s">
        <v>9</v>
      </c>
      <c r="H1049" s="60" t="s">
        <v>5061</v>
      </c>
    </row>
    <row r="1050" spans="1:8">
      <c r="A1050" s="59" t="s">
        <v>2619</v>
      </c>
      <c r="B1050" s="62">
        <v>14</v>
      </c>
      <c r="C1050" s="60" t="s">
        <v>5054</v>
      </c>
      <c r="D1050" s="64">
        <f>IFERROR(VLOOKUP(C1050,測定点マスタ!$E$2:$F$28,2,FALSE)/VLOOKUP(A1050,'焼鈍条件-3CGL'!$A$2:$B$197,2,FALSE)*60,"")</f>
        <v>72.496781222145202</v>
      </c>
      <c r="E1050" s="66">
        <v>520</v>
      </c>
      <c r="F1050" s="64">
        <f t="shared" si="16"/>
        <v>-1.6439987179487203</v>
      </c>
      <c r="G1050" s="60" t="s">
        <v>9</v>
      </c>
      <c r="H1050" s="60" t="s">
        <v>5061</v>
      </c>
    </row>
    <row r="1051" spans="1:8">
      <c r="A1051" s="59" t="s">
        <v>2619</v>
      </c>
      <c r="B1051" s="62">
        <v>15</v>
      </c>
      <c r="C1051" s="60" t="s">
        <v>5056</v>
      </c>
      <c r="D1051" s="64">
        <f>IFERROR(VLOOKUP(C1051,測定点マスタ!$E$2:$F$28,2,FALSE)/VLOOKUP(A1051,'焼鈍条件-3CGL'!$A$2:$B$197,2,FALSE)*60,"")</f>
        <v>79.03337625037139</v>
      </c>
      <c r="E1051" s="66">
        <v>263.3</v>
      </c>
      <c r="F1051" s="64">
        <f t="shared" si="16"/>
        <v>-39.271210606060713</v>
      </c>
      <c r="G1051" s="60" t="s">
        <v>9</v>
      </c>
      <c r="H1051" s="60" t="s">
        <v>5061</v>
      </c>
    </row>
    <row r="1052" spans="1:8">
      <c r="A1052" s="59" t="s">
        <v>2619</v>
      </c>
      <c r="B1052" s="62">
        <v>16</v>
      </c>
      <c r="C1052" s="60" t="s">
        <v>5062</v>
      </c>
      <c r="D1052" s="64">
        <f>IFERROR(VLOOKUP(C1052,測定点マスタ!$E$2:$F$28,2,FALSE)/VLOOKUP(A1052,'焼鈍条件-3CGL'!$A$2:$B$197,2,FALSE)*60,"")</f>
        <v>86.16420719025453</v>
      </c>
      <c r="E1052" s="66">
        <v>457.7</v>
      </c>
      <c r="F1052" s="64">
        <f t="shared" si="16"/>
        <v>27.261899999999972</v>
      </c>
      <c r="G1052" s="60" t="s">
        <v>9</v>
      </c>
      <c r="H1052" s="60" t="s">
        <v>5061</v>
      </c>
    </row>
    <row r="1053" spans="1:8">
      <c r="A1053" s="59" t="s">
        <v>2619</v>
      </c>
      <c r="B1053" s="62">
        <v>17</v>
      </c>
      <c r="C1053" s="60" t="s">
        <v>5057</v>
      </c>
      <c r="D1053" s="64">
        <f>IFERROR(VLOOKUP(C1053,測定点マスタ!$E$2:$F$28,2,FALSE)/VLOOKUP(A1053,'焼鈍条件-3CGL'!$A$2:$B$197,2,FALSE)*60,"")</f>
        <v>97.985257290001186</v>
      </c>
      <c r="E1053" s="66">
        <v>251.8</v>
      </c>
      <c r="F1053" s="64">
        <f t="shared" si="16"/>
        <v>-17.418080311191027</v>
      </c>
      <c r="G1053" s="60" t="s">
        <v>9</v>
      </c>
      <c r="H1053" s="60" t="s">
        <v>5061</v>
      </c>
    </row>
    <row r="1054" spans="1:8">
      <c r="A1054" s="59" t="s">
        <v>2619</v>
      </c>
      <c r="B1054" s="62">
        <v>18</v>
      </c>
      <c r="C1054" s="60" t="s">
        <v>5058</v>
      </c>
      <c r="D1054" s="64">
        <f>IFERROR(VLOOKUP(C1054,測定点マスタ!$E$2:$F$28,2,FALSE)/VLOOKUP(A1054,'焼鈍条件-3CGL'!$A$2:$B$197,2,FALSE)*60,"")</f>
        <v>101.57189547107319</v>
      </c>
      <c r="E1054" s="66">
        <v>101.9</v>
      </c>
      <c r="F1054" s="64">
        <f t="shared" si="16"/>
        <v>-41.794012228798792</v>
      </c>
      <c r="G1054" s="60" t="s">
        <v>9</v>
      </c>
      <c r="H1054" s="60" t="s">
        <v>5061</v>
      </c>
    </row>
    <row r="1055" spans="1:8">
      <c r="A1055" s="59" t="s">
        <v>2619</v>
      </c>
      <c r="B1055" s="62">
        <v>19</v>
      </c>
      <c r="C1055" s="60" t="s">
        <v>5059</v>
      </c>
      <c r="D1055" s="64">
        <f>IFERROR(VLOOKUP(C1055,測定点マスタ!$E$2:$F$28,2,FALSE)/VLOOKUP(A1055,'焼鈍条件-3CGL'!$A$2:$B$197,2,FALSE)*60,"")</f>
        <v>105.15853365214579</v>
      </c>
      <c r="E1055" s="66">
        <v>45</v>
      </c>
      <c r="F1055" s="64">
        <f t="shared" si="16"/>
        <v>-15.864438264297904</v>
      </c>
      <c r="G1055" s="60" t="s">
        <v>9</v>
      </c>
      <c r="H1055" s="60" t="s">
        <v>5061</v>
      </c>
    </row>
    <row r="1056" spans="1:8">
      <c r="A1056" s="59" t="s">
        <v>2628</v>
      </c>
      <c r="B1056" s="62">
        <v>1</v>
      </c>
      <c r="C1056" s="60" t="s">
        <v>5041</v>
      </c>
      <c r="D1056" s="64">
        <f>IFERROR(VLOOKUP(C1056,測定点マスタ!$E$2:$F$28,2,FALSE)/VLOOKUP(A1056,'焼鈍条件-3CGL'!$A$2:$B$197,2,FALSE)*60,"")</f>
        <v>0</v>
      </c>
      <c r="E1056" s="66">
        <v>25.8</v>
      </c>
      <c r="F1056" s="64" t="str">
        <f t="shared" si="16"/>
        <v/>
      </c>
      <c r="G1056" s="60" t="s">
        <v>12</v>
      </c>
      <c r="H1056" s="60" t="s">
        <v>5061</v>
      </c>
    </row>
    <row r="1057" spans="1:8">
      <c r="A1057" s="59" t="s">
        <v>2628</v>
      </c>
      <c r="B1057" s="62">
        <v>2</v>
      </c>
      <c r="C1057" s="60" t="s">
        <v>5043</v>
      </c>
      <c r="D1057" s="64">
        <f>IFERROR(VLOOKUP(C1057,測定点マスタ!$E$2:$F$28,2,FALSE)/VLOOKUP(A1057,'焼鈍条件-3CGL'!$A$2:$B$197,2,FALSE)*60,"")</f>
        <v>7.125326577468134</v>
      </c>
      <c r="E1057" s="66">
        <v>178.1</v>
      </c>
      <c r="F1057" s="64">
        <f t="shared" si="16"/>
        <v>21.374458888888885</v>
      </c>
      <c r="G1057" s="60" t="s">
        <v>12</v>
      </c>
      <c r="H1057" s="60" t="s">
        <v>5061</v>
      </c>
    </row>
    <row r="1058" spans="1:8">
      <c r="A1058" s="59" t="s">
        <v>2628</v>
      </c>
      <c r="B1058" s="62">
        <v>3</v>
      </c>
      <c r="C1058" s="60" t="s">
        <v>5044</v>
      </c>
      <c r="D1058" s="64">
        <f>IFERROR(VLOOKUP(C1058,測定点マスタ!$E$2:$F$28,2,FALSE)/VLOOKUP(A1058,'焼鈍条件-3CGL'!$A$2:$B$197,2,FALSE)*60,"")</f>
        <v>16.150740242261104</v>
      </c>
      <c r="E1058" s="66">
        <v>636.20000000000005</v>
      </c>
      <c r="F1058" s="64">
        <f t="shared" si="16"/>
        <v>50.75667631578947</v>
      </c>
      <c r="G1058" s="60" t="s">
        <v>12</v>
      </c>
      <c r="H1058" s="60" t="s">
        <v>5061</v>
      </c>
    </row>
    <row r="1059" spans="1:8">
      <c r="A1059" s="59" t="s">
        <v>2628</v>
      </c>
      <c r="B1059" s="62">
        <v>4</v>
      </c>
      <c r="C1059" s="60" t="s">
        <v>5045</v>
      </c>
      <c r="D1059" s="64">
        <f>IFERROR(VLOOKUP(C1059,測定点マスタ!$E$2:$F$28,2,FALSE)/VLOOKUP(A1059,'焼鈍条件-3CGL'!$A$2:$B$197,2,FALSE)*60,"")</f>
        <v>20.900957960573194</v>
      </c>
      <c r="E1059" s="66">
        <v>791.7</v>
      </c>
      <c r="F1059" s="64">
        <f t="shared" si="16"/>
        <v>32.735341666666663</v>
      </c>
      <c r="G1059" s="60" t="s">
        <v>12</v>
      </c>
      <c r="H1059" s="60" t="s">
        <v>5061</v>
      </c>
    </row>
    <row r="1060" spans="1:8">
      <c r="A1060" s="59" t="s">
        <v>2628</v>
      </c>
      <c r="B1060" s="62">
        <v>5</v>
      </c>
      <c r="C1060" s="60" t="s">
        <v>5047</v>
      </c>
      <c r="D1060" s="64">
        <f>IFERROR(VLOOKUP(C1060,測定点マスタ!$E$2:$F$28,2,FALSE)/VLOOKUP(A1060,'焼鈍条件-3CGL'!$A$2:$B$197,2,FALSE)*60,"")</f>
        <v>28.501306309872536</v>
      </c>
      <c r="E1060" s="66">
        <v>733.5</v>
      </c>
      <c r="F1060" s="64">
        <f t="shared" si="16"/>
        <v>-7.6575437500000074</v>
      </c>
      <c r="G1060" s="60" t="s">
        <v>12</v>
      </c>
      <c r="H1060" s="60" t="s">
        <v>5061</v>
      </c>
    </row>
    <row r="1061" spans="1:8">
      <c r="A1061" s="59" t="s">
        <v>2628</v>
      </c>
      <c r="B1061" s="62">
        <v>6</v>
      </c>
      <c r="C1061" s="60" t="s">
        <v>5048</v>
      </c>
      <c r="D1061" s="64">
        <f>IFERROR(VLOOKUP(C1061,測定点マスタ!$E$2:$F$28,2,FALSE)/VLOOKUP(A1061,'焼鈍条件-3CGL'!$A$2:$B$197,2,FALSE)*60,"")</f>
        <v>31.351436940859791</v>
      </c>
      <c r="E1061" s="66">
        <v>670.3</v>
      </c>
      <c r="F1061" s="64">
        <f t="shared" si="16"/>
        <v>-22.174422222222223</v>
      </c>
      <c r="G1061" s="60" t="s">
        <v>12</v>
      </c>
      <c r="H1061" s="60" t="s">
        <v>5061</v>
      </c>
    </row>
    <row r="1062" spans="1:8">
      <c r="A1062" s="59" t="s">
        <v>2628</v>
      </c>
      <c r="B1062" s="62">
        <v>7</v>
      </c>
      <c r="C1062" s="60" t="s">
        <v>5049</v>
      </c>
      <c r="D1062" s="64">
        <f>IFERROR(VLOOKUP(C1062,測定点マスタ!$E$2:$F$28,2,FALSE)/VLOOKUP(A1062,'焼鈍条件-3CGL'!$A$2:$B$197,2,FALSE)*60,"")</f>
        <v>34.676589343678252</v>
      </c>
      <c r="E1062" s="66">
        <v>607.29999999999995</v>
      </c>
      <c r="F1062" s="64">
        <f t="shared" si="16"/>
        <v>-18.946500000000011</v>
      </c>
      <c r="G1062" s="60" t="s">
        <v>12</v>
      </c>
      <c r="H1062" s="60" t="s">
        <v>5061</v>
      </c>
    </row>
    <row r="1063" spans="1:8">
      <c r="A1063" s="59" t="s">
        <v>2628</v>
      </c>
      <c r="B1063" s="62">
        <v>8</v>
      </c>
      <c r="C1063" s="60" t="s">
        <v>5050</v>
      </c>
      <c r="D1063" s="64">
        <f>IFERROR(VLOOKUP(C1063,測定点マスタ!$E$2:$F$28,2,FALSE)/VLOOKUP(A1063,'焼鈍条件-3CGL'!$A$2:$B$197,2,FALSE)*60,"")</f>
        <v>38.476763518327921</v>
      </c>
      <c r="E1063" s="66">
        <v>504.5</v>
      </c>
      <c r="F1063" s="64">
        <f t="shared" si="16"/>
        <v>-27.051391666666671</v>
      </c>
      <c r="G1063" s="60" t="s">
        <v>12</v>
      </c>
      <c r="H1063" s="60" t="s">
        <v>5061</v>
      </c>
    </row>
    <row r="1064" spans="1:8">
      <c r="A1064" s="59" t="s">
        <v>2628</v>
      </c>
      <c r="B1064" s="62">
        <v>9</v>
      </c>
      <c r="C1064" s="60" t="s">
        <v>5051</v>
      </c>
      <c r="D1064" s="64">
        <f>IFERROR(VLOOKUP(C1064,測定点マスタ!$E$2:$F$28,2,FALSE)/VLOOKUP(A1064,'焼鈍条件-3CGL'!$A$2:$B$197,2,FALSE)*60,"")</f>
        <v>41.801915921146389</v>
      </c>
      <c r="E1064" s="66">
        <v>448.4</v>
      </c>
      <c r="F1064" s="64">
        <f t="shared" si="16"/>
        <v>-16.871407142857123</v>
      </c>
      <c r="G1064" s="60" t="s">
        <v>12</v>
      </c>
      <c r="H1064" s="60" t="s">
        <v>5061</v>
      </c>
    </row>
    <row r="1065" spans="1:8">
      <c r="A1065" s="59" t="s">
        <v>2628</v>
      </c>
      <c r="B1065" s="62">
        <v>10</v>
      </c>
      <c r="C1065" s="60" t="s">
        <v>5052</v>
      </c>
      <c r="D1065" s="64">
        <f>IFERROR(VLOOKUP(C1065,測定点マスタ!$E$2:$F$28,2,FALSE)/VLOOKUP(A1065,'焼鈍条件-3CGL'!$A$2:$B$197,2,FALSE)*60,"")</f>
        <v>46.077111867627266</v>
      </c>
      <c r="E1065" s="66">
        <v>327.2</v>
      </c>
      <c r="F1065" s="64">
        <f t="shared" si="16"/>
        <v>-28.349577777777792</v>
      </c>
      <c r="G1065" s="60" t="s">
        <v>12</v>
      </c>
      <c r="H1065" s="60" t="s">
        <v>5061</v>
      </c>
    </row>
    <row r="1066" spans="1:8">
      <c r="A1066" s="59" t="s">
        <v>2628</v>
      </c>
      <c r="B1066" s="62">
        <v>11</v>
      </c>
      <c r="C1066" s="60" t="s">
        <v>5069</v>
      </c>
      <c r="D1066" s="64">
        <f>IFERROR(VLOOKUP(C1066,測定点マスタ!$E$2:$F$28,2,FALSE)/VLOOKUP(A1066,'焼鈍条件-3CGL'!$A$2:$B$197,2,FALSE)*60,"")</f>
        <v>49.402264270445727</v>
      </c>
      <c r="E1066" s="66">
        <v>486.5</v>
      </c>
      <c r="F1066" s="64">
        <f t="shared" si="16"/>
        <v>47.907578571428601</v>
      </c>
      <c r="G1066" s="60" t="s">
        <v>12</v>
      </c>
      <c r="H1066" s="60" t="s">
        <v>5061</v>
      </c>
    </row>
    <row r="1067" spans="1:8">
      <c r="A1067" s="59" t="s">
        <v>2628</v>
      </c>
      <c r="B1067" s="62">
        <v>12</v>
      </c>
      <c r="C1067" s="60" t="s">
        <v>5053</v>
      </c>
      <c r="D1067" s="64">
        <f>IFERROR(VLOOKUP(C1067,測定点マスタ!$E$2:$F$28,2,FALSE)/VLOOKUP(A1067,'焼鈍条件-3CGL'!$A$2:$B$197,2,FALSE)*60,"")</f>
        <v>51.77737312960177</v>
      </c>
      <c r="E1067" s="66">
        <v>527.70000000000005</v>
      </c>
      <c r="F1067" s="64">
        <f t="shared" si="16"/>
        <v>17.346573333333364</v>
      </c>
      <c r="G1067" s="60" t="s">
        <v>12</v>
      </c>
      <c r="H1067" s="60" t="s">
        <v>5061</v>
      </c>
    </row>
    <row r="1068" spans="1:8">
      <c r="A1068" s="59" t="s">
        <v>2628</v>
      </c>
      <c r="B1068" s="62">
        <v>13</v>
      </c>
      <c r="C1068" s="60" t="s">
        <v>5054</v>
      </c>
      <c r="D1068" s="64">
        <f>IFERROR(VLOOKUP(C1068,測定点マスタ!$E$2:$F$28,2,FALSE)/VLOOKUP(A1068,'焼鈍条件-3CGL'!$A$2:$B$197,2,FALSE)*60,"")</f>
        <v>57.952656163407489</v>
      </c>
      <c r="E1068" s="66">
        <v>511.2</v>
      </c>
      <c r="F1068" s="64">
        <f t="shared" si="16"/>
        <v>-2.6719423076923157</v>
      </c>
      <c r="G1068" s="60" t="s">
        <v>12</v>
      </c>
      <c r="H1068" s="60" t="s">
        <v>5061</v>
      </c>
    </row>
    <row r="1069" spans="1:8">
      <c r="A1069" s="59" t="s">
        <v>2628</v>
      </c>
      <c r="B1069" s="62">
        <v>14</v>
      </c>
      <c r="C1069" s="60" t="s">
        <v>5056</v>
      </c>
      <c r="D1069" s="64">
        <f>IFERROR(VLOOKUP(C1069,測定点マスタ!$E$2:$F$28,2,FALSE)/VLOOKUP(A1069,'焼鈍条件-3CGL'!$A$2:$B$197,2,FALSE)*60,"")</f>
        <v>63.177895653550785</v>
      </c>
      <c r="E1069" s="66">
        <v>259.89999999999998</v>
      </c>
      <c r="F1069" s="64">
        <f t="shared" si="16"/>
        <v>-48.093489393939429</v>
      </c>
      <c r="G1069" s="60" t="s">
        <v>12</v>
      </c>
      <c r="H1069" s="60" t="s">
        <v>5061</v>
      </c>
    </row>
    <row r="1070" spans="1:8">
      <c r="A1070" s="59" t="s">
        <v>2628</v>
      </c>
      <c r="B1070" s="62">
        <v>15</v>
      </c>
      <c r="C1070" s="60" t="s">
        <v>5062</v>
      </c>
      <c r="D1070" s="64">
        <f>IFERROR(VLOOKUP(C1070,測定点マスタ!$E$2:$F$28,2,FALSE)/VLOOKUP(A1070,'焼鈍条件-3CGL'!$A$2:$B$197,2,FALSE)*60,"")</f>
        <v>68.878156915525295</v>
      </c>
      <c r="E1070" s="66">
        <v>452.6</v>
      </c>
      <c r="F1070" s="64">
        <f t="shared" si="16"/>
        <v>33.805468055555544</v>
      </c>
      <c r="G1070" s="60" t="s">
        <v>12</v>
      </c>
      <c r="H1070" s="60" t="s">
        <v>5061</v>
      </c>
    </row>
    <row r="1071" spans="1:8">
      <c r="A1071" s="59" t="s">
        <v>2628</v>
      </c>
      <c r="B1071" s="62">
        <v>16</v>
      </c>
      <c r="C1071" s="60" t="s">
        <v>5068</v>
      </c>
      <c r="D1071" s="64">
        <f>IFERROR(VLOOKUP(C1071,測定点マスタ!$E$2:$F$28,2,FALSE)/VLOOKUP(A1071,'焼鈍条件-3CGL'!$A$2:$B$197,2,FALSE)*60,"")</f>
        <v>75.460601468043549</v>
      </c>
      <c r="E1071" s="66">
        <v>353.3</v>
      </c>
      <c r="F1071" s="64">
        <f t="shared" si="16"/>
        <v>-15.085580927834886</v>
      </c>
      <c r="G1071" s="60" t="s">
        <v>12</v>
      </c>
      <c r="H1071" s="60" t="s">
        <v>5061</v>
      </c>
    </row>
    <row r="1072" spans="1:8">
      <c r="A1072" s="59" t="s">
        <v>2628</v>
      </c>
      <c r="B1072" s="62">
        <v>17</v>
      </c>
      <c r="C1072" s="60" t="s">
        <v>5057</v>
      </c>
      <c r="D1072" s="64">
        <f>IFERROR(VLOOKUP(C1072,測定点マスタ!$E$2:$F$28,2,FALSE)/VLOOKUP(A1072,'焼鈍条件-3CGL'!$A$2:$B$197,2,FALSE)*60,"")</f>
        <v>78.327697162310344</v>
      </c>
      <c r="E1072" s="66">
        <v>198.3</v>
      </c>
      <c r="F1072" s="64">
        <f t="shared" si="16"/>
        <v>-54.061676528602348</v>
      </c>
      <c r="G1072" s="60" t="s">
        <v>12</v>
      </c>
      <c r="H1072" s="60" t="s">
        <v>5061</v>
      </c>
    </row>
    <row r="1073" spans="1:8">
      <c r="A1073" s="59" t="s">
        <v>2628</v>
      </c>
      <c r="B1073" s="62">
        <v>18</v>
      </c>
      <c r="C1073" s="60" t="s">
        <v>5059</v>
      </c>
      <c r="D1073" s="64">
        <f>IFERROR(VLOOKUP(C1073,測定点マスタ!$E$2:$F$28,2,FALSE)/VLOOKUP(A1073,'焼鈍条件-3CGL'!$A$2:$B$197,2,FALSE)*60,"")</f>
        <v>84.061888550844429</v>
      </c>
      <c r="E1073" s="66">
        <v>47.1</v>
      </c>
      <c r="F1073" s="64">
        <f t="shared" si="16"/>
        <v>-26.368146745561184</v>
      </c>
      <c r="G1073" s="60" t="s">
        <v>12</v>
      </c>
      <c r="H1073" s="60" t="s">
        <v>5061</v>
      </c>
    </row>
    <row r="1074" spans="1:8">
      <c r="A1074" s="59" t="s">
        <v>2640</v>
      </c>
      <c r="B1074" s="62">
        <v>1</v>
      </c>
      <c r="C1074" s="60" t="s">
        <v>5041</v>
      </c>
      <c r="D1074" s="64">
        <f>IFERROR(VLOOKUP(C1074,測定点マスタ!$E$2:$F$28,2,FALSE)/VLOOKUP(A1074,'焼鈍条件-3CGL'!$A$2:$B$197,2,FALSE)*60,"")</f>
        <v>0</v>
      </c>
      <c r="E1074" s="66">
        <v>36</v>
      </c>
      <c r="F1074" s="64" t="str">
        <f t="shared" si="16"/>
        <v/>
      </c>
      <c r="G1074" s="60" t="s">
        <v>9</v>
      </c>
      <c r="H1074" s="60" t="s">
        <v>5064</v>
      </c>
    </row>
    <row r="1075" spans="1:8">
      <c r="A1075" s="59" t="s">
        <v>2640</v>
      </c>
      <c r="B1075" s="62">
        <v>2</v>
      </c>
      <c r="C1075" s="60" t="s">
        <v>5043</v>
      </c>
      <c r="D1075" s="64">
        <f>IFERROR(VLOOKUP(C1075,測定点マスタ!$E$2:$F$28,2,FALSE)/VLOOKUP(A1075,'焼鈍条件-3CGL'!$A$2:$B$197,2,FALSE)*60,"")</f>
        <v>10.618341415070965</v>
      </c>
      <c r="E1075" s="66">
        <v>183.5</v>
      </c>
      <c r="F1075" s="64">
        <f t="shared" si="16"/>
        <v>13.891058333333334</v>
      </c>
      <c r="G1075" s="60" t="s">
        <v>9</v>
      </c>
      <c r="H1075" s="60" t="s">
        <v>5064</v>
      </c>
    </row>
    <row r="1076" spans="1:8">
      <c r="A1076" s="59" t="s">
        <v>2640</v>
      </c>
      <c r="B1076" s="62">
        <v>3</v>
      </c>
      <c r="C1076" s="60" t="s">
        <v>5044</v>
      </c>
      <c r="D1076" s="64">
        <f>IFERROR(VLOOKUP(C1076,測定点マスタ!$E$2:$F$28,2,FALSE)/VLOOKUP(A1076,'焼鈍条件-3CGL'!$A$2:$B$197,2,FALSE)*60,"")</f>
        <v>24.068240540827524</v>
      </c>
      <c r="E1076" s="66">
        <v>640.29999999999995</v>
      </c>
      <c r="F1076" s="64">
        <f t="shared" si="16"/>
        <v>33.963079999999991</v>
      </c>
      <c r="G1076" s="60" t="s">
        <v>9</v>
      </c>
      <c r="H1076" s="60" t="s">
        <v>5064</v>
      </c>
    </row>
    <row r="1077" spans="1:8">
      <c r="A1077" s="59" t="s">
        <v>2640</v>
      </c>
      <c r="B1077" s="62">
        <v>4</v>
      </c>
      <c r="C1077" s="60" t="s">
        <v>5045</v>
      </c>
      <c r="D1077" s="64">
        <f>IFERROR(VLOOKUP(C1077,測定点マスタ!$E$2:$F$28,2,FALSE)/VLOOKUP(A1077,'焼鈍条件-3CGL'!$A$2:$B$197,2,FALSE)*60,"")</f>
        <v>31.147134817541499</v>
      </c>
      <c r="E1077" s="66">
        <v>796.4</v>
      </c>
      <c r="F1077" s="64">
        <f t="shared" si="16"/>
        <v>22.051466500000011</v>
      </c>
      <c r="G1077" s="60" t="s">
        <v>9</v>
      </c>
      <c r="H1077" s="60" t="s">
        <v>5064</v>
      </c>
    </row>
    <row r="1078" spans="1:8">
      <c r="A1078" s="59" t="s">
        <v>2640</v>
      </c>
      <c r="B1078" s="62">
        <v>5</v>
      </c>
      <c r="C1078" s="60" t="s">
        <v>5046</v>
      </c>
      <c r="D1078" s="64">
        <f>IFERROR(VLOOKUP(C1078,測定点マスタ!$E$2:$F$28,2,FALSE)/VLOOKUP(A1078,'焼鈍条件-3CGL'!$A$2:$B$197,2,FALSE)*60,"")</f>
        <v>38.22602909425548</v>
      </c>
      <c r="E1078" s="66">
        <v>743.4</v>
      </c>
      <c r="F1078" s="64">
        <f t="shared" si="16"/>
        <v>-7.4870449999999957</v>
      </c>
      <c r="G1078" s="60" t="s">
        <v>9</v>
      </c>
      <c r="H1078" s="60" t="s">
        <v>5064</v>
      </c>
    </row>
    <row r="1079" spans="1:8">
      <c r="A1079" s="59" t="s">
        <v>2640</v>
      </c>
      <c r="B1079" s="62">
        <v>6</v>
      </c>
      <c r="C1079" s="60" t="s">
        <v>5047</v>
      </c>
      <c r="D1079" s="64">
        <f>IFERROR(VLOOKUP(C1079,測定点マスタ!$E$2:$F$28,2,FALSE)/VLOOKUP(A1079,'焼鈍条件-3CGL'!$A$2:$B$197,2,FALSE)*60,"")</f>
        <v>42.473365660283861</v>
      </c>
      <c r="E1079" s="66">
        <v>751.5</v>
      </c>
      <c r="F1079" s="64">
        <f t="shared" si="16"/>
        <v>1.907077500000008</v>
      </c>
      <c r="G1079" s="60" t="s">
        <v>9</v>
      </c>
      <c r="H1079" s="60" t="s">
        <v>5064</v>
      </c>
    </row>
    <row r="1080" spans="1:8">
      <c r="A1080" s="59" t="s">
        <v>2640</v>
      </c>
      <c r="B1080" s="62">
        <v>7</v>
      </c>
      <c r="C1080" s="60" t="s">
        <v>5049</v>
      </c>
      <c r="D1080" s="64">
        <f>IFERROR(VLOOKUP(C1080,測定点マスタ!$E$2:$F$28,2,FALSE)/VLOOKUP(A1080,'焼鈍条件-3CGL'!$A$2:$B$197,2,FALSE)*60,"")</f>
        <v>51.675928220012032</v>
      </c>
      <c r="E1080" s="66">
        <v>583.4</v>
      </c>
      <c r="F1080" s="64">
        <f t="shared" si="16"/>
        <v>-18.266651153846155</v>
      </c>
      <c r="G1080" s="60" t="s">
        <v>9</v>
      </c>
      <c r="H1080" s="60" t="s">
        <v>5064</v>
      </c>
    </row>
    <row r="1081" spans="1:8">
      <c r="A1081" s="59" t="s">
        <v>2640</v>
      </c>
      <c r="B1081" s="62">
        <v>8</v>
      </c>
      <c r="C1081" s="60" t="s">
        <v>5050</v>
      </c>
      <c r="D1081" s="64">
        <f>IFERROR(VLOOKUP(C1081,測定点マスタ!$E$2:$F$28,2,FALSE)/VLOOKUP(A1081,'焼鈍条件-3CGL'!$A$2:$B$197,2,FALSE)*60,"")</f>
        <v>57.339043641383213</v>
      </c>
      <c r="E1081" s="66">
        <v>471.6</v>
      </c>
      <c r="F1081" s="64">
        <f t="shared" si="16"/>
        <v>-19.741783749999996</v>
      </c>
      <c r="G1081" s="60" t="s">
        <v>9</v>
      </c>
      <c r="H1081" s="60" t="s">
        <v>5064</v>
      </c>
    </row>
    <row r="1082" spans="1:8">
      <c r="A1082" s="59" t="s">
        <v>2640</v>
      </c>
      <c r="B1082" s="62">
        <v>9</v>
      </c>
      <c r="C1082" s="60" t="s">
        <v>5051</v>
      </c>
      <c r="D1082" s="64">
        <f>IFERROR(VLOOKUP(C1082,測定点マスタ!$E$2:$F$28,2,FALSE)/VLOOKUP(A1082,'焼鈍条件-3CGL'!$A$2:$B$197,2,FALSE)*60,"")</f>
        <v>62.294269635082998</v>
      </c>
      <c r="E1082" s="66">
        <v>444.8</v>
      </c>
      <c r="F1082" s="64">
        <f t="shared" si="16"/>
        <v>-5.408431428571431</v>
      </c>
      <c r="G1082" s="60" t="s">
        <v>9</v>
      </c>
      <c r="H1082" s="60" t="s">
        <v>5064</v>
      </c>
    </row>
    <row r="1083" spans="1:8">
      <c r="A1083" s="59" t="s">
        <v>2640</v>
      </c>
      <c r="B1083" s="62">
        <v>10</v>
      </c>
      <c r="C1083" s="60" t="s">
        <v>5052</v>
      </c>
      <c r="D1083" s="64">
        <f>IFERROR(VLOOKUP(C1083,測定点マスタ!$E$2:$F$28,2,FALSE)/VLOOKUP(A1083,'焼鈍条件-3CGL'!$A$2:$B$197,2,FALSE)*60,"")</f>
        <v>68.665274484125575</v>
      </c>
      <c r="E1083" s="66">
        <v>353.5</v>
      </c>
      <c r="F1083" s="64">
        <f t="shared" si="16"/>
        <v>-14.330549444444451</v>
      </c>
      <c r="G1083" s="60" t="s">
        <v>9</v>
      </c>
      <c r="H1083" s="60" t="s">
        <v>5064</v>
      </c>
    </row>
    <row r="1084" spans="1:8">
      <c r="A1084" s="59" t="s">
        <v>2640</v>
      </c>
      <c r="B1084" s="62">
        <v>11</v>
      </c>
      <c r="C1084" s="60" t="s">
        <v>5053</v>
      </c>
      <c r="D1084" s="64">
        <f>IFERROR(VLOOKUP(C1084,測定点マスタ!$E$2:$F$28,2,FALSE)/VLOOKUP(A1084,'焼鈍条件-3CGL'!$A$2:$B$197,2,FALSE)*60,"")</f>
        <v>77.159947616182365</v>
      </c>
      <c r="E1084" s="66">
        <v>503.7</v>
      </c>
      <c r="F1084" s="64">
        <f t="shared" si="16"/>
        <v>17.68166916666663</v>
      </c>
      <c r="G1084" s="60" t="s">
        <v>9</v>
      </c>
      <c r="H1084" s="60" t="s">
        <v>5064</v>
      </c>
    </row>
    <row r="1085" spans="1:8">
      <c r="A1085" s="59" t="s">
        <v>2640</v>
      </c>
      <c r="B1085" s="62">
        <v>12</v>
      </c>
      <c r="C1085" s="60" t="s">
        <v>5054</v>
      </c>
      <c r="D1085" s="64">
        <f>IFERROR(VLOOKUP(C1085,測定点マスタ!$E$2:$F$28,2,FALSE)/VLOOKUP(A1085,'焼鈍条件-3CGL'!$A$2:$B$197,2,FALSE)*60,"")</f>
        <v>86.362510175910515</v>
      </c>
      <c r="E1085" s="66">
        <v>476.9</v>
      </c>
      <c r="F1085" s="64">
        <f t="shared" si="16"/>
        <v>-2.9122323076923151</v>
      </c>
      <c r="G1085" s="60" t="s">
        <v>9</v>
      </c>
      <c r="H1085" s="60" t="s">
        <v>5064</v>
      </c>
    </row>
    <row r="1086" spans="1:8">
      <c r="A1086" s="59" t="s">
        <v>2640</v>
      </c>
      <c r="B1086" s="62">
        <v>13</v>
      </c>
      <c r="C1086" s="60" t="s">
        <v>5056</v>
      </c>
      <c r="D1086" s="64">
        <f>IFERROR(VLOOKUP(C1086,測定点マスタ!$E$2:$F$28,2,FALSE)/VLOOKUP(A1086,'焼鈍条件-3CGL'!$A$2:$B$197,2,FALSE)*60,"")</f>
        <v>94.1492938802959</v>
      </c>
      <c r="E1086" s="66">
        <v>276.39999999999998</v>
      </c>
      <c r="F1086" s="64">
        <f t="shared" si="16"/>
        <v>-25.748756818181786</v>
      </c>
      <c r="G1086" s="60" t="s">
        <v>9</v>
      </c>
      <c r="H1086" s="60" t="s">
        <v>5064</v>
      </c>
    </row>
    <row r="1087" spans="1:8">
      <c r="A1087" s="59" t="s">
        <v>2640</v>
      </c>
      <c r="B1087" s="62">
        <v>14</v>
      </c>
      <c r="C1087" s="60" t="s">
        <v>5062</v>
      </c>
      <c r="D1087" s="64">
        <f>IFERROR(VLOOKUP(C1087,測定点マスタ!$E$2:$F$28,2,FALSE)/VLOOKUP(A1087,'焼鈍条件-3CGL'!$A$2:$B$197,2,FALSE)*60,"")</f>
        <v>102.64396701235268</v>
      </c>
      <c r="E1087" s="66">
        <v>460.9</v>
      </c>
      <c r="F1087" s="64">
        <f t="shared" si="16"/>
        <v>21.719493749999994</v>
      </c>
      <c r="G1087" s="60" t="s">
        <v>9</v>
      </c>
      <c r="H1087" s="60" t="s">
        <v>5064</v>
      </c>
    </row>
    <row r="1088" spans="1:8">
      <c r="A1088" s="59" t="s">
        <v>2640</v>
      </c>
      <c r="B1088" s="62">
        <v>15</v>
      </c>
      <c r="C1088" s="60" t="s">
        <v>5065</v>
      </c>
      <c r="D1088" s="64">
        <f>IFERROR(VLOOKUP(C1088,測定点マスタ!$E$2:$F$28,2,FALSE)/VLOOKUP(A1088,'焼鈍条件-3CGL'!$A$2:$B$197,2,FALSE)*60,"")</f>
        <v>103.90805527605139</v>
      </c>
      <c r="E1088" s="66">
        <v>512.6</v>
      </c>
      <c r="F1088" s="64">
        <f t="shared" si="16"/>
        <v>40.899042800006974</v>
      </c>
      <c r="G1088" s="60" t="s">
        <v>9</v>
      </c>
      <c r="H1088" s="60" t="s">
        <v>5064</v>
      </c>
    </row>
    <row r="1089" spans="1:8">
      <c r="A1089" s="59" t="s">
        <v>2640</v>
      </c>
      <c r="B1089" s="62">
        <v>16</v>
      </c>
      <c r="C1089" s="60" t="s">
        <v>5066</v>
      </c>
      <c r="D1089" s="64">
        <f>IFERROR(VLOOKUP(C1089,測定点マスタ!$E$2:$F$28,2,FALSE)/VLOOKUP(A1089,'焼鈍条件-3CGL'!$A$2:$B$197,2,FALSE)*60,"")</f>
        <v>108.18067360735427</v>
      </c>
      <c r="E1089" s="66">
        <v>502</v>
      </c>
      <c r="F1089" s="64">
        <f t="shared" si="16"/>
        <v>-2.4809143195263337</v>
      </c>
      <c r="G1089" s="60" t="s">
        <v>9</v>
      </c>
      <c r="H1089" s="60" t="s">
        <v>5064</v>
      </c>
    </row>
    <row r="1090" spans="1:8">
      <c r="A1090" s="59" t="s">
        <v>2640</v>
      </c>
      <c r="B1090" s="62">
        <v>17</v>
      </c>
      <c r="C1090" s="60" t="s">
        <v>5057</v>
      </c>
      <c r="D1090" s="64">
        <f>IFERROR(VLOOKUP(C1090,測定点マスタ!$E$2:$F$28,2,FALSE)/VLOOKUP(A1090,'焼鈍条件-3CGL'!$A$2:$B$197,2,FALSE)*60,"")</f>
        <v>116.72591026995859</v>
      </c>
      <c r="E1090" s="66">
        <v>198.2</v>
      </c>
      <c r="F1090" s="64">
        <f t="shared" ref="F1090:F1153" si="17">IF(A1090=A1089,IFERROR((E1090-E1089)/(D1090-D1089),""),"")</f>
        <v>-35.551970295859675</v>
      </c>
      <c r="G1090" s="60" t="s">
        <v>9</v>
      </c>
      <c r="H1090" s="60" t="s">
        <v>5064</v>
      </c>
    </row>
    <row r="1091" spans="1:8">
      <c r="A1091" s="59" t="s">
        <v>2640</v>
      </c>
      <c r="B1091" s="62">
        <v>18</v>
      </c>
      <c r="C1091" s="60" t="s">
        <v>5059</v>
      </c>
      <c r="D1091" s="64">
        <f>IFERROR(VLOOKUP(C1091,測定点マスタ!$E$2:$F$28,2,FALSE)/VLOOKUP(A1091,'焼鈍条件-3CGL'!$A$2:$B$197,2,FALSE)*60,"")</f>
        <v>125.27114693256364</v>
      </c>
      <c r="E1091" s="66">
        <v>40</v>
      </c>
      <c r="F1091" s="64">
        <f t="shared" si="17"/>
        <v>-18.513237988164988</v>
      </c>
      <c r="G1091" s="60" t="s">
        <v>9</v>
      </c>
      <c r="H1091" s="60" t="s">
        <v>5064</v>
      </c>
    </row>
    <row r="1092" spans="1:8">
      <c r="A1092" s="59" t="s">
        <v>2649</v>
      </c>
      <c r="B1092" s="62">
        <v>1</v>
      </c>
      <c r="C1092" s="60" t="s">
        <v>5041</v>
      </c>
      <c r="D1092" s="64">
        <f>IFERROR(VLOOKUP(C1092,測定点マスタ!$E$2:$F$28,2,FALSE)/VLOOKUP(A1092,'焼鈍条件-3CGL'!$A$2:$B$197,2,FALSE)*60,"")</f>
        <v>0</v>
      </c>
      <c r="E1092" s="66">
        <v>33.1</v>
      </c>
      <c r="F1092" s="64" t="str">
        <f t="shared" si="17"/>
        <v/>
      </c>
      <c r="G1092" s="60" t="s">
        <v>12</v>
      </c>
      <c r="H1092" s="60" t="s">
        <v>5061</v>
      </c>
    </row>
    <row r="1093" spans="1:8">
      <c r="A1093" s="59" t="s">
        <v>2649</v>
      </c>
      <c r="B1093" s="62">
        <v>2</v>
      </c>
      <c r="C1093" s="60" t="s">
        <v>5043</v>
      </c>
      <c r="D1093" s="64">
        <f>IFERROR(VLOOKUP(C1093,測定点マスタ!$E$2:$F$28,2,FALSE)/VLOOKUP(A1093,'焼鈍条件-3CGL'!$A$2:$B$197,2,FALSE)*60,"")</f>
        <v>9.0717576026368576</v>
      </c>
      <c r="E1093" s="66">
        <v>177.5</v>
      </c>
      <c r="F1093" s="64">
        <f t="shared" si="17"/>
        <v>15.917532888888889</v>
      </c>
      <c r="G1093" s="60" t="s">
        <v>12</v>
      </c>
      <c r="H1093" s="60" t="s">
        <v>5061</v>
      </c>
    </row>
    <row r="1094" spans="1:8">
      <c r="A1094" s="59" t="s">
        <v>2649</v>
      </c>
      <c r="B1094" s="62">
        <v>3</v>
      </c>
      <c r="C1094" s="60" t="s">
        <v>5044</v>
      </c>
      <c r="D1094" s="64">
        <f>IFERROR(VLOOKUP(C1094,測定点マスタ!$E$2:$F$28,2,FALSE)/VLOOKUP(A1094,'焼鈍条件-3CGL'!$A$2:$B$197,2,FALSE)*60,"")</f>
        <v>20.562650565976877</v>
      </c>
      <c r="E1094" s="66">
        <v>672.3</v>
      </c>
      <c r="F1094" s="64">
        <f t="shared" si="17"/>
        <v>43.060187017543853</v>
      </c>
      <c r="G1094" s="60" t="s">
        <v>12</v>
      </c>
      <c r="H1094" s="60" t="s">
        <v>5061</v>
      </c>
    </row>
    <row r="1095" spans="1:8">
      <c r="A1095" s="59" t="s">
        <v>2649</v>
      </c>
      <c r="B1095" s="62">
        <v>4</v>
      </c>
      <c r="C1095" s="60" t="s">
        <v>5045</v>
      </c>
      <c r="D1095" s="64">
        <f>IFERROR(VLOOKUP(C1095,測定点マスタ!$E$2:$F$28,2,FALSE)/VLOOKUP(A1095,'焼鈍条件-3CGL'!$A$2:$B$197,2,FALSE)*60,"")</f>
        <v>26.610488967734781</v>
      </c>
      <c r="E1095" s="66">
        <v>833.2</v>
      </c>
      <c r="F1095" s="64">
        <f t="shared" si="17"/>
        <v>26.604546833333352</v>
      </c>
      <c r="G1095" s="60" t="s">
        <v>12</v>
      </c>
      <c r="H1095" s="60" t="s">
        <v>5061</v>
      </c>
    </row>
    <row r="1096" spans="1:8">
      <c r="A1096" s="59" t="s">
        <v>2649</v>
      </c>
      <c r="B1096" s="62">
        <v>5</v>
      </c>
      <c r="C1096" s="60" t="s">
        <v>5047</v>
      </c>
      <c r="D1096" s="64">
        <f>IFERROR(VLOOKUP(C1096,測定点マスタ!$E$2:$F$28,2,FALSE)/VLOOKUP(A1096,'焼鈍条件-3CGL'!$A$2:$B$197,2,FALSE)*60,"")</f>
        <v>36.28703041054743</v>
      </c>
      <c r="E1096" s="66">
        <v>761.8</v>
      </c>
      <c r="F1096" s="64">
        <f t="shared" si="17"/>
        <v>-7.3786693750000083</v>
      </c>
      <c r="G1096" s="60" t="s">
        <v>12</v>
      </c>
      <c r="H1096" s="60" t="s">
        <v>5061</v>
      </c>
    </row>
    <row r="1097" spans="1:8">
      <c r="A1097" s="59" t="s">
        <v>2649</v>
      </c>
      <c r="B1097" s="62">
        <v>6</v>
      </c>
      <c r="C1097" s="60" t="s">
        <v>5048</v>
      </c>
      <c r="D1097" s="64">
        <f>IFERROR(VLOOKUP(C1097,測定点マスタ!$E$2:$F$28,2,FALSE)/VLOOKUP(A1097,'焼鈍条件-3CGL'!$A$2:$B$197,2,FALSE)*60,"")</f>
        <v>39.915733451602172</v>
      </c>
      <c r="E1097" s="66">
        <v>748</v>
      </c>
      <c r="F1097" s="64">
        <f t="shared" si="17"/>
        <v>-3.8030116666666558</v>
      </c>
      <c r="G1097" s="60" t="s">
        <v>12</v>
      </c>
      <c r="H1097" s="60" t="s">
        <v>5061</v>
      </c>
    </row>
    <row r="1098" spans="1:8">
      <c r="A1098" s="59" t="s">
        <v>2649</v>
      </c>
      <c r="B1098" s="62">
        <v>7</v>
      </c>
      <c r="C1098" s="60" t="s">
        <v>5049</v>
      </c>
      <c r="D1098" s="64">
        <f>IFERROR(VLOOKUP(C1098,測定点マスタ!$E$2:$F$28,2,FALSE)/VLOOKUP(A1098,'焼鈍条件-3CGL'!$A$2:$B$197,2,FALSE)*60,"")</f>
        <v>44.149220332832705</v>
      </c>
      <c r="E1098" s="66">
        <v>610.4</v>
      </c>
      <c r="F1098" s="64">
        <f t="shared" si="17"/>
        <v>-32.502758095238107</v>
      </c>
      <c r="G1098" s="60" t="s">
        <v>12</v>
      </c>
      <c r="H1098" s="60" t="s">
        <v>5061</v>
      </c>
    </row>
    <row r="1099" spans="1:8">
      <c r="A1099" s="59" t="s">
        <v>2649</v>
      </c>
      <c r="B1099" s="62">
        <v>8</v>
      </c>
      <c r="C1099" s="60" t="s">
        <v>5050</v>
      </c>
      <c r="D1099" s="64">
        <f>IFERROR(VLOOKUP(C1099,測定点マスタ!$E$2:$F$28,2,FALSE)/VLOOKUP(A1099,'焼鈍条件-3CGL'!$A$2:$B$197,2,FALSE)*60,"")</f>
        <v>48.98749105423903</v>
      </c>
      <c r="E1099" s="66">
        <v>511.4</v>
      </c>
      <c r="F1099" s="64">
        <f t="shared" si="17"/>
        <v>-20.461856249999997</v>
      </c>
      <c r="G1099" s="60" t="s">
        <v>12</v>
      </c>
      <c r="H1099" s="60" t="s">
        <v>5061</v>
      </c>
    </row>
    <row r="1100" spans="1:8">
      <c r="A1100" s="59" t="s">
        <v>2649</v>
      </c>
      <c r="B1100" s="62">
        <v>9</v>
      </c>
      <c r="C1100" s="60" t="s">
        <v>5051</v>
      </c>
      <c r="D1100" s="64">
        <f>IFERROR(VLOOKUP(C1100,測定点マスタ!$E$2:$F$28,2,FALSE)/VLOOKUP(A1100,'焼鈍条件-3CGL'!$A$2:$B$197,2,FALSE)*60,"")</f>
        <v>53.220977935469563</v>
      </c>
      <c r="E1100" s="66">
        <v>478</v>
      </c>
      <c r="F1100" s="64">
        <f t="shared" si="17"/>
        <v>-7.8894776190476144</v>
      </c>
      <c r="G1100" s="60" t="s">
        <v>12</v>
      </c>
      <c r="H1100" s="60" t="s">
        <v>5061</v>
      </c>
    </row>
    <row r="1101" spans="1:8">
      <c r="A1101" s="59" t="s">
        <v>2649</v>
      </c>
      <c r="B1101" s="62">
        <v>10</v>
      </c>
      <c r="C1101" s="60" t="s">
        <v>5052</v>
      </c>
      <c r="D1101" s="64">
        <f>IFERROR(VLOOKUP(C1101,測定点マスタ!$E$2:$F$28,2,FALSE)/VLOOKUP(A1101,'焼鈍条件-3CGL'!$A$2:$B$197,2,FALSE)*60,"")</f>
        <v>58.664032497051679</v>
      </c>
      <c r="E1101" s="66">
        <v>341.6</v>
      </c>
      <c r="F1101" s="64">
        <f t="shared" si="17"/>
        <v>-25.059458518518507</v>
      </c>
      <c r="G1101" s="60" t="s">
        <v>12</v>
      </c>
      <c r="H1101" s="60" t="s">
        <v>5061</v>
      </c>
    </row>
    <row r="1102" spans="1:8">
      <c r="A1102" s="59" t="s">
        <v>2649</v>
      </c>
      <c r="B1102" s="62">
        <v>11</v>
      </c>
      <c r="C1102" s="60" t="s">
        <v>5053</v>
      </c>
      <c r="D1102" s="64">
        <f>IFERROR(VLOOKUP(C1102,測定点マスタ!$E$2:$F$28,2,FALSE)/VLOOKUP(A1102,'焼鈍条件-3CGL'!$A$2:$B$197,2,FALSE)*60,"")</f>
        <v>65.921438579161162</v>
      </c>
      <c r="E1102" s="66">
        <v>535.5</v>
      </c>
      <c r="F1102" s="64">
        <f t="shared" si="17"/>
        <v>26.717534861111119</v>
      </c>
      <c r="G1102" s="60" t="s">
        <v>12</v>
      </c>
      <c r="H1102" s="60" t="s">
        <v>5061</v>
      </c>
    </row>
    <row r="1103" spans="1:8">
      <c r="A1103" s="59" t="s">
        <v>2649</v>
      </c>
      <c r="B1103" s="62">
        <v>12</v>
      </c>
      <c r="C1103" s="60" t="s">
        <v>5063</v>
      </c>
      <c r="D1103" s="64">
        <f>IFERROR(VLOOKUP(C1103,測定点マスタ!$E$2:$F$28,2,FALSE)/VLOOKUP(A1103,'焼鈍条件-3CGL'!$A$2:$B$197,2,FALSE)*60,"")</f>
        <v>69.550141620215896</v>
      </c>
      <c r="E1103" s="66">
        <v>528.6</v>
      </c>
      <c r="F1103" s="64">
        <f t="shared" si="17"/>
        <v>-1.9015058333333315</v>
      </c>
      <c r="G1103" s="60" t="s">
        <v>12</v>
      </c>
      <c r="H1103" s="60" t="s">
        <v>5061</v>
      </c>
    </row>
    <row r="1104" spans="1:8">
      <c r="A1104" s="59" t="s">
        <v>2649</v>
      </c>
      <c r="B1104" s="62">
        <v>13</v>
      </c>
      <c r="C1104" s="60" t="s">
        <v>5054</v>
      </c>
      <c r="D1104" s="64">
        <f>IFERROR(VLOOKUP(C1104,測定点マスタ!$E$2:$F$28,2,FALSE)/VLOOKUP(A1104,'焼鈍条件-3CGL'!$A$2:$B$197,2,FALSE)*60,"")</f>
        <v>73.783628501446444</v>
      </c>
      <c r="E1104" s="66">
        <v>522.4</v>
      </c>
      <c r="F1104" s="64">
        <f t="shared" si="17"/>
        <v>-1.4645138095238155</v>
      </c>
      <c r="G1104" s="60" t="s">
        <v>12</v>
      </c>
      <c r="H1104" s="60" t="s">
        <v>5061</v>
      </c>
    </row>
    <row r="1105" spans="1:8">
      <c r="A1105" s="59" t="s">
        <v>2649</v>
      </c>
      <c r="B1105" s="62">
        <v>14</v>
      </c>
      <c r="C1105" s="60" t="s">
        <v>5056</v>
      </c>
      <c r="D1105" s="64">
        <f>IFERROR(VLOOKUP(C1105,測定点マスタ!$E$2:$F$28,2,FALSE)/VLOOKUP(A1105,'焼鈍条件-3CGL'!$A$2:$B$197,2,FALSE)*60,"")</f>
        <v>80.436250743380143</v>
      </c>
      <c r="E1105" s="66">
        <v>272.2</v>
      </c>
      <c r="F1105" s="64">
        <f t="shared" si="17"/>
        <v>-37.609229999999982</v>
      </c>
      <c r="G1105" s="60" t="s">
        <v>12</v>
      </c>
      <c r="H1105" s="60" t="s">
        <v>5061</v>
      </c>
    </row>
    <row r="1106" spans="1:8">
      <c r="A1106" s="59" t="s">
        <v>2649</v>
      </c>
      <c r="B1106" s="62">
        <v>15</v>
      </c>
      <c r="C1106" s="60" t="s">
        <v>5062</v>
      </c>
      <c r="D1106" s="64">
        <f>IFERROR(VLOOKUP(C1106,測定点マスタ!$E$2:$F$28,2,FALSE)/VLOOKUP(A1106,'焼鈍条件-3CGL'!$A$2:$B$197,2,FALSE)*60,"")</f>
        <v>87.693656825489626</v>
      </c>
      <c r="E1106" s="66">
        <v>461.7</v>
      </c>
      <c r="F1106" s="64">
        <f t="shared" si="17"/>
        <v>26.111257638888898</v>
      </c>
      <c r="G1106" s="60" t="s">
        <v>12</v>
      </c>
      <c r="H1106" s="60" t="s">
        <v>5061</v>
      </c>
    </row>
    <row r="1107" spans="1:8">
      <c r="A1107" s="59" t="s">
        <v>2649</v>
      </c>
      <c r="B1107" s="62">
        <v>16</v>
      </c>
      <c r="C1107" s="60" t="s">
        <v>5068</v>
      </c>
      <c r="D1107" s="64">
        <f>IFERROR(VLOOKUP(C1107,測定点マスタ!$E$2:$F$28,2,FALSE)/VLOOKUP(A1107,'焼鈍条件-3CGL'!$A$2:$B$197,2,FALSE)*60,"")</f>
        <v>96.07423289649708</v>
      </c>
      <c r="E1107" s="66">
        <v>413.2</v>
      </c>
      <c r="F1107" s="64">
        <f t="shared" si="17"/>
        <v>-5.7871916666666179</v>
      </c>
      <c r="G1107" s="60" t="s">
        <v>12</v>
      </c>
      <c r="H1107" s="60" t="s">
        <v>5061</v>
      </c>
    </row>
    <row r="1108" spans="1:8">
      <c r="A1108" s="59" t="s">
        <v>2649</v>
      </c>
      <c r="B1108" s="62">
        <v>17</v>
      </c>
      <c r="C1108" s="60" t="s">
        <v>5057</v>
      </c>
      <c r="D1108" s="64">
        <f>IFERROR(VLOOKUP(C1108,測定点マスタ!$E$2:$F$28,2,FALSE)/VLOOKUP(A1108,'焼鈍条件-3CGL'!$A$2:$B$197,2,FALSE)*60,"")</f>
        <v>99.724535360415075</v>
      </c>
      <c r="E1108" s="66">
        <v>269.60000000000002</v>
      </c>
      <c r="F1108" s="64">
        <f t="shared" si="17"/>
        <v>-39.339205838266111</v>
      </c>
      <c r="G1108" s="60" t="s">
        <v>12</v>
      </c>
      <c r="H1108" s="60" t="s">
        <v>5061</v>
      </c>
    </row>
    <row r="1109" spans="1:8">
      <c r="A1109" s="59" t="s">
        <v>2649</v>
      </c>
      <c r="B1109" s="62">
        <v>18</v>
      </c>
      <c r="C1109" s="60" t="s">
        <v>5058</v>
      </c>
      <c r="D1109" s="64">
        <f>IFERROR(VLOOKUP(C1109,測定点マスタ!$E$2:$F$28,2,FALSE)/VLOOKUP(A1109,'焼鈍条件-3CGL'!$A$2:$B$197,2,FALSE)*60,"")</f>
        <v>103.37483782433307</v>
      </c>
      <c r="E1109" s="66">
        <v>88.9</v>
      </c>
      <c r="F1109" s="64">
        <f t="shared" si="17"/>
        <v>-49.502747179489468</v>
      </c>
      <c r="G1109" s="60" t="s">
        <v>12</v>
      </c>
      <c r="H1109" s="60" t="s">
        <v>5061</v>
      </c>
    </row>
    <row r="1110" spans="1:8">
      <c r="A1110" s="59" t="s">
        <v>2649</v>
      </c>
      <c r="B1110" s="62">
        <v>19</v>
      </c>
      <c r="C1110" s="60" t="s">
        <v>5059</v>
      </c>
      <c r="D1110" s="64">
        <f>IFERROR(VLOOKUP(C1110,測定点マスタ!$E$2:$F$28,2,FALSE)/VLOOKUP(A1110,'焼鈍条件-3CGL'!$A$2:$B$197,2,FALSE)*60,"")</f>
        <v>107.02514028825166</v>
      </c>
      <c r="E1110" s="66">
        <v>53.6</v>
      </c>
      <c r="F1110" s="64">
        <f t="shared" si="17"/>
        <v>-9.6704315187365388</v>
      </c>
      <c r="G1110" s="60" t="s">
        <v>12</v>
      </c>
      <c r="H1110" s="60" t="s">
        <v>5061</v>
      </c>
    </row>
    <row r="1111" spans="1:8">
      <c r="A1111" s="59" t="s">
        <v>2654</v>
      </c>
      <c r="B1111" s="62">
        <v>1</v>
      </c>
      <c r="C1111" s="60" t="s">
        <v>5041</v>
      </c>
      <c r="D1111" s="64">
        <f>IFERROR(VLOOKUP(C1111,測定点マスタ!$E$2:$F$28,2,FALSE)/VLOOKUP(A1111,'焼鈍条件-3CGL'!$A$2:$B$197,2,FALSE)*60,"")</f>
        <v>0</v>
      </c>
      <c r="E1111" s="66">
        <v>25.3</v>
      </c>
      <c r="F1111" s="64" t="str">
        <f t="shared" si="17"/>
        <v/>
      </c>
      <c r="G1111" s="60" t="s">
        <v>9</v>
      </c>
      <c r="H1111" s="60" t="s">
        <v>5042</v>
      </c>
    </row>
    <row r="1112" spans="1:8">
      <c r="A1112" s="59" t="s">
        <v>2654</v>
      </c>
      <c r="B1112" s="62">
        <v>2</v>
      </c>
      <c r="C1112" s="60" t="s">
        <v>5043</v>
      </c>
      <c r="D1112" s="64">
        <f>IFERROR(VLOOKUP(C1112,測定点マスタ!$E$2:$F$28,2,FALSE)/VLOOKUP(A1112,'焼鈍条件-3CGL'!$A$2:$B$197,2,FALSE)*60,"")</f>
        <v>9.7791009746503974</v>
      </c>
      <c r="E1112" s="66">
        <v>186.8</v>
      </c>
      <c r="F1112" s="64">
        <f t="shared" si="17"/>
        <v>16.514810555555556</v>
      </c>
      <c r="G1112" s="60" t="s">
        <v>9</v>
      </c>
      <c r="H1112" s="60" t="s">
        <v>5042</v>
      </c>
    </row>
    <row r="1113" spans="1:8">
      <c r="A1113" s="59" t="s">
        <v>2654</v>
      </c>
      <c r="B1113" s="62">
        <v>3</v>
      </c>
      <c r="C1113" s="60" t="s">
        <v>5067</v>
      </c>
      <c r="D1113" s="64">
        <f>IFERROR(VLOOKUP(C1113,測定点マスタ!$E$2:$F$28,2,FALSE)/VLOOKUP(A1113,'焼鈍条件-3CGL'!$A$2:$B$197,2,FALSE)*60,"")</f>
        <v>16.298501624417327</v>
      </c>
      <c r="E1113" s="66">
        <v>412.1</v>
      </c>
      <c r="F1113" s="64">
        <f t="shared" si="17"/>
        <v>34.558391500000013</v>
      </c>
      <c r="G1113" s="60" t="s">
        <v>9</v>
      </c>
      <c r="H1113" s="60" t="s">
        <v>5042</v>
      </c>
    </row>
    <row r="1114" spans="1:8">
      <c r="A1114" s="59" t="s">
        <v>2654</v>
      </c>
      <c r="B1114" s="62">
        <v>4</v>
      </c>
      <c r="C1114" s="60" t="s">
        <v>5044</v>
      </c>
      <c r="D1114" s="64">
        <f>IFERROR(VLOOKUP(C1114,測定点マスタ!$E$2:$F$28,2,FALSE)/VLOOKUP(A1114,'焼鈍条件-3CGL'!$A$2:$B$197,2,FALSE)*60,"")</f>
        <v>22.165962209207567</v>
      </c>
      <c r="E1114" s="66">
        <v>720.6</v>
      </c>
      <c r="F1114" s="64">
        <f t="shared" si="17"/>
        <v>52.578112037037016</v>
      </c>
      <c r="G1114" s="60" t="s">
        <v>9</v>
      </c>
      <c r="H1114" s="60" t="s">
        <v>5042</v>
      </c>
    </row>
    <row r="1115" spans="1:8">
      <c r="A1115" s="59" t="s">
        <v>2654</v>
      </c>
      <c r="B1115" s="62">
        <v>5</v>
      </c>
      <c r="C1115" s="60" t="s">
        <v>5045</v>
      </c>
      <c r="D1115" s="64">
        <f>IFERROR(VLOOKUP(C1115,測定点マスタ!$E$2:$F$28,2,FALSE)/VLOOKUP(A1115,'焼鈍条件-3CGL'!$A$2:$B$197,2,FALSE)*60,"")</f>
        <v>28.6853628589745</v>
      </c>
      <c r="E1115" s="66">
        <v>875.8</v>
      </c>
      <c r="F1115" s="64">
        <f t="shared" si="17"/>
        <v>23.80586933333332</v>
      </c>
      <c r="G1115" s="60" t="s">
        <v>9</v>
      </c>
      <c r="H1115" s="60" t="s">
        <v>5042</v>
      </c>
    </row>
    <row r="1116" spans="1:8">
      <c r="A1116" s="59" t="s">
        <v>2654</v>
      </c>
      <c r="B1116" s="62">
        <v>6</v>
      </c>
      <c r="C1116" s="60" t="s">
        <v>5046</v>
      </c>
      <c r="D1116" s="64">
        <f>IFERROR(VLOOKUP(C1116,測定点マスタ!$E$2:$F$28,2,FALSE)/VLOOKUP(A1116,'焼鈍条件-3CGL'!$A$2:$B$197,2,FALSE)*60,"")</f>
        <v>35.204763508741429</v>
      </c>
      <c r="E1116" s="66">
        <v>847.6</v>
      </c>
      <c r="F1116" s="64">
        <f t="shared" si="17"/>
        <v>-4.325550999999991</v>
      </c>
      <c r="G1116" s="60" t="s">
        <v>9</v>
      </c>
      <c r="H1116" s="60" t="s">
        <v>5042</v>
      </c>
    </row>
    <row r="1117" spans="1:8">
      <c r="A1117" s="59" t="s">
        <v>2654</v>
      </c>
      <c r="B1117" s="62">
        <v>7</v>
      </c>
      <c r="C1117" s="60" t="s">
        <v>5047</v>
      </c>
      <c r="D1117" s="64">
        <f>IFERROR(VLOOKUP(C1117,測定点マスタ!$E$2:$F$28,2,FALSE)/VLOOKUP(A1117,'焼鈍条件-3CGL'!$A$2:$B$197,2,FALSE)*60,"")</f>
        <v>39.11640389860159</v>
      </c>
      <c r="E1117" s="66">
        <v>784.3</v>
      </c>
      <c r="F1117" s="64">
        <f t="shared" si="17"/>
        <v>-16.182469166666678</v>
      </c>
      <c r="G1117" s="60" t="s">
        <v>9</v>
      </c>
      <c r="H1117" s="60" t="s">
        <v>5042</v>
      </c>
    </row>
    <row r="1118" spans="1:8">
      <c r="A1118" s="59" t="s">
        <v>2654</v>
      </c>
      <c r="B1118" s="62">
        <v>8</v>
      </c>
      <c r="C1118" s="60" t="s">
        <v>5048</v>
      </c>
      <c r="D1118" s="64">
        <f>IFERROR(VLOOKUP(C1118,測定点マスタ!$E$2:$F$28,2,FALSE)/VLOOKUP(A1118,'焼鈍条件-3CGL'!$A$2:$B$197,2,FALSE)*60,"")</f>
        <v>43.02804428846175</v>
      </c>
      <c r="E1118" s="66">
        <v>776.2</v>
      </c>
      <c r="F1118" s="64">
        <f t="shared" si="17"/>
        <v>-2.0707424999999757</v>
      </c>
      <c r="G1118" s="60" t="s">
        <v>9</v>
      </c>
      <c r="H1118" s="60" t="s">
        <v>5042</v>
      </c>
    </row>
    <row r="1119" spans="1:8">
      <c r="A1119" s="59" t="s">
        <v>2654</v>
      </c>
      <c r="B1119" s="62">
        <v>9</v>
      </c>
      <c r="C1119" s="60" t="s">
        <v>5049</v>
      </c>
      <c r="D1119" s="64">
        <f>IFERROR(VLOOKUP(C1119,測定点マスタ!$E$2:$F$28,2,FALSE)/VLOOKUP(A1119,'焼鈍条件-3CGL'!$A$2:$B$197,2,FALSE)*60,"")</f>
        <v>47.591624743298603</v>
      </c>
      <c r="E1119" s="66">
        <v>630.70000000000005</v>
      </c>
      <c r="F1119" s="64">
        <f t="shared" si="17"/>
        <v>-31.882860714285709</v>
      </c>
      <c r="G1119" s="60" t="s">
        <v>9</v>
      </c>
      <c r="H1119" s="60" t="s">
        <v>5042</v>
      </c>
    </row>
    <row r="1120" spans="1:8">
      <c r="A1120" s="59" t="s">
        <v>2654</v>
      </c>
      <c r="B1120" s="62">
        <v>10</v>
      </c>
      <c r="C1120" s="60" t="s">
        <v>5050</v>
      </c>
      <c r="D1120" s="64">
        <f>IFERROR(VLOOKUP(C1120,測定点マスタ!$E$2:$F$28,2,FALSE)/VLOOKUP(A1120,'焼鈍条件-3CGL'!$A$2:$B$197,2,FALSE)*60,"")</f>
        <v>52.807145263112147</v>
      </c>
      <c r="E1120" s="66">
        <v>520.5</v>
      </c>
      <c r="F1120" s="64">
        <f t="shared" si="17"/>
        <v>-21.129242916666676</v>
      </c>
      <c r="G1120" s="60" t="s">
        <v>9</v>
      </c>
      <c r="H1120" s="60" t="s">
        <v>5042</v>
      </c>
    </row>
    <row r="1121" spans="1:8">
      <c r="A1121" s="59" t="s">
        <v>2654</v>
      </c>
      <c r="B1121" s="62">
        <v>11</v>
      </c>
      <c r="C1121" s="60" t="s">
        <v>5051</v>
      </c>
      <c r="D1121" s="64">
        <f>IFERROR(VLOOKUP(C1121,測定点マスタ!$E$2:$F$28,2,FALSE)/VLOOKUP(A1121,'焼鈍条件-3CGL'!$A$2:$B$197,2,FALSE)*60,"")</f>
        <v>57.370725717949</v>
      </c>
      <c r="E1121" s="66">
        <v>478.9</v>
      </c>
      <c r="F1121" s="64">
        <f t="shared" si="17"/>
        <v>-9.1156495238095268</v>
      </c>
      <c r="G1121" s="60" t="s">
        <v>9</v>
      </c>
      <c r="H1121" s="60" t="s">
        <v>5042</v>
      </c>
    </row>
    <row r="1122" spans="1:8">
      <c r="A1122" s="59" t="s">
        <v>2654</v>
      </c>
      <c r="B1122" s="62">
        <v>12</v>
      </c>
      <c r="C1122" s="60" t="s">
        <v>5052</v>
      </c>
      <c r="D1122" s="64">
        <f>IFERROR(VLOOKUP(C1122,測定点マスタ!$E$2:$F$28,2,FALSE)/VLOOKUP(A1122,'焼鈍条件-3CGL'!$A$2:$B$197,2,FALSE)*60,"")</f>
        <v>63.238186302739237</v>
      </c>
      <c r="E1122" s="66">
        <v>390.8</v>
      </c>
      <c r="F1122" s="64">
        <f t="shared" si="17"/>
        <v>-15.015013518518517</v>
      </c>
      <c r="G1122" s="60" t="s">
        <v>9</v>
      </c>
      <c r="H1122" s="60" t="s">
        <v>5042</v>
      </c>
    </row>
    <row r="1123" spans="1:8">
      <c r="A1123" s="59" t="s">
        <v>2654</v>
      </c>
      <c r="B1123" s="62">
        <v>13</v>
      </c>
      <c r="C1123" s="60" t="s">
        <v>5069</v>
      </c>
      <c r="D1123" s="64">
        <f>IFERROR(VLOOKUP(C1123,測定点マスタ!$E$2:$F$28,2,FALSE)/VLOOKUP(A1123,'焼鈍条件-3CGL'!$A$2:$B$197,2,FALSE)*60,"")</f>
        <v>67.80176675757609</v>
      </c>
      <c r="E1123" s="66">
        <v>536.79999999999995</v>
      </c>
      <c r="F1123" s="64">
        <f t="shared" si="17"/>
        <v>31.992423809523792</v>
      </c>
      <c r="G1123" s="60" t="s">
        <v>9</v>
      </c>
      <c r="H1123" s="60" t="s">
        <v>5042</v>
      </c>
    </row>
    <row r="1124" spans="1:8">
      <c r="A1124" s="59" t="s">
        <v>2654</v>
      </c>
      <c r="B1124" s="62">
        <v>14</v>
      </c>
      <c r="C1124" s="60" t="s">
        <v>5053</v>
      </c>
      <c r="D1124" s="64">
        <f>IFERROR(VLOOKUP(C1124,測定点マスタ!$E$2:$F$28,2,FALSE)/VLOOKUP(A1124,'焼鈍条件-3CGL'!$A$2:$B$197,2,FALSE)*60,"")</f>
        <v>71.061467082459558</v>
      </c>
      <c r="E1124" s="66">
        <v>573.6</v>
      </c>
      <c r="F1124" s="64">
        <f t="shared" si="17"/>
        <v>11.289381333333345</v>
      </c>
      <c r="G1124" s="60" t="s">
        <v>9</v>
      </c>
      <c r="H1124" s="60" t="s">
        <v>5042</v>
      </c>
    </row>
    <row r="1125" spans="1:8">
      <c r="A1125" s="59" t="s">
        <v>2654</v>
      </c>
      <c r="B1125" s="62">
        <v>15</v>
      </c>
      <c r="C1125" s="60" t="s">
        <v>5063</v>
      </c>
      <c r="D1125" s="64">
        <f>IFERROR(VLOOKUP(C1125,測定点マスタ!$E$2:$F$28,2,FALSE)/VLOOKUP(A1125,'焼鈍条件-3CGL'!$A$2:$B$197,2,FALSE)*60,"")</f>
        <v>74.973107472319711</v>
      </c>
      <c r="E1125" s="66">
        <v>569.20000000000005</v>
      </c>
      <c r="F1125" s="64">
        <f t="shared" si="17"/>
        <v>-1.1248477777777737</v>
      </c>
      <c r="G1125" s="60" t="s">
        <v>9</v>
      </c>
      <c r="H1125" s="60" t="s">
        <v>5042</v>
      </c>
    </row>
    <row r="1126" spans="1:8">
      <c r="A1126" s="59" t="s">
        <v>2654</v>
      </c>
      <c r="B1126" s="62">
        <v>16</v>
      </c>
      <c r="C1126" s="60" t="s">
        <v>5054</v>
      </c>
      <c r="D1126" s="64">
        <f>IFERROR(VLOOKUP(C1126,測定点マスタ!$E$2:$F$28,2,FALSE)/VLOOKUP(A1126,'焼鈍条件-3CGL'!$A$2:$B$197,2,FALSE)*60,"")</f>
        <v>79.536687927156564</v>
      </c>
      <c r="E1126" s="66">
        <v>548.29999999999995</v>
      </c>
      <c r="F1126" s="64">
        <f t="shared" si="17"/>
        <v>-4.5797373809524</v>
      </c>
      <c r="G1126" s="60" t="s">
        <v>9</v>
      </c>
      <c r="H1126" s="60" t="s">
        <v>5042</v>
      </c>
    </row>
    <row r="1127" spans="1:8">
      <c r="A1127" s="59" t="s">
        <v>2654</v>
      </c>
      <c r="B1127" s="62">
        <v>17</v>
      </c>
      <c r="C1127" s="60" t="s">
        <v>5056</v>
      </c>
      <c r="D1127" s="64">
        <f>IFERROR(VLOOKUP(C1127,測定点マスタ!$E$2:$F$28,2,FALSE)/VLOOKUP(A1127,'焼鈍条件-3CGL'!$A$2:$B$197,2,FALSE)*60,"")</f>
        <v>86.708028641900185</v>
      </c>
      <c r="E1127" s="66">
        <v>293</v>
      </c>
      <c r="F1127" s="64">
        <f t="shared" si="17"/>
        <v>-35.600037727272735</v>
      </c>
      <c r="G1127" s="60" t="s">
        <v>9</v>
      </c>
      <c r="H1127" s="60" t="s">
        <v>5042</v>
      </c>
    </row>
    <row r="1128" spans="1:8">
      <c r="A1128" s="59" t="s">
        <v>2654</v>
      </c>
      <c r="B1128" s="62">
        <v>18</v>
      </c>
      <c r="C1128" s="60" t="s">
        <v>5057</v>
      </c>
      <c r="D1128" s="64">
        <f>IFERROR(VLOOKUP(C1128,測定点マスタ!$E$2:$F$28,2,FALSE)/VLOOKUP(A1128,'焼鈍条件-3CGL'!$A$2:$B$197,2,FALSE)*60,"")</f>
        <v>107.50025999990677</v>
      </c>
      <c r="E1128" s="66">
        <v>210.1</v>
      </c>
      <c r="F1128" s="64">
        <f t="shared" si="17"/>
        <v>-3.9870660619634366</v>
      </c>
      <c r="G1128" s="60" t="s">
        <v>9</v>
      </c>
      <c r="H1128" s="60" t="s">
        <v>5042</v>
      </c>
    </row>
    <row r="1129" spans="1:8">
      <c r="A1129" s="59" t="s">
        <v>2654</v>
      </c>
      <c r="B1129" s="62">
        <v>19</v>
      </c>
      <c r="C1129" s="60" t="s">
        <v>5058</v>
      </c>
      <c r="D1129" s="64">
        <f>IFERROR(VLOOKUP(C1129,測定点マスタ!$E$2:$F$28,2,FALSE)/VLOOKUP(A1129,'焼鈍条件-3CGL'!$A$2:$B$197,2,FALSE)*60,"")</f>
        <v>111.43518396351591</v>
      </c>
      <c r="E1129" s="66">
        <v>105.5</v>
      </c>
      <c r="F1129" s="64">
        <f t="shared" si="17"/>
        <v>-26.582470453650195</v>
      </c>
      <c r="G1129" s="60" t="s">
        <v>9</v>
      </c>
      <c r="H1129" s="60" t="s">
        <v>5042</v>
      </c>
    </row>
    <row r="1130" spans="1:8">
      <c r="A1130" s="59" t="s">
        <v>2654</v>
      </c>
      <c r="B1130" s="62">
        <v>20</v>
      </c>
      <c r="C1130" s="60" t="s">
        <v>5059</v>
      </c>
      <c r="D1130" s="64">
        <f>IFERROR(VLOOKUP(C1130,測定点マスタ!$E$2:$F$28,2,FALSE)/VLOOKUP(A1130,'焼鈍条件-3CGL'!$A$2:$B$197,2,FALSE)*60,"")</f>
        <v>115.3701079271257</v>
      </c>
      <c r="E1130" s="66">
        <v>66.8</v>
      </c>
      <c r="F1130" s="64">
        <f t="shared" si="17"/>
        <v>-9.8350057988154092</v>
      </c>
      <c r="G1130" s="60" t="s">
        <v>9</v>
      </c>
      <c r="H1130" s="60" t="s">
        <v>5042</v>
      </c>
    </row>
    <row r="1131" spans="1:8">
      <c r="A1131" s="59" t="s">
        <v>2659</v>
      </c>
      <c r="B1131" s="62">
        <v>1</v>
      </c>
      <c r="C1131" s="60" t="s">
        <v>5041</v>
      </c>
      <c r="D1131" s="64">
        <f>IFERROR(VLOOKUP(C1131,測定点マスタ!$E$2:$F$28,2,FALSE)/VLOOKUP(A1131,'焼鈍条件-3CGL'!$A$2:$B$197,2,FALSE)*60,"")</f>
        <v>0</v>
      </c>
      <c r="E1131" s="66">
        <v>30</v>
      </c>
      <c r="F1131" s="64" t="str">
        <f t="shared" si="17"/>
        <v/>
      </c>
      <c r="G1131" s="60" t="s">
        <v>9</v>
      </c>
      <c r="H1131" s="60" t="s">
        <v>5042</v>
      </c>
    </row>
    <row r="1132" spans="1:8">
      <c r="A1132" s="59" t="s">
        <v>2659</v>
      </c>
      <c r="B1132" s="62">
        <v>2</v>
      </c>
      <c r="C1132" s="60" t="s">
        <v>5043</v>
      </c>
      <c r="D1132" s="64">
        <f>IFERROR(VLOOKUP(C1132,測定点マスタ!$E$2:$F$28,2,FALSE)/VLOOKUP(A1132,'焼鈍条件-3CGL'!$A$2:$B$197,2,FALSE)*60,"")</f>
        <v>7.9209315015445805</v>
      </c>
      <c r="E1132" s="66">
        <v>187</v>
      </c>
      <c r="F1132" s="64">
        <f t="shared" si="17"/>
        <v>19.820901111111112</v>
      </c>
      <c r="G1132" s="60" t="s">
        <v>9</v>
      </c>
      <c r="H1132" s="60" t="s">
        <v>5042</v>
      </c>
    </row>
    <row r="1133" spans="1:8">
      <c r="A1133" s="59" t="s">
        <v>2659</v>
      </c>
      <c r="B1133" s="62">
        <v>3</v>
      </c>
      <c r="C1133" s="60" t="s">
        <v>5044</v>
      </c>
      <c r="D1133" s="64">
        <f>IFERROR(VLOOKUP(C1133,測定点マスタ!$E$2:$F$28,2,FALSE)/VLOOKUP(A1133,'焼鈍条件-3CGL'!$A$2:$B$197,2,FALSE)*60,"")</f>
        <v>17.954111403501052</v>
      </c>
      <c r="E1133" s="66">
        <v>631.6</v>
      </c>
      <c r="F1133" s="64">
        <f t="shared" si="17"/>
        <v>44.312969999999993</v>
      </c>
      <c r="G1133" s="60" t="s">
        <v>9</v>
      </c>
      <c r="H1133" s="60" t="s">
        <v>5042</v>
      </c>
    </row>
    <row r="1134" spans="1:8">
      <c r="A1134" s="59" t="s">
        <v>2659</v>
      </c>
      <c r="B1134" s="62">
        <v>4</v>
      </c>
      <c r="C1134" s="60" t="s">
        <v>5045</v>
      </c>
      <c r="D1134" s="64">
        <f>IFERROR(VLOOKUP(C1134,測定点マスタ!$E$2:$F$28,2,FALSE)/VLOOKUP(A1134,'焼鈍条件-3CGL'!$A$2:$B$197,2,FALSE)*60,"")</f>
        <v>23.234732404530771</v>
      </c>
      <c r="E1134" s="66">
        <v>790.8</v>
      </c>
      <c r="F1134" s="64">
        <f t="shared" si="17"/>
        <v>30.147969333333336</v>
      </c>
      <c r="G1134" s="60" t="s">
        <v>9</v>
      </c>
      <c r="H1134" s="60" t="s">
        <v>5042</v>
      </c>
    </row>
    <row r="1135" spans="1:8">
      <c r="A1135" s="59" t="s">
        <v>2659</v>
      </c>
      <c r="B1135" s="62">
        <v>5</v>
      </c>
      <c r="C1135" s="60" t="s">
        <v>5046</v>
      </c>
      <c r="D1135" s="64">
        <f>IFERROR(VLOOKUP(C1135,測定点マスタ!$E$2:$F$28,2,FALSE)/VLOOKUP(A1135,'焼鈍条件-3CGL'!$A$2:$B$197,2,FALSE)*60,"")</f>
        <v>28.515353405560493</v>
      </c>
      <c r="E1135" s="66">
        <v>738</v>
      </c>
      <c r="F1135" s="64">
        <f t="shared" si="17"/>
        <v>-9.9988239999999902</v>
      </c>
      <c r="G1135" s="60" t="s">
        <v>9</v>
      </c>
      <c r="H1135" s="60" t="s">
        <v>5042</v>
      </c>
    </row>
    <row r="1136" spans="1:8">
      <c r="A1136" s="59" t="s">
        <v>2659</v>
      </c>
      <c r="B1136" s="62">
        <v>6</v>
      </c>
      <c r="C1136" s="60" t="s">
        <v>5047</v>
      </c>
      <c r="D1136" s="64">
        <f>IFERROR(VLOOKUP(C1136,測定点マスタ!$E$2:$F$28,2,FALSE)/VLOOKUP(A1136,'焼鈍条件-3CGL'!$A$2:$B$197,2,FALSE)*60,"")</f>
        <v>31.683726006178322</v>
      </c>
      <c r="E1136" s="66">
        <v>734</v>
      </c>
      <c r="F1136" s="64">
        <f t="shared" si="17"/>
        <v>-1.2624777777777791</v>
      </c>
      <c r="G1136" s="60" t="s">
        <v>9</v>
      </c>
      <c r="H1136" s="60" t="s">
        <v>5042</v>
      </c>
    </row>
    <row r="1137" spans="1:8">
      <c r="A1137" s="59" t="s">
        <v>2659</v>
      </c>
      <c r="B1137" s="62">
        <v>7</v>
      </c>
      <c r="C1137" s="60" t="s">
        <v>5048</v>
      </c>
      <c r="D1137" s="64">
        <f>IFERROR(VLOOKUP(C1137,測定点マスタ!$E$2:$F$28,2,FALSE)/VLOOKUP(A1137,'焼鈍条件-3CGL'!$A$2:$B$197,2,FALSE)*60,"")</f>
        <v>34.852098606796162</v>
      </c>
      <c r="E1137" s="66">
        <v>673.7</v>
      </c>
      <c r="F1137" s="64">
        <f t="shared" si="17"/>
        <v>-19.031852499999943</v>
      </c>
      <c r="G1137" s="60" t="s">
        <v>9</v>
      </c>
      <c r="H1137" s="60" t="s">
        <v>5042</v>
      </c>
    </row>
    <row r="1138" spans="1:8">
      <c r="A1138" s="59" t="s">
        <v>2659</v>
      </c>
      <c r="B1138" s="62">
        <v>8</v>
      </c>
      <c r="C1138" s="60" t="s">
        <v>5049</v>
      </c>
      <c r="D1138" s="64">
        <f>IFERROR(VLOOKUP(C1138,測定点マスタ!$E$2:$F$28,2,FALSE)/VLOOKUP(A1138,'焼鈍条件-3CGL'!$A$2:$B$197,2,FALSE)*60,"")</f>
        <v>38.548533307516962</v>
      </c>
      <c r="E1138" s="66">
        <v>569.4</v>
      </c>
      <c r="F1138" s="64">
        <f t="shared" si="17"/>
        <v>-28.216378333333385</v>
      </c>
      <c r="G1138" s="60" t="s">
        <v>9</v>
      </c>
      <c r="H1138" s="60" t="s">
        <v>5042</v>
      </c>
    </row>
    <row r="1139" spans="1:8">
      <c r="A1139" s="59" t="s">
        <v>2659</v>
      </c>
      <c r="B1139" s="62">
        <v>9</v>
      </c>
      <c r="C1139" s="60" t="s">
        <v>5050</v>
      </c>
      <c r="D1139" s="64">
        <f>IFERROR(VLOOKUP(C1139,測定点マスタ!$E$2:$F$28,2,FALSE)/VLOOKUP(A1139,'焼鈍条件-3CGL'!$A$2:$B$197,2,FALSE)*60,"")</f>
        <v>42.773030108340741</v>
      </c>
      <c r="E1139" s="66">
        <v>505.4</v>
      </c>
      <c r="F1139" s="64">
        <f t="shared" si="17"/>
        <v>-15.149733333333325</v>
      </c>
      <c r="G1139" s="60" t="s">
        <v>9</v>
      </c>
      <c r="H1139" s="60" t="s">
        <v>5042</v>
      </c>
    </row>
    <row r="1140" spans="1:8">
      <c r="A1140" s="59" t="s">
        <v>2659</v>
      </c>
      <c r="B1140" s="62">
        <v>10</v>
      </c>
      <c r="C1140" s="60" t="s">
        <v>5051</v>
      </c>
      <c r="D1140" s="64">
        <f>IFERROR(VLOOKUP(C1140,測定点マスタ!$E$2:$F$28,2,FALSE)/VLOOKUP(A1140,'焼鈍条件-3CGL'!$A$2:$B$197,2,FALSE)*60,"")</f>
        <v>46.469464809061542</v>
      </c>
      <c r="E1140" s="66">
        <v>446.7</v>
      </c>
      <c r="F1140" s="64">
        <f t="shared" si="17"/>
        <v>-15.88016690476192</v>
      </c>
      <c r="G1140" s="60" t="s">
        <v>9</v>
      </c>
      <c r="H1140" s="60" t="s">
        <v>5042</v>
      </c>
    </row>
    <row r="1141" spans="1:8">
      <c r="A1141" s="59" t="s">
        <v>2659</v>
      </c>
      <c r="B1141" s="62">
        <v>11</v>
      </c>
      <c r="C1141" s="60" t="s">
        <v>5060</v>
      </c>
      <c r="D1141" s="64">
        <f>IFERROR(VLOOKUP(C1141,測定点マスタ!$E$2:$F$28,2,FALSE)/VLOOKUP(A1141,'焼鈍条件-3CGL'!$A$2:$B$197,2,FALSE)*60,"")</f>
        <v>48.581713209473435</v>
      </c>
      <c r="E1141" s="66">
        <v>402</v>
      </c>
      <c r="F1141" s="64">
        <f t="shared" si="17"/>
        <v>-21.162283749999947</v>
      </c>
      <c r="G1141" s="60" t="s">
        <v>9</v>
      </c>
      <c r="H1141" s="60" t="s">
        <v>5042</v>
      </c>
    </row>
    <row r="1142" spans="1:8">
      <c r="A1142" s="59" t="s">
        <v>2659</v>
      </c>
      <c r="B1142" s="62">
        <v>12</v>
      </c>
      <c r="C1142" s="60" t="s">
        <v>5052</v>
      </c>
      <c r="D1142" s="64">
        <f>IFERROR(VLOOKUP(C1142,測定点マスタ!$E$2:$F$28,2,FALSE)/VLOOKUP(A1142,'焼鈍条件-3CGL'!$A$2:$B$197,2,FALSE)*60,"")</f>
        <v>51.222023709988292</v>
      </c>
      <c r="E1142" s="66">
        <v>357</v>
      </c>
      <c r="F1142" s="64">
        <f t="shared" si="17"/>
        <v>-17.043450000000021</v>
      </c>
      <c r="G1142" s="60" t="s">
        <v>9</v>
      </c>
      <c r="H1142" s="60" t="s">
        <v>5042</v>
      </c>
    </row>
    <row r="1143" spans="1:8">
      <c r="A1143" s="59" t="s">
        <v>2659</v>
      </c>
      <c r="B1143" s="62">
        <v>13</v>
      </c>
      <c r="C1143" s="60" t="s">
        <v>5053</v>
      </c>
      <c r="D1143" s="64">
        <f>IFERROR(VLOOKUP(C1143,測定点マスタ!$E$2:$F$28,2,FALSE)/VLOOKUP(A1143,'焼鈍条件-3CGL'!$A$2:$B$197,2,FALSE)*60,"")</f>
        <v>57.558768911223964</v>
      </c>
      <c r="E1143" s="66">
        <v>513.70000000000005</v>
      </c>
      <c r="F1143" s="64">
        <f t="shared" si="17"/>
        <v>24.728783472222201</v>
      </c>
      <c r="G1143" s="60" t="s">
        <v>9</v>
      </c>
      <c r="H1143" s="60" t="s">
        <v>5042</v>
      </c>
    </row>
    <row r="1144" spans="1:8">
      <c r="A1144" s="59" t="s">
        <v>2659</v>
      </c>
      <c r="B1144" s="62">
        <v>14</v>
      </c>
      <c r="C1144" s="60" t="s">
        <v>5063</v>
      </c>
      <c r="D1144" s="64">
        <f>IFERROR(VLOOKUP(C1144,測定点マスタ!$E$2:$F$28,2,FALSE)/VLOOKUP(A1144,'焼鈍条件-3CGL'!$A$2:$B$197,2,FALSE)*60,"")</f>
        <v>60.727141511841786</v>
      </c>
      <c r="E1144" s="66">
        <v>516.6</v>
      </c>
      <c r="F1144" s="64">
        <f t="shared" si="17"/>
        <v>0.91529638888888487</v>
      </c>
      <c r="G1144" s="60" t="s">
        <v>9</v>
      </c>
      <c r="H1144" s="60" t="s">
        <v>5042</v>
      </c>
    </row>
    <row r="1145" spans="1:8">
      <c r="A1145" s="59" t="s">
        <v>2659</v>
      </c>
      <c r="B1145" s="62">
        <v>15</v>
      </c>
      <c r="C1145" s="60" t="s">
        <v>5054</v>
      </c>
      <c r="D1145" s="64">
        <f>IFERROR(VLOOKUP(C1145,測定点マスタ!$E$2:$F$28,2,FALSE)/VLOOKUP(A1145,'焼鈍条件-3CGL'!$A$2:$B$197,2,FALSE)*60,"")</f>
        <v>64.423576212562594</v>
      </c>
      <c r="E1145" s="66">
        <v>492.7</v>
      </c>
      <c r="F1145" s="64">
        <f t="shared" si="17"/>
        <v>-6.4656897619047662</v>
      </c>
      <c r="G1145" s="60" t="s">
        <v>9</v>
      </c>
      <c r="H1145" s="60" t="s">
        <v>5042</v>
      </c>
    </row>
    <row r="1146" spans="1:8">
      <c r="A1146" s="59" t="s">
        <v>2659</v>
      </c>
      <c r="B1146" s="62">
        <v>16</v>
      </c>
      <c r="C1146" s="60" t="s">
        <v>5056</v>
      </c>
      <c r="D1146" s="64">
        <f>IFERROR(VLOOKUP(C1146,測定点マスタ!$E$2:$F$28,2,FALSE)/VLOOKUP(A1146,'焼鈍条件-3CGL'!$A$2:$B$197,2,FALSE)*60,"")</f>
        <v>70.23225931369528</v>
      </c>
      <c r="E1146" s="66">
        <v>265.39999999999998</v>
      </c>
      <c r="F1146" s="64">
        <f t="shared" si="17"/>
        <v>-39.131072575757621</v>
      </c>
      <c r="G1146" s="60" t="s">
        <v>9</v>
      </c>
      <c r="H1146" s="60" t="s">
        <v>5042</v>
      </c>
    </row>
    <row r="1147" spans="1:8">
      <c r="A1147" s="59" t="s">
        <v>2659</v>
      </c>
      <c r="B1147" s="62">
        <v>17</v>
      </c>
      <c r="C1147" s="60" t="s">
        <v>5068</v>
      </c>
      <c r="D1147" s="64">
        <f>IFERROR(VLOOKUP(C1147,測定点マスタ!$E$2:$F$28,2,FALSE)/VLOOKUP(A1147,'焼鈍条件-3CGL'!$A$2:$B$197,2,FALSE)*60,"")</f>
        <v>83.886436473500794</v>
      </c>
      <c r="E1147" s="66">
        <v>349.6</v>
      </c>
      <c r="F1147" s="64">
        <f t="shared" si="17"/>
        <v>6.1666110681399253</v>
      </c>
      <c r="G1147" s="60" t="s">
        <v>9</v>
      </c>
      <c r="H1147" s="60" t="s">
        <v>5042</v>
      </c>
    </row>
    <row r="1148" spans="1:8">
      <c r="A1148" s="59" t="s">
        <v>2659</v>
      </c>
      <c r="B1148" s="62">
        <v>18</v>
      </c>
      <c r="C1148" s="60" t="s">
        <v>5057</v>
      </c>
      <c r="D1148" s="64">
        <f>IFERROR(VLOOKUP(C1148,測定点マスタ!$E$2:$F$28,2,FALSE)/VLOOKUP(A1148,'焼鈍条件-3CGL'!$A$2:$B$197,2,FALSE)*60,"")</f>
        <v>87.073668434836421</v>
      </c>
      <c r="E1148" s="66">
        <v>232.4</v>
      </c>
      <c r="F1148" s="64">
        <f t="shared" si="17"/>
        <v>-36.771719605524638</v>
      </c>
      <c r="G1148" s="60" t="s">
        <v>9</v>
      </c>
      <c r="H1148" s="60" t="s">
        <v>5042</v>
      </c>
    </row>
    <row r="1149" spans="1:8">
      <c r="A1149" s="59" t="s">
        <v>2659</v>
      </c>
      <c r="B1149" s="62">
        <v>19</v>
      </c>
      <c r="C1149" s="60" t="s">
        <v>5059</v>
      </c>
      <c r="D1149" s="64">
        <f>IFERROR(VLOOKUP(C1149,測定点マスタ!$E$2:$F$28,2,FALSE)/VLOOKUP(A1149,'焼鈍条件-3CGL'!$A$2:$B$197,2,FALSE)*60,"")</f>
        <v>93.448132357508257</v>
      </c>
      <c r="E1149" s="66">
        <v>42</v>
      </c>
      <c r="F1149" s="64">
        <f t="shared" si="17"/>
        <v>-29.869178382641852</v>
      </c>
      <c r="G1149" s="60" t="s">
        <v>9</v>
      </c>
      <c r="H1149" s="60" t="s">
        <v>5042</v>
      </c>
    </row>
    <row r="1150" spans="1:8">
      <c r="A1150" s="59" t="s">
        <v>2674</v>
      </c>
      <c r="B1150" s="62">
        <v>1</v>
      </c>
      <c r="C1150" s="60" t="s">
        <v>5041</v>
      </c>
      <c r="D1150" s="64">
        <f>IFERROR(VLOOKUP(C1150,測定点マスタ!$E$2:$F$28,2,FALSE)/VLOOKUP(A1150,'焼鈍条件-3CGL'!$A$2:$B$197,2,FALSE)*60,"")</f>
        <v>0</v>
      </c>
      <c r="E1150" s="66">
        <v>38.6</v>
      </c>
      <c r="F1150" s="64" t="str">
        <f t="shared" si="17"/>
        <v/>
      </c>
      <c r="G1150" s="60" t="s">
        <v>12</v>
      </c>
      <c r="H1150" s="60" t="s">
        <v>5042</v>
      </c>
    </row>
    <row r="1151" spans="1:8">
      <c r="A1151" s="59" t="s">
        <v>2674</v>
      </c>
      <c r="B1151" s="62">
        <v>2</v>
      </c>
      <c r="C1151" s="60" t="s">
        <v>5043</v>
      </c>
      <c r="D1151" s="64">
        <f>IFERROR(VLOOKUP(C1151,測定点マスタ!$E$2:$F$28,2,FALSE)/VLOOKUP(A1151,'焼鈍条件-3CGL'!$A$2:$B$197,2,FALSE)*60,"")</f>
        <v>10.058001139906796</v>
      </c>
      <c r="E1151" s="66">
        <v>158.4</v>
      </c>
      <c r="F1151" s="64">
        <f t="shared" si="17"/>
        <v>11.910915333333334</v>
      </c>
      <c r="G1151" s="60" t="s">
        <v>12</v>
      </c>
      <c r="H1151" s="60" t="s">
        <v>5042</v>
      </c>
    </row>
    <row r="1152" spans="1:8">
      <c r="A1152" s="59" t="s">
        <v>2674</v>
      </c>
      <c r="B1152" s="62">
        <v>3</v>
      </c>
      <c r="C1152" s="60" t="s">
        <v>5044</v>
      </c>
      <c r="D1152" s="64">
        <f>IFERROR(VLOOKUP(C1152,測定点マスタ!$E$2:$F$28,2,FALSE)/VLOOKUP(A1152,'焼鈍条件-3CGL'!$A$2:$B$197,2,FALSE)*60,"")</f>
        <v>22.798135917122071</v>
      </c>
      <c r="E1152" s="66">
        <v>665.8</v>
      </c>
      <c r="F1152" s="64">
        <f t="shared" si="17"/>
        <v>39.826894210526312</v>
      </c>
      <c r="G1152" s="60" t="s">
        <v>12</v>
      </c>
      <c r="H1152" s="60" t="s">
        <v>5042</v>
      </c>
    </row>
    <row r="1153" spans="1:8">
      <c r="A1153" s="59" t="s">
        <v>2674</v>
      </c>
      <c r="B1153" s="62">
        <v>4</v>
      </c>
      <c r="C1153" s="60" t="s">
        <v>5045</v>
      </c>
      <c r="D1153" s="64">
        <f>IFERROR(VLOOKUP(C1153,測定点マスタ!$E$2:$F$28,2,FALSE)/VLOOKUP(A1153,'焼鈍条件-3CGL'!$A$2:$B$197,2,FALSE)*60,"")</f>
        <v>29.503470010393269</v>
      </c>
      <c r="E1153" s="66">
        <v>796.9</v>
      </c>
      <c r="F1153" s="64">
        <f t="shared" si="17"/>
        <v>19.551598500000001</v>
      </c>
      <c r="G1153" s="60" t="s">
        <v>12</v>
      </c>
      <c r="H1153" s="60" t="s">
        <v>5042</v>
      </c>
    </row>
    <row r="1154" spans="1:8">
      <c r="A1154" s="59" t="s">
        <v>2674</v>
      </c>
      <c r="B1154" s="62">
        <v>5</v>
      </c>
      <c r="C1154" s="60" t="s">
        <v>5047</v>
      </c>
      <c r="D1154" s="64">
        <f>IFERROR(VLOOKUP(C1154,測定点マスタ!$E$2:$F$28,2,FALSE)/VLOOKUP(A1154,'焼鈍条件-3CGL'!$A$2:$B$197,2,FALSE)*60,"")</f>
        <v>40.232004559627185</v>
      </c>
      <c r="E1154" s="66">
        <v>735.7</v>
      </c>
      <c r="F1154" s="64">
        <f t="shared" ref="F1154:F1217" si="18">IF(A1154=A1153,IFERROR((E1154-E1153)/(D1154-D1153),""),"")</f>
        <v>-5.7044137499999934</v>
      </c>
      <c r="G1154" s="60" t="s">
        <v>12</v>
      </c>
      <c r="H1154" s="60" t="s">
        <v>5042</v>
      </c>
    </row>
    <row r="1155" spans="1:8">
      <c r="A1155" s="59" t="s">
        <v>2674</v>
      </c>
      <c r="B1155" s="62">
        <v>6</v>
      </c>
      <c r="C1155" s="60" t="s">
        <v>5048</v>
      </c>
      <c r="D1155" s="64">
        <f>IFERROR(VLOOKUP(C1155,測定点マスタ!$E$2:$F$28,2,FALSE)/VLOOKUP(A1155,'焼鈍条件-3CGL'!$A$2:$B$197,2,FALSE)*60,"")</f>
        <v>44.255205015589908</v>
      </c>
      <c r="E1155" s="66">
        <v>680.5</v>
      </c>
      <c r="F1155" s="64">
        <f t="shared" si="18"/>
        <v>-13.720419999999995</v>
      </c>
      <c r="G1155" s="60" t="s">
        <v>12</v>
      </c>
      <c r="H1155" s="60" t="s">
        <v>5042</v>
      </c>
    </row>
    <row r="1156" spans="1:8">
      <c r="A1156" s="59" t="s">
        <v>2674</v>
      </c>
      <c r="B1156" s="62">
        <v>7</v>
      </c>
      <c r="C1156" s="60" t="s">
        <v>5049</v>
      </c>
      <c r="D1156" s="64">
        <f>IFERROR(VLOOKUP(C1156,測定点マスタ!$E$2:$F$28,2,FALSE)/VLOOKUP(A1156,'焼鈍条件-3CGL'!$A$2:$B$197,2,FALSE)*60,"")</f>
        <v>48.948938880879737</v>
      </c>
      <c r="E1156" s="66">
        <v>583.1</v>
      </c>
      <c r="F1156" s="64">
        <f t="shared" si="18"/>
        <v>-20.751070000000034</v>
      </c>
      <c r="G1156" s="60" t="s">
        <v>12</v>
      </c>
      <c r="H1156" s="60" t="s">
        <v>5042</v>
      </c>
    </row>
    <row r="1157" spans="1:8">
      <c r="A1157" s="59" t="s">
        <v>2674</v>
      </c>
      <c r="B1157" s="62">
        <v>8</v>
      </c>
      <c r="C1157" s="60" t="s">
        <v>5050</v>
      </c>
      <c r="D1157" s="64">
        <f>IFERROR(VLOOKUP(C1157,測定点マスタ!$E$2:$F$28,2,FALSE)/VLOOKUP(A1157,'焼鈍条件-3CGL'!$A$2:$B$197,2,FALSE)*60,"")</f>
        <v>54.313206155496701</v>
      </c>
      <c r="E1157" s="66">
        <v>495.6</v>
      </c>
      <c r="F1157" s="64">
        <f t="shared" si="18"/>
        <v>-16.311640624999981</v>
      </c>
      <c r="G1157" s="60" t="s">
        <v>12</v>
      </c>
      <c r="H1157" s="60" t="s">
        <v>5042</v>
      </c>
    </row>
    <row r="1158" spans="1:8">
      <c r="A1158" s="59" t="s">
        <v>2674</v>
      </c>
      <c r="B1158" s="62">
        <v>9</v>
      </c>
      <c r="C1158" s="60" t="s">
        <v>5051</v>
      </c>
      <c r="D1158" s="64">
        <f>IFERROR(VLOOKUP(C1158,測定点マスタ!$E$2:$F$28,2,FALSE)/VLOOKUP(A1158,'焼鈍条件-3CGL'!$A$2:$B$197,2,FALSE)*60,"")</f>
        <v>59.006940020786537</v>
      </c>
      <c r="E1158" s="66">
        <v>449.8</v>
      </c>
      <c r="F1158" s="64">
        <f t="shared" si="18"/>
        <v>-9.7576900000000055</v>
      </c>
      <c r="G1158" s="60" t="s">
        <v>12</v>
      </c>
      <c r="H1158" s="60" t="s">
        <v>5042</v>
      </c>
    </row>
    <row r="1159" spans="1:8">
      <c r="A1159" s="59" t="s">
        <v>2674</v>
      </c>
      <c r="B1159" s="62">
        <v>10</v>
      </c>
      <c r="C1159" s="60" t="s">
        <v>5052</v>
      </c>
      <c r="D1159" s="64">
        <f>IFERROR(VLOOKUP(C1159,測定点マスタ!$E$2:$F$28,2,FALSE)/VLOOKUP(A1159,'焼鈍条件-3CGL'!$A$2:$B$197,2,FALSE)*60,"")</f>
        <v>65.041740704730614</v>
      </c>
      <c r="E1159" s="66">
        <v>325</v>
      </c>
      <c r="F1159" s="64">
        <f t="shared" si="18"/>
        <v>-20.680053333333337</v>
      </c>
      <c r="G1159" s="60" t="s">
        <v>12</v>
      </c>
      <c r="H1159" s="60" t="s">
        <v>5042</v>
      </c>
    </row>
    <row r="1160" spans="1:8">
      <c r="A1160" s="59" t="s">
        <v>2674</v>
      </c>
      <c r="B1160" s="62">
        <v>11</v>
      </c>
      <c r="C1160" s="60" t="s">
        <v>5069</v>
      </c>
      <c r="D1160" s="64">
        <f>IFERROR(VLOOKUP(C1160,測定点マスタ!$E$2:$F$28,2,FALSE)/VLOOKUP(A1160,'焼鈍条件-3CGL'!$A$2:$B$197,2,FALSE)*60,"")</f>
        <v>69.735474570020457</v>
      </c>
      <c r="E1160" s="66">
        <v>524.9</v>
      </c>
      <c r="F1160" s="64">
        <f t="shared" si="18"/>
        <v>42.588694999999944</v>
      </c>
      <c r="G1160" s="60" t="s">
        <v>12</v>
      </c>
      <c r="H1160" s="60" t="s">
        <v>5042</v>
      </c>
    </row>
    <row r="1161" spans="1:8">
      <c r="A1161" s="59" t="s">
        <v>2674</v>
      </c>
      <c r="B1161" s="62">
        <v>12</v>
      </c>
      <c r="C1161" s="60" t="s">
        <v>5053</v>
      </c>
      <c r="D1161" s="64">
        <f>IFERROR(VLOOKUP(C1161,測定点マスタ!$E$2:$F$28,2,FALSE)/VLOOKUP(A1161,'焼鈍条件-3CGL'!$A$2:$B$197,2,FALSE)*60,"")</f>
        <v>73.08814161665606</v>
      </c>
      <c r="E1161" s="66">
        <v>529.70000000000005</v>
      </c>
      <c r="F1161" s="64">
        <f t="shared" si="18"/>
        <v>1.4316960000000187</v>
      </c>
      <c r="G1161" s="60" t="s">
        <v>12</v>
      </c>
      <c r="H1161" s="60" t="s">
        <v>5042</v>
      </c>
    </row>
    <row r="1162" spans="1:8">
      <c r="A1162" s="59" t="s">
        <v>2674</v>
      </c>
      <c r="B1162" s="62">
        <v>13</v>
      </c>
      <c r="C1162" s="60" t="s">
        <v>5054</v>
      </c>
      <c r="D1162" s="64">
        <f>IFERROR(VLOOKUP(C1162,測定点マスタ!$E$2:$F$28,2,FALSE)/VLOOKUP(A1162,'焼鈍条件-3CGL'!$A$2:$B$197,2,FALSE)*60,"")</f>
        <v>81.805075937908612</v>
      </c>
      <c r="E1162" s="66">
        <v>504.4</v>
      </c>
      <c r="F1162" s="64">
        <f t="shared" si="18"/>
        <v>-2.9023965384615478</v>
      </c>
      <c r="G1162" s="60" t="s">
        <v>12</v>
      </c>
      <c r="H1162" s="60" t="s">
        <v>5042</v>
      </c>
    </row>
    <row r="1163" spans="1:8">
      <c r="A1163" s="59" t="s">
        <v>2674</v>
      </c>
      <c r="B1163" s="62">
        <v>14</v>
      </c>
      <c r="C1163" s="60" t="s">
        <v>5056</v>
      </c>
      <c r="D1163" s="64">
        <f>IFERROR(VLOOKUP(C1163,測定点マスタ!$E$2:$F$28,2,FALSE)/VLOOKUP(A1163,'焼鈍条件-3CGL'!$A$2:$B$197,2,FALSE)*60,"")</f>
        <v>89.180943440506923</v>
      </c>
      <c r="E1163" s="66">
        <v>258.8</v>
      </c>
      <c r="F1163" s="64">
        <f t="shared" si="18"/>
        <v>-33.297778181818202</v>
      </c>
      <c r="G1163" s="60" t="s">
        <v>12</v>
      </c>
      <c r="H1163" s="60" t="s">
        <v>5042</v>
      </c>
    </row>
    <row r="1164" spans="1:8">
      <c r="A1164" s="59" t="s">
        <v>2674</v>
      </c>
      <c r="B1164" s="62">
        <v>15</v>
      </c>
      <c r="C1164" s="60" t="s">
        <v>5057</v>
      </c>
      <c r="D1164" s="64">
        <f>IFERROR(VLOOKUP(C1164,測定点マスタ!$E$2:$F$28,2,FALSE)/VLOOKUP(A1164,'焼鈍条件-3CGL'!$A$2:$B$197,2,FALSE)*60,"")</f>
        <v>110.56616967368961</v>
      </c>
      <c r="E1164" s="66">
        <v>208.9</v>
      </c>
      <c r="F1164" s="64">
        <f t="shared" si="18"/>
        <v>-2.3333865845464827</v>
      </c>
      <c r="G1164" s="60" t="s">
        <v>12</v>
      </c>
      <c r="H1164" s="60" t="s">
        <v>5042</v>
      </c>
    </row>
    <row r="1165" spans="1:8">
      <c r="A1165" s="59" t="s">
        <v>2674</v>
      </c>
      <c r="B1165" s="62">
        <v>16</v>
      </c>
      <c r="C1165" s="60" t="s">
        <v>5058</v>
      </c>
      <c r="D1165" s="64">
        <f>IFERROR(VLOOKUP(C1165,測定点マスタ!$E$2:$F$28,2,FALSE)/VLOOKUP(A1165,'焼鈍条件-3CGL'!$A$2:$B$197,2,FALSE)*60,"")</f>
        <v>114.61331775141382</v>
      </c>
      <c r="E1165" s="66">
        <v>106.5</v>
      </c>
      <c r="F1165" s="64">
        <f t="shared" si="18"/>
        <v>-25.301767573965744</v>
      </c>
      <c r="G1165" s="60" t="s">
        <v>12</v>
      </c>
      <c r="H1165" s="60" t="s">
        <v>5042</v>
      </c>
    </row>
    <row r="1166" spans="1:8">
      <c r="A1166" s="59" t="s">
        <v>2674</v>
      </c>
      <c r="B1166" s="62">
        <v>17</v>
      </c>
      <c r="C1166" s="60" t="s">
        <v>5059</v>
      </c>
      <c r="D1166" s="64">
        <f>IFERROR(VLOOKUP(C1166,測定点マスタ!$E$2:$F$28,2,FALSE)/VLOOKUP(A1166,'焼鈍条件-3CGL'!$A$2:$B$197,2,FALSE)*60,"")</f>
        <v>118.66046582913872</v>
      </c>
      <c r="E1166" s="66">
        <v>62.2</v>
      </c>
      <c r="F1166" s="64">
        <f t="shared" si="18"/>
        <v>-10.945979526625873</v>
      </c>
      <c r="G1166" s="60" t="s">
        <v>12</v>
      </c>
      <c r="H1166" s="60" t="s">
        <v>5042</v>
      </c>
    </row>
    <row r="1167" spans="1:8">
      <c r="A1167" s="59" t="s">
        <v>2689</v>
      </c>
      <c r="B1167" s="62">
        <v>1</v>
      </c>
      <c r="C1167" s="60" t="s">
        <v>5041</v>
      </c>
      <c r="D1167" s="64">
        <f>IFERROR(VLOOKUP(C1167,測定点マスタ!$E$2:$F$28,2,FALSE)/VLOOKUP(A1167,'焼鈍条件-3CGL'!$A$2:$B$197,2,FALSE)*60,"")</f>
        <v>0</v>
      </c>
      <c r="E1167" s="66">
        <v>36.5</v>
      </c>
      <c r="F1167" s="64" t="str">
        <f t="shared" si="18"/>
        <v/>
      </c>
      <c r="G1167" s="60" t="s">
        <v>9</v>
      </c>
      <c r="H1167" s="60" t="s">
        <v>5042</v>
      </c>
    </row>
    <row r="1168" spans="1:8">
      <c r="A1168" s="59" t="s">
        <v>2689</v>
      </c>
      <c r="B1168" s="62">
        <v>2</v>
      </c>
      <c r="C1168" s="60" t="s">
        <v>5043</v>
      </c>
      <c r="D1168" s="64">
        <f>IFERROR(VLOOKUP(C1168,測定点マスタ!$E$2:$F$28,2,FALSE)/VLOOKUP(A1168,'焼鈍条件-3CGL'!$A$2:$B$197,2,FALSE)*60,"")</f>
        <v>10.183068950691318</v>
      </c>
      <c r="E1168" s="66">
        <v>176.6</v>
      </c>
      <c r="F1168" s="64">
        <f t="shared" si="18"/>
        <v>13.758131333333331</v>
      </c>
      <c r="G1168" s="60" t="s">
        <v>9</v>
      </c>
      <c r="H1168" s="60" t="s">
        <v>5042</v>
      </c>
    </row>
    <row r="1169" spans="1:8">
      <c r="A1169" s="59" t="s">
        <v>2689</v>
      </c>
      <c r="B1169" s="62">
        <v>3</v>
      </c>
      <c r="C1169" s="60" t="s">
        <v>5044</v>
      </c>
      <c r="D1169" s="64">
        <f>IFERROR(VLOOKUP(C1169,測定点マスタ!$E$2:$F$28,2,FALSE)/VLOOKUP(A1169,'焼鈍条件-3CGL'!$A$2:$B$197,2,FALSE)*60,"")</f>
        <v>23.081622954900318</v>
      </c>
      <c r="E1169" s="66">
        <v>660.6</v>
      </c>
      <c r="F1169" s="64">
        <f t="shared" si="18"/>
        <v>37.523585964912286</v>
      </c>
      <c r="G1169" s="60" t="s">
        <v>9</v>
      </c>
      <c r="H1169" s="60" t="s">
        <v>5042</v>
      </c>
    </row>
    <row r="1170" spans="1:8">
      <c r="A1170" s="59" t="s">
        <v>2689</v>
      </c>
      <c r="B1170" s="62">
        <v>4</v>
      </c>
      <c r="C1170" s="60" t="s">
        <v>5045</v>
      </c>
      <c r="D1170" s="64">
        <f>IFERROR(VLOOKUP(C1170,測定点マスタ!$E$2:$F$28,2,FALSE)/VLOOKUP(A1170,'焼鈍条件-3CGL'!$A$2:$B$197,2,FALSE)*60,"")</f>
        <v>29.870335588694527</v>
      </c>
      <c r="E1170" s="66">
        <v>829.6</v>
      </c>
      <c r="F1170" s="64">
        <f t="shared" si="18"/>
        <v>24.894263333333345</v>
      </c>
      <c r="G1170" s="60" t="s">
        <v>9</v>
      </c>
      <c r="H1170" s="60" t="s">
        <v>5042</v>
      </c>
    </row>
    <row r="1171" spans="1:8">
      <c r="A1171" s="59" t="s">
        <v>2689</v>
      </c>
      <c r="B1171" s="62">
        <v>5</v>
      </c>
      <c r="C1171" s="60" t="s">
        <v>5047</v>
      </c>
      <c r="D1171" s="64">
        <f>IFERROR(VLOOKUP(C1171,測定点マスタ!$E$2:$F$28,2,FALSE)/VLOOKUP(A1171,'焼鈍条件-3CGL'!$A$2:$B$197,2,FALSE)*60,"")</f>
        <v>40.732275802765272</v>
      </c>
      <c r="E1171" s="66">
        <v>758.4</v>
      </c>
      <c r="F1171" s="64">
        <f t="shared" si="18"/>
        <v>-6.5549983333333328</v>
      </c>
      <c r="G1171" s="60" t="s">
        <v>9</v>
      </c>
      <c r="H1171" s="60" t="s">
        <v>5042</v>
      </c>
    </row>
    <row r="1172" spans="1:8">
      <c r="A1172" s="59" t="s">
        <v>2689</v>
      </c>
      <c r="B1172" s="62">
        <v>6</v>
      </c>
      <c r="C1172" s="60" t="s">
        <v>5049</v>
      </c>
      <c r="D1172" s="64">
        <f>IFERROR(VLOOKUP(C1172,測定点マスタ!$E$2:$F$28,2,FALSE)/VLOOKUP(A1172,'焼鈍条件-3CGL'!$A$2:$B$197,2,FALSE)*60,"")</f>
        <v>49.557602226697739</v>
      </c>
      <c r="E1172" s="66">
        <v>633.79999999999995</v>
      </c>
      <c r="F1172" s="64">
        <f t="shared" si="18"/>
        <v>-14.118457948717964</v>
      </c>
      <c r="G1172" s="60" t="s">
        <v>9</v>
      </c>
      <c r="H1172" s="60" t="s">
        <v>5042</v>
      </c>
    </row>
    <row r="1173" spans="1:8">
      <c r="A1173" s="59" t="s">
        <v>2689</v>
      </c>
      <c r="B1173" s="62">
        <v>7</v>
      </c>
      <c r="C1173" s="60" t="s">
        <v>5050</v>
      </c>
      <c r="D1173" s="64">
        <f>IFERROR(VLOOKUP(C1173,測定点マスタ!$E$2:$F$28,2,FALSE)/VLOOKUP(A1173,'焼鈍条件-3CGL'!$A$2:$B$197,2,FALSE)*60,"")</f>
        <v>54.98857233373311</v>
      </c>
      <c r="E1173" s="66">
        <v>526</v>
      </c>
      <c r="F1173" s="64">
        <f t="shared" si="18"/>
        <v>-19.849124166666652</v>
      </c>
      <c r="G1173" s="60" t="s">
        <v>9</v>
      </c>
      <c r="H1173" s="60" t="s">
        <v>5042</v>
      </c>
    </row>
    <row r="1174" spans="1:8">
      <c r="A1174" s="59" t="s">
        <v>2689</v>
      </c>
      <c r="B1174" s="62">
        <v>8</v>
      </c>
      <c r="C1174" s="60" t="s">
        <v>5051</v>
      </c>
      <c r="D1174" s="64">
        <f>IFERROR(VLOOKUP(C1174,測定点マスタ!$E$2:$F$28,2,FALSE)/VLOOKUP(A1174,'焼鈍条件-3CGL'!$A$2:$B$197,2,FALSE)*60,"")</f>
        <v>59.740671177389054</v>
      </c>
      <c r="E1174" s="66">
        <v>449.6</v>
      </c>
      <c r="F1174" s="64">
        <f t="shared" si="18"/>
        <v>-16.077106666666676</v>
      </c>
      <c r="G1174" s="60" t="s">
        <v>9</v>
      </c>
      <c r="H1174" s="60" t="s">
        <v>5042</v>
      </c>
    </row>
    <row r="1175" spans="1:8">
      <c r="A1175" s="59" t="s">
        <v>2689</v>
      </c>
      <c r="B1175" s="62">
        <v>9</v>
      </c>
      <c r="C1175" s="60" t="s">
        <v>5060</v>
      </c>
      <c r="D1175" s="64">
        <f>IFERROR(VLOOKUP(C1175,測定点マスタ!$E$2:$F$28,2,FALSE)/VLOOKUP(A1175,'焼鈍条件-3CGL'!$A$2:$B$197,2,FALSE)*60,"")</f>
        <v>62.456156230906743</v>
      </c>
      <c r="E1175" s="66">
        <v>418.6</v>
      </c>
      <c r="F1175" s="64">
        <f t="shared" si="18"/>
        <v>-11.416008333333314</v>
      </c>
      <c r="G1175" s="60" t="s">
        <v>9</v>
      </c>
      <c r="H1175" s="60" t="s">
        <v>5042</v>
      </c>
    </row>
    <row r="1176" spans="1:8">
      <c r="A1176" s="59" t="s">
        <v>2689</v>
      </c>
      <c r="B1176" s="62">
        <v>10</v>
      </c>
      <c r="C1176" s="60" t="s">
        <v>5052</v>
      </c>
      <c r="D1176" s="64">
        <f>IFERROR(VLOOKUP(C1176,測定点マスタ!$E$2:$F$28,2,FALSE)/VLOOKUP(A1176,'焼鈍条件-3CGL'!$A$2:$B$197,2,FALSE)*60,"")</f>
        <v>65.850512547803845</v>
      </c>
      <c r="E1176" s="66">
        <v>372.7</v>
      </c>
      <c r="F1176" s="64">
        <f t="shared" si="18"/>
        <v>-13.522446000000024</v>
      </c>
      <c r="G1176" s="60" t="s">
        <v>9</v>
      </c>
      <c r="H1176" s="60" t="s">
        <v>5042</v>
      </c>
    </row>
    <row r="1177" spans="1:8">
      <c r="A1177" s="59" t="s">
        <v>2689</v>
      </c>
      <c r="B1177" s="62">
        <v>11</v>
      </c>
      <c r="C1177" s="60" t="s">
        <v>5053</v>
      </c>
      <c r="D1177" s="64">
        <f>IFERROR(VLOOKUP(C1177,測定点マスタ!$E$2:$F$28,2,FALSE)/VLOOKUP(A1177,'焼鈍条件-3CGL'!$A$2:$B$197,2,FALSE)*60,"")</f>
        <v>73.996967708356905</v>
      </c>
      <c r="E1177" s="66">
        <v>558.4</v>
      </c>
      <c r="F1177" s="64">
        <f t="shared" si="18"/>
        <v>22.795190833333315</v>
      </c>
      <c r="G1177" s="60" t="s">
        <v>9</v>
      </c>
      <c r="H1177" s="60" t="s">
        <v>5042</v>
      </c>
    </row>
    <row r="1178" spans="1:8">
      <c r="A1178" s="59" t="s">
        <v>2689</v>
      </c>
      <c r="B1178" s="62">
        <v>12</v>
      </c>
      <c r="C1178" s="60" t="s">
        <v>5054</v>
      </c>
      <c r="D1178" s="64">
        <f>IFERROR(VLOOKUP(C1178,測定点マスタ!$E$2:$F$28,2,FALSE)/VLOOKUP(A1178,'焼鈍条件-3CGL'!$A$2:$B$197,2,FALSE)*60,"")</f>
        <v>82.822294132289372</v>
      </c>
      <c r="E1178" s="66">
        <v>532.9</v>
      </c>
      <c r="F1178" s="64">
        <f t="shared" si="18"/>
        <v>-2.8894115384615411</v>
      </c>
      <c r="G1178" s="60" t="s">
        <v>9</v>
      </c>
      <c r="H1178" s="60" t="s">
        <v>5042</v>
      </c>
    </row>
    <row r="1179" spans="1:8">
      <c r="A1179" s="59" t="s">
        <v>2689</v>
      </c>
      <c r="B1179" s="62">
        <v>13</v>
      </c>
      <c r="C1179" s="60" t="s">
        <v>5056</v>
      </c>
      <c r="D1179" s="64">
        <f>IFERROR(VLOOKUP(C1179,測定点マスタ!$E$2:$F$28,2,FALSE)/VLOOKUP(A1179,'焼鈍条件-3CGL'!$A$2:$B$197,2,FALSE)*60,"")</f>
        <v>90.289878029463011</v>
      </c>
      <c r="E1179" s="66">
        <v>278.60000000000002</v>
      </c>
      <c r="F1179" s="64">
        <f t="shared" si="18"/>
        <v>-34.053852424242386</v>
      </c>
      <c r="G1179" s="60" t="s">
        <v>9</v>
      </c>
      <c r="H1179" s="60" t="s">
        <v>5042</v>
      </c>
    </row>
    <row r="1180" spans="1:8">
      <c r="A1180" s="59" t="s">
        <v>2689</v>
      </c>
      <c r="B1180" s="62">
        <v>14</v>
      </c>
      <c r="C1180" s="60" t="s">
        <v>5068</v>
      </c>
      <c r="D1180" s="64">
        <f>IFERROR(VLOOKUP(C1180,測定点マスタ!$E$2:$F$28,2,FALSE)/VLOOKUP(A1180,'焼鈍条件-3CGL'!$A$2:$B$197,2,FALSE)*60,"")</f>
        <v>107.84354926827385</v>
      </c>
      <c r="E1180" s="66">
        <v>330.7</v>
      </c>
      <c r="F1180" s="64">
        <f t="shared" si="18"/>
        <v>2.9680400920810142</v>
      </c>
      <c r="G1180" s="60" t="s">
        <v>9</v>
      </c>
      <c r="H1180" s="60" t="s">
        <v>5042</v>
      </c>
    </row>
    <row r="1181" spans="1:8">
      <c r="A1181" s="59" t="s">
        <v>2689</v>
      </c>
      <c r="B1181" s="62">
        <v>15</v>
      </c>
      <c r="C1181" s="60" t="s">
        <v>5057</v>
      </c>
      <c r="D1181" s="64">
        <f>IFERROR(VLOOKUP(C1181,測定点マスタ!$E$2:$F$28,2,FALSE)/VLOOKUP(A1181,'焼鈍条件-3CGL'!$A$2:$B$197,2,FALSE)*60,"")</f>
        <v>111.94102225081373</v>
      </c>
      <c r="E1181" s="66">
        <v>201.9</v>
      </c>
      <c r="F1181" s="64">
        <f t="shared" si="18"/>
        <v>-31.434008362920615</v>
      </c>
      <c r="G1181" s="60" t="s">
        <v>9</v>
      </c>
      <c r="H1181" s="60" t="s">
        <v>5042</v>
      </c>
    </row>
    <row r="1182" spans="1:8">
      <c r="A1182" s="59" t="s">
        <v>2689</v>
      </c>
      <c r="B1182" s="62">
        <v>16</v>
      </c>
      <c r="C1182" s="60" t="s">
        <v>5059</v>
      </c>
      <c r="D1182" s="64">
        <f>IFERROR(VLOOKUP(C1182,測定点マスタ!$E$2:$F$28,2,FALSE)/VLOOKUP(A1182,'焼鈍条件-3CGL'!$A$2:$B$197,2,FALSE)*60,"")</f>
        <v>120.13596821589418</v>
      </c>
      <c r="E1182" s="66">
        <v>71.599999999999994</v>
      </c>
      <c r="F1182" s="64">
        <f t="shared" si="18"/>
        <v>-15.90004382642941</v>
      </c>
      <c r="G1182" s="60" t="s">
        <v>9</v>
      </c>
      <c r="H1182" s="60" t="s">
        <v>5042</v>
      </c>
    </row>
    <row r="1183" spans="1:8">
      <c r="A1183" s="59" t="s">
        <v>2704</v>
      </c>
      <c r="B1183" s="62">
        <v>1</v>
      </c>
      <c r="C1183" s="60" t="s">
        <v>5041</v>
      </c>
      <c r="D1183" s="64">
        <f>IFERROR(VLOOKUP(C1183,測定点マスタ!$E$2:$F$28,2,FALSE)/VLOOKUP(A1183,'焼鈍条件-3CGL'!$A$2:$B$197,2,FALSE)*60,"")</f>
        <v>0</v>
      </c>
      <c r="E1183" s="66">
        <v>31.8</v>
      </c>
      <c r="F1183" s="64" t="str">
        <f t="shared" si="18"/>
        <v/>
      </c>
      <c r="G1183" s="60" t="s">
        <v>9</v>
      </c>
      <c r="H1183" s="60" t="s">
        <v>5061</v>
      </c>
    </row>
    <row r="1184" spans="1:8">
      <c r="A1184" s="59" t="s">
        <v>2704</v>
      </c>
      <c r="B1184" s="62">
        <v>2</v>
      </c>
      <c r="C1184" s="60" t="s">
        <v>5043</v>
      </c>
      <c r="D1184" s="64">
        <f>IFERROR(VLOOKUP(C1184,測定点マスタ!$E$2:$F$28,2,FALSE)/VLOOKUP(A1184,'焼鈍条件-3CGL'!$A$2:$B$197,2,FALSE)*60,"")</f>
        <v>12.437982835583687</v>
      </c>
      <c r="E1184" s="66">
        <v>205.4</v>
      </c>
      <c r="F1184" s="64">
        <f t="shared" si="18"/>
        <v>13.95724711111111</v>
      </c>
      <c r="G1184" s="60" t="s">
        <v>9</v>
      </c>
      <c r="H1184" s="60" t="s">
        <v>5061</v>
      </c>
    </row>
    <row r="1185" spans="1:8">
      <c r="A1185" s="59" t="s">
        <v>2704</v>
      </c>
      <c r="B1185" s="62">
        <v>3</v>
      </c>
      <c r="C1185" s="60" t="s">
        <v>5044</v>
      </c>
      <c r="D1185" s="64">
        <f>IFERROR(VLOOKUP(C1185,測定点マスタ!$E$2:$F$28,2,FALSE)/VLOOKUP(A1185,'焼鈍条件-3CGL'!$A$2:$B$197,2,FALSE)*60,"")</f>
        <v>28.192761093989692</v>
      </c>
      <c r="E1185" s="66">
        <v>719.8</v>
      </c>
      <c r="F1185" s="64">
        <f t="shared" si="18"/>
        <v>32.650411929824557</v>
      </c>
      <c r="G1185" s="60" t="s">
        <v>9</v>
      </c>
      <c r="H1185" s="60" t="s">
        <v>5061</v>
      </c>
    </row>
    <row r="1186" spans="1:8">
      <c r="A1186" s="59" t="s">
        <v>2704</v>
      </c>
      <c r="B1186" s="62">
        <v>4</v>
      </c>
      <c r="C1186" s="60" t="s">
        <v>5045</v>
      </c>
      <c r="D1186" s="64">
        <f>IFERROR(VLOOKUP(C1186,測定点マスタ!$E$2:$F$28,2,FALSE)/VLOOKUP(A1186,'焼鈍条件-3CGL'!$A$2:$B$197,2,FALSE)*60,"")</f>
        <v>36.484749651045483</v>
      </c>
      <c r="E1186" s="66">
        <v>859.2</v>
      </c>
      <c r="F1186" s="64">
        <f t="shared" si="18"/>
        <v>16.811407666666678</v>
      </c>
      <c r="G1186" s="60" t="s">
        <v>9</v>
      </c>
      <c r="H1186" s="60" t="s">
        <v>5061</v>
      </c>
    </row>
    <row r="1187" spans="1:8">
      <c r="A1187" s="59" t="s">
        <v>2704</v>
      </c>
      <c r="B1187" s="62">
        <v>5</v>
      </c>
      <c r="C1187" s="60" t="s">
        <v>5047</v>
      </c>
      <c r="D1187" s="64">
        <f>IFERROR(VLOOKUP(C1187,測定点マスタ!$E$2:$F$28,2,FALSE)/VLOOKUP(A1187,'焼鈍条件-3CGL'!$A$2:$B$197,2,FALSE)*60,"")</f>
        <v>49.75193134233475</v>
      </c>
      <c r="E1187" s="66">
        <v>777.9</v>
      </c>
      <c r="F1187" s="64">
        <f t="shared" si="18"/>
        <v>-6.1279028125000048</v>
      </c>
      <c r="G1187" s="60" t="s">
        <v>9</v>
      </c>
      <c r="H1187" s="60" t="s">
        <v>5061</v>
      </c>
    </row>
    <row r="1188" spans="1:8">
      <c r="A1188" s="59" t="s">
        <v>2704</v>
      </c>
      <c r="B1188" s="62">
        <v>6</v>
      </c>
      <c r="C1188" s="60" t="s">
        <v>5049</v>
      </c>
      <c r="D1188" s="64">
        <f>IFERROR(VLOOKUP(C1188,測定点マスタ!$E$2:$F$28,2,FALSE)/VLOOKUP(A1188,'焼鈍条件-3CGL'!$A$2:$B$197,2,FALSE)*60,"")</f>
        <v>60.531516466507284</v>
      </c>
      <c r="E1188" s="66">
        <v>660.1</v>
      </c>
      <c r="F1188" s="64">
        <f t="shared" si="18"/>
        <v>-10.928064358974348</v>
      </c>
      <c r="G1188" s="60" t="s">
        <v>9</v>
      </c>
      <c r="H1188" s="60" t="s">
        <v>5061</v>
      </c>
    </row>
    <row r="1189" spans="1:8">
      <c r="A1189" s="59" t="s">
        <v>2704</v>
      </c>
      <c r="B1189" s="62">
        <v>7</v>
      </c>
      <c r="C1189" s="60" t="s">
        <v>5050</v>
      </c>
      <c r="D1189" s="64">
        <f>IFERROR(VLOOKUP(C1189,測定点マスタ!$E$2:$F$28,2,FALSE)/VLOOKUP(A1189,'焼鈍条件-3CGL'!$A$2:$B$197,2,FALSE)*60,"")</f>
        <v>67.165107312151918</v>
      </c>
      <c r="E1189" s="66">
        <v>527.6</v>
      </c>
      <c r="F1189" s="64">
        <f t="shared" si="18"/>
        <v>-19.974098958333332</v>
      </c>
      <c r="G1189" s="60" t="s">
        <v>9</v>
      </c>
      <c r="H1189" s="60" t="s">
        <v>5061</v>
      </c>
    </row>
    <row r="1190" spans="1:8">
      <c r="A1190" s="59" t="s">
        <v>2704</v>
      </c>
      <c r="B1190" s="62">
        <v>8</v>
      </c>
      <c r="C1190" s="60" t="s">
        <v>5051</v>
      </c>
      <c r="D1190" s="64">
        <f>IFERROR(VLOOKUP(C1190,測定点マスタ!$E$2:$F$28,2,FALSE)/VLOOKUP(A1190,'焼鈍条件-3CGL'!$A$2:$B$197,2,FALSE)*60,"")</f>
        <v>72.969499302090966</v>
      </c>
      <c r="E1190" s="66">
        <v>491</v>
      </c>
      <c r="F1190" s="64">
        <f t="shared" si="18"/>
        <v>-6.3055700000000092</v>
      </c>
      <c r="G1190" s="60" t="s">
        <v>9</v>
      </c>
      <c r="H1190" s="60" t="s">
        <v>5061</v>
      </c>
    </row>
    <row r="1191" spans="1:8">
      <c r="A1191" s="59" t="s">
        <v>2704</v>
      </c>
      <c r="B1191" s="62">
        <v>9</v>
      </c>
      <c r="C1191" s="60" t="s">
        <v>5052</v>
      </c>
      <c r="D1191" s="64">
        <f>IFERROR(VLOOKUP(C1191,測定点マスタ!$E$2:$F$28,2,FALSE)/VLOOKUP(A1191,'焼鈍条件-3CGL'!$A$2:$B$197,2,FALSE)*60,"")</f>
        <v>80.432289003441184</v>
      </c>
      <c r="E1191" s="66">
        <v>372</v>
      </c>
      <c r="F1191" s="64">
        <f t="shared" si="18"/>
        <v>-15.945779629629618</v>
      </c>
      <c r="G1191" s="60" t="s">
        <v>9</v>
      </c>
      <c r="H1191" s="60" t="s">
        <v>5061</v>
      </c>
    </row>
    <row r="1192" spans="1:8">
      <c r="A1192" s="59" t="s">
        <v>2704</v>
      </c>
      <c r="B1192" s="62">
        <v>10</v>
      </c>
      <c r="C1192" s="60" t="s">
        <v>5053</v>
      </c>
      <c r="D1192" s="64">
        <f>IFERROR(VLOOKUP(C1192,測定点マスタ!$E$2:$F$28,2,FALSE)/VLOOKUP(A1192,'焼鈍条件-3CGL'!$A$2:$B$197,2,FALSE)*60,"")</f>
        <v>90.382675271908141</v>
      </c>
      <c r="E1192" s="66">
        <v>569.6</v>
      </c>
      <c r="F1192" s="64">
        <f t="shared" si="18"/>
        <v>19.858525555555541</v>
      </c>
      <c r="G1192" s="60" t="s">
        <v>9</v>
      </c>
      <c r="H1192" s="60" t="s">
        <v>5061</v>
      </c>
    </row>
    <row r="1193" spans="1:8">
      <c r="A1193" s="59" t="s">
        <v>2704</v>
      </c>
      <c r="B1193" s="62">
        <v>11</v>
      </c>
      <c r="C1193" s="60" t="s">
        <v>5063</v>
      </c>
      <c r="D1193" s="64">
        <f>IFERROR(VLOOKUP(C1193,測定点マスタ!$E$2:$F$28,2,FALSE)/VLOOKUP(A1193,'焼鈍条件-3CGL'!$A$2:$B$197,2,FALSE)*60,"")</f>
        <v>95.35786840614162</v>
      </c>
      <c r="E1193" s="66">
        <v>574.20000000000005</v>
      </c>
      <c r="F1193" s="64">
        <f t="shared" si="18"/>
        <v>0.92458722222222611</v>
      </c>
      <c r="G1193" s="60" t="s">
        <v>9</v>
      </c>
      <c r="H1193" s="60" t="s">
        <v>5061</v>
      </c>
    </row>
    <row r="1194" spans="1:8">
      <c r="A1194" s="59" t="s">
        <v>2704</v>
      </c>
      <c r="B1194" s="62">
        <v>12</v>
      </c>
      <c r="C1194" s="60" t="s">
        <v>5054</v>
      </c>
      <c r="D1194" s="64">
        <f>IFERROR(VLOOKUP(C1194,測定点マスタ!$E$2:$F$28,2,FALSE)/VLOOKUP(A1194,'焼鈍条件-3CGL'!$A$2:$B$197,2,FALSE)*60,"")</f>
        <v>101.16226039608065</v>
      </c>
      <c r="E1194" s="66">
        <v>566.29999999999995</v>
      </c>
      <c r="F1194" s="64">
        <f t="shared" si="18"/>
        <v>-1.3610383333333536</v>
      </c>
      <c r="G1194" s="60" t="s">
        <v>9</v>
      </c>
      <c r="H1194" s="60" t="s">
        <v>5061</v>
      </c>
    </row>
    <row r="1195" spans="1:8">
      <c r="A1195" s="59" t="s">
        <v>2704</v>
      </c>
      <c r="B1195" s="62">
        <v>13</v>
      </c>
      <c r="C1195" s="60" t="s">
        <v>5056</v>
      </c>
      <c r="D1195" s="64">
        <f>IFERROR(VLOOKUP(C1195,測定点マスタ!$E$2:$F$28,2,FALSE)/VLOOKUP(A1195,'焼鈍条件-3CGL'!$A$2:$B$197,2,FALSE)*60,"")</f>
        <v>110.28344780884203</v>
      </c>
      <c r="E1195" s="66">
        <v>287.2</v>
      </c>
      <c r="F1195" s="64">
        <f t="shared" si="18"/>
        <v>-30.5990862121212</v>
      </c>
      <c r="G1195" s="60" t="s">
        <v>9</v>
      </c>
      <c r="H1195" s="60" t="s">
        <v>5061</v>
      </c>
    </row>
    <row r="1196" spans="1:8">
      <c r="A1196" s="59" t="s">
        <v>2704</v>
      </c>
      <c r="B1196" s="62">
        <v>14</v>
      </c>
      <c r="C1196" s="60" t="s">
        <v>5062</v>
      </c>
      <c r="D1196" s="64">
        <f>IFERROR(VLOOKUP(C1196,測定点マスタ!$E$2:$F$28,2,FALSE)/VLOOKUP(A1196,'焼鈍条件-3CGL'!$A$2:$B$197,2,FALSE)*60,"")</f>
        <v>120.23383407730898</v>
      </c>
      <c r="E1196" s="66">
        <v>462.9</v>
      </c>
      <c r="F1196" s="64">
        <f t="shared" si="18"/>
        <v>17.657605972222207</v>
      </c>
      <c r="G1196" s="60" t="s">
        <v>9</v>
      </c>
      <c r="H1196" s="60" t="s">
        <v>5061</v>
      </c>
    </row>
    <row r="1197" spans="1:8">
      <c r="A1197" s="59" t="s">
        <v>2704</v>
      </c>
      <c r="B1197" s="62">
        <v>15</v>
      </c>
      <c r="C1197" s="60" t="s">
        <v>5057</v>
      </c>
      <c r="D1197" s="64">
        <f>IFERROR(VLOOKUP(C1197,測定点マスタ!$E$2:$F$28,2,FALSE)/VLOOKUP(A1197,'焼鈍条件-3CGL'!$A$2:$B$197,2,FALSE)*60,"")</f>
        <v>136.72896845688055</v>
      </c>
      <c r="E1197" s="66">
        <v>245.2</v>
      </c>
      <c r="F1197" s="64">
        <f t="shared" si="18"/>
        <v>-13.197831250748159</v>
      </c>
      <c r="G1197" s="60" t="s">
        <v>9</v>
      </c>
      <c r="H1197" s="60" t="s">
        <v>5061</v>
      </c>
    </row>
    <row r="1198" spans="1:8">
      <c r="A1198" s="59" t="s">
        <v>2704</v>
      </c>
      <c r="B1198" s="62">
        <v>16</v>
      </c>
      <c r="C1198" s="60" t="s">
        <v>5059</v>
      </c>
      <c r="D1198" s="64">
        <f>IFERROR(VLOOKUP(C1198,測定点マスタ!$E$2:$F$28,2,FALSE)/VLOOKUP(A1198,'焼鈍条件-3CGL'!$A$2:$B$197,2,FALSE)*60,"")</f>
        <v>146.73858321504113</v>
      </c>
      <c r="E1198" s="66">
        <v>35</v>
      </c>
      <c r="F1198" s="64">
        <f t="shared" si="18"/>
        <v>-20.999809191320711</v>
      </c>
      <c r="G1198" s="60" t="s">
        <v>9</v>
      </c>
      <c r="H1198" s="60" t="s">
        <v>5061</v>
      </c>
    </row>
    <row r="1199" spans="1:8">
      <c r="A1199" s="59" t="s">
        <v>2707</v>
      </c>
      <c r="B1199" s="62">
        <v>1</v>
      </c>
      <c r="C1199" s="60" t="s">
        <v>5041</v>
      </c>
      <c r="D1199" s="64">
        <f>IFERROR(VLOOKUP(C1199,測定点マスタ!$E$2:$F$28,2,FALSE)/VLOOKUP(A1199,'焼鈍条件-3CGL'!$A$2:$B$197,2,FALSE)*60,"")</f>
        <v>0</v>
      </c>
      <c r="E1199" s="66">
        <v>25.5</v>
      </c>
      <c r="F1199" s="64" t="str">
        <f t="shared" si="18"/>
        <v/>
      </c>
      <c r="G1199" s="60" t="s">
        <v>12</v>
      </c>
      <c r="H1199" s="60" t="s">
        <v>5061</v>
      </c>
    </row>
    <row r="1200" spans="1:8">
      <c r="A1200" s="59" t="s">
        <v>2707</v>
      </c>
      <c r="B1200" s="62">
        <v>2</v>
      </c>
      <c r="C1200" s="60" t="s">
        <v>5043</v>
      </c>
      <c r="D1200" s="64">
        <f>IFERROR(VLOOKUP(C1200,測定点マスタ!$E$2:$F$28,2,FALSE)/VLOOKUP(A1200,'焼鈍条件-3CGL'!$A$2:$B$197,2,FALSE)*60,"")</f>
        <v>9.108942957774989</v>
      </c>
      <c r="E1200" s="66">
        <v>194</v>
      </c>
      <c r="F1200" s="64">
        <f t="shared" si="18"/>
        <v>18.498304444444443</v>
      </c>
      <c r="G1200" s="60" t="s">
        <v>12</v>
      </c>
      <c r="H1200" s="60" t="s">
        <v>5061</v>
      </c>
    </row>
    <row r="1201" spans="1:8">
      <c r="A1201" s="59" t="s">
        <v>2707</v>
      </c>
      <c r="B1201" s="62">
        <v>3</v>
      </c>
      <c r="C1201" s="60" t="s">
        <v>5044</v>
      </c>
      <c r="D1201" s="64">
        <f>IFERROR(VLOOKUP(C1201,測定点マスタ!$E$2:$F$28,2,FALSE)/VLOOKUP(A1201,'焼鈍条件-3CGL'!$A$2:$B$197,2,FALSE)*60,"")</f>
        <v>20.646937370956639</v>
      </c>
      <c r="E1201" s="66">
        <v>675.9</v>
      </c>
      <c r="F1201" s="64">
        <f t="shared" si="18"/>
        <v>41.766357543859655</v>
      </c>
      <c r="G1201" s="60" t="s">
        <v>12</v>
      </c>
      <c r="H1201" s="60" t="s">
        <v>5061</v>
      </c>
    </row>
    <row r="1202" spans="1:8">
      <c r="A1202" s="59" t="s">
        <v>2707</v>
      </c>
      <c r="B1202" s="62">
        <v>4</v>
      </c>
      <c r="C1202" s="60" t="s">
        <v>5045</v>
      </c>
      <c r="D1202" s="64">
        <f>IFERROR(VLOOKUP(C1202,測定点マスタ!$E$2:$F$28,2,FALSE)/VLOOKUP(A1202,'焼鈍条件-3CGL'!$A$2:$B$197,2,FALSE)*60,"")</f>
        <v>26.719566009473297</v>
      </c>
      <c r="E1202" s="66">
        <v>848.3</v>
      </c>
      <c r="F1202" s="64">
        <f t="shared" si="18"/>
        <v>28.389682666666669</v>
      </c>
      <c r="G1202" s="60" t="s">
        <v>12</v>
      </c>
      <c r="H1202" s="60" t="s">
        <v>5061</v>
      </c>
    </row>
    <row r="1203" spans="1:8">
      <c r="A1203" s="59" t="s">
        <v>2707</v>
      </c>
      <c r="B1203" s="62">
        <v>5</v>
      </c>
      <c r="C1203" s="60" t="s">
        <v>5046</v>
      </c>
      <c r="D1203" s="64">
        <f>IFERROR(VLOOKUP(C1203,測定点マスタ!$E$2:$F$28,2,FALSE)/VLOOKUP(A1203,'焼鈍条件-3CGL'!$A$2:$B$197,2,FALSE)*60,"")</f>
        <v>32.792194647989959</v>
      </c>
      <c r="E1203" s="66">
        <v>803</v>
      </c>
      <c r="F1203" s="64">
        <f t="shared" si="18"/>
        <v>-7.4597019999999894</v>
      </c>
      <c r="G1203" s="60" t="s">
        <v>12</v>
      </c>
      <c r="H1203" s="60" t="s">
        <v>5061</v>
      </c>
    </row>
    <row r="1204" spans="1:8">
      <c r="A1204" s="59" t="s">
        <v>2707</v>
      </c>
      <c r="B1204" s="62">
        <v>6</v>
      </c>
      <c r="C1204" s="60" t="s">
        <v>5047</v>
      </c>
      <c r="D1204" s="64">
        <f>IFERROR(VLOOKUP(C1204,測定点マスタ!$E$2:$F$28,2,FALSE)/VLOOKUP(A1204,'焼鈍条件-3CGL'!$A$2:$B$197,2,FALSE)*60,"")</f>
        <v>36.435771831099956</v>
      </c>
      <c r="E1204" s="66">
        <v>774</v>
      </c>
      <c r="F1204" s="64">
        <f t="shared" si="18"/>
        <v>-7.9592111111111077</v>
      </c>
      <c r="G1204" s="60" t="s">
        <v>12</v>
      </c>
      <c r="H1204" s="60" t="s">
        <v>5061</v>
      </c>
    </row>
    <row r="1205" spans="1:8">
      <c r="A1205" s="59" t="s">
        <v>2707</v>
      </c>
      <c r="B1205" s="62">
        <v>7</v>
      </c>
      <c r="C1205" s="60" t="s">
        <v>5049</v>
      </c>
      <c r="D1205" s="64">
        <f>IFERROR(VLOOKUP(C1205,測定点マスタ!$E$2:$F$28,2,FALSE)/VLOOKUP(A1205,'焼鈍条件-3CGL'!$A$2:$B$197,2,FALSE)*60,"")</f>
        <v>44.330189061171609</v>
      </c>
      <c r="E1205" s="66">
        <v>636.79999999999995</v>
      </c>
      <c r="F1205" s="64">
        <f t="shared" si="18"/>
        <v>-17.379370256410272</v>
      </c>
      <c r="G1205" s="60" t="s">
        <v>12</v>
      </c>
      <c r="H1205" s="60" t="s">
        <v>5061</v>
      </c>
    </row>
    <row r="1206" spans="1:8">
      <c r="A1206" s="59" t="s">
        <v>2707</v>
      </c>
      <c r="B1206" s="62">
        <v>8</v>
      </c>
      <c r="C1206" s="60" t="s">
        <v>5050</v>
      </c>
      <c r="D1206" s="64">
        <f>IFERROR(VLOOKUP(C1206,測定点マスタ!$E$2:$F$28,2,FALSE)/VLOOKUP(A1206,'焼鈍条件-3CGL'!$A$2:$B$197,2,FALSE)*60,"")</f>
        <v>49.188291971984938</v>
      </c>
      <c r="E1206" s="66">
        <v>538.4</v>
      </c>
      <c r="F1206" s="64">
        <f t="shared" si="18"/>
        <v>-20.254819999999988</v>
      </c>
      <c r="G1206" s="60" t="s">
        <v>12</v>
      </c>
      <c r="H1206" s="60" t="s">
        <v>5061</v>
      </c>
    </row>
    <row r="1207" spans="1:8">
      <c r="A1207" s="59" t="s">
        <v>2707</v>
      </c>
      <c r="B1207" s="62">
        <v>9</v>
      </c>
      <c r="C1207" s="60" t="s">
        <v>5051</v>
      </c>
      <c r="D1207" s="64">
        <f>IFERROR(VLOOKUP(C1207,測定点マスタ!$E$2:$F$28,2,FALSE)/VLOOKUP(A1207,'焼鈍条件-3CGL'!$A$2:$B$197,2,FALSE)*60,"")</f>
        <v>53.439132018946594</v>
      </c>
      <c r="E1207" s="66">
        <v>490</v>
      </c>
      <c r="F1207" s="64">
        <f t="shared" si="18"/>
        <v>-11.385984761904771</v>
      </c>
      <c r="G1207" s="60" t="s">
        <v>12</v>
      </c>
      <c r="H1207" s="60" t="s">
        <v>5061</v>
      </c>
    </row>
    <row r="1208" spans="1:8">
      <c r="A1208" s="59" t="s">
        <v>2707</v>
      </c>
      <c r="B1208" s="62">
        <v>10</v>
      </c>
      <c r="C1208" s="60" t="s">
        <v>5060</v>
      </c>
      <c r="D1208" s="64">
        <f>IFERROR(VLOOKUP(C1208,測定点マスタ!$E$2:$F$28,2,FALSE)/VLOOKUP(A1208,'焼鈍条件-3CGL'!$A$2:$B$197,2,FALSE)*60,"")</f>
        <v>55.868183474353266</v>
      </c>
      <c r="E1208" s="66">
        <v>424.2</v>
      </c>
      <c r="F1208" s="64">
        <f t="shared" si="18"/>
        <v>-27.088763333333247</v>
      </c>
      <c r="G1208" s="60" t="s">
        <v>12</v>
      </c>
      <c r="H1208" s="60" t="s">
        <v>5061</v>
      </c>
    </row>
    <row r="1209" spans="1:8">
      <c r="A1209" s="59" t="s">
        <v>2707</v>
      </c>
      <c r="B1209" s="62">
        <v>11</v>
      </c>
      <c r="C1209" s="60" t="s">
        <v>5052</v>
      </c>
      <c r="D1209" s="64">
        <f>IFERROR(VLOOKUP(C1209,測定点マスタ!$E$2:$F$28,2,FALSE)/VLOOKUP(A1209,'焼鈍条件-3CGL'!$A$2:$B$197,2,FALSE)*60,"")</f>
        <v>58.90449779361159</v>
      </c>
      <c r="E1209" s="66">
        <v>377.3</v>
      </c>
      <c r="F1209" s="64">
        <f t="shared" si="18"/>
        <v>-15.44635866666669</v>
      </c>
      <c r="G1209" s="60" t="s">
        <v>12</v>
      </c>
      <c r="H1209" s="60" t="s">
        <v>5061</v>
      </c>
    </row>
    <row r="1210" spans="1:8">
      <c r="A1210" s="59" t="s">
        <v>2707</v>
      </c>
      <c r="B1210" s="62">
        <v>12</v>
      </c>
      <c r="C1210" s="60" t="s">
        <v>5053</v>
      </c>
      <c r="D1210" s="64">
        <f>IFERROR(VLOOKUP(C1210,測定点マスタ!$E$2:$F$28,2,FALSE)/VLOOKUP(A1210,'焼鈍条件-3CGL'!$A$2:$B$197,2,FALSE)*60,"")</f>
        <v>66.191652159831577</v>
      </c>
      <c r="E1210" s="66">
        <v>565.29999999999995</v>
      </c>
      <c r="F1210" s="64">
        <f t="shared" si="18"/>
        <v>25.798822222222228</v>
      </c>
      <c r="G1210" s="60" t="s">
        <v>12</v>
      </c>
      <c r="H1210" s="60" t="s">
        <v>5061</v>
      </c>
    </row>
    <row r="1211" spans="1:8">
      <c r="A1211" s="59" t="s">
        <v>2707</v>
      </c>
      <c r="B1211" s="62">
        <v>13</v>
      </c>
      <c r="C1211" s="60" t="s">
        <v>5063</v>
      </c>
      <c r="D1211" s="64">
        <f>IFERROR(VLOOKUP(C1211,測定点マスタ!$E$2:$F$28,2,FALSE)/VLOOKUP(A1211,'焼鈍条件-3CGL'!$A$2:$B$197,2,FALSE)*60,"")</f>
        <v>69.835229342941574</v>
      </c>
      <c r="E1211" s="66">
        <v>566.1</v>
      </c>
      <c r="F1211" s="64">
        <f t="shared" si="18"/>
        <v>0.21956444444446307</v>
      </c>
      <c r="G1211" s="60" t="s">
        <v>12</v>
      </c>
      <c r="H1211" s="60" t="s">
        <v>5061</v>
      </c>
    </row>
    <row r="1212" spans="1:8">
      <c r="A1212" s="59" t="s">
        <v>2707</v>
      </c>
      <c r="B1212" s="62">
        <v>14</v>
      </c>
      <c r="C1212" s="60" t="s">
        <v>5054</v>
      </c>
      <c r="D1212" s="64">
        <f>IFERROR(VLOOKUP(C1212,測定点マスタ!$E$2:$F$28,2,FALSE)/VLOOKUP(A1212,'焼鈍条件-3CGL'!$A$2:$B$197,2,FALSE)*60,"")</f>
        <v>74.086069389903244</v>
      </c>
      <c r="E1212" s="66">
        <v>559.70000000000005</v>
      </c>
      <c r="F1212" s="64">
        <f t="shared" si="18"/>
        <v>-1.5055847619047535</v>
      </c>
      <c r="G1212" s="60" t="s">
        <v>12</v>
      </c>
      <c r="H1212" s="60" t="s">
        <v>5061</v>
      </c>
    </row>
    <row r="1213" spans="1:8">
      <c r="A1213" s="59" t="s">
        <v>2707</v>
      </c>
      <c r="B1213" s="62">
        <v>15</v>
      </c>
      <c r="C1213" s="60" t="s">
        <v>5056</v>
      </c>
      <c r="D1213" s="64">
        <f>IFERROR(VLOOKUP(C1213,測定点マスタ!$E$2:$F$28,2,FALSE)/VLOOKUP(A1213,'焼鈍条件-3CGL'!$A$2:$B$197,2,FALSE)*60,"")</f>
        <v>80.765960892271565</v>
      </c>
      <c r="E1213" s="66">
        <v>268</v>
      </c>
      <c r="F1213" s="64">
        <f t="shared" si="18"/>
        <v>-43.668373939393973</v>
      </c>
      <c r="G1213" s="60" t="s">
        <v>12</v>
      </c>
      <c r="H1213" s="60" t="s">
        <v>5061</v>
      </c>
    </row>
    <row r="1214" spans="1:8">
      <c r="A1214" s="59" t="s">
        <v>2707</v>
      </c>
      <c r="B1214" s="62">
        <v>16</v>
      </c>
      <c r="C1214" s="60" t="s">
        <v>5062</v>
      </c>
      <c r="D1214" s="64">
        <f>IFERROR(VLOOKUP(C1214,測定点マスタ!$E$2:$F$28,2,FALSE)/VLOOKUP(A1214,'焼鈍条件-3CGL'!$A$2:$B$197,2,FALSE)*60,"")</f>
        <v>88.053115258491559</v>
      </c>
      <c r="E1214" s="66">
        <v>466.8</v>
      </c>
      <c r="F1214" s="64">
        <f t="shared" si="18"/>
        <v>27.280882222222214</v>
      </c>
      <c r="G1214" s="60" t="s">
        <v>12</v>
      </c>
      <c r="H1214" s="60" t="s">
        <v>5061</v>
      </c>
    </row>
    <row r="1215" spans="1:8">
      <c r="A1215" s="59" t="s">
        <v>2707</v>
      </c>
      <c r="B1215" s="62">
        <v>17</v>
      </c>
      <c r="C1215" s="60" t="s">
        <v>5068</v>
      </c>
      <c r="D1215" s="64">
        <f>IFERROR(VLOOKUP(C1215,測定点マスタ!$E$2:$F$28,2,FALSE)/VLOOKUP(A1215,'焼鈍条件-3CGL'!$A$2:$B$197,2,FALSE)*60,"")</f>
        <v>96.46804351472187</v>
      </c>
      <c r="E1215" s="66">
        <v>404.7</v>
      </c>
      <c r="F1215" s="64">
        <f t="shared" si="18"/>
        <v>-7.3797420618555991</v>
      </c>
      <c r="G1215" s="60" t="s">
        <v>12</v>
      </c>
      <c r="H1215" s="60" t="s">
        <v>5061</v>
      </c>
    </row>
    <row r="1216" spans="1:8">
      <c r="A1216" s="59" t="s">
        <v>2707</v>
      </c>
      <c r="B1216" s="62">
        <v>18</v>
      </c>
      <c r="C1216" s="60" t="s">
        <v>5057</v>
      </c>
      <c r="D1216" s="64">
        <f>IFERROR(VLOOKUP(C1216,測定点マスタ!$E$2:$F$28,2,FALSE)/VLOOKUP(A1216,'焼鈍条件-3CGL'!$A$2:$B$197,2,FALSE)*60,"")</f>
        <v>100.13330865725496</v>
      </c>
      <c r="E1216" s="66">
        <v>266</v>
      </c>
      <c r="F1216" s="64">
        <f t="shared" si="18"/>
        <v>-37.841737120317461</v>
      </c>
      <c r="G1216" s="60" t="s">
        <v>12</v>
      </c>
      <c r="H1216" s="60" t="s">
        <v>5061</v>
      </c>
    </row>
    <row r="1217" spans="1:8">
      <c r="A1217" s="59" t="s">
        <v>2707</v>
      </c>
      <c r="B1217" s="62">
        <v>19</v>
      </c>
      <c r="C1217" s="60" t="s">
        <v>5059</v>
      </c>
      <c r="D1217" s="64">
        <f>IFERROR(VLOOKUP(C1217,測定点マスタ!$E$2:$F$28,2,FALSE)/VLOOKUP(A1217,'焼鈍条件-3CGL'!$A$2:$B$197,2,FALSE)*60,"")</f>
        <v>107.46383894232177</v>
      </c>
      <c r="E1217" s="66">
        <v>75</v>
      </c>
      <c r="F1217" s="64">
        <f t="shared" si="18"/>
        <v>-26.055413806705136</v>
      </c>
      <c r="G1217" s="60" t="s">
        <v>12</v>
      </c>
      <c r="H1217" s="60" t="s">
        <v>5061</v>
      </c>
    </row>
    <row r="1218" spans="1:8">
      <c r="A1218" s="59" t="s">
        <v>2712</v>
      </c>
      <c r="B1218" s="62">
        <v>1</v>
      </c>
      <c r="C1218" s="60" t="s">
        <v>5041</v>
      </c>
      <c r="D1218" s="64">
        <f>IFERROR(VLOOKUP(C1218,測定点マスタ!$E$2:$F$28,2,FALSE)/VLOOKUP(A1218,'焼鈍条件-3CGL'!$A$2:$B$197,2,FALSE)*60,"")</f>
        <v>0</v>
      </c>
      <c r="E1218" s="66">
        <v>26.7</v>
      </c>
      <c r="F1218" s="64" t="str">
        <f t="shared" ref="F1218:F1281" si="19">IF(A1218=A1217,IFERROR((E1218-E1217)/(D1218-D1217),""),"")</f>
        <v/>
      </c>
      <c r="G1218" s="60" t="s">
        <v>12</v>
      </c>
      <c r="H1218" s="60" t="s">
        <v>5042</v>
      </c>
    </row>
    <row r="1219" spans="1:8">
      <c r="A1219" s="59" t="s">
        <v>2712</v>
      </c>
      <c r="B1219" s="62">
        <v>2</v>
      </c>
      <c r="C1219" s="60" t="s">
        <v>5043</v>
      </c>
      <c r="D1219" s="64">
        <f>IFERROR(VLOOKUP(C1219,測定点マスタ!$E$2:$F$28,2,FALSE)/VLOOKUP(A1219,'焼鈍条件-3CGL'!$A$2:$B$197,2,FALSE)*60,"")</f>
        <v>16.363636363636363</v>
      </c>
      <c r="E1219" s="66">
        <v>177.1</v>
      </c>
      <c r="F1219" s="64">
        <f t="shared" si="19"/>
        <v>9.1911111111111108</v>
      </c>
      <c r="G1219" s="60" t="s">
        <v>12</v>
      </c>
      <c r="H1219" s="60" t="s">
        <v>5042</v>
      </c>
    </row>
    <row r="1220" spans="1:8">
      <c r="A1220" s="59" t="s">
        <v>2712</v>
      </c>
      <c r="B1220" s="62">
        <v>3</v>
      </c>
      <c r="C1220" s="60" t="s">
        <v>5044</v>
      </c>
      <c r="D1220" s="64">
        <f>IFERROR(VLOOKUP(C1220,測定点マスタ!$E$2:$F$28,2,FALSE)/VLOOKUP(A1220,'焼鈍条件-3CGL'!$A$2:$B$197,2,FALSE)*60,"")</f>
        <v>37.090909090909093</v>
      </c>
      <c r="E1220" s="66">
        <v>668.4</v>
      </c>
      <c r="F1220" s="64">
        <f t="shared" si="19"/>
        <v>23.70307017543859</v>
      </c>
      <c r="G1220" s="60" t="s">
        <v>12</v>
      </c>
      <c r="H1220" s="60" t="s">
        <v>5042</v>
      </c>
    </row>
    <row r="1221" spans="1:8">
      <c r="A1221" s="59" t="s">
        <v>2712</v>
      </c>
      <c r="B1221" s="62">
        <v>4</v>
      </c>
      <c r="C1221" s="60" t="s">
        <v>5045</v>
      </c>
      <c r="D1221" s="64">
        <f>IFERROR(VLOOKUP(C1221,測定点マスタ!$E$2:$F$28,2,FALSE)/VLOOKUP(A1221,'焼鈍条件-3CGL'!$A$2:$B$197,2,FALSE)*60,"")</f>
        <v>48</v>
      </c>
      <c r="E1221" s="66">
        <v>810.9</v>
      </c>
      <c r="F1221" s="64">
        <f t="shared" si="19"/>
        <v>13.062500000000004</v>
      </c>
      <c r="G1221" s="60" t="s">
        <v>12</v>
      </c>
      <c r="H1221" s="60" t="s">
        <v>5042</v>
      </c>
    </row>
    <row r="1222" spans="1:8">
      <c r="A1222" s="59" t="s">
        <v>2712</v>
      </c>
      <c r="B1222" s="62">
        <v>5</v>
      </c>
      <c r="C1222" s="60" t="s">
        <v>5047</v>
      </c>
      <c r="D1222" s="64">
        <f>IFERROR(VLOOKUP(C1222,測定点マスタ!$E$2:$F$28,2,FALSE)/VLOOKUP(A1222,'焼鈍条件-3CGL'!$A$2:$B$197,2,FALSE)*60,"")</f>
        <v>65.454545454545453</v>
      </c>
      <c r="E1222" s="66">
        <v>748</v>
      </c>
      <c r="F1222" s="64">
        <f t="shared" si="19"/>
        <v>-3.6036458333333323</v>
      </c>
      <c r="G1222" s="60" t="s">
        <v>12</v>
      </c>
      <c r="H1222" s="60" t="s">
        <v>5042</v>
      </c>
    </row>
    <row r="1223" spans="1:8">
      <c r="A1223" s="59" t="s">
        <v>2712</v>
      </c>
      <c r="B1223" s="62">
        <v>6</v>
      </c>
      <c r="C1223" s="60" t="s">
        <v>5049</v>
      </c>
      <c r="D1223" s="64">
        <f>IFERROR(VLOOKUP(C1223,測定点マスタ!$E$2:$F$28,2,FALSE)/VLOOKUP(A1223,'焼鈍条件-3CGL'!$A$2:$B$197,2,FALSE)*60,"")</f>
        <v>79.63636363636364</v>
      </c>
      <c r="E1223" s="66">
        <v>604.20000000000005</v>
      </c>
      <c r="F1223" s="64">
        <f t="shared" si="19"/>
        <v>-10.139743589743583</v>
      </c>
      <c r="G1223" s="60" t="s">
        <v>12</v>
      </c>
      <c r="H1223" s="60" t="s">
        <v>5042</v>
      </c>
    </row>
    <row r="1224" spans="1:8">
      <c r="A1224" s="59" t="s">
        <v>2712</v>
      </c>
      <c r="B1224" s="62">
        <v>7</v>
      </c>
      <c r="C1224" s="60" t="s">
        <v>5050</v>
      </c>
      <c r="D1224" s="64">
        <f>IFERROR(VLOOKUP(C1224,測定点マスタ!$E$2:$F$28,2,FALSE)/VLOOKUP(A1224,'焼鈍条件-3CGL'!$A$2:$B$197,2,FALSE)*60,"")</f>
        <v>88.36363636363636</v>
      </c>
      <c r="E1224" s="66">
        <v>507.8</v>
      </c>
      <c r="F1224" s="64">
        <f t="shared" si="19"/>
        <v>-11.045833333333347</v>
      </c>
      <c r="G1224" s="60" t="s">
        <v>12</v>
      </c>
      <c r="H1224" s="60" t="s">
        <v>5042</v>
      </c>
    </row>
    <row r="1225" spans="1:8">
      <c r="A1225" s="59" t="s">
        <v>2712</v>
      </c>
      <c r="B1225" s="62">
        <v>8</v>
      </c>
      <c r="C1225" s="60" t="s">
        <v>5051</v>
      </c>
      <c r="D1225" s="64">
        <f>IFERROR(VLOOKUP(C1225,測定点マスタ!$E$2:$F$28,2,FALSE)/VLOOKUP(A1225,'焼鈍条件-3CGL'!$A$2:$B$197,2,FALSE)*60,"")</f>
        <v>96</v>
      </c>
      <c r="E1225" s="66">
        <v>479.8</v>
      </c>
      <c r="F1225" s="64">
        <f t="shared" si="19"/>
        <v>-3.6666666666666647</v>
      </c>
      <c r="G1225" s="60" t="s">
        <v>12</v>
      </c>
      <c r="H1225" s="60" t="s">
        <v>5042</v>
      </c>
    </row>
    <row r="1226" spans="1:8">
      <c r="A1226" s="59" t="s">
        <v>2712</v>
      </c>
      <c r="B1226" s="62">
        <v>9</v>
      </c>
      <c r="C1226" s="60" t="s">
        <v>5060</v>
      </c>
      <c r="D1226" s="64">
        <f>IFERROR(VLOOKUP(C1226,測定点マスタ!$E$2:$F$28,2,FALSE)/VLOOKUP(A1226,'焼鈍条件-3CGL'!$A$2:$B$197,2,FALSE)*60,"")</f>
        <v>100.36363636363636</v>
      </c>
      <c r="E1226" s="66">
        <v>415.6</v>
      </c>
      <c r="F1226" s="64">
        <f t="shared" si="19"/>
        <v>-14.712500000000011</v>
      </c>
      <c r="G1226" s="60" t="s">
        <v>12</v>
      </c>
      <c r="H1226" s="60" t="s">
        <v>5042</v>
      </c>
    </row>
    <row r="1227" spans="1:8">
      <c r="A1227" s="59" t="s">
        <v>2712</v>
      </c>
      <c r="B1227" s="62">
        <v>10</v>
      </c>
      <c r="C1227" s="60" t="s">
        <v>5052</v>
      </c>
      <c r="D1227" s="64">
        <f>IFERROR(VLOOKUP(C1227,測定点マスタ!$E$2:$F$28,2,FALSE)/VLOOKUP(A1227,'焼鈍条件-3CGL'!$A$2:$B$197,2,FALSE)*60,"")</f>
        <v>105.81818181818181</v>
      </c>
      <c r="E1227" s="66">
        <v>352.9</v>
      </c>
      <c r="F1227" s="64">
        <f t="shared" si="19"/>
        <v>-11.495000000000012</v>
      </c>
      <c r="G1227" s="60" t="s">
        <v>12</v>
      </c>
      <c r="H1227" s="60" t="s">
        <v>5042</v>
      </c>
    </row>
    <row r="1228" spans="1:8">
      <c r="A1228" s="59" t="s">
        <v>2712</v>
      </c>
      <c r="B1228" s="62">
        <v>11</v>
      </c>
      <c r="C1228" s="60" t="s">
        <v>5053</v>
      </c>
      <c r="D1228" s="64">
        <f>IFERROR(VLOOKUP(C1228,測定点マスタ!$E$2:$F$28,2,FALSE)/VLOOKUP(A1228,'焼鈍条件-3CGL'!$A$2:$B$197,2,FALSE)*60,"")</f>
        <v>118.90909090909092</v>
      </c>
      <c r="E1228" s="66">
        <v>524.4</v>
      </c>
      <c r="F1228" s="64">
        <f t="shared" si="19"/>
        <v>13.100694444444427</v>
      </c>
      <c r="G1228" s="60" t="s">
        <v>12</v>
      </c>
      <c r="H1228" s="60" t="s">
        <v>5042</v>
      </c>
    </row>
    <row r="1229" spans="1:8">
      <c r="A1229" s="59" t="s">
        <v>2712</v>
      </c>
      <c r="B1229" s="62">
        <v>12</v>
      </c>
      <c r="C1229" s="60" t="s">
        <v>5054</v>
      </c>
      <c r="D1229" s="64">
        <f>IFERROR(VLOOKUP(C1229,測定点マスタ!$E$2:$F$28,2,FALSE)/VLOOKUP(A1229,'焼鈍条件-3CGL'!$A$2:$B$197,2,FALSE)*60,"")</f>
        <v>133.09090909090909</v>
      </c>
      <c r="E1229" s="66">
        <v>496.9</v>
      </c>
      <c r="F1229" s="64">
        <f t="shared" si="19"/>
        <v>-1.9391025641025654</v>
      </c>
      <c r="G1229" s="60" t="s">
        <v>12</v>
      </c>
      <c r="H1229" s="60" t="s">
        <v>5042</v>
      </c>
    </row>
    <row r="1230" spans="1:8">
      <c r="A1230" s="59" t="s">
        <v>2712</v>
      </c>
      <c r="B1230" s="62">
        <v>13</v>
      </c>
      <c r="C1230" s="60" t="s">
        <v>5055</v>
      </c>
      <c r="D1230" s="64">
        <f>IFERROR(VLOOKUP(C1230,測定点マスタ!$E$2:$F$28,2,FALSE)/VLOOKUP(A1230,'焼鈍条件-3CGL'!$A$2:$B$197,2,FALSE)*60,"")</f>
        <v>138.54545454545453</v>
      </c>
      <c r="E1230" s="66">
        <v>554.70000000000005</v>
      </c>
      <c r="F1230" s="64">
        <f t="shared" si="19"/>
        <v>10.596666666666708</v>
      </c>
      <c r="G1230" s="60" t="s">
        <v>12</v>
      </c>
      <c r="H1230" s="60" t="s">
        <v>5042</v>
      </c>
    </row>
    <row r="1231" spans="1:8">
      <c r="A1231" s="59" t="s">
        <v>2712</v>
      </c>
      <c r="B1231" s="62">
        <v>14</v>
      </c>
      <c r="C1231" s="60" t="s">
        <v>5056</v>
      </c>
      <c r="D1231" s="64">
        <f>IFERROR(VLOOKUP(C1231,測定点マスタ!$E$2:$F$28,2,FALSE)/VLOOKUP(A1231,'焼鈍条件-3CGL'!$A$2:$B$197,2,FALSE)*60,"")</f>
        <v>145.09090909090907</v>
      </c>
      <c r="E1231" s="66">
        <v>276.8</v>
      </c>
      <c r="F1231" s="64">
        <f t="shared" si="19"/>
        <v>-42.456944444444531</v>
      </c>
      <c r="G1231" s="60" t="s">
        <v>12</v>
      </c>
      <c r="H1231" s="60" t="s">
        <v>5042</v>
      </c>
    </row>
    <row r="1232" spans="1:8">
      <c r="A1232" s="59" t="s">
        <v>2712</v>
      </c>
      <c r="B1232" s="62">
        <v>15</v>
      </c>
      <c r="C1232" s="60" t="s">
        <v>5057</v>
      </c>
      <c r="D1232" s="64">
        <f>IFERROR(VLOOKUP(C1232,測定点マスタ!$E$2:$F$28,2,FALSE)/VLOOKUP(A1232,'焼鈍条件-3CGL'!$A$2:$B$197,2,FALSE)*60,"")</f>
        <v>179.88311688311671</v>
      </c>
      <c r="E1232" s="66">
        <v>210.4</v>
      </c>
      <c r="F1232" s="64">
        <f t="shared" si="19"/>
        <v>-1.9084733109369247</v>
      </c>
      <c r="G1232" s="60" t="s">
        <v>12</v>
      </c>
      <c r="H1232" s="60" t="s">
        <v>5042</v>
      </c>
    </row>
    <row r="1233" spans="1:8">
      <c r="A1233" s="59" t="s">
        <v>2712</v>
      </c>
      <c r="B1233" s="62">
        <v>16</v>
      </c>
      <c r="C1233" s="60" t="s">
        <v>5058</v>
      </c>
      <c r="D1233" s="64">
        <f>IFERROR(VLOOKUP(C1233,測定点マスタ!$E$2:$F$28,2,FALSE)/VLOOKUP(A1233,'焼鈍条件-3CGL'!$A$2:$B$197,2,FALSE)*60,"")</f>
        <v>186.46753246753198</v>
      </c>
      <c r="E1233" s="66">
        <v>120.8</v>
      </c>
      <c r="F1233" s="64">
        <f t="shared" si="19"/>
        <v>-13.607889546351739</v>
      </c>
      <c r="G1233" s="60" t="s">
        <v>12</v>
      </c>
      <c r="H1233" s="60" t="s">
        <v>5042</v>
      </c>
    </row>
    <row r="1234" spans="1:8">
      <c r="A1234" s="59" t="s">
        <v>2712</v>
      </c>
      <c r="B1234" s="62">
        <v>17</v>
      </c>
      <c r="C1234" s="60" t="s">
        <v>5059</v>
      </c>
      <c r="D1234" s="64">
        <f>IFERROR(VLOOKUP(C1234,測定点マスタ!$E$2:$F$28,2,FALSE)/VLOOKUP(A1234,'焼鈍条件-3CGL'!$A$2:$B$197,2,FALSE)*60,"")</f>
        <v>193.05194805194839</v>
      </c>
      <c r="E1234" s="66">
        <v>68.599999999999994</v>
      </c>
      <c r="F1234" s="64">
        <f t="shared" si="19"/>
        <v>-7.9278106508865864</v>
      </c>
      <c r="G1234" s="60" t="s">
        <v>12</v>
      </c>
      <c r="H1234" s="60" t="s">
        <v>5042</v>
      </c>
    </row>
    <row r="1235" spans="1:8">
      <c r="A1235" s="59" t="s">
        <v>2721</v>
      </c>
      <c r="B1235" s="62">
        <v>1</v>
      </c>
      <c r="C1235" s="60" t="s">
        <v>5041</v>
      </c>
      <c r="D1235" s="64">
        <f>IFERROR(VLOOKUP(C1235,測定点マスタ!$E$2:$F$28,2,FALSE)/VLOOKUP(A1235,'焼鈍条件-3CGL'!$A$2:$B$197,2,FALSE)*60,"")</f>
        <v>0</v>
      </c>
      <c r="E1235" s="66">
        <v>39</v>
      </c>
      <c r="F1235" s="64" t="str">
        <f t="shared" si="19"/>
        <v/>
      </c>
      <c r="G1235" s="60" t="s">
        <v>9</v>
      </c>
      <c r="H1235" s="60" t="s">
        <v>5042</v>
      </c>
    </row>
    <row r="1236" spans="1:8">
      <c r="A1236" s="59" t="s">
        <v>2721</v>
      </c>
      <c r="B1236" s="62">
        <v>2</v>
      </c>
      <c r="C1236" s="60" t="s">
        <v>5043</v>
      </c>
      <c r="D1236" s="64">
        <f>IFERROR(VLOOKUP(C1236,測定点マスタ!$E$2:$F$28,2,FALSE)/VLOOKUP(A1236,'焼鈍条件-3CGL'!$A$2:$B$197,2,FALSE)*60,"")</f>
        <v>6.235148223329154</v>
      </c>
      <c r="E1236" s="66">
        <v>182.3</v>
      </c>
      <c r="F1236" s="64">
        <f t="shared" si="19"/>
        <v>22.982613222222223</v>
      </c>
      <c r="G1236" s="60" t="s">
        <v>9</v>
      </c>
      <c r="H1236" s="60" t="s">
        <v>5042</v>
      </c>
    </row>
    <row r="1237" spans="1:8">
      <c r="A1237" s="59" t="s">
        <v>2721</v>
      </c>
      <c r="B1237" s="62">
        <v>3</v>
      </c>
      <c r="C1237" s="60" t="s">
        <v>5044</v>
      </c>
      <c r="D1237" s="64">
        <f>IFERROR(VLOOKUP(C1237,測定点マスタ!$E$2:$F$28,2,FALSE)/VLOOKUP(A1237,'焼鈍条件-3CGL'!$A$2:$B$197,2,FALSE)*60,"")</f>
        <v>14.133002639546083</v>
      </c>
      <c r="E1237" s="66">
        <v>600</v>
      </c>
      <c r="F1237" s="64">
        <f t="shared" si="19"/>
        <v>52.887781666666655</v>
      </c>
      <c r="G1237" s="60" t="s">
        <v>9</v>
      </c>
      <c r="H1237" s="60" t="s">
        <v>5042</v>
      </c>
    </row>
    <row r="1238" spans="1:8">
      <c r="A1238" s="59" t="s">
        <v>2721</v>
      </c>
      <c r="B1238" s="62">
        <v>4</v>
      </c>
      <c r="C1238" s="60" t="s">
        <v>5045</v>
      </c>
      <c r="D1238" s="64">
        <f>IFERROR(VLOOKUP(C1238,測定点マスタ!$E$2:$F$28,2,FALSE)/VLOOKUP(A1238,'焼鈍条件-3CGL'!$A$2:$B$197,2,FALSE)*60,"")</f>
        <v>18.289768121765519</v>
      </c>
      <c r="E1238" s="66">
        <v>755.9</v>
      </c>
      <c r="F1238" s="64">
        <f t="shared" si="19"/>
        <v>37.505122833333324</v>
      </c>
      <c r="G1238" s="60" t="s">
        <v>9</v>
      </c>
      <c r="H1238" s="60" t="s">
        <v>5042</v>
      </c>
    </row>
    <row r="1239" spans="1:8">
      <c r="A1239" s="59" t="s">
        <v>2721</v>
      </c>
      <c r="B1239" s="62">
        <v>5</v>
      </c>
      <c r="C1239" s="60" t="s">
        <v>5046</v>
      </c>
      <c r="D1239" s="64">
        <f>IFERROR(VLOOKUP(C1239,測定点マスタ!$E$2:$F$28,2,FALSE)/VLOOKUP(A1239,'焼鈍条件-3CGL'!$A$2:$B$197,2,FALSE)*60,"")</f>
        <v>22.446533603984953</v>
      </c>
      <c r="E1239" s="66">
        <v>729.8</v>
      </c>
      <c r="F1239" s="64">
        <f t="shared" si="19"/>
        <v>-6.2789205000000079</v>
      </c>
      <c r="G1239" s="60" t="s">
        <v>9</v>
      </c>
      <c r="H1239" s="60" t="s">
        <v>5042</v>
      </c>
    </row>
    <row r="1240" spans="1:8">
      <c r="A1240" s="59" t="s">
        <v>2721</v>
      </c>
      <c r="B1240" s="62">
        <v>6</v>
      </c>
      <c r="C1240" s="60" t="s">
        <v>5047</v>
      </c>
      <c r="D1240" s="64">
        <f>IFERROR(VLOOKUP(C1240,測定点マスタ!$E$2:$F$28,2,FALSE)/VLOOKUP(A1240,'焼鈍条件-3CGL'!$A$2:$B$197,2,FALSE)*60,"")</f>
        <v>24.940592893316616</v>
      </c>
      <c r="E1240" s="66">
        <v>706.3</v>
      </c>
      <c r="F1240" s="64">
        <f t="shared" si="19"/>
        <v>-9.4223902777777724</v>
      </c>
      <c r="G1240" s="60" t="s">
        <v>9</v>
      </c>
      <c r="H1240" s="60" t="s">
        <v>5042</v>
      </c>
    </row>
    <row r="1241" spans="1:8">
      <c r="A1241" s="59" t="s">
        <v>2721</v>
      </c>
      <c r="B1241" s="62">
        <v>7</v>
      </c>
      <c r="C1241" s="60" t="s">
        <v>5048</v>
      </c>
      <c r="D1241" s="64">
        <f>IFERROR(VLOOKUP(C1241,測定点マスタ!$E$2:$F$28,2,FALSE)/VLOOKUP(A1241,'焼鈍条件-3CGL'!$A$2:$B$197,2,FALSE)*60,"")</f>
        <v>27.434652182648275</v>
      </c>
      <c r="E1241" s="66">
        <v>664.9</v>
      </c>
      <c r="F1241" s="64">
        <f t="shared" si="19"/>
        <v>-16.599445000000006</v>
      </c>
      <c r="G1241" s="60" t="s">
        <v>9</v>
      </c>
      <c r="H1241" s="60" t="s">
        <v>5042</v>
      </c>
    </row>
    <row r="1242" spans="1:8">
      <c r="A1242" s="59" t="s">
        <v>2721</v>
      </c>
      <c r="B1242" s="62">
        <v>8</v>
      </c>
      <c r="C1242" s="60" t="s">
        <v>5049</v>
      </c>
      <c r="D1242" s="64">
        <f>IFERROR(VLOOKUP(C1242,測定点マスタ!$E$2:$F$28,2,FALSE)/VLOOKUP(A1242,'焼鈍条件-3CGL'!$A$2:$B$197,2,FALSE)*60,"")</f>
        <v>30.344388020201883</v>
      </c>
      <c r="E1242" s="66">
        <v>543.6</v>
      </c>
      <c r="F1242" s="64">
        <f t="shared" si="19"/>
        <v>-41.687633095238034</v>
      </c>
      <c r="G1242" s="60" t="s">
        <v>9</v>
      </c>
      <c r="H1242" s="60" t="s">
        <v>5042</v>
      </c>
    </row>
    <row r="1243" spans="1:8">
      <c r="A1243" s="59" t="s">
        <v>2721</v>
      </c>
      <c r="B1243" s="62">
        <v>9</v>
      </c>
      <c r="C1243" s="60" t="s">
        <v>5050</v>
      </c>
      <c r="D1243" s="64">
        <f>IFERROR(VLOOKUP(C1243,測定点マスタ!$E$2:$F$28,2,FALSE)/VLOOKUP(A1243,'焼鈍条件-3CGL'!$A$2:$B$197,2,FALSE)*60,"")</f>
        <v>33.669800405977433</v>
      </c>
      <c r="E1243" s="66">
        <v>481.2</v>
      </c>
      <c r="F1243" s="64">
        <f t="shared" si="19"/>
        <v>-18.764590000000002</v>
      </c>
      <c r="G1243" s="60" t="s">
        <v>9</v>
      </c>
      <c r="H1243" s="60" t="s">
        <v>5042</v>
      </c>
    </row>
    <row r="1244" spans="1:8">
      <c r="A1244" s="59" t="s">
        <v>2721</v>
      </c>
      <c r="B1244" s="62">
        <v>10</v>
      </c>
      <c r="C1244" s="60" t="s">
        <v>5051</v>
      </c>
      <c r="D1244" s="64">
        <f>IFERROR(VLOOKUP(C1244,測定点マスタ!$E$2:$F$28,2,FALSE)/VLOOKUP(A1244,'焼鈍条件-3CGL'!$A$2:$B$197,2,FALSE)*60,"")</f>
        <v>36.579536243531038</v>
      </c>
      <c r="E1244" s="66">
        <v>410.9</v>
      </c>
      <c r="F1244" s="64">
        <f t="shared" si="19"/>
        <v>-24.160268809523817</v>
      </c>
      <c r="G1244" s="60" t="s">
        <v>9</v>
      </c>
      <c r="H1244" s="60" t="s">
        <v>5042</v>
      </c>
    </row>
    <row r="1245" spans="1:8">
      <c r="A1245" s="59" t="s">
        <v>2721</v>
      </c>
      <c r="B1245" s="62">
        <v>11</v>
      </c>
      <c r="C1245" s="60" t="s">
        <v>5052</v>
      </c>
      <c r="D1245" s="64">
        <f>IFERROR(VLOOKUP(C1245,測定点マスタ!$E$2:$F$28,2,FALSE)/VLOOKUP(A1245,'焼鈍条件-3CGL'!$A$2:$B$197,2,FALSE)*60,"")</f>
        <v>40.320625177528527</v>
      </c>
      <c r="E1245" s="66">
        <v>330.7</v>
      </c>
      <c r="F1245" s="64">
        <f t="shared" si="19"/>
        <v>-21.437608518518534</v>
      </c>
      <c r="G1245" s="60" t="s">
        <v>9</v>
      </c>
      <c r="H1245" s="60" t="s">
        <v>5042</v>
      </c>
    </row>
    <row r="1246" spans="1:8">
      <c r="A1246" s="59" t="s">
        <v>2721</v>
      </c>
      <c r="B1246" s="62">
        <v>12</v>
      </c>
      <c r="C1246" s="60" t="s">
        <v>5053</v>
      </c>
      <c r="D1246" s="64">
        <f>IFERROR(VLOOKUP(C1246,測定点マスタ!$E$2:$F$28,2,FALSE)/VLOOKUP(A1246,'焼鈍条件-3CGL'!$A$2:$B$197,2,FALSE)*60,"")</f>
        <v>45.308743756191852</v>
      </c>
      <c r="E1246" s="66">
        <v>497.3</v>
      </c>
      <c r="F1246" s="64">
        <f t="shared" si="19"/>
        <v>33.399366388888879</v>
      </c>
      <c r="G1246" s="60" t="s">
        <v>9</v>
      </c>
      <c r="H1246" s="60" t="s">
        <v>5042</v>
      </c>
    </row>
    <row r="1247" spans="1:8">
      <c r="A1247" s="59" t="s">
        <v>2721</v>
      </c>
      <c r="B1247" s="62">
        <v>13</v>
      </c>
      <c r="C1247" s="60" t="s">
        <v>5054</v>
      </c>
      <c r="D1247" s="64">
        <f>IFERROR(VLOOKUP(C1247,測定点マスタ!$E$2:$F$28,2,FALSE)/VLOOKUP(A1247,'焼鈍条件-3CGL'!$A$2:$B$197,2,FALSE)*60,"")</f>
        <v>50.712538883077116</v>
      </c>
      <c r="E1247" s="66">
        <v>493.1</v>
      </c>
      <c r="F1247" s="64">
        <f t="shared" si="19"/>
        <v>-0.7772315384615367</v>
      </c>
      <c r="G1247" s="60" t="s">
        <v>9</v>
      </c>
      <c r="H1247" s="60" t="s">
        <v>5042</v>
      </c>
    </row>
    <row r="1248" spans="1:8">
      <c r="A1248" s="59" t="s">
        <v>2721</v>
      </c>
      <c r="B1248" s="62">
        <v>14</v>
      </c>
      <c r="C1248" s="60" t="s">
        <v>5056</v>
      </c>
      <c r="D1248" s="64">
        <f>IFERROR(VLOOKUP(C1248,測定点マスタ!$E$2:$F$28,2,FALSE)/VLOOKUP(A1248,'焼鈍条件-3CGL'!$A$2:$B$197,2,FALSE)*60,"")</f>
        <v>55.284980913518496</v>
      </c>
      <c r="E1248" s="66">
        <v>240.3</v>
      </c>
      <c r="F1248" s="64">
        <f t="shared" si="19"/>
        <v>-55.287743030303027</v>
      </c>
      <c r="G1248" s="60" t="s">
        <v>9</v>
      </c>
      <c r="H1248" s="60" t="s">
        <v>5042</v>
      </c>
    </row>
    <row r="1249" spans="1:8">
      <c r="A1249" s="59" t="s">
        <v>2721</v>
      </c>
      <c r="B1249" s="62">
        <v>15</v>
      </c>
      <c r="C1249" s="60" t="s">
        <v>5068</v>
      </c>
      <c r="D1249" s="64">
        <f>IFERROR(VLOOKUP(C1249,測定点マスタ!$E$2:$F$28,2,FALSE)/VLOOKUP(A1249,'焼鈍条件-3CGL'!$A$2:$B$197,2,FALSE)*60,"")</f>
        <v>66.033188803257389</v>
      </c>
      <c r="E1249" s="66">
        <v>386.1</v>
      </c>
      <c r="F1249" s="64">
        <f t="shared" si="19"/>
        <v>13.565052099447431</v>
      </c>
      <c r="G1249" s="60" t="s">
        <v>9</v>
      </c>
      <c r="H1249" s="60" t="s">
        <v>5042</v>
      </c>
    </row>
    <row r="1250" spans="1:8">
      <c r="A1250" s="59" t="s">
        <v>2721</v>
      </c>
      <c r="B1250" s="62">
        <v>16</v>
      </c>
      <c r="C1250" s="60" t="s">
        <v>5057</v>
      </c>
      <c r="D1250" s="64">
        <f>IFERROR(VLOOKUP(C1250,測定点マスタ!$E$2:$F$28,2,FALSE)/VLOOKUP(A1250,'焼鈍条件-3CGL'!$A$2:$B$197,2,FALSE)*60,"")</f>
        <v>68.54209368359686</v>
      </c>
      <c r="E1250" s="66">
        <v>211.5</v>
      </c>
      <c r="F1250" s="64">
        <f t="shared" si="19"/>
        <v>-69.592116213020986</v>
      </c>
      <c r="G1250" s="60" t="s">
        <v>9</v>
      </c>
      <c r="H1250" s="60" t="s">
        <v>5042</v>
      </c>
    </row>
    <row r="1251" spans="1:8">
      <c r="A1251" s="59" t="s">
        <v>2721</v>
      </c>
      <c r="B1251" s="62">
        <v>17</v>
      </c>
      <c r="C1251" s="60" t="s">
        <v>5059</v>
      </c>
      <c r="D1251" s="64">
        <f>IFERROR(VLOOKUP(C1251,測定点マスタ!$E$2:$F$28,2,FALSE)/VLOOKUP(A1251,'焼鈍条件-3CGL'!$A$2:$B$197,2,FALSE)*60,"")</f>
        <v>73.559903444276216</v>
      </c>
      <c r="E1251" s="66">
        <v>51.1</v>
      </c>
      <c r="F1251" s="64">
        <f t="shared" si="19"/>
        <v>-31.966138145955462</v>
      </c>
      <c r="G1251" s="60" t="s">
        <v>9</v>
      </c>
      <c r="H1251" s="60" t="s">
        <v>5042</v>
      </c>
    </row>
    <row r="1252" spans="1:8">
      <c r="A1252" s="59" t="s">
        <v>2729</v>
      </c>
      <c r="B1252" s="62">
        <v>1</v>
      </c>
      <c r="C1252" s="60" t="s">
        <v>5041</v>
      </c>
      <c r="D1252" s="64">
        <f>IFERROR(VLOOKUP(C1252,測定点マスタ!$E$2:$F$28,2,FALSE)/VLOOKUP(A1252,'焼鈍条件-3CGL'!$A$2:$B$197,2,FALSE)*60,"")</f>
        <v>0</v>
      </c>
      <c r="E1252" s="66">
        <v>38.5</v>
      </c>
      <c r="F1252" s="64" t="str">
        <f t="shared" si="19"/>
        <v/>
      </c>
      <c r="G1252" s="60" t="s">
        <v>12</v>
      </c>
      <c r="H1252" s="60" t="s">
        <v>5061</v>
      </c>
    </row>
    <row r="1253" spans="1:8">
      <c r="A1253" s="59" t="s">
        <v>2729</v>
      </c>
      <c r="B1253" s="62">
        <v>2</v>
      </c>
      <c r="C1253" s="60" t="s">
        <v>5043</v>
      </c>
      <c r="D1253" s="64">
        <f>IFERROR(VLOOKUP(C1253,測定点マスタ!$E$2:$F$28,2,FALSE)/VLOOKUP(A1253,'焼鈍条件-3CGL'!$A$2:$B$197,2,FALSE)*60,"")</f>
        <v>6.9051236017124706</v>
      </c>
      <c r="E1253" s="66">
        <v>180.8</v>
      </c>
      <c r="F1253" s="64">
        <f t="shared" si="19"/>
        <v>20.607886000000001</v>
      </c>
      <c r="G1253" s="60" t="s">
        <v>12</v>
      </c>
      <c r="H1253" s="60" t="s">
        <v>5061</v>
      </c>
    </row>
    <row r="1254" spans="1:8">
      <c r="A1254" s="59" t="s">
        <v>2729</v>
      </c>
      <c r="B1254" s="62">
        <v>3</v>
      </c>
      <c r="C1254" s="60" t="s">
        <v>5044</v>
      </c>
      <c r="D1254" s="64">
        <f>IFERROR(VLOOKUP(C1254,測定点マスタ!$E$2:$F$28,2,FALSE)/VLOOKUP(A1254,'焼鈍条件-3CGL'!$A$2:$B$197,2,FALSE)*60,"")</f>
        <v>15.651613497214935</v>
      </c>
      <c r="E1254" s="66">
        <v>634.6</v>
      </c>
      <c r="F1254" s="64">
        <f t="shared" si="19"/>
        <v>51.883670526315782</v>
      </c>
      <c r="G1254" s="60" t="s">
        <v>12</v>
      </c>
      <c r="H1254" s="60" t="s">
        <v>5061</v>
      </c>
    </row>
    <row r="1255" spans="1:8">
      <c r="A1255" s="59" t="s">
        <v>2729</v>
      </c>
      <c r="B1255" s="62">
        <v>4</v>
      </c>
      <c r="C1255" s="60" t="s">
        <v>5045</v>
      </c>
      <c r="D1255" s="64">
        <f>IFERROR(VLOOKUP(C1255,測定点マスタ!$E$2:$F$28,2,FALSE)/VLOOKUP(A1255,'焼鈍条件-3CGL'!$A$2:$B$197,2,FALSE)*60,"")</f>
        <v>20.255029231689917</v>
      </c>
      <c r="E1255" s="66">
        <v>791.5</v>
      </c>
      <c r="F1255" s="64">
        <f t="shared" si="19"/>
        <v>34.083386999999981</v>
      </c>
      <c r="G1255" s="60" t="s">
        <v>12</v>
      </c>
      <c r="H1255" s="60" t="s">
        <v>5061</v>
      </c>
    </row>
    <row r="1256" spans="1:8">
      <c r="A1256" s="59" t="s">
        <v>2729</v>
      </c>
      <c r="B1256" s="62">
        <v>5</v>
      </c>
      <c r="C1256" s="60" t="s">
        <v>5047</v>
      </c>
      <c r="D1256" s="64">
        <f>IFERROR(VLOOKUP(C1256,測定点マスタ!$E$2:$F$28,2,FALSE)/VLOOKUP(A1256,'焼鈍条件-3CGL'!$A$2:$B$197,2,FALSE)*60,"")</f>
        <v>27.620494406849883</v>
      </c>
      <c r="E1256" s="66">
        <v>722.7</v>
      </c>
      <c r="F1256" s="64">
        <f t="shared" si="19"/>
        <v>-9.3408899999999981</v>
      </c>
      <c r="G1256" s="60" t="s">
        <v>12</v>
      </c>
      <c r="H1256" s="60" t="s">
        <v>5061</v>
      </c>
    </row>
    <row r="1257" spans="1:8">
      <c r="A1257" s="59" t="s">
        <v>2729</v>
      </c>
      <c r="B1257" s="62">
        <v>6</v>
      </c>
      <c r="C1257" s="60" t="s">
        <v>5049</v>
      </c>
      <c r="D1257" s="64">
        <f>IFERROR(VLOOKUP(C1257,測定点マスタ!$E$2:$F$28,2,FALSE)/VLOOKUP(A1257,'焼鈍条件-3CGL'!$A$2:$B$197,2,FALSE)*60,"")</f>
        <v>33.60493486166736</v>
      </c>
      <c r="E1257" s="66">
        <v>570</v>
      </c>
      <c r="F1257" s="64">
        <f t="shared" si="19"/>
        <v>-25.516169999999995</v>
      </c>
      <c r="G1257" s="60" t="s">
        <v>12</v>
      </c>
      <c r="H1257" s="60" t="s">
        <v>5061</v>
      </c>
    </row>
    <row r="1258" spans="1:8">
      <c r="A1258" s="59" t="s">
        <v>2729</v>
      </c>
      <c r="B1258" s="62">
        <v>7</v>
      </c>
      <c r="C1258" s="60" t="s">
        <v>5050</v>
      </c>
      <c r="D1258" s="64">
        <f>IFERROR(VLOOKUP(C1258,測定点マスタ!$E$2:$F$28,2,FALSE)/VLOOKUP(A1258,'焼鈍条件-3CGL'!$A$2:$B$197,2,FALSE)*60,"")</f>
        <v>37.287667449247344</v>
      </c>
      <c r="E1258" s="66">
        <v>495.9</v>
      </c>
      <c r="F1258" s="64">
        <f t="shared" si="19"/>
        <v>-20.120928750000004</v>
      </c>
      <c r="G1258" s="60" t="s">
        <v>12</v>
      </c>
      <c r="H1258" s="60" t="s">
        <v>5061</v>
      </c>
    </row>
    <row r="1259" spans="1:8">
      <c r="A1259" s="59" t="s">
        <v>2729</v>
      </c>
      <c r="B1259" s="62">
        <v>8</v>
      </c>
      <c r="C1259" s="60" t="s">
        <v>5051</v>
      </c>
      <c r="D1259" s="64">
        <f>IFERROR(VLOOKUP(C1259,測定点マスタ!$E$2:$F$28,2,FALSE)/VLOOKUP(A1259,'焼鈍条件-3CGL'!$A$2:$B$197,2,FALSE)*60,"")</f>
        <v>40.510058463379835</v>
      </c>
      <c r="E1259" s="66">
        <v>429.6</v>
      </c>
      <c r="F1259" s="64">
        <f t="shared" si="19"/>
        <v>-20.574784285714244</v>
      </c>
      <c r="G1259" s="60" t="s">
        <v>12</v>
      </c>
      <c r="H1259" s="60" t="s">
        <v>5061</v>
      </c>
    </row>
    <row r="1260" spans="1:8">
      <c r="A1260" s="59" t="s">
        <v>2729</v>
      </c>
      <c r="B1260" s="62">
        <v>9</v>
      </c>
      <c r="C1260" s="60" t="s">
        <v>5060</v>
      </c>
      <c r="D1260" s="64">
        <f>IFERROR(VLOOKUP(C1260,測定点マスタ!$E$2:$F$28,2,FALSE)/VLOOKUP(A1260,'焼鈍条件-3CGL'!$A$2:$B$197,2,FALSE)*60,"")</f>
        <v>42.351424757169823</v>
      </c>
      <c r="E1260" s="66">
        <v>378.4</v>
      </c>
      <c r="F1260" s="64">
        <f t="shared" si="19"/>
        <v>-27.805440000000079</v>
      </c>
      <c r="G1260" s="60" t="s">
        <v>12</v>
      </c>
      <c r="H1260" s="60" t="s">
        <v>5061</v>
      </c>
    </row>
    <row r="1261" spans="1:8">
      <c r="A1261" s="59" t="s">
        <v>2729</v>
      </c>
      <c r="B1261" s="62">
        <v>10</v>
      </c>
      <c r="C1261" s="60" t="s">
        <v>5052</v>
      </c>
      <c r="D1261" s="64">
        <f>IFERROR(VLOOKUP(C1261,測定点マスタ!$E$2:$F$28,2,FALSE)/VLOOKUP(A1261,'焼鈍条件-3CGL'!$A$2:$B$197,2,FALSE)*60,"")</f>
        <v>44.653132624407313</v>
      </c>
      <c r="E1261" s="66">
        <v>348.4</v>
      </c>
      <c r="F1261" s="64">
        <f t="shared" si="19"/>
        <v>-13.033800000000005</v>
      </c>
      <c r="G1261" s="60" t="s">
        <v>12</v>
      </c>
      <c r="H1261" s="60" t="s">
        <v>5061</v>
      </c>
    </row>
    <row r="1262" spans="1:8">
      <c r="A1262" s="59" t="s">
        <v>2729</v>
      </c>
      <c r="B1262" s="62">
        <v>11</v>
      </c>
      <c r="C1262" s="60" t="s">
        <v>5053</v>
      </c>
      <c r="D1262" s="64">
        <f>IFERROR(VLOOKUP(C1262,測定点マスタ!$E$2:$F$28,2,FALSE)/VLOOKUP(A1262,'焼鈍条件-3CGL'!$A$2:$B$197,2,FALSE)*60,"")</f>
        <v>50.177231505777293</v>
      </c>
      <c r="E1262" s="66">
        <v>510.2</v>
      </c>
      <c r="F1262" s="64">
        <f t="shared" si="19"/>
        <v>29.289844999999982</v>
      </c>
      <c r="G1262" s="60" t="s">
        <v>12</v>
      </c>
      <c r="H1262" s="60" t="s">
        <v>5061</v>
      </c>
    </row>
    <row r="1263" spans="1:8">
      <c r="A1263" s="59" t="s">
        <v>2729</v>
      </c>
      <c r="B1263" s="62">
        <v>12</v>
      </c>
      <c r="C1263" s="60" t="s">
        <v>5063</v>
      </c>
      <c r="D1263" s="64">
        <f>IFERROR(VLOOKUP(C1263,測定点マスタ!$E$2:$F$28,2,FALSE)/VLOOKUP(A1263,'焼鈍条件-3CGL'!$A$2:$B$197,2,FALSE)*60,"")</f>
        <v>52.939280946462276</v>
      </c>
      <c r="E1263" s="66">
        <v>511.3</v>
      </c>
      <c r="F1263" s="64">
        <f t="shared" si="19"/>
        <v>0.39825500000000902</v>
      </c>
      <c r="G1263" s="60" t="s">
        <v>12</v>
      </c>
      <c r="H1263" s="60" t="s">
        <v>5061</v>
      </c>
    </row>
    <row r="1264" spans="1:8">
      <c r="A1264" s="59" t="s">
        <v>2729</v>
      </c>
      <c r="B1264" s="62">
        <v>13</v>
      </c>
      <c r="C1264" s="60" t="s">
        <v>5054</v>
      </c>
      <c r="D1264" s="64">
        <f>IFERROR(VLOOKUP(C1264,測定点マスタ!$E$2:$F$28,2,FALSE)/VLOOKUP(A1264,'焼鈍条件-3CGL'!$A$2:$B$197,2,FALSE)*60,"")</f>
        <v>56.161671960594767</v>
      </c>
      <c r="E1264" s="66">
        <v>501.7</v>
      </c>
      <c r="F1264" s="64">
        <f t="shared" si="19"/>
        <v>-2.9791542857142885</v>
      </c>
      <c r="G1264" s="60" t="s">
        <v>12</v>
      </c>
      <c r="H1264" s="60" t="s">
        <v>5061</v>
      </c>
    </row>
    <row r="1265" spans="1:8">
      <c r="A1265" s="59" t="s">
        <v>2729</v>
      </c>
      <c r="B1265" s="62">
        <v>14</v>
      </c>
      <c r="C1265" s="60" t="s">
        <v>5056</v>
      </c>
      <c r="D1265" s="64">
        <f>IFERROR(VLOOKUP(C1265,測定点マスタ!$E$2:$F$28,2,FALSE)/VLOOKUP(A1265,'焼鈍条件-3CGL'!$A$2:$B$197,2,FALSE)*60,"")</f>
        <v>61.225429268517246</v>
      </c>
      <c r="E1265" s="66">
        <v>271.60000000000002</v>
      </c>
      <c r="F1265" s="64">
        <f t="shared" si="19"/>
        <v>-45.44056636363635</v>
      </c>
      <c r="G1265" s="60" t="s">
        <v>12</v>
      </c>
      <c r="H1265" s="60" t="s">
        <v>5061</v>
      </c>
    </row>
    <row r="1266" spans="1:8">
      <c r="A1266" s="59" t="s">
        <v>2729</v>
      </c>
      <c r="B1266" s="62">
        <v>15</v>
      </c>
      <c r="C1266" s="60" t="s">
        <v>5062</v>
      </c>
      <c r="D1266" s="64">
        <f>IFERROR(VLOOKUP(C1266,測定点マスタ!$E$2:$F$28,2,FALSE)/VLOOKUP(A1266,'焼鈍条件-3CGL'!$A$2:$B$197,2,FALSE)*60,"")</f>
        <v>66.749528149887226</v>
      </c>
      <c r="E1266" s="66">
        <v>453.8</v>
      </c>
      <c r="F1266" s="64">
        <f t="shared" si="19"/>
        <v>32.982754999999976</v>
      </c>
      <c r="G1266" s="60" t="s">
        <v>12</v>
      </c>
      <c r="H1266" s="60" t="s">
        <v>5061</v>
      </c>
    </row>
    <row r="1267" spans="1:8">
      <c r="A1267" s="59" t="s">
        <v>2729</v>
      </c>
      <c r="B1267" s="62">
        <v>16</v>
      </c>
      <c r="C1267" s="60" t="s">
        <v>5057</v>
      </c>
      <c r="D1267" s="64">
        <f>IFERROR(VLOOKUP(C1267,測定点マスタ!$E$2:$F$28,2,FALSE)/VLOOKUP(A1267,'焼鈍条件-3CGL'!$A$2:$B$197,2,FALSE)*60,"")</f>
        <v>75.907037307396308</v>
      </c>
      <c r="E1267" s="66">
        <v>253.4</v>
      </c>
      <c r="F1267" s="64">
        <f t="shared" si="19"/>
        <v>-21.883680000000179</v>
      </c>
      <c r="G1267" s="60" t="s">
        <v>12</v>
      </c>
      <c r="H1267" s="60" t="s">
        <v>5061</v>
      </c>
    </row>
    <row r="1268" spans="1:8">
      <c r="A1268" s="59" t="s">
        <v>2729</v>
      </c>
      <c r="B1268" s="62">
        <v>17</v>
      </c>
      <c r="C1268" s="60" t="s">
        <v>5059</v>
      </c>
      <c r="D1268" s="64">
        <f>IFERROR(VLOOKUP(C1268,測定点マスタ!$E$2:$F$28,2,FALSE)/VLOOKUP(A1268,'焼鈍条件-3CGL'!$A$2:$B$197,2,FALSE)*60,"")</f>
        <v>81.464017729727033</v>
      </c>
      <c r="E1268" s="66">
        <v>41.6</v>
      </c>
      <c r="F1268" s="64">
        <f t="shared" si="19"/>
        <v>-38.114224615383158</v>
      </c>
      <c r="G1268" s="60" t="s">
        <v>12</v>
      </c>
      <c r="H1268" s="60" t="s">
        <v>5061</v>
      </c>
    </row>
    <row r="1269" spans="1:8">
      <c r="A1269" s="59" t="s">
        <v>2750</v>
      </c>
      <c r="B1269" s="62">
        <v>1</v>
      </c>
      <c r="C1269" s="60" t="s">
        <v>5041</v>
      </c>
      <c r="D1269" s="64">
        <f>IFERROR(VLOOKUP(C1269,測定点マスタ!$E$2:$F$28,2,FALSE)/VLOOKUP(A1269,'焼鈍条件-3CGL'!$A$2:$B$197,2,FALSE)*60,"")</f>
        <v>0</v>
      </c>
      <c r="E1269" s="66">
        <v>36.6</v>
      </c>
      <c r="F1269" s="64" t="str">
        <f t="shared" si="19"/>
        <v/>
      </c>
      <c r="G1269" s="60" t="s">
        <v>9</v>
      </c>
      <c r="H1269" s="60" t="s">
        <v>5064</v>
      </c>
    </row>
    <row r="1270" spans="1:8">
      <c r="A1270" s="59" t="s">
        <v>2750</v>
      </c>
      <c r="B1270" s="62">
        <v>2</v>
      </c>
      <c r="C1270" s="60" t="s">
        <v>5043</v>
      </c>
      <c r="D1270" s="64">
        <f>IFERROR(VLOOKUP(C1270,測定点マスタ!$E$2:$F$28,2,FALSE)/VLOOKUP(A1270,'焼鈍条件-3CGL'!$A$2:$B$197,2,FALSE)*60,"")</f>
        <v>8.745080891998251</v>
      </c>
      <c r="E1270" s="66">
        <v>162</v>
      </c>
      <c r="F1270" s="64">
        <f t="shared" si="19"/>
        <v>14.339490000000001</v>
      </c>
      <c r="G1270" s="60" t="s">
        <v>9</v>
      </c>
      <c r="H1270" s="60" t="s">
        <v>5064</v>
      </c>
    </row>
    <row r="1271" spans="1:8">
      <c r="A1271" s="59" t="s">
        <v>2750</v>
      </c>
      <c r="B1271" s="62">
        <v>3</v>
      </c>
      <c r="C1271" s="60" t="s">
        <v>5044</v>
      </c>
      <c r="D1271" s="64">
        <f>IFERROR(VLOOKUP(C1271,測定点マスタ!$E$2:$F$28,2,FALSE)/VLOOKUP(A1271,'焼鈍条件-3CGL'!$A$2:$B$197,2,FALSE)*60,"")</f>
        <v>19.822183355196035</v>
      </c>
      <c r="E1271" s="66">
        <v>667.5</v>
      </c>
      <c r="F1271" s="64">
        <f t="shared" si="19"/>
        <v>45.634677631578953</v>
      </c>
      <c r="G1271" s="60" t="s">
        <v>9</v>
      </c>
      <c r="H1271" s="60" t="s">
        <v>5064</v>
      </c>
    </row>
    <row r="1272" spans="1:8">
      <c r="A1272" s="59" t="s">
        <v>2750</v>
      </c>
      <c r="B1272" s="62">
        <v>4</v>
      </c>
      <c r="C1272" s="60" t="s">
        <v>5045</v>
      </c>
      <c r="D1272" s="64">
        <f>IFERROR(VLOOKUP(C1272,測定点マスタ!$E$2:$F$28,2,FALSE)/VLOOKUP(A1272,'焼鈍条件-3CGL'!$A$2:$B$197,2,FALSE)*60,"")</f>
        <v>25.652237283194868</v>
      </c>
      <c r="E1272" s="66">
        <v>799.1</v>
      </c>
      <c r="F1272" s="64">
        <f t="shared" si="19"/>
        <v>22.572690000000009</v>
      </c>
      <c r="G1272" s="60" t="s">
        <v>9</v>
      </c>
      <c r="H1272" s="60" t="s">
        <v>5064</v>
      </c>
    </row>
    <row r="1273" spans="1:8">
      <c r="A1273" s="59" t="s">
        <v>2750</v>
      </c>
      <c r="B1273" s="62">
        <v>5</v>
      </c>
      <c r="C1273" s="60" t="s">
        <v>5047</v>
      </c>
      <c r="D1273" s="64">
        <f>IFERROR(VLOOKUP(C1273,測定点マスタ!$E$2:$F$28,2,FALSE)/VLOOKUP(A1273,'焼鈍条件-3CGL'!$A$2:$B$197,2,FALSE)*60,"")</f>
        <v>34.980323567993004</v>
      </c>
      <c r="E1273" s="66">
        <v>733.5</v>
      </c>
      <c r="F1273" s="64">
        <f t="shared" si="19"/>
        <v>-7.0325250000000015</v>
      </c>
      <c r="G1273" s="60" t="s">
        <v>9</v>
      </c>
      <c r="H1273" s="60" t="s">
        <v>5064</v>
      </c>
    </row>
    <row r="1274" spans="1:8">
      <c r="A1274" s="59" t="s">
        <v>2750</v>
      </c>
      <c r="B1274" s="62">
        <v>6</v>
      </c>
      <c r="C1274" s="60" t="s">
        <v>5049</v>
      </c>
      <c r="D1274" s="64">
        <f>IFERROR(VLOOKUP(C1274,測定点マスタ!$E$2:$F$28,2,FALSE)/VLOOKUP(A1274,'焼鈍条件-3CGL'!$A$2:$B$197,2,FALSE)*60,"")</f>
        <v>42.559393674391487</v>
      </c>
      <c r="E1274" s="66">
        <v>579.29999999999995</v>
      </c>
      <c r="F1274" s="64">
        <f t="shared" si="19"/>
        <v>-20.345503846153857</v>
      </c>
      <c r="G1274" s="60" t="s">
        <v>9</v>
      </c>
      <c r="H1274" s="60" t="s">
        <v>5064</v>
      </c>
    </row>
    <row r="1275" spans="1:8">
      <c r="A1275" s="59" t="s">
        <v>2750</v>
      </c>
      <c r="B1275" s="62">
        <v>7</v>
      </c>
      <c r="C1275" s="60" t="s">
        <v>5050</v>
      </c>
      <c r="D1275" s="64">
        <f>IFERROR(VLOOKUP(C1275,測定点マスタ!$E$2:$F$28,2,FALSE)/VLOOKUP(A1275,'焼鈍条件-3CGL'!$A$2:$B$197,2,FALSE)*60,"")</f>
        <v>47.223436816790553</v>
      </c>
      <c r="E1275" s="66">
        <v>499.5</v>
      </c>
      <c r="F1275" s="64">
        <f t="shared" si="19"/>
        <v>-17.109618749999992</v>
      </c>
      <c r="G1275" s="60" t="s">
        <v>9</v>
      </c>
      <c r="H1275" s="60" t="s">
        <v>5064</v>
      </c>
    </row>
    <row r="1276" spans="1:8">
      <c r="A1276" s="59" t="s">
        <v>2750</v>
      </c>
      <c r="B1276" s="62">
        <v>8</v>
      </c>
      <c r="C1276" s="60" t="s">
        <v>5051</v>
      </c>
      <c r="D1276" s="64">
        <f>IFERROR(VLOOKUP(C1276,測定点マスタ!$E$2:$F$28,2,FALSE)/VLOOKUP(A1276,'焼鈍条件-3CGL'!$A$2:$B$197,2,FALSE)*60,"")</f>
        <v>51.304474566389736</v>
      </c>
      <c r="E1276" s="66">
        <v>442.5</v>
      </c>
      <c r="F1276" s="64">
        <f t="shared" si="19"/>
        <v>-13.967035714285718</v>
      </c>
      <c r="G1276" s="60" t="s">
        <v>9</v>
      </c>
      <c r="H1276" s="60" t="s">
        <v>5064</v>
      </c>
    </row>
    <row r="1277" spans="1:8">
      <c r="A1277" s="59" t="s">
        <v>2750</v>
      </c>
      <c r="B1277" s="62">
        <v>9</v>
      </c>
      <c r="C1277" s="60" t="s">
        <v>5052</v>
      </c>
      <c r="D1277" s="64">
        <f>IFERROR(VLOOKUP(C1277,測定点マスタ!$E$2:$F$28,2,FALSE)/VLOOKUP(A1277,'焼鈍条件-3CGL'!$A$2:$B$197,2,FALSE)*60,"")</f>
        <v>56.551523101588685</v>
      </c>
      <c r="E1277" s="66">
        <v>341.5</v>
      </c>
      <c r="F1277" s="64">
        <f t="shared" si="19"/>
        <v>-19.24891666666667</v>
      </c>
      <c r="G1277" s="60" t="s">
        <v>9</v>
      </c>
      <c r="H1277" s="60" t="s">
        <v>5064</v>
      </c>
    </row>
    <row r="1278" spans="1:8">
      <c r="A1278" s="59" t="s">
        <v>2750</v>
      </c>
      <c r="B1278" s="62">
        <v>10</v>
      </c>
      <c r="C1278" s="60" t="s">
        <v>5069</v>
      </c>
      <c r="D1278" s="64">
        <f>IFERROR(VLOOKUP(C1278,測定点マスタ!$E$2:$F$28,2,FALSE)/VLOOKUP(A1278,'焼鈍条件-3CGL'!$A$2:$B$197,2,FALSE)*60,"")</f>
        <v>60.632560851187876</v>
      </c>
      <c r="E1278" s="66">
        <v>486</v>
      </c>
      <c r="F1278" s="64">
        <f t="shared" si="19"/>
        <v>35.407660714285662</v>
      </c>
      <c r="G1278" s="60" t="s">
        <v>9</v>
      </c>
      <c r="H1278" s="60" t="s">
        <v>5064</v>
      </c>
    </row>
    <row r="1279" spans="1:8">
      <c r="A1279" s="59" t="s">
        <v>2750</v>
      </c>
      <c r="B1279" s="62">
        <v>11</v>
      </c>
      <c r="C1279" s="60" t="s">
        <v>5053</v>
      </c>
      <c r="D1279" s="64">
        <f>IFERROR(VLOOKUP(C1279,測定点マスタ!$E$2:$F$28,2,FALSE)/VLOOKUP(A1279,'焼鈍条件-3CGL'!$A$2:$B$197,2,FALSE)*60,"")</f>
        <v>63.547587815187285</v>
      </c>
      <c r="E1279" s="66">
        <v>510.8</v>
      </c>
      <c r="F1279" s="64">
        <f t="shared" si="19"/>
        <v>8.507640000000027</v>
      </c>
      <c r="G1279" s="60" t="s">
        <v>9</v>
      </c>
      <c r="H1279" s="60" t="s">
        <v>5064</v>
      </c>
    </row>
    <row r="1280" spans="1:8">
      <c r="A1280" s="59" t="s">
        <v>2750</v>
      </c>
      <c r="B1280" s="62">
        <v>12</v>
      </c>
      <c r="C1280" s="60" t="s">
        <v>5063</v>
      </c>
      <c r="D1280" s="64">
        <f>IFERROR(VLOOKUP(C1280,測定点マスタ!$E$2:$F$28,2,FALSE)/VLOOKUP(A1280,'焼鈍条件-3CGL'!$A$2:$B$197,2,FALSE)*60,"")</f>
        <v>67.045620171986585</v>
      </c>
      <c r="E1280" s="66">
        <v>518.20000000000005</v>
      </c>
      <c r="F1280" s="64">
        <f t="shared" si="19"/>
        <v>2.1154750000000102</v>
      </c>
      <c r="G1280" s="60" t="s">
        <v>9</v>
      </c>
      <c r="H1280" s="60" t="s">
        <v>5064</v>
      </c>
    </row>
    <row r="1281" spans="1:8">
      <c r="A1281" s="59" t="s">
        <v>2750</v>
      </c>
      <c r="B1281" s="62">
        <v>13</v>
      </c>
      <c r="C1281" s="60" t="s">
        <v>5054</v>
      </c>
      <c r="D1281" s="64">
        <f>IFERROR(VLOOKUP(C1281,測定点マスタ!$E$2:$F$28,2,FALSE)/VLOOKUP(A1281,'焼鈍条件-3CGL'!$A$2:$B$197,2,FALSE)*60,"")</f>
        <v>71.126657921585775</v>
      </c>
      <c r="E1281" s="66">
        <v>509.3</v>
      </c>
      <c r="F1281" s="64">
        <f t="shared" si="19"/>
        <v>-2.1808178571428622</v>
      </c>
      <c r="G1281" s="60" t="s">
        <v>9</v>
      </c>
      <c r="H1281" s="60" t="s">
        <v>5064</v>
      </c>
    </row>
    <row r="1282" spans="1:8">
      <c r="A1282" s="59" t="s">
        <v>2750</v>
      </c>
      <c r="B1282" s="62">
        <v>14</v>
      </c>
      <c r="C1282" s="60" t="s">
        <v>5055</v>
      </c>
      <c r="D1282" s="64">
        <f>IFERROR(VLOOKUP(C1282,測定点マスタ!$E$2:$F$28,2,FALSE)/VLOOKUP(A1282,'焼鈍条件-3CGL'!$A$2:$B$197,2,FALSE)*60,"")</f>
        <v>74.041684885585184</v>
      </c>
      <c r="E1282" s="66">
        <v>537.4</v>
      </c>
      <c r="F1282" s="64">
        <f t="shared" ref="F1282:F1345" si="20">IF(A1282=A1281,IFERROR((E1282-E1281)/(D1282-D1281),""),"")</f>
        <v>9.6397050000000135</v>
      </c>
      <c r="G1282" s="60" t="s">
        <v>9</v>
      </c>
      <c r="H1282" s="60" t="s">
        <v>5064</v>
      </c>
    </row>
    <row r="1283" spans="1:8">
      <c r="A1283" s="59" t="s">
        <v>2750</v>
      </c>
      <c r="B1283" s="62">
        <v>15</v>
      </c>
      <c r="C1283" s="60" t="s">
        <v>5056</v>
      </c>
      <c r="D1283" s="64">
        <f>IFERROR(VLOOKUP(C1283,測定点マスタ!$E$2:$F$28,2,FALSE)/VLOOKUP(A1283,'焼鈍条件-3CGL'!$A$2:$B$197,2,FALSE)*60,"")</f>
        <v>77.539717242384498</v>
      </c>
      <c r="E1283" s="66">
        <v>273.89999999999998</v>
      </c>
      <c r="F1283" s="64">
        <f t="shared" si="20"/>
        <v>-75.328062499999703</v>
      </c>
      <c r="G1283" s="60" t="s">
        <v>9</v>
      </c>
      <c r="H1283" s="60" t="s">
        <v>5064</v>
      </c>
    </row>
    <row r="1284" spans="1:8">
      <c r="A1284" s="59" t="s">
        <v>2750</v>
      </c>
      <c r="B1284" s="62">
        <v>16</v>
      </c>
      <c r="C1284" s="60" t="s">
        <v>5062</v>
      </c>
      <c r="D1284" s="64">
        <f>IFERROR(VLOOKUP(C1284,測定点マスタ!$E$2:$F$28,2,FALSE)/VLOOKUP(A1284,'焼鈍条件-3CGL'!$A$2:$B$197,2,FALSE)*60,"")</f>
        <v>84.535781955983097</v>
      </c>
      <c r="E1284" s="66">
        <v>466</v>
      </c>
      <c r="F1284" s="64">
        <f t="shared" si="20"/>
        <v>27.45829375000001</v>
      </c>
      <c r="G1284" s="60" t="s">
        <v>9</v>
      </c>
      <c r="H1284" s="60" t="s">
        <v>5064</v>
      </c>
    </row>
    <row r="1285" spans="1:8">
      <c r="A1285" s="59" t="s">
        <v>2750</v>
      </c>
      <c r="B1285" s="62">
        <v>17</v>
      </c>
      <c r="C1285" s="60" t="s">
        <v>5065</v>
      </c>
      <c r="D1285" s="64">
        <f>IFERROR(VLOOKUP(C1285,測定点マスタ!$E$2:$F$28,2,FALSE)/VLOOKUP(A1285,'焼鈍条件-3CGL'!$A$2:$B$197,2,FALSE)*60,"")</f>
        <v>85.576863014554135</v>
      </c>
      <c r="E1285" s="66">
        <v>511.2</v>
      </c>
      <c r="F1285" s="64">
        <f t="shared" si="20"/>
        <v>43.4164080000076</v>
      </c>
      <c r="G1285" s="60" t="s">
        <v>9</v>
      </c>
      <c r="H1285" s="60" t="s">
        <v>5064</v>
      </c>
    </row>
    <row r="1286" spans="1:8">
      <c r="A1286" s="59" t="s">
        <v>2750</v>
      </c>
      <c r="B1286" s="62">
        <v>18</v>
      </c>
      <c r="C1286" s="60" t="s">
        <v>5066</v>
      </c>
      <c r="D1286" s="64">
        <f>IFERROR(VLOOKUP(C1286,測定点マスタ!$E$2:$F$28,2,FALSE)/VLOOKUP(A1286,'焼鈍条件-3CGL'!$A$2:$B$197,2,FALSE)*60,"")</f>
        <v>89.095716992525283</v>
      </c>
      <c r="E1286" s="66">
        <v>496.1</v>
      </c>
      <c r="F1286" s="64">
        <f t="shared" si="20"/>
        <v>-4.2911698224846822</v>
      </c>
      <c r="G1286" s="60" t="s">
        <v>9</v>
      </c>
      <c r="H1286" s="60" t="s">
        <v>5064</v>
      </c>
    </row>
    <row r="1287" spans="1:8">
      <c r="A1287" s="59" t="s">
        <v>2750</v>
      </c>
      <c r="B1287" s="62">
        <v>19</v>
      </c>
      <c r="C1287" s="60" t="s">
        <v>5057</v>
      </c>
      <c r="D1287" s="64">
        <f>IFERROR(VLOOKUP(C1287,測定点マスタ!$E$2:$F$28,2,FALSE)/VLOOKUP(A1287,'焼鈍条件-3CGL'!$A$2:$B$197,2,FALSE)*60,"")</f>
        <v>96.133424948466399</v>
      </c>
      <c r="E1287" s="66">
        <v>252.8</v>
      </c>
      <c r="F1287" s="64">
        <f t="shared" si="20"/>
        <v>-34.570914497043063</v>
      </c>
      <c r="G1287" s="60" t="s">
        <v>9</v>
      </c>
      <c r="H1287" s="60" t="s">
        <v>5064</v>
      </c>
    </row>
    <row r="1288" spans="1:8">
      <c r="A1288" s="59" t="s">
        <v>2750</v>
      </c>
      <c r="B1288" s="62">
        <v>20</v>
      </c>
      <c r="C1288" s="60" t="s">
        <v>5059</v>
      </c>
      <c r="D1288" s="64">
        <f>IFERROR(VLOOKUP(C1288,測定点マスタ!$E$2:$F$28,2,FALSE)/VLOOKUP(A1288,'焼鈍条件-3CGL'!$A$2:$B$197,2,FALSE)*60,"")</f>
        <v>103.1711329044081</v>
      </c>
      <c r="E1288" s="66">
        <v>45.4</v>
      </c>
      <c r="F1288" s="64">
        <f t="shared" si="20"/>
        <v>-29.469821893490082</v>
      </c>
      <c r="G1288" s="60" t="s">
        <v>9</v>
      </c>
      <c r="H1288" s="60" t="s">
        <v>5064</v>
      </c>
    </row>
    <row r="1289" spans="1:8">
      <c r="A1289" s="59" t="s">
        <v>2757</v>
      </c>
      <c r="B1289" s="62">
        <v>1</v>
      </c>
      <c r="C1289" s="60" t="s">
        <v>5041</v>
      </c>
      <c r="D1289" s="64">
        <f>IFERROR(VLOOKUP(C1289,測定点マスタ!$E$2:$F$28,2,FALSE)/VLOOKUP(A1289,'焼鈍条件-3CGL'!$A$2:$B$197,2,FALSE)*60,"")</f>
        <v>0</v>
      </c>
      <c r="E1289" s="66">
        <v>29.8</v>
      </c>
      <c r="F1289" s="64" t="str">
        <f t="shared" si="20"/>
        <v/>
      </c>
      <c r="G1289" s="60" t="s">
        <v>12</v>
      </c>
      <c r="H1289" s="60" t="s">
        <v>5061</v>
      </c>
    </row>
    <row r="1290" spans="1:8">
      <c r="A1290" s="59" t="s">
        <v>2757</v>
      </c>
      <c r="B1290" s="62">
        <v>2</v>
      </c>
      <c r="C1290" s="60" t="s">
        <v>5043</v>
      </c>
      <c r="D1290" s="64">
        <f>IFERROR(VLOOKUP(C1290,測定点マスタ!$E$2:$F$28,2,FALSE)/VLOOKUP(A1290,'焼鈍条件-3CGL'!$A$2:$B$197,2,FALSE)*60,"")</f>
        <v>8.1127126206766</v>
      </c>
      <c r="E1290" s="66">
        <v>167</v>
      </c>
      <c r="F1290" s="64">
        <f t="shared" si="20"/>
        <v>16.911729333333334</v>
      </c>
      <c r="G1290" s="60" t="s">
        <v>12</v>
      </c>
      <c r="H1290" s="60" t="s">
        <v>5061</v>
      </c>
    </row>
    <row r="1291" spans="1:8">
      <c r="A1291" s="59" t="s">
        <v>2757</v>
      </c>
      <c r="B1291" s="62">
        <v>3</v>
      </c>
      <c r="C1291" s="60" t="s">
        <v>5044</v>
      </c>
      <c r="D1291" s="64">
        <f>IFERROR(VLOOKUP(C1291,測定点マスタ!$E$2:$F$28,2,FALSE)/VLOOKUP(A1291,'焼鈍条件-3CGL'!$A$2:$B$197,2,FALSE)*60,"")</f>
        <v>18.388815273533627</v>
      </c>
      <c r="E1291" s="66">
        <v>643.70000000000005</v>
      </c>
      <c r="F1291" s="64">
        <f t="shared" si="20"/>
        <v>46.389182368421054</v>
      </c>
      <c r="G1291" s="60" t="s">
        <v>12</v>
      </c>
      <c r="H1291" s="60" t="s">
        <v>5061</v>
      </c>
    </row>
    <row r="1292" spans="1:8">
      <c r="A1292" s="59" t="s">
        <v>2757</v>
      </c>
      <c r="B1292" s="62">
        <v>4</v>
      </c>
      <c r="C1292" s="60" t="s">
        <v>5045</v>
      </c>
      <c r="D1292" s="64">
        <f>IFERROR(VLOOKUP(C1292,測定点マスタ!$E$2:$F$28,2,FALSE)/VLOOKUP(A1292,'焼鈍条件-3CGL'!$A$2:$B$197,2,FALSE)*60,"")</f>
        <v>23.797290353984696</v>
      </c>
      <c r="E1292" s="66">
        <v>804.6</v>
      </c>
      <c r="F1292" s="64">
        <f t="shared" si="20"/>
        <v>29.749605499999983</v>
      </c>
      <c r="G1292" s="60" t="s">
        <v>12</v>
      </c>
      <c r="H1292" s="60" t="s">
        <v>5061</v>
      </c>
    </row>
    <row r="1293" spans="1:8">
      <c r="A1293" s="59" t="s">
        <v>2757</v>
      </c>
      <c r="B1293" s="62">
        <v>5</v>
      </c>
      <c r="C1293" s="60" t="s">
        <v>5047</v>
      </c>
      <c r="D1293" s="64">
        <f>IFERROR(VLOOKUP(C1293,測定点マスタ!$E$2:$F$28,2,FALSE)/VLOOKUP(A1293,'焼鈍条件-3CGL'!$A$2:$B$197,2,FALSE)*60,"")</f>
        <v>32.4508504827064</v>
      </c>
      <c r="E1293" s="66">
        <v>725.7</v>
      </c>
      <c r="F1293" s="64">
        <f t="shared" si="20"/>
        <v>-9.1176346875000007</v>
      </c>
      <c r="G1293" s="60" t="s">
        <v>12</v>
      </c>
      <c r="H1293" s="60" t="s">
        <v>5061</v>
      </c>
    </row>
    <row r="1294" spans="1:8">
      <c r="A1294" s="59" t="s">
        <v>2757</v>
      </c>
      <c r="B1294" s="62">
        <v>6</v>
      </c>
      <c r="C1294" s="60" t="s">
        <v>5049</v>
      </c>
      <c r="D1294" s="64">
        <f>IFERROR(VLOOKUP(C1294,測定点マスタ!$E$2:$F$28,2,FALSE)/VLOOKUP(A1294,'焼鈍条件-3CGL'!$A$2:$B$197,2,FALSE)*60,"")</f>
        <v>39.481868087292789</v>
      </c>
      <c r="E1294" s="66">
        <v>587.20000000000005</v>
      </c>
      <c r="F1294" s="64">
        <f t="shared" si="20"/>
        <v>-19.698428846153842</v>
      </c>
      <c r="G1294" s="60" t="s">
        <v>12</v>
      </c>
      <c r="H1294" s="60" t="s">
        <v>5061</v>
      </c>
    </row>
    <row r="1295" spans="1:8">
      <c r="A1295" s="59" t="s">
        <v>2757</v>
      </c>
      <c r="B1295" s="62">
        <v>7</v>
      </c>
      <c r="C1295" s="60" t="s">
        <v>5050</v>
      </c>
      <c r="D1295" s="64">
        <f>IFERROR(VLOOKUP(C1295,測定点マスタ!$E$2:$F$28,2,FALSE)/VLOOKUP(A1295,'焼鈍条件-3CGL'!$A$2:$B$197,2,FALSE)*60,"")</f>
        <v>43.808648151653642</v>
      </c>
      <c r="E1295" s="66">
        <v>483.2</v>
      </c>
      <c r="F1295" s="64">
        <f t="shared" si="20"/>
        <v>-24.036350000000009</v>
      </c>
      <c r="G1295" s="60" t="s">
        <v>12</v>
      </c>
      <c r="H1295" s="60" t="s">
        <v>5061</v>
      </c>
    </row>
    <row r="1296" spans="1:8">
      <c r="A1296" s="59" t="s">
        <v>2757</v>
      </c>
      <c r="B1296" s="62">
        <v>8</v>
      </c>
      <c r="C1296" s="60" t="s">
        <v>5051</v>
      </c>
      <c r="D1296" s="64">
        <f>IFERROR(VLOOKUP(C1296,測定点マスタ!$E$2:$F$28,2,FALSE)/VLOOKUP(A1296,'焼鈍条件-3CGL'!$A$2:$B$197,2,FALSE)*60,"")</f>
        <v>47.594580707969392</v>
      </c>
      <c r="E1296" s="66">
        <v>430.1</v>
      </c>
      <c r="F1296" s="64">
        <f t="shared" si="20"/>
        <v>-14.025606428571409</v>
      </c>
      <c r="G1296" s="60" t="s">
        <v>12</v>
      </c>
      <c r="H1296" s="60" t="s">
        <v>5061</v>
      </c>
    </row>
    <row r="1297" spans="1:8">
      <c r="A1297" s="59" t="s">
        <v>2757</v>
      </c>
      <c r="B1297" s="62">
        <v>9</v>
      </c>
      <c r="C1297" s="60" t="s">
        <v>5052</v>
      </c>
      <c r="D1297" s="64">
        <f>IFERROR(VLOOKUP(C1297,測定点マスタ!$E$2:$F$28,2,FALSE)/VLOOKUP(A1297,'焼鈍条件-3CGL'!$A$2:$B$197,2,FALSE)*60,"")</f>
        <v>52.46220828037535</v>
      </c>
      <c r="E1297" s="66">
        <v>328</v>
      </c>
      <c r="F1297" s="64">
        <f t="shared" si="20"/>
        <v>-20.97531055555557</v>
      </c>
      <c r="G1297" s="60" t="s">
        <v>12</v>
      </c>
      <c r="H1297" s="60" t="s">
        <v>5061</v>
      </c>
    </row>
    <row r="1298" spans="1:8">
      <c r="A1298" s="59" t="s">
        <v>2757</v>
      </c>
      <c r="B1298" s="62">
        <v>10</v>
      </c>
      <c r="C1298" s="60" t="s">
        <v>5053</v>
      </c>
      <c r="D1298" s="64">
        <f>IFERROR(VLOOKUP(C1298,測定点マスタ!$E$2:$F$28,2,FALSE)/VLOOKUP(A1298,'焼鈍条件-3CGL'!$A$2:$B$197,2,FALSE)*60,"")</f>
        <v>58.952378376916627</v>
      </c>
      <c r="E1298" s="66">
        <v>522.9</v>
      </c>
      <c r="F1298" s="64">
        <f t="shared" si="20"/>
        <v>30.030029583333345</v>
      </c>
      <c r="G1298" s="60" t="s">
        <v>12</v>
      </c>
      <c r="H1298" s="60" t="s">
        <v>5061</v>
      </c>
    </row>
    <row r="1299" spans="1:8">
      <c r="A1299" s="59" t="s">
        <v>2757</v>
      </c>
      <c r="B1299" s="62">
        <v>11</v>
      </c>
      <c r="C1299" s="60" t="s">
        <v>5063</v>
      </c>
      <c r="D1299" s="64">
        <f>IFERROR(VLOOKUP(C1299,測定点マスタ!$E$2:$F$28,2,FALSE)/VLOOKUP(A1299,'焼鈍条件-3CGL'!$A$2:$B$197,2,FALSE)*60,"")</f>
        <v>62.197463425187266</v>
      </c>
      <c r="E1299" s="66">
        <v>531.79999999999995</v>
      </c>
      <c r="F1299" s="64">
        <f t="shared" si="20"/>
        <v>2.7426091666666608</v>
      </c>
      <c r="G1299" s="60" t="s">
        <v>12</v>
      </c>
      <c r="H1299" s="60" t="s">
        <v>5061</v>
      </c>
    </row>
    <row r="1300" spans="1:8">
      <c r="A1300" s="59" t="s">
        <v>2757</v>
      </c>
      <c r="B1300" s="62">
        <v>12</v>
      </c>
      <c r="C1300" s="60" t="s">
        <v>5054</v>
      </c>
      <c r="D1300" s="64">
        <f>IFERROR(VLOOKUP(C1300,測定点マスタ!$E$2:$F$28,2,FALSE)/VLOOKUP(A1300,'焼鈍条件-3CGL'!$A$2:$B$197,2,FALSE)*60,"")</f>
        <v>65.983395981503008</v>
      </c>
      <c r="E1300" s="66">
        <v>511.6</v>
      </c>
      <c r="F1300" s="64">
        <f t="shared" si="20"/>
        <v>-5.3355414285714167</v>
      </c>
      <c r="G1300" s="60" t="s">
        <v>12</v>
      </c>
      <c r="H1300" s="60" t="s">
        <v>5061</v>
      </c>
    </row>
    <row r="1301" spans="1:8">
      <c r="A1301" s="59" t="s">
        <v>2757</v>
      </c>
      <c r="B1301" s="62">
        <v>13</v>
      </c>
      <c r="C1301" s="60" t="s">
        <v>5055</v>
      </c>
      <c r="D1301" s="64">
        <f>IFERROR(VLOOKUP(C1301,測定点マスタ!$E$2:$F$28,2,FALSE)/VLOOKUP(A1301,'焼鈍条件-3CGL'!$A$2:$B$197,2,FALSE)*60,"")</f>
        <v>68.687633521728557</v>
      </c>
      <c r="E1301" s="66">
        <v>522.79999999999995</v>
      </c>
      <c r="F1301" s="64">
        <f t="shared" si="20"/>
        <v>4.1416479999999511</v>
      </c>
      <c r="G1301" s="60" t="s">
        <v>12</v>
      </c>
      <c r="H1301" s="60" t="s">
        <v>5061</v>
      </c>
    </row>
    <row r="1302" spans="1:8">
      <c r="A1302" s="59" t="s">
        <v>2757</v>
      </c>
      <c r="B1302" s="62">
        <v>14</v>
      </c>
      <c r="C1302" s="60" t="s">
        <v>5056</v>
      </c>
      <c r="D1302" s="64">
        <f>IFERROR(VLOOKUP(C1302,測定点マスタ!$E$2:$F$28,2,FALSE)/VLOOKUP(A1302,'焼鈍条件-3CGL'!$A$2:$B$197,2,FALSE)*60,"")</f>
        <v>71.932718569999182</v>
      </c>
      <c r="E1302" s="66">
        <v>268.5</v>
      </c>
      <c r="F1302" s="64">
        <f t="shared" si="20"/>
        <v>-78.364664166667026</v>
      </c>
      <c r="G1302" s="60" t="s">
        <v>12</v>
      </c>
      <c r="H1302" s="60" t="s">
        <v>5061</v>
      </c>
    </row>
    <row r="1303" spans="1:8">
      <c r="A1303" s="59" t="s">
        <v>2757</v>
      </c>
      <c r="B1303" s="62">
        <v>15</v>
      </c>
      <c r="C1303" s="60" t="s">
        <v>5062</v>
      </c>
      <c r="D1303" s="64">
        <f>IFERROR(VLOOKUP(C1303,測定点マスタ!$E$2:$F$28,2,FALSE)/VLOOKUP(A1303,'焼鈍条件-3CGL'!$A$2:$B$197,2,FALSE)*60,"")</f>
        <v>78.422888666540473</v>
      </c>
      <c r="E1303" s="66">
        <v>456.6</v>
      </c>
      <c r="F1303" s="64">
        <f t="shared" si="20"/>
        <v>28.982291249999953</v>
      </c>
      <c r="G1303" s="60" t="s">
        <v>12</v>
      </c>
      <c r="H1303" s="60" t="s">
        <v>5061</v>
      </c>
    </row>
    <row r="1304" spans="1:8">
      <c r="A1304" s="59" t="s">
        <v>2757</v>
      </c>
      <c r="B1304" s="62">
        <v>16</v>
      </c>
      <c r="C1304" s="60" t="s">
        <v>5068</v>
      </c>
      <c r="D1304" s="64">
        <f>IFERROR(VLOOKUP(C1304,測定点マスタ!$E$2:$F$28,2,FALSE)/VLOOKUP(A1304,'焼鈍条件-3CGL'!$A$2:$B$197,2,FALSE)*60,"")</f>
        <v>85.917489849451314</v>
      </c>
      <c r="E1304" s="66">
        <v>364.9</v>
      </c>
      <c r="F1304" s="64">
        <f t="shared" si="20"/>
        <v>-12.235474278350395</v>
      </c>
      <c r="G1304" s="60" t="s">
        <v>12</v>
      </c>
      <c r="H1304" s="60" t="s">
        <v>5061</v>
      </c>
    </row>
    <row r="1305" spans="1:8">
      <c r="A1305" s="59" t="s">
        <v>2757</v>
      </c>
      <c r="B1305" s="62">
        <v>17</v>
      </c>
      <c r="C1305" s="60" t="s">
        <v>5057</v>
      </c>
      <c r="D1305" s="64">
        <f>IFERROR(VLOOKUP(C1305,測定点マスタ!$E$2:$F$28,2,FALSE)/VLOOKUP(A1305,'焼鈍条件-3CGL'!$A$2:$B$197,2,FALSE)*60,"")</f>
        <v>89.181890880151968</v>
      </c>
      <c r="E1305" s="66">
        <v>233.5</v>
      </c>
      <c r="F1305" s="64">
        <f t="shared" si="20"/>
        <v>-40.252407337280175</v>
      </c>
      <c r="G1305" s="60" t="s">
        <v>12</v>
      </c>
      <c r="H1305" s="60" t="s">
        <v>5061</v>
      </c>
    </row>
    <row r="1306" spans="1:8">
      <c r="A1306" s="59" t="s">
        <v>2757</v>
      </c>
      <c r="B1306" s="62">
        <v>18</v>
      </c>
      <c r="C1306" s="60" t="s">
        <v>5059</v>
      </c>
      <c r="D1306" s="64">
        <f>IFERROR(VLOOKUP(C1306,測定点マスタ!$E$2:$F$28,2,FALSE)/VLOOKUP(A1306,'焼鈍条件-3CGL'!$A$2:$B$197,2,FALSE)*60,"")</f>
        <v>95.710692941553859</v>
      </c>
      <c r="E1306" s="66">
        <v>45.7</v>
      </c>
      <c r="F1306" s="64">
        <f t="shared" si="20"/>
        <v>-28.764848165679393</v>
      </c>
      <c r="G1306" s="60" t="s">
        <v>12</v>
      </c>
      <c r="H1306" s="60" t="s">
        <v>5061</v>
      </c>
    </row>
    <row r="1307" spans="1:8">
      <c r="A1307" s="59" t="s">
        <v>2769</v>
      </c>
      <c r="B1307" s="62">
        <v>1</v>
      </c>
      <c r="C1307" s="60" t="s">
        <v>5041</v>
      </c>
      <c r="D1307" s="64">
        <f>IFERROR(VLOOKUP(C1307,測定点マスタ!$E$2:$F$28,2,FALSE)/VLOOKUP(A1307,'焼鈍条件-3CGL'!$A$2:$B$197,2,FALSE)*60,"")</f>
        <v>0</v>
      </c>
      <c r="E1307" s="66">
        <v>38.200000000000003</v>
      </c>
      <c r="F1307" s="64" t="str">
        <f t="shared" si="20"/>
        <v/>
      </c>
      <c r="G1307" s="60" t="s">
        <v>9</v>
      </c>
      <c r="H1307" s="60" t="s">
        <v>5064</v>
      </c>
    </row>
    <row r="1308" spans="1:8">
      <c r="A1308" s="59" t="s">
        <v>2769</v>
      </c>
      <c r="B1308" s="62">
        <v>2</v>
      </c>
      <c r="C1308" s="60" t="s">
        <v>5043</v>
      </c>
      <c r="D1308" s="64">
        <f>IFERROR(VLOOKUP(C1308,測定点マスタ!$E$2:$F$28,2,FALSE)/VLOOKUP(A1308,'焼鈍条件-3CGL'!$A$2:$B$197,2,FALSE)*60,"")</f>
        <v>10.577533319229955</v>
      </c>
      <c r="E1308" s="66">
        <v>197.8</v>
      </c>
      <c r="F1308" s="64">
        <f t="shared" si="20"/>
        <v>15.088584000000003</v>
      </c>
      <c r="G1308" s="60" t="s">
        <v>9</v>
      </c>
      <c r="H1308" s="60" t="s">
        <v>5064</v>
      </c>
    </row>
    <row r="1309" spans="1:8">
      <c r="A1309" s="59" t="s">
        <v>2769</v>
      </c>
      <c r="B1309" s="62">
        <v>3</v>
      </c>
      <c r="C1309" s="60" t="s">
        <v>5044</v>
      </c>
      <c r="D1309" s="64">
        <f>IFERROR(VLOOKUP(C1309,測定点マスタ!$E$2:$F$28,2,FALSE)/VLOOKUP(A1309,'焼鈍条件-3CGL'!$A$2:$B$197,2,FALSE)*60,"")</f>
        <v>23.975742190254564</v>
      </c>
      <c r="E1309" s="66">
        <v>717.3</v>
      </c>
      <c r="F1309" s="64">
        <f t="shared" si="20"/>
        <v>38.773839473684212</v>
      </c>
      <c r="G1309" s="60" t="s">
        <v>9</v>
      </c>
      <c r="H1309" s="60" t="s">
        <v>5064</v>
      </c>
    </row>
    <row r="1310" spans="1:8">
      <c r="A1310" s="59" t="s">
        <v>2769</v>
      </c>
      <c r="B1310" s="62">
        <v>4</v>
      </c>
      <c r="C1310" s="60" t="s">
        <v>5045</v>
      </c>
      <c r="D1310" s="64">
        <f>IFERROR(VLOOKUP(C1310,測定点マスタ!$E$2:$F$28,2,FALSE)/VLOOKUP(A1310,'焼鈍条件-3CGL'!$A$2:$B$197,2,FALSE)*60,"")</f>
        <v>31.027431069741201</v>
      </c>
      <c r="E1310" s="66">
        <v>865.7</v>
      </c>
      <c r="F1310" s="64">
        <f t="shared" si="20"/>
        <v>21.044604000000014</v>
      </c>
      <c r="G1310" s="60" t="s">
        <v>9</v>
      </c>
      <c r="H1310" s="60" t="s">
        <v>5064</v>
      </c>
    </row>
    <row r="1311" spans="1:8">
      <c r="A1311" s="59" t="s">
        <v>2769</v>
      </c>
      <c r="B1311" s="62">
        <v>5</v>
      </c>
      <c r="C1311" s="60" t="s">
        <v>5047</v>
      </c>
      <c r="D1311" s="64">
        <f>IFERROR(VLOOKUP(C1311,測定点マスタ!$E$2:$F$28,2,FALSE)/VLOOKUP(A1311,'焼鈍条件-3CGL'!$A$2:$B$197,2,FALSE)*60,"")</f>
        <v>42.310133276919821</v>
      </c>
      <c r="E1311" s="66">
        <v>806.8</v>
      </c>
      <c r="F1311" s="64">
        <f t="shared" si="20"/>
        <v>-5.2203806250000078</v>
      </c>
      <c r="G1311" s="60" t="s">
        <v>9</v>
      </c>
      <c r="H1311" s="60" t="s">
        <v>5064</v>
      </c>
    </row>
    <row r="1312" spans="1:8">
      <c r="A1312" s="59" t="s">
        <v>2769</v>
      </c>
      <c r="B1312" s="62">
        <v>6</v>
      </c>
      <c r="C1312" s="60" t="s">
        <v>5049</v>
      </c>
      <c r="D1312" s="64">
        <f>IFERROR(VLOOKUP(C1312,測定点マスタ!$E$2:$F$28,2,FALSE)/VLOOKUP(A1312,'焼鈍条件-3CGL'!$A$2:$B$197,2,FALSE)*60,"")</f>
        <v>51.477328820252453</v>
      </c>
      <c r="E1312" s="66">
        <v>635.9</v>
      </c>
      <c r="F1312" s="64">
        <f t="shared" si="20"/>
        <v>-18.642560769230759</v>
      </c>
      <c r="G1312" s="60" t="s">
        <v>9</v>
      </c>
      <c r="H1312" s="60" t="s">
        <v>5064</v>
      </c>
    </row>
    <row r="1313" spans="1:8">
      <c r="A1313" s="59" t="s">
        <v>2769</v>
      </c>
      <c r="B1313" s="62">
        <v>7</v>
      </c>
      <c r="C1313" s="60" t="s">
        <v>5050</v>
      </c>
      <c r="D1313" s="64">
        <f>IFERROR(VLOOKUP(C1313,測定点マスタ!$E$2:$F$28,2,FALSE)/VLOOKUP(A1313,'焼鈍条件-3CGL'!$A$2:$B$197,2,FALSE)*60,"")</f>
        <v>57.118679923841761</v>
      </c>
      <c r="E1313" s="66">
        <v>532.20000000000005</v>
      </c>
      <c r="F1313" s="64">
        <f t="shared" si="20"/>
        <v>-18.382121249999994</v>
      </c>
      <c r="G1313" s="60" t="s">
        <v>9</v>
      </c>
      <c r="H1313" s="60" t="s">
        <v>5064</v>
      </c>
    </row>
    <row r="1314" spans="1:8">
      <c r="A1314" s="59" t="s">
        <v>2769</v>
      </c>
      <c r="B1314" s="62">
        <v>8</v>
      </c>
      <c r="C1314" s="60" t="s">
        <v>5051</v>
      </c>
      <c r="D1314" s="64">
        <f>IFERROR(VLOOKUP(C1314,測定点マスタ!$E$2:$F$28,2,FALSE)/VLOOKUP(A1314,'焼鈍条件-3CGL'!$A$2:$B$197,2,FALSE)*60,"")</f>
        <v>62.054862139482402</v>
      </c>
      <c r="E1314" s="66">
        <v>469.6</v>
      </c>
      <c r="F1314" s="64">
        <f t="shared" si="20"/>
        <v>-12.681865714285729</v>
      </c>
      <c r="G1314" s="60" t="s">
        <v>9</v>
      </c>
      <c r="H1314" s="60" t="s">
        <v>5064</v>
      </c>
    </row>
    <row r="1315" spans="1:8">
      <c r="A1315" s="59" t="s">
        <v>2769</v>
      </c>
      <c r="B1315" s="62">
        <v>9</v>
      </c>
      <c r="C1315" s="60" t="s">
        <v>5052</v>
      </c>
      <c r="D1315" s="64">
        <f>IFERROR(VLOOKUP(C1315,測定点マスタ!$E$2:$F$28,2,FALSE)/VLOOKUP(A1315,'焼鈍条件-3CGL'!$A$2:$B$197,2,FALSE)*60,"")</f>
        <v>68.40138213102037</v>
      </c>
      <c r="E1315" s="66">
        <v>354.8</v>
      </c>
      <c r="F1315" s="64">
        <f t="shared" si="20"/>
        <v>-18.088653333333355</v>
      </c>
      <c r="G1315" s="60" t="s">
        <v>9</v>
      </c>
      <c r="H1315" s="60" t="s">
        <v>5064</v>
      </c>
    </row>
    <row r="1316" spans="1:8">
      <c r="A1316" s="59" t="s">
        <v>2769</v>
      </c>
      <c r="B1316" s="62">
        <v>10</v>
      </c>
      <c r="C1316" s="60" t="s">
        <v>5053</v>
      </c>
      <c r="D1316" s="64">
        <f>IFERROR(VLOOKUP(C1316,測定点マスタ!$E$2:$F$28,2,FALSE)/VLOOKUP(A1316,'焼鈍条件-3CGL'!$A$2:$B$197,2,FALSE)*60,"")</f>
        <v>76.863408786404335</v>
      </c>
      <c r="E1316" s="66">
        <v>568.79999999999995</v>
      </c>
      <c r="F1316" s="64">
        <f t="shared" si="20"/>
        <v>25.289449999999992</v>
      </c>
      <c r="G1316" s="60" t="s">
        <v>9</v>
      </c>
      <c r="H1316" s="60" t="s">
        <v>5064</v>
      </c>
    </row>
    <row r="1317" spans="1:8">
      <c r="A1317" s="59" t="s">
        <v>2769</v>
      </c>
      <c r="B1317" s="62">
        <v>11</v>
      </c>
      <c r="C1317" s="60" t="s">
        <v>5054</v>
      </c>
      <c r="D1317" s="64">
        <f>IFERROR(VLOOKUP(C1317,測定点マスタ!$E$2:$F$28,2,FALSE)/VLOOKUP(A1317,'焼鈍条件-3CGL'!$A$2:$B$197,2,FALSE)*60,"")</f>
        <v>86.030604329736974</v>
      </c>
      <c r="E1317" s="66">
        <v>547.6</v>
      </c>
      <c r="F1317" s="64">
        <f t="shared" si="20"/>
        <v>-2.312593846153836</v>
      </c>
      <c r="G1317" s="60" t="s">
        <v>9</v>
      </c>
      <c r="H1317" s="60" t="s">
        <v>5064</v>
      </c>
    </row>
    <row r="1318" spans="1:8">
      <c r="A1318" s="59" t="s">
        <v>2769</v>
      </c>
      <c r="B1318" s="62">
        <v>12</v>
      </c>
      <c r="C1318" s="60" t="s">
        <v>5056</v>
      </c>
      <c r="D1318" s="64">
        <f>IFERROR(VLOOKUP(C1318,測定点マスタ!$E$2:$F$28,2,FALSE)/VLOOKUP(A1318,'焼鈍条件-3CGL'!$A$2:$B$197,2,FALSE)*60,"")</f>
        <v>93.787462097172281</v>
      </c>
      <c r="E1318" s="66">
        <v>294</v>
      </c>
      <c r="F1318" s="64">
        <f t="shared" si="20"/>
        <v>-32.693650909090884</v>
      </c>
      <c r="G1318" s="60" t="s">
        <v>9</v>
      </c>
      <c r="H1318" s="60" t="s">
        <v>5064</v>
      </c>
    </row>
    <row r="1319" spans="1:8">
      <c r="A1319" s="59" t="s">
        <v>2769</v>
      </c>
      <c r="B1319" s="62">
        <v>13</v>
      </c>
      <c r="C1319" s="60" t="s">
        <v>5062</v>
      </c>
      <c r="D1319" s="64">
        <f>IFERROR(VLOOKUP(C1319,測定点マスタ!$E$2:$F$28,2,FALSE)/VLOOKUP(A1319,'焼鈍条件-3CGL'!$A$2:$B$197,2,FALSE)*60,"")</f>
        <v>102.24948875255625</v>
      </c>
      <c r="E1319" s="66">
        <v>466.8</v>
      </c>
      <c r="F1319" s="64">
        <f t="shared" si="20"/>
        <v>20.420639999999999</v>
      </c>
      <c r="G1319" s="60" t="s">
        <v>9</v>
      </c>
      <c r="H1319" s="60" t="s">
        <v>5064</v>
      </c>
    </row>
    <row r="1320" spans="1:8">
      <c r="A1320" s="59" t="s">
        <v>2769</v>
      </c>
      <c r="B1320" s="62">
        <v>14</v>
      </c>
      <c r="C1320" s="60" t="s">
        <v>5065</v>
      </c>
      <c r="D1320" s="64">
        <f>IFERROR(VLOOKUP(C1320,測定点マスタ!$E$2:$F$28,2,FALSE)/VLOOKUP(A1320,'焼鈍条件-3CGL'!$A$2:$B$197,2,FALSE)*60,"")</f>
        <v>103.50871890960723</v>
      </c>
      <c r="E1320" s="66">
        <v>512.29999999999995</v>
      </c>
      <c r="F1320" s="64">
        <f t="shared" si="20"/>
        <v>36.133188000005873</v>
      </c>
      <c r="G1320" s="60" t="s">
        <v>9</v>
      </c>
      <c r="H1320" s="60" t="s">
        <v>5064</v>
      </c>
    </row>
    <row r="1321" spans="1:8">
      <c r="A1321" s="59" t="s">
        <v>2769</v>
      </c>
      <c r="B1321" s="62">
        <v>15</v>
      </c>
      <c r="C1321" s="60" t="s">
        <v>5066</v>
      </c>
      <c r="D1321" s="64">
        <f>IFERROR(VLOOKUP(C1321,測定点マスタ!$E$2:$F$28,2,FALSE)/VLOOKUP(A1321,'焼鈍条件-3CGL'!$A$2:$B$197,2,FALSE)*60,"")</f>
        <v>107.76491684044075</v>
      </c>
      <c r="E1321" s="66">
        <v>504.1</v>
      </c>
      <c r="F1321" s="64">
        <f t="shared" si="20"/>
        <v>-1.9266021301772649</v>
      </c>
      <c r="G1321" s="60" t="s">
        <v>9</v>
      </c>
      <c r="H1321" s="60" t="s">
        <v>5064</v>
      </c>
    </row>
    <row r="1322" spans="1:8">
      <c r="A1322" s="59" t="s">
        <v>2769</v>
      </c>
      <c r="B1322" s="62">
        <v>16</v>
      </c>
      <c r="C1322" s="60" t="s">
        <v>5057</v>
      </c>
      <c r="D1322" s="64">
        <f>IFERROR(VLOOKUP(C1322,測定点マスタ!$E$2:$F$28,2,FALSE)/VLOOKUP(A1322,'焼鈍条件-3CGL'!$A$2:$B$197,2,FALSE)*60,"")</f>
        <v>116.27731270210634</v>
      </c>
      <c r="E1322" s="66">
        <v>211.9</v>
      </c>
      <c r="F1322" s="64">
        <f t="shared" si="20"/>
        <v>-34.326411124262037</v>
      </c>
      <c r="G1322" s="60" t="s">
        <v>9</v>
      </c>
      <c r="H1322" s="60" t="s">
        <v>5064</v>
      </c>
    </row>
    <row r="1323" spans="1:8">
      <c r="A1323" s="59" t="s">
        <v>2769</v>
      </c>
      <c r="B1323" s="62">
        <v>17</v>
      </c>
      <c r="C1323" s="60" t="s">
        <v>5059</v>
      </c>
      <c r="D1323" s="64">
        <f>IFERROR(VLOOKUP(C1323,測定点マスタ!$E$2:$F$28,2,FALSE)/VLOOKUP(A1323,'焼鈍条件-3CGL'!$A$2:$B$197,2,FALSE)*60,"")</f>
        <v>124.78970856377265</v>
      </c>
      <c r="E1323" s="66">
        <v>64.400000000000006</v>
      </c>
      <c r="F1323" s="64">
        <f t="shared" si="20"/>
        <v>-17.327671597632538</v>
      </c>
      <c r="G1323" s="60" t="s">
        <v>9</v>
      </c>
      <c r="H1323" s="60" t="s">
        <v>5064</v>
      </c>
    </row>
    <row r="1324" spans="1:8">
      <c r="A1324" s="59" t="s">
        <v>2774</v>
      </c>
      <c r="B1324" s="62">
        <v>1</v>
      </c>
      <c r="C1324" s="60" t="s">
        <v>5041</v>
      </c>
      <c r="D1324" s="64">
        <f>IFERROR(VLOOKUP(C1324,測定点マスタ!$E$2:$F$28,2,FALSE)/VLOOKUP(A1324,'焼鈍条件-3CGL'!$A$2:$B$197,2,FALSE)*60,"")</f>
        <v>0</v>
      </c>
      <c r="E1324" s="66">
        <v>30.2</v>
      </c>
      <c r="F1324" s="64" t="str">
        <f t="shared" si="20"/>
        <v/>
      </c>
      <c r="G1324" s="60" t="s">
        <v>12</v>
      </c>
      <c r="H1324" s="60" t="s">
        <v>5061</v>
      </c>
    </row>
    <row r="1325" spans="1:8">
      <c r="A1325" s="59" t="s">
        <v>2774</v>
      </c>
      <c r="B1325" s="62">
        <v>2</v>
      </c>
      <c r="C1325" s="60" t="s">
        <v>5043</v>
      </c>
      <c r="D1325" s="64">
        <f>IFERROR(VLOOKUP(C1325,測定点マスタ!$E$2:$F$28,2,FALSE)/VLOOKUP(A1325,'焼鈍条件-3CGL'!$A$2:$B$197,2,FALSE)*60,"")</f>
        <v>9.6581031485416258</v>
      </c>
      <c r="E1325" s="66">
        <v>190.5</v>
      </c>
      <c r="F1325" s="64">
        <f t="shared" si="20"/>
        <v>16.597462000000004</v>
      </c>
      <c r="G1325" s="60" t="s">
        <v>12</v>
      </c>
      <c r="H1325" s="60" t="s">
        <v>5061</v>
      </c>
    </row>
    <row r="1326" spans="1:8">
      <c r="A1326" s="59" t="s">
        <v>2774</v>
      </c>
      <c r="B1326" s="62">
        <v>3</v>
      </c>
      <c r="C1326" s="60" t="s">
        <v>5067</v>
      </c>
      <c r="D1326" s="64">
        <f>IFERROR(VLOOKUP(C1326,測定点マスタ!$E$2:$F$28,2,FALSE)/VLOOKUP(A1326,'焼鈍条件-3CGL'!$A$2:$B$197,2,FALSE)*60,"")</f>
        <v>16.096838580902709</v>
      </c>
      <c r="E1326" s="66">
        <v>381</v>
      </c>
      <c r="F1326" s="64">
        <f t="shared" si="20"/>
        <v>29.586555000000004</v>
      </c>
      <c r="G1326" s="60" t="s">
        <v>12</v>
      </c>
      <c r="H1326" s="60" t="s">
        <v>5061</v>
      </c>
    </row>
    <row r="1327" spans="1:8">
      <c r="A1327" s="59" t="s">
        <v>2774</v>
      </c>
      <c r="B1327" s="62">
        <v>4</v>
      </c>
      <c r="C1327" s="60" t="s">
        <v>5044</v>
      </c>
      <c r="D1327" s="64">
        <f>IFERROR(VLOOKUP(C1327,測定点マスタ!$E$2:$F$28,2,FALSE)/VLOOKUP(A1327,'焼鈍条件-3CGL'!$A$2:$B$197,2,FALSE)*60,"")</f>
        <v>21.891700470027686</v>
      </c>
      <c r="E1327" s="66">
        <v>692.3</v>
      </c>
      <c r="F1327" s="64">
        <f t="shared" si="20"/>
        <v>53.72000333333331</v>
      </c>
      <c r="G1327" s="60" t="s">
        <v>12</v>
      </c>
      <c r="H1327" s="60" t="s">
        <v>5061</v>
      </c>
    </row>
    <row r="1328" spans="1:8">
      <c r="A1328" s="59" t="s">
        <v>2774</v>
      </c>
      <c r="B1328" s="62">
        <v>5</v>
      </c>
      <c r="C1328" s="60" t="s">
        <v>5045</v>
      </c>
      <c r="D1328" s="64">
        <f>IFERROR(VLOOKUP(C1328,測定点マスタ!$E$2:$F$28,2,FALSE)/VLOOKUP(A1328,'焼鈍条件-3CGL'!$A$2:$B$197,2,FALSE)*60,"")</f>
        <v>28.330435902388768</v>
      </c>
      <c r="E1328" s="66">
        <v>846.5</v>
      </c>
      <c r="F1328" s="64">
        <f t="shared" si="20"/>
        <v>23.948802000000018</v>
      </c>
      <c r="G1328" s="60" t="s">
        <v>12</v>
      </c>
      <c r="H1328" s="60" t="s">
        <v>5061</v>
      </c>
    </row>
    <row r="1329" spans="1:8">
      <c r="A1329" s="59" t="s">
        <v>2774</v>
      </c>
      <c r="B1329" s="62">
        <v>6</v>
      </c>
      <c r="C1329" s="60" t="s">
        <v>5046</v>
      </c>
      <c r="D1329" s="64">
        <f>IFERROR(VLOOKUP(C1329,測定点マスタ!$E$2:$F$28,2,FALSE)/VLOOKUP(A1329,'焼鈍条件-3CGL'!$A$2:$B$197,2,FALSE)*60,"")</f>
        <v>34.769171334749856</v>
      </c>
      <c r="E1329" s="66">
        <v>818.9</v>
      </c>
      <c r="F1329" s="64">
        <f t="shared" si="20"/>
        <v>-4.2865560000000009</v>
      </c>
      <c r="G1329" s="60" t="s">
        <v>12</v>
      </c>
      <c r="H1329" s="60" t="s">
        <v>5061</v>
      </c>
    </row>
    <row r="1330" spans="1:8">
      <c r="A1330" s="59" t="s">
        <v>2774</v>
      </c>
      <c r="B1330" s="62">
        <v>7</v>
      </c>
      <c r="C1330" s="60" t="s">
        <v>5047</v>
      </c>
      <c r="D1330" s="64">
        <f>IFERROR(VLOOKUP(C1330,測定点マスタ!$E$2:$F$28,2,FALSE)/VLOOKUP(A1330,'焼鈍条件-3CGL'!$A$2:$B$197,2,FALSE)*60,"")</f>
        <v>38.632412594166503</v>
      </c>
      <c r="E1330" s="66">
        <v>773.2</v>
      </c>
      <c r="F1330" s="64">
        <f t="shared" si="20"/>
        <v>-11.829444999999994</v>
      </c>
      <c r="G1330" s="60" t="s">
        <v>12</v>
      </c>
      <c r="H1330" s="60" t="s">
        <v>5061</v>
      </c>
    </row>
    <row r="1331" spans="1:8">
      <c r="A1331" s="59" t="s">
        <v>2774</v>
      </c>
      <c r="B1331" s="62">
        <v>8</v>
      </c>
      <c r="C1331" s="60" t="s">
        <v>5049</v>
      </c>
      <c r="D1331" s="64">
        <f>IFERROR(VLOOKUP(C1331,測定点マスタ!$E$2:$F$28,2,FALSE)/VLOOKUP(A1331,'焼鈍条件-3CGL'!$A$2:$B$197,2,FALSE)*60,"")</f>
        <v>47.002768656235915</v>
      </c>
      <c r="E1331" s="66">
        <v>602.20000000000005</v>
      </c>
      <c r="F1331" s="64">
        <f t="shared" si="20"/>
        <v>-20.429238461538457</v>
      </c>
      <c r="G1331" s="60" t="s">
        <v>12</v>
      </c>
      <c r="H1331" s="60" t="s">
        <v>5061</v>
      </c>
    </row>
    <row r="1332" spans="1:8">
      <c r="A1332" s="59" t="s">
        <v>2774</v>
      </c>
      <c r="B1332" s="62">
        <v>9</v>
      </c>
      <c r="C1332" s="60" t="s">
        <v>5050</v>
      </c>
      <c r="D1332" s="64">
        <f>IFERROR(VLOOKUP(C1332,測定点マスタ!$E$2:$F$28,2,FALSE)/VLOOKUP(A1332,'焼鈍条件-3CGL'!$A$2:$B$197,2,FALSE)*60,"")</f>
        <v>52.153757002124777</v>
      </c>
      <c r="E1332" s="66">
        <v>532.9</v>
      </c>
      <c r="F1332" s="64">
        <f t="shared" si="20"/>
        <v>-13.453728750000026</v>
      </c>
      <c r="G1332" s="60" t="s">
        <v>12</v>
      </c>
      <c r="H1332" s="60" t="s">
        <v>5061</v>
      </c>
    </row>
    <row r="1333" spans="1:8">
      <c r="A1333" s="59" t="s">
        <v>2774</v>
      </c>
      <c r="B1333" s="62">
        <v>10</v>
      </c>
      <c r="C1333" s="60" t="s">
        <v>5051</v>
      </c>
      <c r="D1333" s="64">
        <f>IFERROR(VLOOKUP(C1333,測定点マスタ!$E$2:$F$28,2,FALSE)/VLOOKUP(A1333,'焼鈍条件-3CGL'!$A$2:$B$197,2,FALSE)*60,"")</f>
        <v>56.660871804777535</v>
      </c>
      <c r="E1333" s="66">
        <v>462.1</v>
      </c>
      <c r="F1333" s="64">
        <f t="shared" si="20"/>
        <v>-15.708497142857135</v>
      </c>
      <c r="G1333" s="60" t="s">
        <v>12</v>
      </c>
      <c r="H1333" s="60" t="s">
        <v>5061</v>
      </c>
    </row>
    <row r="1334" spans="1:8">
      <c r="A1334" s="59" t="s">
        <v>2774</v>
      </c>
      <c r="B1334" s="62">
        <v>11</v>
      </c>
      <c r="C1334" s="60" t="s">
        <v>5052</v>
      </c>
      <c r="D1334" s="64">
        <f>IFERROR(VLOOKUP(C1334,測定点マスタ!$E$2:$F$28,2,FALSE)/VLOOKUP(A1334,'焼鈍条件-3CGL'!$A$2:$B$197,2,FALSE)*60,"")</f>
        <v>62.455733693902516</v>
      </c>
      <c r="E1334" s="66">
        <v>374.7</v>
      </c>
      <c r="F1334" s="64">
        <f t="shared" si="20"/>
        <v>-15.08232666666666</v>
      </c>
      <c r="G1334" s="60" t="s">
        <v>12</v>
      </c>
      <c r="H1334" s="60" t="s">
        <v>5061</v>
      </c>
    </row>
    <row r="1335" spans="1:8">
      <c r="A1335" s="59" t="s">
        <v>2774</v>
      </c>
      <c r="B1335" s="62">
        <v>12</v>
      </c>
      <c r="C1335" s="60" t="s">
        <v>5053</v>
      </c>
      <c r="D1335" s="64">
        <f>IFERROR(VLOOKUP(C1335,測定点マスタ!$E$2:$F$28,2,FALSE)/VLOOKUP(A1335,'焼鈍条件-3CGL'!$A$2:$B$197,2,FALSE)*60,"")</f>
        <v>70.182216212735824</v>
      </c>
      <c r="E1335" s="66">
        <v>557.1</v>
      </c>
      <c r="F1335" s="64">
        <f t="shared" si="20"/>
        <v>23.607119999999984</v>
      </c>
      <c r="G1335" s="60" t="s">
        <v>12</v>
      </c>
      <c r="H1335" s="60" t="s">
        <v>5061</v>
      </c>
    </row>
    <row r="1336" spans="1:8">
      <c r="A1336" s="59" t="s">
        <v>2774</v>
      </c>
      <c r="B1336" s="62">
        <v>13</v>
      </c>
      <c r="C1336" s="60" t="s">
        <v>5054</v>
      </c>
      <c r="D1336" s="64">
        <f>IFERROR(VLOOKUP(C1336,測定点マスタ!$E$2:$F$28,2,FALSE)/VLOOKUP(A1336,'焼鈍条件-3CGL'!$A$2:$B$197,2,FALSE)*60,"")</f>
        <v>78.552572274805215</v>
      </c>
      <c r="E1336" s="66">
        <v>545.79999999999995</v>
      </c>
      <c r="F1336" s="64">
        <f t="shared" si="20"/>
        <v>-1.3500023076923189</v>
      </c>
      <c r="G1336" s="60" t="s">
        <v>12</v>
      </c>
      <c r="H1336" s="60" t="s">
        <v>5061</v>
      </c>
    </row>
    <row r="1337" spans="1:8">
      <c r="A1337" s="59" t="s">
        <v>2774</v>
      </c>
      <c r="B1337" s="62">
        <v>14</v>
      </c>
      <c r="C1337" s="60" t="s">
        <v>5056</v>
      </c>
      <c r="D1337" s="64">
        <f>IFERROR(VLOOKUP(C1337,測定点マスタ!$E$2:$F$28,2,FALSE)/VLOOKUP(A1337,'焼鈍条件-3CGL'!$A$2:$B$197,2,FALSE)*60,"")</f>
        <v>85.635181250402411</v>
      </c>
      <c r="E1337" s="66">
        <v>283.39999999999998</v>
      </c>
      <c r="F1337" s="64">
        <f t="shared" si="20"/>
        <v>-37.048494545454524</v>
      </c>
      <c r="G1337" s="60" t="s">
        <v>12</v>
      </c>
      <c r="H1337" s="60" t="s">
        <v>5061</v>
      </c>
    </row>
    <row r="1338" spans="1:8">
      <c r="A1338" s="59" t="s">
        <v>2774</v>
      </c>
      <c r="B1338" s="62">
        <v>15</v>
      </c>
      <c r="C1338" s="60" t="s">
        <v>5062</v>
      </c>
      <c r="D1338" s="64">
        <f>IFERROR(VLOOKUP(C1338,測定点マスタ!$E$2:$F$28,2,FALSE)/VLOOKUP(A1338,'焼鈍条件-3CGL'!$A$2:$B$197,2,FALSE)*60,"")</f>
        <v>93.361663769235719</v>
      </c>
      <c r="E1338" s="66">
        <v>459.8</v>
      </c>
      <c r="F1338" s="64">
        <f t="shared" si="20"/>
        <v>22.830569999999984</v>
      </c>
      <c r="G1338" s="60" t="s">
        <v>12</v>
      </c>
      <c r="H1338" s="60" t="s">
        <v>5061</v>
      </c>
    </row>
    <row r="1339" spans="1:8">
      <c r="A1339" s="59" t="s">
        <v>2774</v>
      </c>
      <c r="B1339" s="62">
        <v>16</v>
      </c>
      <c r="C1339" s="60" t="s">
        <v>5057</v>
      </c>
      <c r="D1339" s="64">
        <f>IFERROR(VLOOKUP(C1339,測定点マスタ!$E$2:$F$28,2,FALSE)/VLOOKUP(A1339,'焼鈍条件-3CGL'!$A$2:$B$197,2,FALSE)*60,"")</f>
        <v>106.17014818289677</v>
      </c>
      <c r="E1339" s="66">
        <v>222.8</v>
      </c>
      <c r="F1339" s="64">
        <f t="shared" si="20"/>
        <v>-18.503360143626729</v>
      </c>
      <c r="G1339" s="60" t="s">
        <v>12</v>
      </c>
      <c r="H1339" s="60" t="s">
        <v>5061</v>
      </c>
    </row>
    <row r="1340" spans="1:8">
      <c r="A1340" s="59" t="s">
        <v>2774</v>
      </c>
      <c r="B1340" s="62">
        <v>17</v>
      </c>
      <c r="C1340" s="60" t="s">
        <v>5059</v>
      </c>
      <c r="D1340" s="64">
        <f>IFERROR(VLOOKUP(C1340,測定点マスタ!$E$2:$F$28,2,FALSE)/VLOOKUP(A1340,'焼鈍条件-3CGL'!$A$2:$B$197,2,FALSE)*60,"")</f>
        <v>113.94262166910437</v>
      </c>
      <c r="E1340" s="66">
        <v>46.2</v>
      </c>
      <c r="F1340" s="64">
        <f t="shared" si="20"/>
        <v>-22.72120970414116</v>
      </c>
      <c r="G1340" s="60" t="s">
        <v>12</v>
      </c>
      <c r="H1340" s="60" t="s">
        <v>5061</v>
      </c>
    </row>
    <row r="1341" spans="1:8">
      <c r="A1341" s="59" t="s">
        <v>2789</v>
      </c>
      <c r="B1341" s="62">
        <v>1</v>
      </c>
      <c r="C1341" s="60" t="s">
        <v>5041</v>
      </c>
      <c r="D1341" s="64">
        <f>IFERROR(VLOOKUP(C1341,測定点マスタ!$E$2:$F$28,2,FALSE)/VLOOKUP(A1341,'焼鈍条件-3CGL'!$A$2:$B$197,2,FALSE)*60,"")</f>
        <v>0</v>
      </c>
      <c r="E1341" s="66">
        <v>31.4</v>
      </c>
      <c r="F1341" s="64" t="str">
        <f t="shared" si="20"/>
        <v/>
      </c>
      <c r="G1341" s="60" t="s">
        <v>9</v>
      </c>
      <c r="H1341" s="60" t="s">
        <v>5064</v>
      </c>
    </row>
    <row r="1342" spans="1:8">
      <c r="A1342" s="59" t="s">
        <v>2789</v>
      </c>
      <c r="B1342" s="62">
        <v>2</v>
      </c>
      <c r="C1342" s="60" t="s">
        <v>5043</v>
      </c>
      <c r="D1342" s="64">
        <f>IFERROR(VLOOKUP(C1342,測定点マスタ!$E$2:$F$28,2,FALSE)/VLOOKUP(A1342,'焼鈍条件-3CGL'!$A$2:$B$197,2,FALSE)*60,"")</f>
        <v>6.7433914763531746</v>
      </c>
      <c r="E1342" s="66">
        <v>160</v>
      </c>
      <c r="F1342" s="64">
        <f t="shared" si="20"/>
        <v>19.070522666666665</v>
      </c>
      <c r="G1342" s="60" t="s">
        <v>9</v>
      </c>
      <c r="H1342" s="60" t="s">
        <v>5064</v>
      </c>
    </row>
    <row r="1343" spans="1:8">
      <c r="A1343" s="59" t="s">
        <v>2789</v>
      </c>
      <c r="B1343" s="62">
        <v>3</v>
      </c>
      <c r="C1343" s="60" t="s">
        <v>5067</v>
      </c>
      <c r="D1343" s="64">
        <f>IFERROR(VLOOKUP(C1343,測定点マスタ!$E$2:$F$28,2,FALSE)/VLOOKUP(A1343,'焼鈍条件-3CGL'!$A$2:$B$197,2,FALSE)*60,"")</f>
        <v>11.238985793921957</v>
      </c>
      <c r="E1343" s="66">
        <v>350.2</v>
      </c>
      <c r="F1343" s="64">
        <f t="shared" si="20"/>
        <v>42.308087999999998</v>
      </c>
      <c r="G1343" s="60" t="s">
        <v>9</v>
      </c>
      <c r="H1343" s="60" t="s">
        <v>5064</v>
      </c>
    </row>
    <row r="1344" spans="1:8">
      <c r="A1344" s="59" t="s">
        <v>2789</v>
      </c>
      <c r="B1344" s="62">
        <v>4</v>
      </c>
      <c r="C1344" s="60" t="s">
        <v>5044</v>
      </c>
      <c r="D1344" s="64">
        <f>IFERROR(VLOOKUP(C1344,測定点マスタ!$E$2:$F$28,2,FALSE)/VLOOKUP(A1344,'焼鈍条件-3CGL'!$A$2:$B$197,2,FALSE)*60,"")</f>
        <v>15.285020679733861</v>
      </c>
      <c r="E1344" s="66">
        <v>626.6</v>
      </c>
      <c r="F1344" s="64">
        <f t="shared" si="20"/>
        <v>68.313795555555558</v>
      </c>
      <c r="G1344" s="60" t="s">
        <v>9</v>
      </c>
      <c r="H1344" s="60" t="s">
        <v>5064</v>
      </c>
    </row>
    <row r="1345" spans="1:8">
      <c r="A1345" s="59" t="s">
        <v>2789</v>
      </c>
      <c r="B1345" s="62">
        <v>5</v>
      </c>
      <c r="C1345" s="60" t="s">
        <v>5045</v>
      </c>
      <c r="D1345" s="64">
        <f>IFERROR(VLOOKUP(C1345,測定点マスタ!$E$2:$F$28,2,FALSE)/VLOOKUP(A1345,'焼鈍条件-3CGL'!$A$2:$B$197,2,FALSE)*60,"")</f>
        <v>19.780614997302642</v>
      </c>
      <c r="E1345" s="66">
        <v>756.1</v>
      </c>
      <c r="F1345" s="64">
        <f t="shared" si="20"/>
        <v>28.805980000000012</v>
      </c>
      <c r="G1345" s="60" t="s">
        <v>9</v>
      </c>
      <c r="H1345" s="60" t="s">
        <v>5064</v>
      </c>
    </row>
    <row r="1346" spans="1:8">
      <c r="A1346" s="59" t="s">
        <v>2789</v>
      </c>
      <c r="B1346" s="62">
        <v>6</v>
      </c>
      <c r="C1346" s="60" t="s">
        <v>5047</v>
      </c>
      <c r="D1346" s="64">
        <f>IFERROR(VLOOKUP(C1346,測定点マスタ!$E$2:$F$28,2,FALSE)/VLOOKUP(A1346,'焼鈍条件-3CGL'!$A$2:$B$197,2,FALSE)*60,"")</f>
        <v>26.973565905412698</v>
      </c>
      <c r="E1346" s="66">
        <v>670.2</v>
      </c>
      <c r="F1346" s="64">
        <f t="shared" ref="F1346:F1409" si="21">IF(A1346=A1345,IFERROR((E1346-E1345)/(D1346-D1345),""),"")</f>
        <v>-11.94224749999999</v>
      </c>
      <c r="G1346" s="60" t="s">
        <v>9</v>
      </c>
      <c r="H1346" s="60" t="s">
        <v>5064</v>
      </c>
    </row>
    <row r="1347" spans="1:8">
      <c r="A1347" s="59" t="s">
        <v>2789</v>
      </c>
      <c r="B1347" s="62">
        <v>7</v>
      </c>
      <c r="C1347" s="60" t="s">
        <v>5049</v>
      </c>
      <c r="D1347" s="64">
        <f>IFERROR(VLOOKUP(C1347,測定点マスタ!$E$2:$F$28,2,FALSE)/VLOOKUP(A1347,'焼鈍条件-3CGL'!$A$2:$B$197,2,FALSE)*60,"")</f>
        <v>32.817838518252117</v>
      </c>
      <c r="E1347" s="66">
        <v>574.20000000000005</v>
      </c>
      <c r="F1347" s="64">
        <f t="shared" si="21"/>
        <v>-16.42633846153846</v>
      </c>
      <c r="G1347" s="60" t="s">
        <v>9</v>
      </c>
      <c r="H1347" s="60" t="s">
        <v>5064</v>
      </c>
    </row>
    <row r="1348" spans="1:8">
      <c r="A1348" s="59" t="s">
        <v>2789</v>
      </c>
      <c r="B1348" s="62">
        <v>8</v>
      </c>
      <c r="C1348" s="60" t="s">
        <v>5050</v>
      </c>
      <c r="D1348" s="64">
        <f>IFERROR(VLOOKUP(C1348,測定点マスタ!$E$2:$F$28,2,FALSE)/VLOOKUP(A1348,'焼鈍条件-3CGL'!$A$2:$B$197,2,FALSE)*60,"")</f>
        <v>36.414313972307141</v>
      </c>
      <c r="E1348" s="66">
        <v>441.8</v>
      </c>
      <c r="F1348" s="64">
        <f t="shared" si="21"/>
        <v>-36.813820000000028</v>
      </c>
      <c r="G1348" s="60" t="s">
        <v>9</v>
      </c>
      <c r="H1348" s="60" t="s">
        <v>5064</v>
      </c>
    </row>
    <row r="1349" spans="1:8">
      <c r="A1349" s="59" t="s">
        <v>2789</v>
      </c>
      <c r="B1349" s="62">
        <v>9</v>
      </c>
      <c r="C1349" s="60" t="s">
        <v>5051</v>
      </c>
      <c r="D1349" s="64">
        <f>IFERROR(VLOOKUP(C1349,測定点マスタ!$E$2:$F$28,2,FALSE)/VLOOKUP(A1349,'焼鈍条件-3CGL'!$A$2:$B$197,2,FALSE)*60,"")</f>
        <v>39.561229994605284</v>
      </c>
      <c r="E1349" s="66">
        <v>446.3</v>
      </c>
      <c r="F1349" s="64">
        <f t="shared" si="21"/>
        <v>1.4299714285714309</v>
      </c>
      <c r="G1349" s="60" t="s">
        <v>9</v>
      </c>
      <c r="H1349" s="60" t="s">
        <v>5064</v>
      </c>
    </row>
    <row r="1350" spans="1:8">
      <c r="A1350" s="59" t="s">
        <v>2789</v>
      </c>
      <c r="B1350" s="62">
        <v>10</v>
      </c>
      <c r="C1350" s="60" t="s">
        <v>5060</v>
      </c>
      <c r="D1350" s="64">
        <f>IFERROR(VLOOKUP(C1350,測定点マスタ!$E$2:$F$28,2,FALSE)/VLOOKUP(A1350,'焼鈍条件-3CGL'!$A$2:$B$197,2,FALSE)*60,"")</f>
        <v>41.359467721632797</v>
      </c>
      <c r="E1350" s="66">
        <v>363.4</v>
      </c>
      <c r="F1350" s="64">
        <f t="shared" si="21"/>
        <v>-46.100690000000036</v>
      </c>
      <c r="G1350" s="60" t="s">
        <v>9</v>
      </c>
      <c r="H1350" s="60" t="s">
        <v>5064</v>
      </c>
    </row>
    <row r="1351" spans="1:8">
      <c r="A1351" s="59" t="s">
        <v>2789</v>
      </c>
      <c r="B1351" s="62">
        <v>11</v>
      </c>
      <c r="C1351" s="60" t="s">
        <v>5052</v>
      </c>
      <c r="D1351" s="64">
        <f>IFERROR(VLOOKUP(C1351,測定点マスタ!$E$2:$F$28,2,FALSE)/VLOOKUP(A1351,'焼鈍条件-3CGL'!$A$2:$B$197,2,FALSE)*60,"")</f>
        <v>43.607264880417191</v>
      </c>
      <c r="E1351" s="66">
        <v>325.7</v>
      </c>
      <c r="F1351" s="64">
        <f t="shared" si="21"/>
        <v>-16.771975999999974</v>
      </c>
      <c r="G1351" s="60" t="s">
        <v>9</v>
      </c>
      <c r="H1351" s="60" t="s">
        <v>5064</v>
      </c>
    </row>
    <row r="1352" spans="1:8">
      <c r="A1352" s="59" t="s">
        <v>2789</v>
      </c>
      <c r="B1352" s="62">
        <v>12</v>
      </c>
      <c r="C1352" s="60" t="s">
        <v>5053</v>
      </c>
      <c r="D1352" s="64">
        <f>IFERROR(VLOOKUP(C1352,測定点マスタ!$E$2:$F$28,2,FALSE)/VLOOKUP(A1352,'焼鈍条件-3CGL'!$A$2:$B$197,2,FALSE)*60,"")</f>
        <v>49.001978061499727</v>
      </c>
      <c r="E1352" s="66">
        <v>495.2</v>
      </c>
      <c r="F1352" s="64">
        <f t="shared" si="21"/>
        <v>31.419650000000015</v>
      </c>
      <c r="G1352" s="60" t="s">
        <v>9</v>
      </c>
      <c r="H1352" s="60" t="s">
        <v>5064</v>
      </c>
    </row>
    <row r="1353" spans="1:8">
      <c r="A1353" s="59" t="s">
        <v>2789</v>
      </c>
      <c r="B1353" s="62">
        <v>13</v>
      </c>
      <c r="C1353" s="60" t="s">
        <v>5054</v>
      </c>
      <c r="D1353" s="64">
        <f>IFERROR(VLOOKUP(C1353,測定点マスタ!$E$2:$F$28,2,FALSE)/VLOOKUP(A1353,'焼鈍条件-3CGL'!$A$2:$B$197,2,FALSE)*60,"")</f>
        <v>54.846250674339146</v>
      </c>
      <c r="E1353" s="66">
        <v>485.5</v>
      </c>
      <c r="F1353" s="64">
        <f t="shared" si="21"/>
        <v>-1.6597446153846132</v>
      </c>
      <c r="G1353" s="60" t="s">
        <v>9</v>
      </c>
      <c r="H1353" s="60" t="s">
        <v>5064</v>
      </c>
    </row>
    <row r="1354" spans="1:8">
      <c r="A1354" s="59" t="s">
        <v>2789</v>
      </c>
      <c r="B1354" s="62">
        <v>14</v>
      </c>
      <c r="C1354" s="60" t="s">
        <v>5056</v>
      </c>
      <c r="D1354" s="64">
        <f>IFERROR(VLOOKUP(C1354,測定点マスタ!$E$2:$F$28,2,FALSE)/VLOOKUP(A1354,'焼鈍条件-3CGL'!$A$2:$B$197,2,FALSE)*60,"")</f>
        <v>59.791404423664808</v>
      </c>
      <c r="E1354" s="66">
        <v>261.10000000000002</v>
      </c>
      <c r="F1354" s="64">
        <f t="shared" si="21"/>
        <v>-45.377759999999981</v>
      </c>
      <c r="G1354" s="60" t="s">
        <v>9</v>
      </c>
      <c r="H1354" s="60" t="s">
        <v>5064</v>
      </c>
    </row>
    <row r="1355" spans="1:8">
      <c r="A1355" s="59" t="s">
        <v>2789</v>
      </c>
      <c r="B1355" s="62">
        <v>15</v>
      </c>
      <c r="C1355" s="60" t="s">
        <v>5062</v>
      </c>
      <c r="D1355" s="64">
        <f>IFERROR(VLOOKUP(C1355,測定点マスタ!$E$2:$F$28,2,FALSE)/VLOOKUP(A1355,'焼鈍条件-3CGL'!$A$2:$B$197,2,FALSE)*60,"")</f>
        <v>65.186117604747338</v>
      </c>
      <c r="E1355" s="66">
        <v>467.9</v>
      </c>
      <c r="F1355" s="64">
        <f t="shared" si="21"/>
        <v>38.333826666666724</v>
      </c>
      <c r="G1355" s="60" t="s">
        <v>9</v>
      </c>
      <c r="H1355" s="60" t="s">
        <v>5064</v>
      </c>
    </row>
    <row r="1356" spans="1:8">
      <c r="A1356" s="59" t="s">
        <v>2789</v>
      </c>
      <c r="B1356" s="62">
        <v>16</v>
      </c>
      <c r="C1356" s="60" t="s">
        <v>5065</v>
      </c>
      <c r="D1356" s="64">
        <f>IFERROR(VLOOKUP(C1356,測定点マスタ!$E$2:$F$28,2,FALSE)/VLOOKUP(A1356,'焼鈍条件-3CGL'!$A$2:$B$197,2,FALSE)*60,"")</f>
        <v>65.988902304313072</v>
      </c>
      <c r="E1356" s="66">
        <v>547.20000000000005</v>
      </c>
      <c r="F1356" s="64">
        <f t="shared" si="21"/>
        <v>98.781155200014837</v>
      </c>
      <c r="G1356" s="60" t="s">
        <v>9</v>
      </c>
      <c r="H1356" s="60" t="s">
        <v>5064</v>
      </c>
    </row>
    <row r="1357" spans="1:8">
      <c r="A1357" s="59" t="s">
        <v>2789</v>
      </c>
      <c r="B1357" s="62">
        <v>17</v>
      </c>
      <c r="C1357" s="60" t="s">
        <v>5066</v>
      </c>
      <c r="D1357" s="64">
        <f>IFERROR(VLOOKUP(C1357,測定点マスタ!$E$2:$F$28,2,FALSE)/VLOOKUP(A1357,'焼鈍条件-3CGL'!$A$2:$B$197,2,FALSE)*60,"")</f>
        <v>68.702314588845994</v>
      </c>
      <c r="E1357" s="66">
        <v>538.6</v>
      </c>
      <c r="F1357" s="64">
        <f t="shared" si="21"/>
        <v>-3.1694409467451794</v>
      </c>
      <c r="G1357" s="60" t="s">
        <v>9</v>
      </c>
      <c r="H1357" s="60" t="s">
        <v>5064</v>
      </c>
    </row>
    <row r="1358" spans="1:8">
      <c r="A1358" s="59" t="s">
        <v>2789</v>
      </c>
      <c r="B1358" s="62">
        <v>18</v>
      </c>
      <c r="C1358" s="60" t="s">
        <v>5057</v>
      </c>
      <c r="D1358" s="64">
        <f>IFERROR(VLOOKUP(C1358,測定点マスタ!$E$2:$F$28,2,FALSE)/VLOOKUP(A1358,'焼鈍条件-3CGL'!$A$2:$B$197,2,FALSE)*60,"")</f>
        <v>74.129139157910899</v>
      </c>
      <c r="E1358" s="66">
        <v>176</v>
      </c>
      <c r="F1358" s="64">
        <f t="shared" si="21"/>
        <v>-66.816237633139394</v>
      </c>
      <c r="G1358" s="60" t="s">
        <v>9</v>
      </c>
      <c r="H1358" s="60" t="s">
        <v>5064</v>
      </c>
    </row>
    <row r="1359" spans="1:8">
      <c r="A1359" s="59" t="s">
        <v>2789</v>
      </c>
      <c r="B1359" s="62">
        <v>19</v>
      </c>
      <c r="C1359" s="60" t="s">
        <v>5059</v>
      </c>
      <c r="D1359" s="64">
        <f>IFERROR(VLOOKUP(C1359,測定点マスタ!$E$2:$F$28,2,FALSE)/VLOOKUP(A1359,'焼鈍条件-3CGL'!$A$2:$B$197,2,FALSE)*60,"")</f>
        <v>79.555963726976273</v>
      </c>
      <c r="E1359" s="66">
        <v>40.6</v>
      </c>
      <c r="F1359" s="64">
        <f t="shared" si="21"/>
        <v>-24.950133964496118</v>
      </c>
      <c r="G1359" s="60" t="s">
        <v>9</v>
      </c>
      <c r="H1359" s="60" t="s">
        <v>5064</v>
      </c>
    </row>
    <row r="1360" spans="1:8">
      <c r="A1360" s="59" t="s">
        <v>2809</v>
      </c>
      <c r="B1360" s="62">
        <v>1</v>
      </c>
      <c r="C1360" s="60" t="s">
        <v>5041</v>
      </c>
      <c r="D1360" s="64">
        <f>IFERROR(VLOOKUP(C1360,測定点マスタ!$E$2:$F$28,2,FALSE)/VLOOKUP(A1360,'焼鈍条件-3CGL'!$A$2:$B$197,2,FALSE)*60,"")</f>
        <v>0</v>
      </c>
      <c r="E1360" s="66">
        <v>26.8</v>
      </c>
      <c r="F1360" s="64" t="str">
        <f t="shared" si="21"/>
        <v/>
      </c>
      <c r="G1360" s="60" t="s">
        <v>12</v>
      </c>
      <c r="H1360" s="60" t="s">
        <v>5061</v>
      </c>
    </row>
    <row r="1361" spans="1:8">
      <c r="A1361" s="59" t="s">
        <v>2809</v>
      </c>
      <c r="B1361" s="62">
        <v>2</v>
      </c>
      <c r="C1361" s="60" t="s">
        <v>5043</v>
      </c>
      <c r="D1361" s="64">
        <f>IFERROR(VLOOKUP(C1361,測定点マスタ!$E$2:$F$28,2,FALSE)/VLOOKUP(A1361,'焼鈍条件-3CGL'!$A$2:$B$197,2,FALSE)*60,"")</f>
        <v>6.9828609557209029</v>
      </c>
      <c r="E1361" s="66">
        <v>172.6</v>
      </c>
      <c r="F1361" s="64">
        <f t="shared" si="21"/>
        <v>20.879693999999997</v>
      </c>
      <c r="G1361" s="60" t="s">
        <v>12</v>
      </c>
      <c r="H1361" s="60" t="s">
        <v>5061</v>
      </c>
    </row>
    <row r="1362" spans="1:8">
      <c r="A1362" s="59" t="s">
        <v>2809</v>
      </c>
      <c r="B1362" s="62">
        <v>3</v>
      </c>
      <c r="C1362" s="60" t="s">
        <v>5044</v>
      </c>
      <c r="D1362" s="64">
        <f>IFERROR(VLOOKUP(C1362,測定点マスタ!$E$2:$F$28,2,FALSE)/VLOOKUP(A1362,'焼鈍条件-3CGL'!$A$2:$B$197,2,FALSE)*60,"")</f>
        <v>15.827818166300714</v>
      </c>
      <c r="E1362" s="66">
        <v>629.9</v>
      </c>
      <c r="F1362" s="64">
        <f t="shared" si="21"/>
        <v>51.701776403508767</v>
      </c>
      <c r="G1362" s="60" t="s">
        <v>12</v>
      </c>
      <c r="H1362" s="60" t="s">
        <v>5061</v>
      </c>
    </row>
    <row r="1363" spans="1:8">
      <c r="A1363" s="59" t="s">
        <v>2809</v>
      </c>
      <c r="B1363" s="62">
        <v>4</v>
      </c>
      <c r="C1363" s="60" t="s">
        <v>5045</v>
      </c>
      <c r="D1363" s="64">
        <f>IFERROR(VLOOKUP(C1363,測定点マスタ!$E$2:$F$28,2,FALSE)/VLOOKUP(A1363,'焼鈍条件-3CGL'!$A$2:$B$197,2,FALSE)*60,"")</f>
        <v>20.483058803447982</v>
      </c>
      <c r="E1363" s="66">
        <v>756.3</v>
      </c>
      <c r="F1363" s="64">
        <f t="shared" si="21"/>
        <v>27.152194666666666</v>
      </c>
      <c r="G1363" s="60" t="s">
        <v>12</v>
      </c>
      <c r="H1363" s="60" t="s">
        <v>5061</v>
      </c>
    </row>
    <row r="1364" spans="1:8">
      <c r="A1364" s="59" t="s">
        <v>2809</v>
      </c>
      <c r="B1364" s="62">
        <v>5</v>
      </c>
      <c r="C1364" s="60" t="s">
        <v>5046</v>
      </c>
      <c r="D1364" s="64">
        <f>IFERROR(VLOOKUP(C1364,測定点マスタ!$E$2:$F$28,2,FALSE)/VLOOKUP(A1364,'焼鈍条件-3CGL'!$A$2:$B$197,2,FALSE)*60,"")</f>
        <v>25.138299440595247</v>
      </c>
      <c r="E1364" s="66">
        <v>698.9</v>
      </c>
      <c r="F1364" s="64">
        <f t="shared" si="21"/>
        <v>-12.330189666666669</v>
      </c>
      <c r="G1364" s="60" t="s">
        <v>12</v>
      </c>
      <c r="H1364" s="60" t="s">
        <v>5061</v>
      </c>
    </row>
    <row r="1365" spans="1:8">
      <c r="A1365" s="59" t="s">
        <v>2809</v>
      </c>
      <c r="B1365" s="62">
        <v>6</v>
      </c>
      <c r="C1365" s="60" t="s">
        <v>5047</v>
      </c>
      <c r="D1365" s="64">
        <f>IFERROR(VLOOKUP(C1365,測定点マスタ!$E$2:$F$28,2,FALSE)/VLOOKUP(A1365,'焼鈍条件-3CGL'!$A$2:$B$197,2,FALSE)*60,"")</f>
        <v>27.931443822883612</v>
      </c>
      <c r="E1365" s="66">
        <v>686.5</v>
      </c>
      <c r="F1365" s="64">
        <f t="shared" si="21"/>
        <v>-4.4394411111110976</v>
      </c>
      <c r="G1365" s="60" t="s">
        <v>12</v>
      </c>
      <c r="H1365" s="60" t="s">
        <v>5061</v>
      </c>
    </row>
    <row r="1366" spans="1:8">
      <c r="A1366" s="59" t="s">
        <v>2809</v>
      </c>
      <c r="B1366" s="62">
        <v>7</v>
      </c>
      <c r="C1366" s="60" t="s">
        <v>5049</v>
      </c>
      <c r="D1366" s="64">
        <f>IFERROR(VLOOKUP(C1366,測定点マスタ!$E$2:$F$28,2,FALSE)/VLOOKUP(A1366,'焼鈍条件-3CGL'!$A$2:$B$197,2,FALSE)*60,"")</f>
        <v>33.983256651175061</v>
      </c>
      <c r="E1366" s="66">
        <v>566.20000000000005</v>
      </c>
      <c r="F1366" s="64">
        <f t="shared" si="21"/>
        <v>-19.878341153846144</v>
      </c>
      <c r="G1366" s="60" t="s">
        <v>12</v>
      </c>
      <c r="H1366" s="60" t="s">
        <v>5061</v>
      </c>
    </row>
    <row r="1367" spans="1:8">
      <c r="A1367" s="59" t="s">
        <v>2809</v>
      </c>
      <c r="B1367" s="62">
        <v>8</v>
      </c>
      <c r="C1367" s="60" t="s">
        <v>5050</v>
      </c>
      <c r="D1367" s="64">
        <f>IFERROR(VLOOKUP(C1367,測定点マスタ!$E$2:$F$28,2,FALSE)/VLOOKUP(A1367,'焼鈍条件-3CGL'!$A$2:$B$197,2,FALSE)*60,"")</f>
        <v>37.707449160892878</v>
      </c>
      <c r="E1367" s="66">
        <v>450.2</v>
      </c>
      <c r="F1367" s="64">
        <f t="shared" si="21"/>
        <v>-31.147691666666667</v>
      </c>
      <c r="G1367" s="60" t="s">
        <v>12</v>
      </c>
      <c r="H1367" s="60" t="s">
        <v>5061</v>
      </c>
    </row>
    <row r="1368" spans="1:8">
      <c r="A1368" s="59" t="s">
        <v>2809</v>
      </c>
      <c r="B1368" s="62">
        <v>9</v>
      </c>
      <c r="C1368" s="60" t="s">
        <v>5051</v>
      </c>
      <c r="D1368" s="64">
        <f>IFERROR(VLOOKUP(C1368,測定点マスタ!$E$2:$F$28,2,FALSE)/VLOOKUP(A1368,'焼鈍条件-3CGL'!$A$2:$B$197,2,FALSE)*60,"")</f>
        <v>40.966117606895963</v>
      </c>
      <c r="E1368" s="66">
        <v>443.3</v>
      </c>
      <c r="F1368" s="64">
        <f t="shared" si="21"/>
        <v>-2.1174292857142807</v>
      </c>
      <c r="G1368" s="60" t="s">
        <v>12</v>
      </c>
      <c r="H1368" s="60" t="s">
        <v>5061</v>
      </c>
    </row>
    <row r="1369" spans="1:8">
      <c r="A1369" s="59" t="s">
        <v>2809</v>
      </c>
      <c r="B1369" s="62">
        <v>10</v>
      </c>
      <c r="C1369" s="60" t="s">
        <v>5060</v>
      </c>
      <c r="D1369" s="64">
        <f>IFERROR(VLOOKUP(C1369,測定点マスタ!$E$2:$F$28,2,FALSE)/VLOOKUP(A1369,'焼鈍条件-3CGL'!$A$2:$B$197,2,FALSE)*60,"")</f>
        <v>42.828213861754868</v>
      </c>
      <c r="E1369" s="66">
        <v>385.6</v>
      </c>
      <c r="F1369" s="64">
        <f t="shared" si="21"/>
        <v>-30.986582916666702</v>
      </c>
      <c r="G1369" s="60" t="s">
        <v>12</v>
      </c>
      <c r="H1369" s="60" t="s">
        <v>5061</v>
      </c>
    </row>
    <row r="1370" spans="1:8">
      <c r="A1370" s="59" t="s">
        <v>2809</v>
      </c>
      <c r="B1370" s="62">
        <v>11</v>
      </c>
      <c r="C1370" s="60" t="s">
        <v>5052</v>
      </c>
      <c r="D1370" s="64">
        <f>IFERROR(VLOOKUP(C1370,測定点マスタ!$E$2:$F$28,2,FALSE)/VLOOKUP(A1370,'焼鈍条件-3CGL'!$A$2:$B$197,2,FALSE)*60,"")</f>
        <v>45.155834180328505</v>
      </c>
      <c r="E1370" s="66">
        <v>336.1</v>
      </c>
      <c r="F1370" s="64">
        <f t="shared" si="21"/>
        <v>-21.266354999999979</v>
      </c>
      <c r="G1370" s="60" t="s">
        <v>12</v>
      </c>
      <c r="H1370" s="60" t="s">
        <v>5061</v>
      </c>
    </row>
    <row r="1371" spans="1:8">
      <c r="A1371" s="59" t="s">
        <v>2809</v>
      </c>
      <c r="B1371" s="62">
        <v>12</v>
      </c>
      <c r="C1371" s="60" t="s">
        <v>5053</v>
      </c>
      <c r="D1371" s="64">
        <f>IFERROR(VLOOKUP(C1371,測定点マスタ!$E$2:$F$28,2,FALSE)/VLOOKUP(A1371,'焼鈍条件-3CGL'!$A$2:$B$197,2,FALSE)*60,"")</f>
        <v>50.742122944905226</v>
      </c>
      <c r="E1371" s="66">
        <v>500.6</v>
      </c>
      <c r="F1371" s="64">
        <f t="shared" si="21"/>
        <v>29.447099305555557</v>
      </c>
      <c r="G1371" s="60" t="s">
        <v>12</v>
      </c>
      <c r="H1371" s="60" t="s">
        <v>5061</v>
      </c>
    </row>
    <row r="1372" spans="1:8">
      <c r="A1372" s="59" t="s">
        <v>2809</v>
      </c>
      <c r="B1372" s="62">
        <v>13</v>
      </c>
      <c r="C1372" s="60" t="s">
        <v>5054</v>
      </c>
      <c r="D1372" s="64">
        <f>IFERROR(VLOOKUP(C1372,測定点マスタ!$E$2:$F$28,2,FALSE)/VLOOKUP(A1372,'焼鈍条件-3CGL'!$A$2:$B$197,2,FALSE)*60,"")</f>
        <v>56.793935773196679</v>
      </c>
      <c r="E1372" s="66">
        <v>487</v>
      </c>
      <c r="F1372" s="64">
        <f t="shared" si="21"/>
        <v>-2.2472605128205152</v>
      </c>
      <c r="G1372" s="60" t="s">
        <v>12</v>
      </c>
      <c r="H1372" s="60" t="s">
        <v>5061</v>
      </c>
    </row>
    <row r="1373" spans="1:8">
      <c r="A1373" s="59" t="s">
        <v>2809</v>
      </c>
      <c r="B1373" s="62">
        <v>14</v>
      </c>
      <c r="C1373" s="60" t="s">
        <v>5056</v>
      </c>
      <c r="D1373" s="64">
        <f>IFERROR(VLOOKUP(C1373,測定点マスタ!$E$2:$F$28,2,FALSE)/VLOOKUP(A1373,'焼鈍条件-3CGL'!$A$2:$B$197,2,FALSE)*60,"")</f>
        <v>61.914700474058662</v>
      </c>
      <c r="E1373" s="66">
        <v>237.4</v>
      </c>
      <c r="F1373" s="64">
        <f t="shared" si="21"/>
        <v>-48.742720000000119</v>
      </c>
      <c r="G1373" s="60" t="s">
        <v>12</v>
      </c>
      <c r="H1373" s="60" t="s">
        <v>5061</v>
      </c>
    </row>
    <row r="1374" spans="1:8">
      <c r="A1374" s="59" t="s">
        <v>2809</v>
      </c>
      <c r="B1374" s="62">
        <v>15</v>
      </c>
      <c r="C1374" s="60" t="s">
        <v>5062</v>
      </c>
      <c r="D1374" s="64">
        <f>IFERROR(VLOOKUP(C1374,測定点マスタ!$E$2:$F$28,2,FALSE)/VLOOKUP(A1374,'焼鈍条件-3CGL'!$A$2:$B$197,2,FALSE)*60,"")</f>
        <v>67.500989238635398</v>
      </c>
      <c r="E1374" s="66">
        <v>466.5</v>
      </c>
      <c r="F1374" s="64">
        <f t="shared" si="21"/>
        <v>41.011127361111008</v>
      </c>
      <c r="G1374" s="60" t="s">
        <v>12</v>
      </c>
      <c r="H1374" s="60" t="s">
        <v>5061</v>
      </c>
    </row>
    <row r="1375" spans="1:8">
      <c r="A1375" s="59" t="s">
        <v>2809</v>
      </c>
      <c r="B1375" s="62">
        <v>16</v>
      </c>
      <c r="C1375" s="60" t="s">
        <v>5057</v>
      </c>
      <c r="D1375" s="64">
        <f>IFERROR(VLOOKUP(C1375,測定点マスタ!$E$2:$F$28,2,FALSE)/VLOOKUP(A1375,'焼鈍条件-3CGL'!$A$2:$B$197,2,FALSE)*60,"")</f>
        <v>76.761592934674724</v>
      </c>
      <c r="E1375" s="66">
        <v>231.5</v>
      </c>
      <c r="F1375" s="64">
        <f t="shared" si="21"/>
        <v>-25.376315380012141</v>
      </c>
      <c r="G1375" s="60" t="s">
        <v>12</v>
      </c>
      <c r="H1375" s="60" t="s">
        <v>5061</v>
      </c>
    </row>
    <row r="1376" spans="1:8">
      <c r="A1376" s="59" t="s">
        <v>2809</v>
      </c>
      <c r="B1376" s="62">
        <v>17</v>
      </c>
      <c r="C1376" s="60" t="s">
        <v>5058</v>
      </c>
      <c r="D1376" s="64">
        <f>IFERROR(VLOOKUP(C1376,測定点マスタ!$E$2:$F$28,2,FALSE)/VLOOKUP(A1376,'焼鈍条件-3CGL'!$A$2:$B$197,2,FALSE)*60,"")</f>
        <v>79.571363176381325</v>
      </c>
      <c r="E1376" s="66">
        <v>86.9</v>
      </c>
      <c r="F1376" s="64">
        <f t="shared" si="21"/>
        <v>-51.463282603552905</v>
      </c>
      <c r="G1376" s="60" t="s">
        <v>12</v>
      </c>
      <c r="H1376" s="60" t="s">
        <v>5061</v>
      </c>
    </row>
    <row r="1377" spans="1:8">
      <c r="A1377" s="59" t="s">
        <v>2809</v>
      </c>
      <c r="B1377" s="62">
        <v>18</v>
      </c>
      <c r="C1377" s="60" t="s">
        <v>5059</v>
      </c>
      <c r="D1377" s="64">
        <f>IFERROR(VLOOKUP(C1377,測定点マスタ!$E$2:$F$28,2,FALSE)/VLOOKUP(A1377,'焼鈍条件-3CGL'!$A$2:$B$197,2,FALSE)*60,"")</f>
        <v>82.38113341808841</v>
      </c>
      <c r="E1377" s="66">
        <v>54.4</v>
      </c>
      <c r="F1377" s="64">
        <f t="shared" si="21"/>
        <v>-11.566782051280651</v>
      </c>
      <c r="G1377" s="60" t="s">
        <v>12</v>
      </c>
      <c r="H1377" s="60" t="s">
        <v>5061</v>
      </c>
    </row>
    <row r="1378" spans="1:8">
      <c r="A1378" s="59" t="s">
        <v>2824</v>
      </c>
      <c r="B1378" s="62">
        <v>1</v>
      </c>
      <c r="C1378" s="60" t="s">
        <v>5041</v>
      </c>
      <c r="D1378" s="64">
        <f>IFERROR(VLOOKUP(C1378,測定点マスタ!$E$2:$F$28,2,FALSE)/VLOOKUP(A1378,'焼鈍条件-3CGL'!$A$2:$B$197,2,FALSE)*60,"")</f>
        <v>0</v>
      </c>
      <c r="E1378" s="66">
        <v>33.299999999999997</v>
      </c>
      <c r="F1378" s="64" t="str">
        <f t="shared" si="21"/>
        <v/>
      </c>
      <c r="G1378" s="60" t="s">
        <v>12</v>
      </c>
      <c r="H1378" s="60" t="s">
        <v>5042</v>
      </c>
    </row>
    <row r="1379" spans="1:8">
      <c r="A1379" s="59" t="s">
        <v>2824</v>
      </c>
      <c r="B1379" s="62">
        <v>2</v>
      </c>
      <c r="C1379" s="60" t="s">
        <v>5043</v>
      </c>
      <c r="D1379" s="64">
        <f>IFERROR(VLOOKUP(C1379,測定点マスタ!$E$2:$F$28,2,FALSE)/VLOOKUP(A1379,'焼鈍条件-3CGL'!$A$2:$B$197,2,FALSE)*60,"")</f>
        <v>6.9126016728496049</v>
      </c>
      <c r="E1379" s="66">
        <v>192.8</v>
      </c>
      <c r="F1379" s="64">
        <f t="shared" si="21"/>
        <v>23.073801666666668</v>
      </c>
      <c r="G1379" s="60" t="s">
        <v>12</v>
      </c>
      <c r="H1379" s="60" t="s">
        <v>5042</v>
      </c>
    </row>
    <row r="1380" spans="1:8">
      <c r="A1380" s="59" t="s">
        <v>2824</v>
      </c>
      <c r="B1380" s="62">
        <v>3</v>
      </c>
      <c r="C1380" s="60" t="s">
        <v>5067</v>
      </c>
      <c r="D1380" s="64">
        <f>IFERROR(VLOOKUP(C1380,測定点マスタ!$E$2:$F$28,2,FALSE)/VLOOKUP(A1380,'焼鈍条件-3CGL'!$A$2:$B$197,2,FALSE)*60,"")</f>
        <v>11.521002788082676</v>
      </c>
      <c r="E1380" s="66">
        <v>357.4</v>
      </c>
      <c r="F1380" s="64">
        <f t="shared" si="21"/>
        <v>35.717376999999985</v>
      </c>
      <c r="G1380" s="60" t="s">
        <v>12</v>
      </c>
      <c r="H1380" s="60" t="s">
        <v>5042</v>
      </c>
    </row>
    <row r="1381" spans="1:8">
      <c r="A1381" s="59" t="s">
        <v>2824</v>
      </c>
      <c r="B1381" s="62">
        <v>4</v>
      </c>
      <c r="C1381" s="60" t="s">
        <v>5044</v>
      </c>
      <c r="D1381" s="64">
        <f>IFERROR(VLOOKUP(C1381,測定点マスタ!$E$2:$F$28,2,FALSE)/VLOOKUP(A1381,'焼鈍条件-3CGL'!$A$2:$B$197,2,FALSE)*60,"")</f>
        <v>15.668563791792439</v>
      </c>
      <c r="E1381" s="66">
        <v>664.1</v>
      </c>
      <c r="F1381" s="64">
        <f t="shared" si="21"/>
        <v>73.947073888888909</v>
      </c>
      <c r="G1381" s="60" t="s">
        <v>12</v>
      </c>
      <c r="H1381" s="60" t="s">
        <v>5042</v>
      </c>
    </row>
    <row r="1382" spans="1:8">
      <c r="A1382" s="59" t="s">
        <v>2824</v>
      </c>
      <c r="B1382" s="62">
        <v>5</v>
      </c>
      <c r="C1382" s="60" t="s">
        <v>5045</v>
      </c>
      <c r="D1382" s="64">
        <f>IFERROR(VLOOKUP(C1382,測定点マスタ!$E$2:$F$28,2,FALSE)/VLOOKUP(A1382,'焼鈍条件-3CGL'!$A$2:$B$197,2,FALSE)*60,"")</f>
        <v>20.276964907025508</v>
      </c>
      <c r="E1382" s="66">
        <v>800.2</v>
      </c>
      <c r="F1382" s="64">
        <f t="shared" si="21"/>
        <v>29.533019500000005</v>
      </c>
      <c r="G1382" s="60" t="s">
        <v>12</v>
      </c>
      <c r="H1382" s="60" t="s">
        <v>5042</v>
      </c>
    </row>
    <row r="1383" spans="1:8">
      <c r="A1383" s="59" t="s">
        <v>2824</v>
      </c>
      <c r="B1383" s="62">
        <v>6</v>
      </c>
      <c r="C1383" s="60" t="s">
        <v>5046</v>
      </c>
      <c r="D1383" s="64">
        <f>IFERROR(VLOOKUP(C1383,測定点マスタ!$E$2:$F$28,2,FALSE)/VLOOKUP(A1383,'焼鈍条件-3CGL'!$A$2:$B$197,2,FALSE)*60,"")</f>
        <v>24.885366022258577</v>
      </c>
      <c r="E1383" s="66">
        <v>777.9</v>
      </c>
      <c r="F1383" s="64">
        <f t="shared" si="21"/>
        <v>-4.838988500000017</v>
      </c>
      <c r="G1383" s="60" t="s">
        <v>12</v>
      </c>
      <c r="H1383" s="60" t="s">
        <v>5042</v>
      </c>
    </row>
    <row r="1384" spans="1:8">
      <c r="A1384" s="59" t="s">
        <v>2824</v>
      </c>
      <c r="B1384" s="62">
        <v>7</v>
      </c>
      <c r="C1384" s="60" t="s">
        <v>5047</v>
      </c>
      <c r="D1384" s="64">
        <f>IFERROR(VLOOKUP(C1384,測定点マスタ!$E$2:$F$28,2,FALSE)/VLOOKUP(A1384,'焼鈍条件-3CGL'!$A$2:$B$197,2,FALSE)*60,"")</f>
        <v>27.65040669139842</v>
      </c>
      <c r="E1384" s="66">
        <v>747.1</v>
      </c>
      <c r="F1384" s="64">
        <f t="shared" si="21"/>
        <v>-11.139076666666647</v>
      </c>
      <c r="G1384" s="60" t="s">
        <v>12</v>
      </c>
      <c r="H1384" s="60" t="s">
        <v>5042</v>
      </c>
    </row>
    <row r="1385" spans="1:8">
      <c r="A1385" s="59" t="s">
        <v>2824</v>
      </c>
      <c r="B1385" s="62">
        <v>8</v>
      </c>
      <c r="C1385" s="60" t="s">
        <v>5048</v>
      </c>
      <c r="D1385" s="64">
        <f>IFERROR(VLOOKUP(C1385,測定点マスタ!$E$2:$F$28,2,FALSE)/VLOOKUP(A1385,'焼鈍条件-3CGL'!$A$2:$B$197,2,FALSE)*60,"")</f>
        <v>30.415447360538263</v>
      </c>
      <c r="E1385" s="66">
        <v>709</v>
      </c>
      <c r="F1385" s="64">
        <f t="shared" si="21"/>
        <v>-13.779182500000003</v>
      </c>
      <c r="G1385" s="60" t="s">
        <v>12</v>
      </c>
      <c r="H1385" s="60" t="s">
        <v>5042</v>
      </c>
    </row>
    <row r="1386" spans="1:8">
      <c r="A1386" s="59" t="s">
        <v>2824</v>
      </c>
      <c r="B1386" s="62">
        <v>9</v>
      </c>
      <c r="C1386" s="60" t="s">
        <v>5049</v>
      </c>
      <c r="D1386" s="64">
        <f>IFERROR(VLOOKUP(C1386,測定点マスタ!$E$2:$F$28,2,FALSE)/VLOOKUP(A1386,'焼鈍条件-3CGL'!$A$2:$B$197,2,FALSE)*60,"")</f>
        <v>33.641328141201413</v>
      </c>
      <c r="E1386" s="66">
        <v>599.5</v>
      </c>
      <c r="F1386" s="64">
        <f t="shared" si="21"/>
        <v>-33.944217857142846</v>
      </c>
      <c r="G1386" s="60" t="s">
        <v>12</v>
      </c>
      <c r="H1386" s="60" t="s">
        <v>5042</v>
      </c>
    </row>
    <row r="1387" spans="1:8">
      <c r="A1387" s="59" t="s">
        <v>2824</v>
      </c>
      <c r="B1387" s="62">
        <v>10</v>
      </c>
      <c r="C1387" s="60" t="s">
        <v>5050</v>
      </c>
      <c r="D1387" s="64">
        <f>IFERROR(VLOOKUP(C1387,測定点マスタ!$E$2:$F$28,2,FALSE)/VLOOKUP(A1387,'焼鈍条件-3CGL'!$A$2:$B$197,2,FALSE)*60,"")</f>
        <v>37.328049033387863</v>
      </c>
      <c r="E1387" s="66">
        <v>469</v>
      </c>
      <c r="F1387" s="64">
        <f t="shared" si="21"/>
        <v>-35.397309375000056</v>
      </c>
      <c r="G1387" s="60" t="s">
        <v>12</v>
      </c>
      <c r="H1387" s="60" t="s">
        <v>5042</v>
      </c>
    </row>
    <row r="1388" spans="1:8">
      <c r="A1388" s="59" t="s">
        <v>2824</v>
      </c>
      <c r="B1388" s="62">
        <v>11</v>
      </c>
      <c r="C1388" s="60" t="s">
        <v>5051</v>
      </c>
      <c r="D1388" s="64">
        <f>IFERROR(VLOOKUP(C1388,測定点マスタ!$E$2:$F$28,2,FALSE)/VLOOKUP(A1388,'焼鈍条件-3CGL'!$A$2:$B$197,2,FALSE)*60,"")</f>
        <v>40.553929814051017</v>
      </c>
      <c r="E1388" s="66">
        <v>455.6</v>
      </c>
      <c r="F1388" s="64">
        <f t="shared" si="21"/>
        <v>-4.1539042857142725</v>
      </c>
      <c r="G1388" s="60" t="s">
        <v>12</v>
      </c>
      <c r="H1388" s="60" t="s">
        <v>5042</v>
      </c>
    </row>
    <row r="1389" spans="1:8">
      <c r="A1389" s="59" t="s">
        <v>2824</v>
      </c>
      <c r="B1389" s="62">
        <v>12</v>
      </c>
      <c r="C1389" s="60" t="s">
        <v>5060</v>
      </c>
      <c r="D1389" s="64">
        <f>IFERROR(VLOOKUP(C1389,測定点マスタ!$E$2:$F$28,2,FALSE)/VLOOKUP(A1389,'焼鈍条件-3CGL'!$A$2:$B$197,2,FALSE)*60,"")</f>
        <v>42.397290260144239</v>
      </c>
      <c r="E1389" s="66">
        <v>421.3</v>
      </c>
      <c r="F1389" s="64">
        <f t="shared" si="21"/>
        <v>-18.607321250000069</v>
      </c>
      <c r="G1389" s="60" t="s">
        <v>12</v>
      </c>
      <c r="H1389" s="60" t="s">
        <v>5042</v>
      </c>
    </row>
    <row r="1390" spans="1:8">
      <c r="A1390" s="59" t="s">
        <v>2824</v>
      </c>
      <c r="B1390" s="62">
        <v>13</v>
      </c>
      <c r="C1390" s="60" t="s">
        <v>5052</v>
      </c>
      <c r="D1390" s="64">
        <f>IFERROR(VLOOKUP(C1390,測定点マスタ!$E$2:$F$28,2,FALSE)/VLOOKUP(A1390,'焼鈍条件-3CGL'!$A$2:$B$197,2,FALSE)*60,"")</f>
        <v>44.701490817760771</v>
      </c>
      <c r="E1390" s="66">
        <v>333.1</v>
      </c>
      <c r="F1390" s="64">
        <f t="shared" si="21"/>
        <v>-38.277918000000042</v>
      </c>
      <c r="G1390" s="60" t="s">
        <v>12</v>
      </c>
      <c r="H1390" s="60" t="s">
        <v>5042</v>
      </c>
    </row>
    <row r="1391" spans="1:8">
      <c r="A1391" s="59" t="s">
        <v>2824</v>
      </c>
      <c r="B1391" s="62">
        <v>14</v>
      </c>
      <c r="C1391" s="60" t="s">
        <v>5053</v>
      </c>
      <c r="D1391" s="64">
        <f>IFERROR(VLOOKUP(C1391,測定点マスタ!$E$2:$F$28,2,FALSE)/VLOOKUP(A1391,'焼鈍条件-3CGL'!$A$2:$B$197,2,FALSE)*60,"")</f>
        <v>50.231572156040464</v>
      </c>
      <c r="E1391" s="66">
        <v>526.70000000000005</v>
      </c>
      <c r="F1391" s="64">
        <f t="shared" si="21"/>
        <v>35.008526666666612</v>
      </c>
      <c r="G1391" s="60" t="s">
        <v>12</v>
      </c>
      <c r="H1391" s="60" t="s">
        <v>5042</v>
      </c>
    </row>
    <row r="1392" spans="1:8">
      <c r="A1392" s="59" t="s">
        <v>2824</v>
      </c>
      <c r="B1392" s="62">
        <v>15</v>
      </c>
      <c r="C1392" s="60" t="s">
        <v>5054</v>
      </c>
      <c r="D1392" s="64">
        <f>IFERROR(VLOOKUP(C1392,測定点マスタ!$E$2:$F$28,2,FALSE)/VLOOKUP(A1392,'焼鈍条件-3CGL'!$A$2:$B$197,2,FALSE)*60,"")</f>
        <v>56.222493605843447</v>
      </c>
      <c r="E1392" s="66">
        <v>512.29999999999995</v>
      </c>
      <c r="F1392" s="64">
        <f t="shared" si="21"/>
        <v>-2.4036369230769417</v>
      </c>
      <c r="G1392" s="60" t="s">
        <v>12</v>
      </c>
      <c r="H1392" s="60" t="s">
        <v>5042</v>
      </c>
    </row>
    <row r="1393" spans="1:8">
      <c r="A1393" s="59" t="s">
        <v>2824</v>
      </c>
      <c r="B1393" s="62">
        <v>16</v>
      </c>
      <c r="C1393" s="60" t="s">
        <v>5055</v>
      </c>
      <c r="D1393" s="64">
        <f>IFERROR(VLOOKUP(C1393,測定点マスタ!$E$2:$F$28,2,FALSE)/VLOOKUP(A1393,'焼鈍条件-3CGL'!$A$2:$B$197,2,FALSE)*60,"")</f>
        <v>58.526694163459986</v>
      </c>
      <c r="E1393" s="66">
        <v>553.5</v>
      </c>
      <c r="F1393" s="64">
        <f t="shared" si="21"/>
        <v>17.880387999999986</v>
      </c>
      <c r="G1393" s="60" t="s">
        <v>12</v>
      </c>
      <c r="H1393" s="60" t="s">
        <v>5042</v>
      </c>
    </row>
    <row r="1394" spans="1:8">
      <c r="A1394" s="59" t="s">
        <v>2824</v>
      </c>
      <c r="B1394" s="62">
        <v>17</v>
      </c>
      <c r="C1394" s="60" t="s">
        <v>5056</v>
      </c>
      <c r="D1394" s="64">
        <f>IFERROR(VLOOKUP(C1394,測定点マスタ!$E$2:$F$28,2,FALSE)/VLOOKUP(A1394,'焼鈍条件-3CGL'!$A$2:$B$197,2,FALSE)*60,"")</f>
        <v>61.291734832599836</v>
      </c>
      <c r="E1394" s="66">
        <v>252.8</v>
      </c>
      <c r="F1394" s="64">
        <f t="shared" si="21"/>
        <v>-108.750660833333</v>
      </c>
      <c r="G1394" s="60" t="s">
        <v>12</v>
      </c>
      <c r="H1394" s="60" t="s">
        <v>5042</v>
      </c>
    </row>
    <row r="1395" spans="1:8">
      <c r="A1395" s="59" t="s">
        <v>2824</v>
      </c>
      <c r="B1395" s="62">
        <v>18</v>
      </c>
      <c r="C1395" s="60" t="s">
        <v>5057</v>
      </c>
      <c r="D1395" s="64">
        <f>IFERROR(VLOOKUP(C1395,測定点マスタ!$E$2:$F$28,2,FALSE)/VLOOKUP(A1395,'焼鈍条件-3CGL'!$A$2:$B$197,2,FALSE)*60,"")</f>
        <v>75.989242675110944</v>
      </c>
      <c r="E1395" s="66">
        <v>174</v>
      </c>
      <c r="F1395" s="64">
        <f t="shared" si="21"/>
        <v>-5.3614531690929734</v>
      </c>
      <c r="G1395" s="60" t="s">
        <v>12</v>
      </c>
      <c r="H1395" s="60" t="s">
        <v>5042</v>
      </c>
    </row>
    <row r="1396" spans="1:8">
      <c r="A1396" s="59" t="s">
        <v>2824</v>
      </c>
      <c r="B1396" s="62">
        <v>19</v>
      </c>
      <c r="C1396" s="60" t="s">
        <v>5058</v>
      </c>
      <c r="D1396" s="64">
        <f>IFERROR(VLOOKUP(C1396,測定点マスタ!$E$2:$F$28,2,FALSE)/VLOOKUP(A1396,'焼鈍条件-3CGL'!$A$2:$B$197,2,FALSE)*60,"")</f>
        <v>78.7707419196622</v>
      </c>
      <c r="E1396" s="66">
        <v>110.2</v>
      </c>
      <c r="F1396" s="64">
        <f t="shared" si="21"/>
        <v>-22.937270295859083</v>
      </c>
      <c r="G1396" s="60" t="s">
        <v>12</v>
      </c>
      <c r="H1396" s="60" t="s">
        <v>5042</v>
      </c>
    </row>
    <row r="1397" spans="1:8">
      <c r="A1397" s="59" t="s">
        <v>2824</v>
      </c>
      <c r="B1397" s="62">
        <v>20</v>
      </c>
      <c r="C1397" s="60" t="s">
        <v>5059</v>
      </c>
      <c r="D1397" s="64">
        <f>IFERROR(VLOOKUP(C1397,測定点マスタ!$E$2:$F$28,2,FALSE)/VLOOKUP(A1397,'焼鈍条件-3CGL'!$A$2:$B$197,2,FALSE)*60,"")</f>
        <v>81.55224116421391</v>
      </c>
      <c r="E1397" s="66">
        <v>57.1</v>
      </c>
      <c r="F1397" s="64">
        <f t="shared" si="21"/>
        <v>-19.090424023666429</v>
      </c>
      <c r="G1397" s="60" t="s">
        <v>12</v>
      </c>
      <c r="H1397" s="60" t="s">
        <v>5042</v>
      </c>
    </row>
    <row r="1398" spans="1:8">
      <c r="A1398" s="59" t="s">
        <v>2840</v>
      </c>
      <c r="B1398" s="62">
        <v>1</v>
      </c>
      <c r="C1398" s="60" t="s">
        <v>5041</v>
      </c>
      <c r="D1398" s="64">
        <f>IFERROR(VLOOKUP(C1398,測定点マスタ!$E$2:$F$28,2,FALSE)/VLOOKUP(A1398,'焼鈍条件-3CGL'!$A$2:$B$197,2,FALSE)*60,"")</f>
        <v>0</v>
      </c>
      <c r="E1398" s="66">
        <v>36.9</v>
      </c>
      <c r="F1398" s="64" t="str">
        <f t="shared" si="21"/>
        <v/>
      </c>
      <c r="G1398" s="60" t="s">
        <v>9</v>
      </c>
      <c r="H1398" s="60" t="s">
        <v>5042</v>
      </c>
    </row>
    <row r="1399" spans="1:8">
      <c r="A1399" s="59" t="s">
        <v>2840</v>
      </c>
      <c r="B1399" s="62">
        <v>2</v>
      </c>
      <c r="C1399" s="60" t="s">
        <v>5043</v>
      </c>
      <c r="D1399" s="64">
        <f>IFERROR(VLOOKUP(C1399,測定点マスタ!$E$2:$F$28,2,FALSE)/VLOOKUP(A1399,'焼鈍条件-3CGL'!$A$2:$B$197,2,FALSE)*60,"")</f>
        <v>10.121571317716123</v>
      </c>
      <c r="E1399" s="66">
        <v>187.7</v>
      </c>
      <c r="F1399" s="64">
        <f t="shared" si="21"/>
        <v>14.898872444444443</v>
      </c>
      <c r="G1399" s="60" t="s">
        <v>9</v>
      </c>
      <c r="H1399" s="60" t="s">
        <v>5042</v>
      </c>
    </row>
    <row r="1400" spans="1:8">
      <c r="A1400" s="59" t="s">
        <v>2840</v>
      </c>
      <c r="B1400" s="62">
        <v>3</v>
      </c>
      <c r="C1400" s="60" t="s">
        <v>5044</v>
      </c>
      <c r="D1400" s="64">
        <f>IFERROR(VLOOKUP(C1400,測定点マスタ!$E$2:$F$28,2,FALSE)/VLOOKUP(A1400,'焼鈍条件-3CGL'!$A$2:$B$197,2,FALSE)*60,"")</f>
        <v>22.942228320156548</v>
      </c>
      <c r="E1400" s="66">
        <v>682.8</v>
      </c>
      <c r="F1400" s="64">
        <f t="shared" si="21"/>
        <v>38.61736570175438</v>
      </c>
      <c r="G1400" s="60" t="s">
        <v>9</v>
      </c>
      <c r="H1400" s="60" t="s">
        <v>5042</v>
      </c>
    </row>
    <row r="1401" spans="1:8">
      <c r="A1401" s="59" t="s">
        <v>2840</v>
      </c>
      <c r="B1401" s="62">
        <v>4</v>
      </c>
      <c r="C1401" s="60" t="s">
        <v>5045</v>
      </c>
      <c r="D1401" s="64">
        <f>IFERROR(VLOOKUP(C1401,測定点マスタ!$E$2:$F$28,2,FALSE)/VLOOKUP(A1401,'焼鈍条件-3CGL'!$A$2:$B$197,2,FALSE)*60,"")</f>
        <v>29.689942531967297</v>
      </c>
      <c r="E1401" s="66">
        <v>845.9</v>
      </c>
      <c r="F1401" s="64">
        <f t="shared" si="21"/>
        <v>24.171148166666672</v>
      </c>
      <c r="G1401" s="60" t="s">
        <v>9</v>
      </c>
      <c r="H1401" s="60" t="s">
        <v>5042</v>
      </c>
    </row>
    <row r="1402" spans="1:8">
      <c r="A1402" s="59" t="s">
        <v>2840</v>
      </c>
      <c r="B1402" s="62">
        <v>5</v>
      </c>
      <c r="C1402" s="60" t="s">
        <v>5047</v>
      </c>
      <c r="D1402" s="64">
        <f>IFERROR(VLOOKUP(C1402,測定点マスタ!$E$2:$F$28,2,FALSE)/VLOOKUP(A1402,'焼鈍条件-3CGL'!$A$2:$B$197,2,FALSE)*60,"")</f>
        <v>40.486285270864492</v>
      </c>
      <c r="E1402" s="66">
        <v>794.9</v>
      </c>
      <c r="F1402" s="64">
        <f t="shared" si="21"/>
        <v>-4.7238218750000014</v>
      </c>
      <c r="G1402" s="60" t="s">
        <v>9</v>
      </c>
      <c r="H1402" s="60" t="s">
        <v>5042</v>
      </c>
    </row>
    <row r="1403" spans="1:8">
      <c r="A1403" s="59" t="s">
        <v>2840</v>
      </c>
      <c r="B1403" s="62">
        <v>6</v>
      </c>
      <c r="C1403" s="60" t="s">
        <v>5048</v>
      </c>
      <c r="D1403" s="64">
        <f>IFERROR(VLOOKUP(C1403,測定点マスタ!$E$2:$F$28,2,FALSE)/VLOOKUP(A1403,'焼鈍条件-3CGL'!$A$2:$B$197,2,FALSE)*60,"")</f>
        <v>44.534913797950949</v>
      </c>
      <c r="E1403" s="66">
        <v>724.7</v>
      </c>
      <c r="F1403" s="64">
        <f t="shared" si="21"/>
        <v>-17.33920499999995</v>
      </c>
      <c r="G1403" s="60" t="s">
        <v>9</v>
      </c>
      <c r="H1403" s="60" t="s">
        <v>5042</v>
      </c>
    </row>
    <row r="1404" spans="1:8">
      <c r="A1404" s="59" t="s">
        <v>2840</v>
      </c>
      <c r="B1404" s="62">
        <v>7</v>
      </c>
      <c r="C1404" s="60" t="s">
        <v>5049</v>
      </c>
      <c r="D1404" s="64">
        <f>IFERROR(VLOOKUP(C1404,測定点マスタ!$E$2:$F$28,2,FALSE)/VLOOKUP(A1404,'焼鈍条件-3CGL'!$A$2:$B$197,2,FALSE)*60,"")</f>
        <v>49.258313746218469</v>
      </c>
      <c r="E1404" s="66">
        <v>641.70000000000005</v>
      </c>
      <c r="F1404" s="64">
        <f t="shared" si="21"/>
        <v>-17.572088095238112</v>
      </c>
      <c r="G1404" s="60" t="s">
        <v>9</v>
      </c>
      <c r="H1404" s="60" t="s">
        <v>5042</v>
      </c>
    </row>
    <row r="1405" spans="1:8">
      <c r="A1405" s="59" t="s">
        <v>2840</v>
      </c>
      <c r="B1405" s="62">
        <v>8</v>
      </c>
      <c r="C1405" s="60" t="s">
        <v>5050</v>
      </c>
      <c r="D1405" s="64">
        <f>IFERROR(VLOOKUP(C1405,測定点マスタ!$E$2:$F$28,2,FALSE)/VLOOKUP(A1405,'焼鈍条件-3CGL'!$A$2:$B$197,2,FALSE)*60,"")</f>
        <v>54.656485115667074</v>
      </c>
      <c r="E1405" s="66">
        <v>507.5</v>
      </c>
      <c r="F1405" s="64">
        <f t="shared" si="21"/>
        <v>-24.860270416666651</v>
      </c>
      <c r="G1405" s="60" t="s">
        <v>9</v>
      </c>
      <c r="H1405" s="60" t="s">
        <v>5042</v>
      </c>
    </row>
    <row r="1406" spans="1:8">
      <c r="A1406" s="59" t="s">
        <v>2840</v>
      </c>
      <c r="B1406" s="62">
        <v>9</v>
      </c>
      <c r="C1406" s="60" t="s">
        <v>5051</v>
      </c>
      <c r="D1406" s="64">
        <f>IFERROR(VLOOKUP(C1406,測定点マスタ!$E$2:$F$28,2,FALSE)/VLOOKUP(A1406,'焼鈍条件-3CGL'!$A$2:$B$197,2,FALSE)*60,"")</f>
        <v>59.379885063934594</v>
      </c>
      <c r="E1406" s="66">
        <v>462.7</v>
      </c>
      <c r="F1406" s="64">
        <f t="shared" si="21"/>
        <v>-9.484693333333345</v>
      </c>
      <c r="G1406" s="60" t="s">
        <v>9</v>
      </c>
      <c r="H1406" s="60" t="s">
        <v>5042</v>
      </c>
    </row>
    <row r="1407" spans="1:8">
      <c r="A1407" s="59" t="s">
        <v>2840</v>
      </c>
      <c r="B1407" s="62">
        <v>10</v>
      </c>
      <c r="C1407" s="60" t="s">
        <v>5060</v>
      </c>
      <c r="D1407" s="64">
        <f>IFERROR(VLOOKUP(C1407,測定点マスタ!$E$2:$F$28,2,FALSE)/VLOOKUP(A1407,'焼鈍条件-3CGL'!$A$2:$B$197,2,FALSE)*60,"")</f>
        <v>62.078970748658897</v>
      </c>
      <c r="E1407" s="66">
        <v>420.7</v>
      </c>
      <c r="F1407" s="64">
        <f t="shared" si="21"/>
        <v>-15.560824999999985</v>
      </c>
      <c r="G1407" s="60" t="s">
        <v>9</v>
      </c>
      <c r="H1407" s="60" t="s">
        <v>5042</v>
      </c>
    </row>
    <row r="1408" spans="1:8">
      <c r="A1408" s="59" t="s">
        <v>2840</v>
      </c>
      <c r="B1408" s="62">
        <v>11</v>
      </c>
      <c r="C1408" s="60" t="s">
        <v>5052</v>
      </c>
      <c r="D1408" s="64">
        <f>IFERROR(VLOOKUP(C1408,測定点マスタ!$E$2:$F$28,2,FALSE)/VLOOKUP(A1408,'焼鈍条件-3CGL'!$A$2:$B$197,2,FALSE)*60,"")</f>
        <v>65.452827854564276</v>
      </c>
      <c r="E1408" s="66">
        <v>350.4</v>
      </c>
      <c r="F1408" s="64">
        <f t="shared" si="21"/>
        <v>-20.836685666666639</v>
      </c>
      <c r="G1408" s="60" t="s">
        <v>9</v>
      </c>
      <c r="H1408" s="60" t="s">
        <v>5042</v>
      </c>
    </row>
    <row r="1409" spans="1:8">
      <c r="A1409" s="59" t="s">
        <v>2840</v>
      </c>
      <c r="B1409" s="62">
        <v>12</v>
      </c>
      <c r="C1409" s="60" t="s">
        <v>5053</v>
      </c>
      <c r="D1409" s="64">
        <f>IFERROR(VLOOKUP(C1409,測定点マスタ!$E$2:$F$28,2,FALSE)/VLOOKUP(A1409,'焼鈍条件-3CGL'!$A$2:$B$197,2,FALSE)*60,"")</f>
        <v>73.550084908737176</v>
      </c>
      <c r="E1409" s="66">
        <v>563</v>
      </c>
      <c r="F1409" s="64">
        <f t="shared" si="21"/>
        <v>26.255804722222223</v>
      </c>
      <c r="G1409" s="60" t="s">
        <v>9</v>
      </c>
      <c r="H1409" s="60" t="s">
        <v>5042</v>
      </c>
    </row>
    <row r="1410" spans="1:8">
      <c r="A1410" s="59" t="s">
        <v>2840</v>
      </c>
      <c r="B1410" s="62">
        <v>13</v>
      </c>
      <c r="C1410" s="60" t="s">
        <v>5054</v>
      </c>
      <c r="D1410" s="64">
        <f>IFERROR(VLOOKUP(C1410,測定点マスタ!$E$2:$F$28,2,FALSE)/VLOOKUP(A1410,'焼鈍条件-3CGL'!$A$2:$B$197,2,FALSE)*60,"")</f>
        <v>82.322113384091139</v>
      </c>
      <c r="E1410" s="66">
        <v>547.1</v>
      </c>
      <c r="F1410" s="64">
        <f t="shared" ref="F1410:F1473" si="22">IF(A1410=A1409,IFERROR((E1410-E1409)/(D1410-D1409),""),"")</f>
        <v>-1.812579615384615</v>
      </c>
      <c r="G1410" s="60" t="s">
        <v>9</v>
      </c>
      <c r="H1410" s="60" t="s">
        <v>5042</v>
      </c>
    </row>
    <row r="1411" spans="1:8">
      <c r="A1411" s="59" t="s">
        <v>2840</v>
      </c>
      <c r="B1411" s="62">
        <v>14</v>
      </c>
      <c r="C1411" s="60" t="s">
        <v>5055</v>
      </c>
      <c r="D1411" s="64">
        <f>IFERROR(VLOOKUP(C1411,測定点マスタ!$E$2:$F$28,2,FALSE)/VLOOKUP(A1411,'焼鈍条件-3CGL'!$A$2:$B$197,2,FALSE)*60,"")</f>
        <v>85.695970489996512</v>
      </c>
      <c r="E1411" s="66">
        <v>577.70000000000005</v>
      </c>
      <c r="F1411" s="64">
        <f t="shared" si="22"/>
        <v>9.0697380000000116</v>
      </c>
      <c r="G1411" s="60" t="s">
        <v>9</v>
      </c>
      <c r="H1411" s="60" t="s">
        <v>5042</v>
      </c>
    </row>
    <row r="1412" spans="1:8">
      <c r="A1412" s="59" t="s">
        <v>2840</v>
      </c>
      <c r="B1412" s="62">
        <v>15</v>
      </c>
      <c r="C1412" s="60" t="s">
        <v>5056</v>
      </c>
      <c r="D1412" s="64">
        <f>IFERROR(VLOOKUP(C1412,測定点マスタ!$E$2:$F$28,2,FALSE)/VLOOKUP(A1412,'焼鈍条件-3CGL'!$A$2:$B$197,2,FALSE)*60,"")</f>
        <v>89.744599017082962</v>
      </c>
      <c r="E1412" s="66">
        <v>266.7</v>
      </c>
      <c r="F1412" s="64">
        <f t="shared" si="22"/>
        <v>-76.81613611111112</v>
      </c>
      <c r="G1412" s="60" t="s">
        <v>9</v>
      </c>
      <c r="H1412" s="60" t="s">
        <v>5042</v>
      </c>
    </row>
    <row r="1413" spans="1:8">
      <c r="A1413" s="59" t="s">
        <v>2840</v>
      </c>
      <c r="B1413" s="62">
        <v>16</v>
      </c>
      <c r="C1413" s="60" t="s">
        <v>5068</v>
      </c>
      <c r="D1413" s="64">
        <f>IFERROR(VLOOKUP(C1413,測定点マスタ!$E$2:$F$28,2,FALSE)/VLOOKUP(A1413,'焼鈍条件-3CGL'!$A$2:$B$197,2,FALSE)*60,"")</f>
        <v>107.19226005047943</v>
      </c>
      <c r="E1413" s="66">
        <v>412.1</v>
      </c>
      <c r="F1413" s="64">
        <f t="shared" si="22"/>
        <v>8.33349523020253</v>
      </c>
      <c r="G1413" s="60" t="s">
        <v>9</v>
      </c>
      <c r="H1413" s="60" t="s">
        <v>5042</v>
      </c>
    </row>
    <row r="1414" spans="1:8">
      <c r="A1414" s="59" t="s">
        <v>2840</v>
      </c>
      <c r="B1414" s="62">
        <v>17</v>
      </c>
      <c r="C1414" s="60" t="s">
        <v>5057</v>
      </c>
      <c r="D1414" s="64">
        <f>IFERROR(VLOOKUP(C1414,測定点マスタ!$E$2:$F$28,2,FALSE)/VLOOKUP(A1414,'焼鈍条件-3CGL'!$A$2:$B$197,2,FALSE)*60,"")</f>
        <v>111.26498755689359</v>
      </c>
      <c r="E1414" s="66">
        <v>250.9</v>
      </c>
      <c r="F1414" s="64">
        <f t="shared" si="22"/>
        <v>-39.580354871796736</v>
      </c>
      <c r="G1414" s="60" t="s">
        <v>9</v>
      </c>
      <c r="H1414" s="60" t="s">
        <v>5042</v>
      </c>
    </row>
    <row r="1415" spans="1:8">
      <c r="A1415" s="59" t="s">
        <v>2840</v>
      </c>
      <c r="B1415" s="62">
        <v>18</v>
      </c>
      <c r="C1415" s="60" t="s">
        <v>5058</v>
      </c>
      <c r="D1415" s="64">
        <f>IFERROR(VLOOKUP(C1415,測定点マスタ!$E$2:$F$28,2,FALSE)/VLOOKUP(A1415,'焼鈍条件-3CGL'!$A$2:$B$197,2,FALSE)*60,"")</f>
        <v>115.33771506330773</v>
      </c>
      <c r="E1415" s="66">
        <v>93.6</v>
      </c>
      <c r="F1415" s="64">
        <f t="shared" si="22"/>
        <v>-38.622765641027591</v>
      </c>
      <c r="G1415" s="60" t="s">
        <v>9</v>
      </c>
      <c r="H1415" s="60" t="s">
        <v>5042</v>
      </c>
    </row>
    <row r="1416" spans="1:8">
      <c r="A1416" s="59" t="s">
        <v>2840</v>
      </c>
      <c r="B1416" s="62">
        <v>19</v>
      </c>
      <c r="C1416" s="60" t="s">
        <v>5059</v>
      </c>
      <c r="D1416" s="64">
        <f>IFERROR(VLOOKUP(C1416,測定点マスタ!$E$2:$F$28,2,FALSE)/VLOOKUP(A1416,'焼鈍条件-3CGL'!$A$2:$B$197,2,FALSE)*60,"")</f>
        <v>119.41044256972256</v>
      </c>
      <c r="E1416" s="66">
        <v>57.3</v>
      </c>
      <c r="F1416" s="64">
        <f t="shared" si="22"/>
        <v>-8.9129459171586891</v>
      </c>
      <c r="G1416" s="60" t="s">
        <v>9</v>
      </c>
      <c r="H1416" s="60" t="s">
        <v>5042</v>
      </c>
    </row>
    <row r="1417" spans="1:8">
      <c r="A1417" s="59" t="s">
        <v>2859</v>
      </c>
      <c r="B1417" s="62">
        <v>1</v>
      </c>
      <c r="C1417" s="60" t="s">
        <v>5041</v>
      </c>
      <c r="D1417" s="64">
        <f>IFERROR(VLOOKUP(C1417,測定点マスタ!$E$2:$F$28,2,FALSE)/VLOOKUP(A1417,'焼鈍条件-3CGL'!$A$2:$B$197,2,FALSE)*60,"")</f>
        <v>0</v>
      </c>
      <c r="E1417" s="66">
        <v>38</v>
      </c>
      <c r="F1417" s="64" t="str">
        <f t="shared" si="22"/>
        <v/>
      </c>
      <c r="G1417" s="60" t="s">
        <v>9</v>
      </c>
      <c r="H1417" s="60" t="s">
        <v>5042</v>
      </c>
    </row>
    <row r="1418" spans="1:8">
      <c r="A1418" s="59" t="s">
        <v>2859</v>
      </c>
      <c r="B1418" s="62">
        <v>2</v>
      </c>
      <c r="C1418" s="60" t="s">
        <v>5043</v>
      </c>
      <c r="D1418" s="64">
        <f>IFERROR(VLOOKUP(C1418,測定点マスタ!$E$2:$F$28,2,FALSE)/VLOOKUP(A1418,'焼鈍条件-3CGL'!$A$2:$B$197,2,FALSE)*60,"")</f>
        <v>8.2587749483826585</v>
      </c>
      <c r="E1418" s="66">
        <v>174</v>
      </c>
      <c r="F1418" s="64">
        <f t="shared" si="22"/>
        <v>16.467333333333329</v>
      </c>
      <c r="G1418" s="60" t="s">
        <v>9</v>
      </c>
      <c r="H1418" s="60" t="s">
        <v>5042</v>
      </c>
    </row>
    <row r="1419" spans="1:8">
      <c r="A1419" s="59" t="s">
        <v>2859</v>
      </c>
      <c r="B1419" s="62">
        <v>3</v>
      </c>
      <c r="C1419" s="60" t="s">
        <v>5044</v>
      </c>
      <c r="D1419" s="64">
        <f>IFERROR(VLOOKUP(C1419,測定点マスタ!$E$2:$F$28,2,FALSE)/VLOOKUP(A1419,'焼鈍条件-3CGL'!$A$2:$B$197,2,FALSE)*60,"")</f>
        <v>18.719889883000686</v>
      </c>
      <c r="E1419" s="66">
        <v>663.9</v>
      </c>
      <c r="F1419" s="64">
        <f t="shared" si="22"/>
        <v>46.830572368421066</v>
      </c>
      <c r="G1419" s="60" t="s">
        <v>9</v>
      </c>
      <c r="H1419" s="60" t="s">
        <v>5042</v>
      </c>
    </row>
    <row r="1420" spans="1:8">
      <c r="A1420" s="59" t="s">
        <v>2859</v>
      </c>
      <c r="B1420" s="62">
        <v>4</v>
      </c>
      <c r="C1420" s="60" t="s">
        <v>5045</v>
      </c>
      <c r="D1420" s="64">
        <f>IFERROR(VLOOKUP(C1420,測定点マスタ!$E$2:$F$28,2,FALSE)/VLOOKUP(A1420,'焼鈍条件-3CGL'!$A$2:$B$197,2,FALSE)*60,"")</f>
        <v>24.225739848589125</v>
      </c>
      <c r="E1420" s="66">
        <v>831.4</v>
      </c>
      <c r="F1420" s="64">
        <f t="shared" si="22"/>
        <v>30.422187499999993</v>
      </c>
      <c r="G1420" s="60" t="s">
        <v>9</v>
      </c>
      <c r="H1420" s="60" t="s">
        <v>5042</v>
      </c>
    </row>
    <row r="1421" spans="1:8">
      <c r="A1421" s="59" t="s">
        <v>2859</v>
      </c>
      <c r="B1421" s="62">
        <v>5</v>
      </c>
      <c r="C1421" s="60" t="s">
        <v>5047</v>
      </c>
      <c r="D1421" s="64">
        <f>IFERROR(VLOOKUP(C1421,測定点マスタ!$E$2:$F$28,2,FALSE)/VLOOKUP(A1421,'焼鈍条件-3CGL'!$A$2:$B$197,2,FALSE)*60,"")</f>
        <v>33.035099793530634</v>
      </c>
      <c r="E1421" s="66">
        <v>757.8</v>
      </c>
      <c r="F1421" s="64">
        <f t="shared" si="22"/>
        <v>-8.3547499999999939</v>
      </c>
      <c r="G1421" s="60" t="s">
        <v>9</v>
      </c>
      <c r="H1421" s="60" t="s">
        <v>5042</v>
      </c>
    </row>
    <row r="1422" spans="1:8">
      <c r="A1422" s="59" t="s">
        <v>2859</v>
      </c>
      <c r="B1422" s="62">
        <v>6</v>
      </c>
      <c r="C1422" s="60" t="s">
        <v>5048</v>
      </c>
      <c r="D1422" s="64">
        <f>IFERROR(VLOOKUP(C1422,測定点マスタ!$E$2:$F$28,2,FALSE)/VLOOKUP(A1422,'焼鈍条件-3CGL'!$A$2:$B$197,2,FALSE)*60,"")</f>
        <v>36.338609772883686</v>
      </c>
      <c r="E1422" s="66">
        <v>719.4</v>
      </c>
      <c r="F1422" s="64">
        <f t="shared" si="22"/>
        <v>-11.624000000000031</v>
      </c>
      <c r="G1422" s="60" t="s">
        <v>9</v>
      </c>
      <c r="H1422" s="60" t="s">
        <v>5042</v>
      </c>
    </row>
    <row r="1423" spans="1:8">
      <c r="A1423" s="59" t="s">
        <v>2859</v>
      </c>
      <c r="B1423" s="62">
        <v>7</v>
      </c>
      <c r="C1423" s="60" t="s">
        <v>5049</v>
      </c>
      <c r="D1423" s="64">
        <f>IFERROR(VLOOKUP(C1423,測定点マスタ!$E$2:$F$28,2,FALSE)/VLOOKUP(A1423,'焼鈍条件-3CGL'!$A$2:$B$197,2,FALSE)*60,"")</f>
        <v>40.192704748795599</v>
      </c>
      <c r="E1423" s="66">
        <v>633.9</v>
      </c>
      <c r="F1423" s="64">
        <f t="shared" si="22"/>
        <v>-22.18419642857139</v>
      </c>
      <c r="G1423" s="60" t="s">
        <v>9</v>
      </c>
      <c r="H1423" s="60" t="s">
        <v>5042</v>
      </c>
    </row>
    <row r="1424" spans="1:8">
      <c r="A1424" s="59" t="s">
        <v>2859</v>
      </c>
      <c r="B1424" s="62">
        <v>8</v>
      </c>
      <c r="C1424" s="60" t="s">
        <v>5050</v>
      </c>
      <c r="D1424" s="64">
        <f>IFERROR(VLOOKUP(C1424,測定点マスタ!$E$2:$F$28,2,FALSE)/VLOOKUP(A1424,'焼鈍条件-3CGL'!$A$2:$B$197,2,FALSE)*60,"")</f>
        <v>44.597384721266351</v>
      </c>
      <c r="E1424" s="66">
        <v>522.4</v>
      </c>
      <c r="F1424" s="64">
        <f t="shared" si="22"/>
        <v>-25.313984374999986</v>
      </c>
      <c r="G1424" s="60" t="s">
        <v>9</v>
      </c>
      <c r="H1424" s="60" t="s">
        <v>5042</v>
      </c>
    </row>
    <row r="1425" spans="1:8">
      <c r="A1425" s="59" t="s">
        <v>2859</v>
      </c>
      <c r="B1425" s="62">
        <v>9</v>
      </c>
      <c r="C1425" s="60" t="s">
        <v>5051</v>
      </c>
      <c r="D1425" s="64">
        <f>IFERROR(VLOOKUP(C1425,測定点マスタ!$E$2:$F$28,2,FALSE)/VLOOKUP(A1425,'焼鈍条件-3CGL'!$A$2:$B$197,2,FALSE)*60,"")</f>
        <v>48.45147969717825</v>
      </c>
      <c r="E1425" s="66">
        <v>455</v>
      </c>
      <c r="F1425" s="64">
        <f t="shared" si="22"/>
        <v>-17.487892857142885</v>
      </c>
      <c r="G1425" s="60" t="s">
        <v>9</v>
      </c>
      <c r="H1425" s="60" t="s">
        <v>5042</v>
      </c>
    </row>
    <row r="1426" spans="1:8">
      <c r="A1426" s="59" t="s">
        <v>2859</v>
      </c>
      <c r="B1426" s="62">
        <v>10</v>
      </c>
      <c r="C1426" s="60" t="s">
        <v>5060</v>
      </c>
      <c r="D1426" s="64">
        <f>IFERROR(VLOOKUP(C1426,測定点マスタ!$E$2:$F$28,2,FALSE)/VLOOKUP(A1426,'焼鈍条件-3CGL'!$A$2:$B$197,2,FALSE)*60,"")</f>
        <v>50.65381968341363</v>
      </c>
      <c r="E1426" s="66">
        <v>403.1</v>
      </c>
      <c r="F1426" s="64">
        <f t="shared" si="22"/>
        <v>-23.565843749999939</v>
      </c>
      <c r="G1426" s="60" t="s">
        <v>9</v>
      </c>
      <c r="H1426" s="60" t="s">
        <v>5042</v>
      </c>
    </row>
    <row r="1427" spans="1:8">
      <c r="A1427" s="59" t="s">
        <v>2859</v>
      </c>
      <c r="B1427" s="62">
        <v>11</v>
      </c>
      <c r="C1427" s="60" t="s">
        <v>5052</v>
      </c>
      <c r="D1427" s="64">
        <f>IFERROR(VLOOKUP(C1427,測定点マスタ!$E$2:$F$28,2,FALSE)/VLOOKUP(A1427,'焼鈍条件-3CGL'!$A$2:$B$197,2,FALSE)*60,"")</f>
        <v>53.40674466620785</v>
      </c>
      <c r="E1427" s="66">
        <v>373</v>
      </c>
      <c r="F1427" s="64">
        <f t="shared" si="22"/>
        <v>-10.933825000000006</v>
      </c>
      <c r="G1427" s="60" t="s">
        <v>9</v>
      </c>
      <c r="H1427" s="60" t="s">
        <v>5042</v>
      </c>
    </row>
    <row r="1428" spans="1:8">
      <c r="A1428" s="59" t="s">
        <v>2859</v>
      </c>
      <c r="B1428" s="62">
        <v>12</v>
      </c>
      <c r="C1428" s="60" t="s">
        <v>5069</v>
      </c>
      <c r="D1428" s="64">
        <f>IFERROR(VLOOKUP(C1428,測定点マスタ!$E$2:$F$28,2,FALSE)/VLOOKUP(A1428,'焼鈍条件-3CGL'!$A$2:$B$197,2,FALSE)*60,"")</f>
        <v>57.260839642119755</v>
      </c>
      <c r="E1428" s="66">
        <v>530.79999999999995</v>
      </c>
      <c r="F1428" s="64">
        <f t="shared" si="22"/>
        <v>40.943464285714278</v>
      </c>
      <c r="G1428" s="60" t="s">
        <v>9</v>
      </c>
      <c r="H1428" s="60" t="s">
        <v>5042</v>
      </c>
    </row>
    <row r="1429" spans="1:8">
      <c r="A1429" s="59" t="s">
        <v>2859</v>
      </c>
      <c r="B1429" s="62">
        <v>13</v>
      </c>
      <c r="C1429" s="60" t="s">
        <v>5053</v>
      </c>
      <c r="D1429" s="64">
        <f>IFERROR(VLOOKUP(C1429,測定点マスタ!$E$2:$F$28,2,FALSE)/VLOOKUP(A1429,'焼鈍条件-3CGL'!$A$2:$B$197,2,FALSE)*60,"")</f>
        <v>60.013764624913975</v>
      </c>
      <c r="E1429" s="66">
        <v>547.1</v>
      </c>
      <c r="F1429" s="64">
        <f t="shared" si="22"/>
        <v>5.9209750000000234</v>
      </c>
      <c r="G1429" s="60" t="s">
        <v>9</v>
      </c>
      <c r="H1429" s="60" t="s">
        <v>5042</v>
      </c>
    </row>
    <row r="1430" spans="1:8">
      <c r="A1430" s="59" t="s">
        <v>2859</v>
      </c>
      <c r="B1430" s="62">
        <v>14</v>
      </c>
      <c r="C1430" s="60" t="s">
        <v>5063</v>
      </c>
      <c r="D1430" s="64">
        <f>IFERROR(VLOOKUP(C1430,測定点マスタ!$E$2:$F$28,2,FALSE)/VLOOKUP(A1430,'焼鈍条件-3CGL'!$A$2:$B$197,2,FALSE)*60,"")</f>
        <v>63.317274604267034</v>
      </c>
      <c r="E1430" s="66">
        <v>556.79999999999995</v>
      </c>
      <c r="F1430" s="64">
        <f t="shared" si="22"/>
        <v>2.9362708333333156</v>
      </c>
      <c r="G1430" s="60" t="s">
        <v>9</v>
      </c>
      <c r="H1430" s="60" t="s">
        <v>5042</v>
      </c>
    </row>
    <row r="1431" spans="1:8">
      <c r="A1431" s="59" t="s">
        <v>2859</v>
      </c>
      <c r="B1431" s="62">
        <v>15</v>
      </c>
      <c r="C1431" s="60" t="s">
        <v>5054</v>
      </c>
      <c r="D1431" s="64">
        <f>IFERROR(VLOOKUP(C1431,測定点マスタ!$E$2:$F$28,2,FALSE)/VLOOKUP(A1431,'焼鈍条件-3CGL'!$A$2:$B$197,2,FALSE)*60,"")</f>
        <v>67.171369580178947</v>
      </c>
      <c r="E1431" s="66">
        <v>532</v>
      </c>
      <c r="F1431" s="64">
        <f t="shared" si="22"/>
        <v>-6.4347142857142625</v>
      </c>
      <c r="G1431" s="60" t="s">
        <v>9</v>
      </c>
      <c r="H1431" s="60" t="s">
        <v>5042</v>
      </c>
    </row>
    <row r="1432" spans="1:8">
      <c r="A1432" s="59" t="s">
        <v>2859</v>
      </c>
      <c r="B1432" s="62">
        <v>16</v>
      </c>
      <c r="C1432" s="60" t="s">
        <v>5056</v>
      </c>
      <c r="D1432" s="64">
        <f>IFERROR(VLOOKUP(C1432,測定点マスタ!$E$2:$F$28,2,FALSE)/VLOOKUP(A1432,'焼鈍条件-3CGL'!$A$2:$B$197,2,FALSE)*60,"")</f>
        <v>73.227804542326226</v>
      </c>
      <c r="E1432" s="66">
        <v>295</v>
      </c>
      <c r="F1432" s="64">
        <f t="shared" si="22"/>
        <v>-39.13193181818184</v>
      </c>
      <c r="G1432" s="60" t="s">
        <v>9</v>
      </c>
      <c r="H1432" s="60" t="s">
        <v>5042</v>
      </c>
    </row>
    <row r="1433" spans="1:8">
      <c r="A1433" s="59" t="s">
        <v>2859</v>
      </c>
      <c r="B1433" s="62">
        <v>17</v>
      </c>
      <c r="C1433" s="60" t="s">
        <v>5068</v>
      </c>
      <c r="D1433" s="64">
        <f>IFERROR(VLOOKUP(C1433,測定点マスタ!$E$2:$F$28,2,FALSE)/VLOOKUP(A1433,'焼鈍条件-3CGL'!$A$2:$B$197,2,FALSE)*60,"")</f>
        <v>87.464359453347839</v>
      </c>
      <c r="E1433" s="66">
        <v>373.2</v>
      </c>
      <c r="F1433" s="64">
        <f t="shared" si="22"/>
        <v>5.4929019337016252</v>
      </c>
      <c r="G1433" s="60" t="s">
        <v>9</v>
      </c>
      <c r="H1433" s="60" t="s">
        <v>5042</v>
      </c>
    </row>
    <row r="1434" spans="1:8">
      <c r="A1434" s="59" t="s">
        <v>2859</v>
      </c>
      <c r="B1434" s="62">
        <v>18</v>
      </c>
      <c r="C1434" s="60" t="s">
        <v>5057</v>
      </c>
      <c r="D1434" s="64">
        <f>IFERROR(VLOOKUP(C1434,測定点マスタ!$E$2:$F$28,2,FALSE)/VLOOKUP(A1434,'焼鈍条件-3CGL'!$A$2:$B$197,2,FALSE)*60,"")</f>
        <v>90.787533182577832</v>
      </c>
      <c r="E1434" s="66">
        <v>279.10000000000002</v>
      </c>
      <c r="F1434" s="64">
        <f t="shared" si="22"/>
        <v>-28.316304733729265</v>
      </c>
      <c r="G1434" s="60" t="s">
        <v>9</v>
      </c>
      <c r="H1434" s="60" t="s">
        <v>5042</v>
      </c>
    </row>
    <row r="1435" spans="1:8">
      <c r="A1435" s="59" t="s">
        <v>2859</v>
      </c>
      <c r="B1435" s="62">
        <v>19</v>
      </c>
      <c r="C1435" s="60" t="s">
        <v>5059</v>
      </c>
      <c r="D1435" s="64">
        <f>IFERROR(VLOOKUP(C1435,測定点マスタ!$E$2:$F$28,2,FALSE)/VLOOKUP(A1435,'焼鈍条件-3CGL'!$A$2:$B$197,2,FALSE)*60,"")</f>
        <v>97.433880641038414</v>
      </c>
      <c r="E1435" s="66">
        <v>60.1</v>
      </c>
      <c r="F1435" s="64">
        <f t="shared" si="22"/>
        <v>-32.950428994081591</v>
      </c>
      <c r="G1435" s="60" t="s">
        <v>9</v>
      </c>
      <c r="H1435" s="60" t="s">
        <v>5042</v>
      </c>
    </row>
    <row r="1436" spans="1:8">
      <c r="A1436" s="59" t="s">
        <v>2864</v>
      </c>
      <c r="B1436" s="62">
        <v>1</v>
      </c>
      <c r="C1436" s="60" t="s">
        <v>5041</v>
      </c>
      <c r="D1436" s="64">
        <f>IFERROR(VLOOKUP(C1436,測定点マスタ!$E$2:$F$28,2,FALSE)/VLOOKUP(A1436,'焼鈍条件-3CGL'!$A$2:$B$197,2,FALSE)*60,"")</f>
        <v>0</v>
      </c>
      <c r="E1436" s="66">
        <v>28.6</v>
      </c>
      <c r="F1436" s="64" t="str">
        <f t="shared" si="22"/>
        <v/>
      </c>
      <c r="G1436" s="60" t="s">
        <v>12</v>
      </c>
      <c r="H1436" s="60" t="s">
        <v>5042</v>
      </c>
    </row>
    <row r="1437" spans="1:8">
      <c r="A1437" s="59" t="s">
        <v>2864</v>
      </c>
      <c r="B1437" s="62">
        <v>2</v>
      </c>
      <c r="C1437" s="60" t="s">
        <v>5043</v>
      </c>
      <c r="D1437" s="64">
        <f>IFERROR(VLOOKUP(C1437,測定点マスタ!$E$2:$F$28,2,FALSE)/VLOOKUP(A1437,'焼鈍条件-3CGL'!$A$2:$B$197,2,FALSE)*60,"")</f>
        <v>6.090216405689616</v>
      </c>
      <c r="E1437" s="66">
        <v>179.7</v>
      </c>
      <c r="F1437" s="64">
        <f t="shared" si="22"/>
        <v>24.810284222222219</v>
      </c>
      <c r="G1437" s="60" t="s">
        <v>12</v>
      </c>
      <c r="H1437" s="60" t="s">
        <v>5042</v>
      </c>
    </row>
    <row r="1438" spans="1:8">
      <c r="A1438" s="59" t="s">
        <v>2864</v>
      </c>
      <c r="B1438" s="62">
        <v>3</v>
      </c>
      <c r="C1438" s="60" t="s">
        <v>5044</v>
      </c>
      <c r="D1438" s="64">
        <f>IFERROR(VLOOKUP(C1438,測定点マスタ!$E$2:$F$28,2,FALSE)/VLOOKUP(A1438,'焼鈍条件-3CGL'!$A$2:$B$197,2,FALSE)*60,"")</f>
        <v>13.80449051956313</v>
      </c>
      <c r="E1438" s="66">
        <v>627</v>
      </c>
      <c r="F1438" s="64">
        <f t="shared" si="22"/>
        <v>57.983420526315783</v>
      </c>
      <c r="G1438" s="60" t="s">
        <v>12</v>
      </c>
      <c r="H1438" s="60" t="s">
        <v>5042</v>
      </c>
    </row>
    <row r="1439" spans="1:8">
      <c r="A1439" s="59" t="s">
        <v>2864</v>
      </c>
      <c r="B1439" s="62">
        <v>4</v>
      </c>
      <c r="C1439" s="60" t="s">
        <v>5045</v>
      </c>
      <c r="D1439" s="64">
        <f>IFERROR(VLOOKUP(C1439,測定点マスタ!$E$2:$F$28,2,FALSE)/VLOOKUP(A1439,'焼鈍条件-3CGL'!$A$2:$B$197,2,FALSE)*60,"")</f>
        <v>17.864634790022873</v>
      </c>
      <c r="E1439" s="66">
        <v>786.4</v>
      </c>
      <c r="F1439" s="64">
        <f t="shared" si="22"/>
        <v>39.259688666666669</v>
      </c>
      <c r="G1439" s="60" t="s">
        <v>12</v>
      </c>
      <c r="H1439" s="60" t="s">
        <v>5042</v>
      </c>
    </row>
    <row r="1440" spans="1:8">
      <c r="A1440" s="59" t="s">
        <v>2864</v>
      </c>
      <c r="B1440" s="62">
        <v>5</v>
      </c>
      <c r="C1440" s="60" t="s">
        <v>5047</v>
      </c>
      <c r="D1440" s="64">
        <f>IFERROR(VLOOKUP(C1440,測定点マスタ!$E$2:$F$28,2,FALSE)/VLOOKUP(A1440,'焼鈍条件-3CGL'!$A$2:$B$197,2,FALSE)*60,"")</f>
        <v>24.360865622758464</v>
      </c>
      <c r="E1440" s="66">
        <v>738.8</v>
      </c>
      <c r="F1440" s="64">
        <f t="shared" si="22"/>
        <v>-7.3273258333333349</v>
      </c>
      <c r="G1440" s="60" t="s">
        <v>12</v>
      </c>
      <c r="H1440" s="60" t="s">
        <v>5042</v>
      </c>
    </row>
    <row r="1441" spans="1:8">
      <c r="A1441" s="59" t="s">
        <v>2864</v>
      </c>
      <c r="B1441" s="62">
        <v>6</v>
      </c>
      <c r="C1441" s="60" t="s">
        <v>5049</v>
      </c>
      <c r="D1441" s="64">
        <f>IFERROR(VLOOKUP(C1441,測定点マスタ!$E$2:$F$28,2,FALSE)/VLOOKUP(A1441,'焼鈍条件-3CGL'!$A$2:$B$197,2,FALSE)*60,"")</f>
        <v>29.639053174356132</v>
      </c>
      <c r="E1441" s="66">
        <v>592.70000000000005</v>
      </c>
      <c r="F1441" s="64">
        <f t="shared" si="22"/>
        <v>-27.679956153846131</v>
      </c>
      <c r="G1441" s="60" t="s">
        <v>12</v>
      </c>
      <c r="H1441" s="60" t="s">
        <v>5042</v>
      </c>
    </row>
    <row r="1442" spans="1:8">
      <c r="A1442" s="59" t="s">
        <v>2864</v>
      </c>
      <c r="B1442" s="62">
        <v>7</v>
      </c>
      <c r="C1442" s="60" t="s">
        <v>5050</v>
      </c>
      <c r="D1442" s="64">
        <f>IFERROR(VLOOKUP(C1442,測定点マスタ!$E$2:$F$28,2,FALSE)/VLOOKUP(A1442,'焼鈍条件-3CGL'!$A$2:$B$197,2,FALSE)*60,"")</f>
        <v>32.887168590723924</v>
      </c>
      <c r="E1442" s="66">
        <v>485.5</v>
      </c>
      <c r="F1442" s="64">
        <f t="shared" si="22"/>
        <v>-33.003753333333378</v>
      </c>
      <c r="G1442" s="60" t="s">
        <v>12</v>
      </c>
      <c r="H1442" s="60" t="s">
        <v>5042</v>
      </c>
    </row>
    <row r="1443" spans="1:8">
      <c r="A1443" s="59" t="s">
        <v>2864</v>
      </c>
      <c r="B1443" s="62">
        <v>8</v>
      </c>
      <c r="C1443" s="60" t="s">
        <v>5051</v>
      </c>
      <c r="D1443" s="64">
        <f>IFERROR(VLOOKUP(C1443,測定点マスタ!$E$2:$F$28,2,FALSE)/VLOOKUP(A1443,'焼鈍条件-3CGL'!$A$2:$B$197,2,FALSE)*60,"")</f>
        <v>35.729269580045745</v>
      </c>
      <c r="E1443" s="66">
        <v>448.5</v>
      </c>
      <c r="F1443" s="64">
        <f t="shared" si="22"/>
        <v>-13.018538095238092</v>
      </c>
      <c r="G1443" s="60" t="s">
        <v>12</v>
      </c>
      <c r="H1443" s="60" t="s">
        <v>5042</v>
      </c>
    </row>
    <row r="1444" spans="1:8">
      <c r="A1444" s="59" t="s">
        <v>2864</v>
      </c>
      <c r="B1444" s="62">
        <v>9</v>
      </c>
      <c r="C1444" s="60" t="s">
        <v>5052</v>
      </c>
      <c r="D1444" s="64">
        <f>IFERROR(VLOOKUP(C1444,測定点マスタ!$E$2:$F$28,2,FALSE)/VLOOKUP(A1444,'焼鈍条件-3CGL'!$A$2:$B$197,2,FALSE)*60,"")</f>
        <v>39.383399423459515</v>
      </c>
      <c r="E1444" s="66">
        <v>356.8</v>
      </c>
      <c r="F1444" s="64">
        <f t="shared" si="22"/>
        <v>-25.094893703703693</v>
      </c>
      <c r="G1444" s="60" t="s">
        <v>12</v>
      </c>
      <c r="H1444" s="60" t="s">
        <v>5042</v>
      </c>
    </row>
    <row r="1445" spans="1:8">
      <c r="A1445" s="59" t="s">
        <v>2864</v>
      </c>
      <c r="B1445" s="62">
        <v>10</v>
      </c>
      <c r="C1445" s="60" t="s">
        <v>5053</v>
      </c>
      <c r="D1445" s="64">
        <f>IFERROR(VLOOKUP(C1445,測定点マスタ!$E$2:$F$28,2,FALSE)/VLOOKUP(A1445,'焼鈍条件-3CGL'!$A$2:$B$197,2,FALSE)*60,"")</f>
        <v>44.255572548011209</v>
      </c>
      <c r="E1445" s="66">
        <v>512.70000000000005</v>
      </c>
      <c r="F1445" s="64">
        <f t="shared" si="22"/>
        <v>31.998041944444445</v>
      </c>
      <c r="G1445" s="60" t="s">
        <v>12</v>
      </c>
      <c r="H1445" s="60" t="s">
        <v>5042</v>
      </c>
    </row>
    <row r="1446" spans="1:8">
      <c r="A1446" s="59" t="s">
        <v>2864</v>
      </c>
      <c r="B1446" s="62">
        <v>11</v>
      </c>
      <c r="C1446" s="60" t="s">
        <v>5054</v>
      </c>
      <c r="D1446" s="64">
        <f>IFERROR(VLOOKUP(C1446,測定点マスタ!$E$2:$F$28,2,FALSE)/VLOOKUP(A1446,'焼鈍条件-3CGL'!$A$2:$B$197,2,FALSE)*60,"")</f>
        <v>49.533760099608877</v>
      </c>
      <c r="E1446" s="66">
        <v>489.9</v>
      </c>
      <c r="F1446" s="64">
        <f t="shared" si="22"/>
        <v>-4.3196646153846272</v>
      </c>
      <c r="G1446" s="60" t="s">
        <v>12</v>
      </c>
      <c r="H1446" s="60" t="s">
        <v>5042</v>
      </c>
    </row>
    <row r="1447" spans="1:8">
      <c r="A1447" s="59" t="s">
        <v>2864</v>
      </c>
      <c r="B1447" s="62">
        <v>12</v>
      </c>
      <c r="C1447" s="60" t="s">
        <v>5056</v>
      </c>
      <c r="D1447" s="64">
        <f>IFERROR(VLOOKUP(C1447,測定点マスタ!$E$2:$F$28,2,FALSE)/VLOOKUP(A1447,'焼鈍条件-3CGL'!$A$2:$B$197,2,FALSE)*60,"")</f>
        <v>53.999918797114589</v>
      </c>
      <c r="E1447" s="66">
        <v>246.9</v>
      </c>
      <c r="F1447" s="64">
        <f t="shared" si="22"/>
        <v>-54.409172727272797</v>
      </c>
      <c r="G1447" s="60" t="s">
        <v>12</v>
      </c>
      <c r="H1447" s="60" t="s">
        <v>5042</v>
      </c>
    </row>
    <row r="1448" spans="1:8">
      <c r="A1448" s="59" t="s">
        <v>2864</v>
      </c>
      <c r="B1448" s="62">
        <v>13</v>
      </c>
      <c r="C1448" s="60" t="s">
        <v>5057</v>
      </c>
      <c r="D1448" s="64">
        <f>IFERROR(VLOOKUP(C1448,測定点マスタ!$E$2:$F$28,2,FALSE)/VLOOKUP(A1448,'焼鈍条件-3CGL'!$A$2:$B$197,2,FALSE)*60,"")</f>
        <v>66.948878916830793</v>
      </c>
      <c r="E1448" s="66">
        <v>246.9</v>
      </c>
      <c r="F1448" s="64">
        <f t="shared" si="22"/>
        <v>0</v>
      </c>
      <c r="G1448" s="60" t="s">
        <v>12</v>
      </c>
      <c r="H1448" s="60" t="s">
        <v>5042</v>
      </c>
    </row>
    <row r="1449" spans="1:8">
      <c r="A1449" s="59" t="s">
        <v>2864</v>
      </c>
      <c r="B1449" s="62">
        <v>14</v>
      </c>
      <c r="C1449" s="60" t="s">
        <v>5058</v>
      </c>
      <c r="D1449" s="64">
        <f>IFERROR(VLOOKUP(C1449,測定点マスタ!$E$2:$F$28,2,FALSE)/VLOOKUP(A1449,'焼鈍条件-3CGL'!$A$2:$B$197,2,FALSE)*60,"")</f>
        <v>69.399465994358167</v>
      </c>
      <c r="E1449" s="66">
        <v>102.6</v>
      </c>
      <c r="F1449" s="64">
        <f t="shared" si="22"/>
        <v>-58.883849230771993</v>
      </c>
      <c r="G1449" s="60" t="s">
        <v>12</v>
      </c>
      <c r="H1449" s="60" t="s">
        <v>5042</v>
      </c>
    </row>
    <row r="1450" spans="1:8">
      <c r="A1450" s="59" t="s">
        <v>2864</v>
      </c>
      <c r="B1450" s="62">
        <v>15</v>
      </c>
      <c r="C1450" s="60" t="s">
        <v>5059</v>
      </c>
      <c r="D1450" s="64">
        <f>IFERROR(VLOOKUP(C1450,測定点マスタ!$E$2:$F$28,2,FALSE)/VLOOKUP(A1450,'焼鈍条件-3CGL'!$A$2:$B$197,2,FALSE)*60,"")</f>
        <v>71.850053071885938</v>
      </c>
      <c r="E1450" s="66">
        <v>46.2</v>
      </c>
      <c r="F1450" s="64">
        <f t="shared" si="22"/>
        <v>-23.014893254435208</v>
      </c>
      <c r="G1450" s="60" t="s">
        <v>12</v>
      </c>
      <c r="H1450" s="60" t="s">
        <v>5042</v>
      </c>
    </row>
    <row r="1451" spans="1:8">
      <c r="A1451" s="59" t="s">
        <v>2876</v>
      </c>
      <c r="B1451" s="62">
        <v>1</v>
      </c>
      <c r="C1451" s="60" t="s">
        <v>5041</v>
      </c>
      <c r="D1451" s="64">
        <f>IFERROR(VLOOKUP(C1451,測定点マスタ!$E$2:$F$28,2,FALSE)/VLOOKUP(A1451,'焼鈍条件-3CGL'!$A$2:$B$197,2,FALSE)*60,"")</f>
        <v>0</v>
      </c>
      <c r="E1451" s="66">
        <v>32.700000000000003</v>
      </c>
      <c r="F1451" s="64" t="str">
        <f t="shared" si="22"/>
        <v/>
      </c>
      <c r="G1451" s="60" t="s">
        <v>9</v>
      </c>
      <c r="H1451" s="60" t="s">
        <v>5064</v>
      </c>
    </row>
    <row r="1452" spans="1:8">
      <c r="A1452" s="59" t="s">
        <v>2876</v>
      </c>
      <c r="B1452" s="62">
        <v>2</v>
      </c>
      <c r="C1452" s="60" t="s">
        <v>5043</v>
      </c>
      <c r="D1452" s="64">
        <f>IFERROR(VLOOKUP(C1452,測定点マスタ!$E$2:$F$28,2,FALSE)/VLOOKUP(A1452,'焼鈍条件-3CGL'!$A$2:$B$197,2,FALSE)*60,"")</f>
        <v>5.7588574426833716</v>
      </c>
      <c r="E1452" s="66">
        <v>185.2</v>
      </c>
      <c r="F1452" s="64">
        <f t="shared" si="22"/>
        <v>26.480947222222223</v>
      </c>
      <c r="G1452" s="60" t="s">
        <v>9</v>
      </c>
      <c r="H1452" s="60" t="s">
        <v>5064</v>
      </c>
    </row>
    <row r="1453" spans="1:8">
      <c r="A1453" s="59" t="s">
        <v>2876</v>
      </c>
      <c r="B1453" s="62">
        <v>3</v>
      </c>
      <c r="C1453" s="60" t="s">
        <v>5044</v>
      </c>
      <c r="D1453" s="64">
        <f>IFERROR(VLOOKUP(C1453,測定点マスタ!$E$2:$F$28,2,FALSE)/VLOOKUP(A1453,'焼鈍条件-3CGL'!$A$2:$B$197,2,FALSE)*60,"")</f>
        <v>13.053410203415641</v>
      </c>
      <c r="E1453" s="66">
        <v>651.20000000000005</v>
      </c>
      <c r="F1453" s="64">
        <f t="shared" si="22"/>
        <v>63.883285964912297</v>
      </c>
      <c r="G1453" s="60" t="s">
        <v>9</v>
      </c>
      <c r="H1453" s="60" t="s">
        <v>5064</v>
      </c>
    </row>
    <row r="1454" spans="1:8">
      <c r="A1454" s="59" t="s">
        <v>2876</v>
      </c>
      <c r="B1454" s="62">
        <v>4</v>
      </c>
      <c r="C1454" s="60" t="s">
        <v>5045</v>
      </c>
      <c r="D1454" s="64">
        <f>IFERROR(VLOOKUP(C1454,測定点マスタ!$E$2:$F$28,2,FALSE)/VLOOKUP(A1454,'焼鈍条件-3CGL'!$A$2:$B$197,2,FALSE)*60,"")</f>
        <v>16.892648498537891</v>
      </c>
      <c r="E1454" s="66">
        <v>772.1</v>
      </c>
      <c r="F1454" s="64">
        <f t="shared" si="22"/>
        <v>31.490621499999975</v>
      </c>
      <c r="G1454" s="60" t="s">
        <v>9</v>
      </c>
      <c r="H1454" s="60" t="s">
        <v>5064</v>
      </c>
    </row>
    <row r="1455" spans="1:8">
      <c r="A1455" s="59" t="s">
        <v>2876</v>
      </c>
      <c r="B1455" s="62">
        <v>5</v>
      </c>
      <c r="C1455" s="60" t="s">
        <v>5047</v>
      </c>
      <c r="D1455" s="64">
        <f>IFERROR(VLOOKUP(C1455,測定点マスタ!$E$2:$F$28,2,FALSE)/VLOOKUP(A1455,'焼鈍条件-3CGL'!$A$2:$B$197,2,FALSE)*60,"")</f>
        <v>23.035429770733487</v>
      </c>
      <c r="E1455" s="66">
        <v>717.5</v>
      </c>
      <c r="F1455" s="64">
        <f t="shared" si="22"/>
        <v>-8.8884818750000054</v>
      </c>
      <c r="G1455" s="60" t="s">
        <v>9</v>
      </c>
      <c r="H1455" s="60" t="s">
        <v>5064</v>
      </c>
    </row>
    <row r="1456" spans="1:8">
      <c r="A1456" s="59" t="s">
        <v>2876</v>
      </c>
      <c r="B1456" s="62">
        <v>6</v>
      </c>
      <c r="C1456" s="60" t="s">
        <v>5049</v>
      </c>
      <c r="D1456" s="64">
        <f>IFERROR(VLOOKUP(C1456,測定点マスタ!$E$2:$F$28,2,FALSE)/VLOOKUP(A1456,'焼鈍条件-3CGL'!$A$2:$B$197,2,FALSE)*60,"")</f>
        <v>28.026439554392407</v>
      </c>
      <c r="E1456" s="66">
        <v>583.9</v>
      </c>
      <c r="F1456" s="64">
        <f t="shared" si="22"/>
        <v>-26.768130256410267</v>
      </c>
      <c r="G1456" s="60" t="s">
        <v>9</v>
      </c>
      <c r="H1456" s="60" t="s">
        <v>5064</v>
      </c>
    </row>
    <row r="1457" spans="1:8">
      <c r="A1457" s="59" t="s">
        <v>2876</v>
      </c>
      <c r="B1457" s="62">
        <v>7</v>
      </c>
      <c r="C1457" s="60" t="s">
        <v>5050</v>
      </c>
      <c r="D1457" s="64">
        <f>IFERROR(VLOOKUP(C1457,測定点マスタ!$E$2:$F$28,2,FALSE)/VLOOKUP(A1457,'焼鈍条件-3CGL'!$A$2:$B$197,2,FALSE)*60,"")</f>
        <v>31.097830190490207</v>
      </c>
      <c r="E1457" s="66">
        <v>476.9</v>
      </c>
      <c r="F1457" s="64">
        <f t="shared" si="22"/>
        <v>-34.837639583333321</v>
      </c>
      <c r="G1457" s="60" t="s">
        <v>9</v>
      </c>
      <c r="H1457" s="60" t="s">
        <v>5064</v>
      </c>
    </row>
    <row r="1458" spans="1:8">
      <c r="A1458" s="59" t="s">
        <v>2876</v>
      </c>
      <c r="B1458" s="62">
        <v>8</v>
      </c>
      <c r="C1458" s="60" t="s">
        <v>5051</v>
      </c>
      <c r="D1458" s="64">
        <f>IFERROR(VLOOKUP(C1458,測定点マスタ!$E$2:$F$28,2,FALSE)/VLOOKUP(A1458,'焼鈍条件-3CGL'!$A$2:$B$197,2,FALSE)*60,"")</f>
        <v>33.785296997075783</v>
      </c>
      <c r="E1458" s="66">
        <v>434.4</v>
      </c>
      <c r="F1458" s="64">
        <f t="shared" si="22"/>
        <v>-15.814148809523795</v>
      </c>
      <c r="G1458" s="60" t="s">
        <v>9</v>
      </c>
      <c r="H1458" s="60" t="s">
        <v>5064</v>
      </c>
    </row>
    <row r="1459" spans="1:8">
      <c r="A1459" s="59" t="s">
        <v>2876</v>
      </c>
      <c r="B1459" s="62">
        <v>9</v>
      </c>
      <c r="C1459" s="60" t="s">
        <v>5052</v>
      </c>
      <c r="D1459" s="64">
        <f>IFERROR(VLOOKUP(C1459,測定点マスタ!$E$2:$F$28,2,FALSE)/VLOOKUP(A1459,'焼鈍条件-3CGL'!$A$2:$B$197,2,FALSE)*60,"")</f>
        <v>37.240611462685798</v>
      </c>
      <c r="E1459" s="66">
        <v>337.9</v>
      </c>
      <c r="F1459" s="64">
        <f t="shared" si="22"/>
        <v>-27.927993518518576</v>
      </c>
      <c r="G1459" s="60" t="s">
        <v>9</v>
      </c>
      <c r="H1459" s="60" t="s">
        <v>5064</v>
      </c>
    </row>
    <row r="1460" spans="1:8">
      <c r="A1460" s="59" t="s">
        <v>2876</v>
      </c>
      <c r="B1460" s="62">
        <v>10</v>
      </c>
      <c r="C1460" s="60" t="s">
        <v>5069</v>
      </c>
      <c r="D1460" s="64">
        <f>IFERROR(VLOOKUP(C1460,測定点マスタ!$E$2:$F$28,2,FALSE)/VLOOKUP(A1460,'焼鈍条件-3CGL'!$A$2:$B$197,2,FALSE)*60,"")</f>
        <v>39.928078269271374</v>
      </c>
      <c r="E1460" s="66">
        <v>486.5</v>
      </c>
      <c r="F1460" s="64">
        <f t="shared" si="22"/>
        <v>55.293706190476151</v>
      </c>
      <c r="G1460" s="60" t="s">
        <v>9</v>
      </c>
      <c r="H1460" s="60" t="s">
        <v>5064</v>
      </c>
    </row>
    <row r="1461" spans="1:8">
      <c r="A1461" s="59" t="s">
        <v>2876</v>
      </c>
      <c r="B1461" s="62">
        <v>11</v>
      </c>
      <c r="C1461" s="60" t="s">
        <v>5053</v>
      </c>
      <c r="D1461" s="64">
        <f>IFERROR(VLOOKUP(C1461,測定点マスタ!$E$2:$F$28,2,FALSE)/VLOOKUP(A1461,'焼鈍条件-3CGL'!$A$2:$B$197,2,FALSE)*60,"")</f>
        <v>41.847697416832496</v>
      </c>
      <c r="E1461" s="66">
        <v>490</v>
      </c>
      <c r="F1461" s="64">
        <f t="shared" si="22"/>
        <v>1.8232783333333356</v>
      </c>
      <c r="G1461" s="60" t="s">
        <v>9</v>
      </c>
      <c r="H1461" s="60" t="s">
        <v>5064</v>
      </c>
    </row>
    <row r="1462" spans="1:8">
      <c r="A1462" s="59" t="s">
        <v>2876</v>
      </c>
      <c r="B1462" s="62">
        <v>12</v>
      </c>
      <c r="C1462" s="60" t="s">
        <v>5054</v>
      </c>
      <c r="D1462" s="64">
        <f>IFERROR(VLOOKUP(C1462,測定点マスタ!$E$2:$F$28,2,FALSE)/VLOOKUP(A1462,'焼鈍条件-3CGL'!$A$2:$B$197,2,FALSE)*60,"")</f>
        <v>46.83870720049142</v>
      </c>
      <c r="E1462" s="66">
        <v>488</v>
      </c>
      <c r="F1462" s="64">
        <f t="shared" si="22"/>
        <v>-0.40072051282051263</v>
      </c>
      <c r="G1462" s="60" t="s">
        <v>9</v>
      </c>
      <c r="H1462" s="60" t="s">
        <v>5064</v>
      </c>
    </row>
    <row r="1463" spans="1:8">
      <c r="A1463" s="59" t="s">
        <v>2876</v>
      </c>
      <c r="B1463" s="62">
        <v>13</v>
      </c>
      <c r="C1463" s="60" t="s">
        <v>5056</v>
      </c>
      <c r="D1463" s="64">
        <f>IFERROR(VLOOKUP(C1463,測定点マスタ!$E$2:$F$28,2,FALSE)/VLOOKUP(A1463,'焼鈍条件-3CGL'!$A$2:$B$197,2,FALSE)*60,"")</f>
        <v>51.06186932512589</v>
      </c>
      <c r="E1463" s="66">
        <v>265.3</v>
      </c>
      <c r="F1463" s="64">
        <f t="shared" si="22"/>
        <v>-52.732998030303058</v>
      </c>
      <c r="G1463" s="60" t="s">
        <v>9</v>
      </c>
      <c r="H1463" s="60" t="s">
        <v>5064</v>
      </c>
    </row>
    <row r="1464" spans="1:8">
      <c r="A1464" s="59" t="s">
        <v>2876</v>
      </c>
      <c r="B1464" s="62">
        <v>14</v>
      </c>
      <c r="C1464" s="60" t="s">
        <v>5062</v>
      </c>
      <c r="D1464" s="64">
        <f>IFERROR(VLOOKUP(C1464,測定点マスタ!$E$2:$F$28,2,FALSE)/VLOOKUP(A1464,'焼鈍条件-3CGL'!$A$2:$B$197,2,FALSE)*60,"")</f>
        <v>55.668955279272588</v>
      </c>
      <c r="E1464" s="66">
        <v>460</v>
      </c>
      <c r="F1464" s="64">
        <f t="shared" si="22"/>
        <v>42.260987083333333</v>
      </c>
      <c r="G1464" s="60" t="s">
        <v>9</v>
      </c>
      <c r="H1464" s="60" t="s">
        <v>5064</v>
      </c>
    </row>
    <row r="1465" spans="1:8">
      <c r="A1465" s="59" t="s">
        <v>2876</v>
      </c>
      <c r="B1465" s="62">
        <v>15</v>
      </c>
      <c r="C1465" s="60" t="s">
        <v>5065</v>
      </c>
      <c r="D1465" s="64">
        <f>IFERROR(VLOOKUP(C1465,測定点マスタ!$E$2:$F$28,2,FALSE)/VLOOKUP(A1465,'焼鈍条件-3CGL'!$A$2:$B$197,2,FALSE)*60,"")</f>
        <v>56.354533546258594</v>
      </c>
      <c r="E1465" s="66">
        <v>554.20000000000005</v>
      </c>
      <c r="F1465" s="64">
        <f t="shared" si="22"/>
        <v>137.40225520002201</v>
      </c>
      <c r="G1465" s="60" t="s">
        <v>9</v>
      </c>
      <c r="H1465" s="60" t="s">
        <v>5064</v>
      </c>
    </row>
    <row r="1466" spans="1:8">
      <c r="A1466" s="59" t="s">
        <v>2876</v>
      </c>
      <c r="B1466" s="62">
        <v>16</v>
      </c>
      <c r="C1466" s="60" t="s">
        <v>5066</v>
      </c>
      <c r="D1466" s="64">
        <f>IFERROR(VLOOKUP(C1466,測定点マスタ!$E$2:$F$28,2,FALSE)/VLOOKUP(A1466,'焼鈍条件-3CGL'!$A$2:$B$197,2,FALSE)*60,"")</f>
        <v>58.671788088671946</v>
      </c>
      <c r="E1466" s="66">
        <v>532.79999999999995</v>
      </c>
      <c r="F1466" s="64">
        <f t="shared" si="22"/>
        <v>-9.2350665877701239</v>
      </c>
      <c r="G1466" s="60" t="s">
        <v>9</v>
      </c>
      <c r="H1466" s="60" t="s">
        <v>5064</v>
      </c>
    </row>
    <row r="1467" spans="1:8">
      <c r="A1467" s="59" t="s">
        <v>2876</v>
      </c>
      <c r="B1467" s="62">
        <v>17</v>
      </c>
      <c r="C1467" s="60" t="s">
        <v>5057</v>
      </c>
      <c r="D1467" s="64">
        <f>IFERROR(VLOOKUP(C1467,測定点マスタ!$E$2:$F$28,2,FALSE)/VLOOKUP(A1467,'焼鈍条件-3CGL'!$A$2:$B$197,2,FALSE)*60,"")</f>
        <v>63.30629717349786</v>
      </c>
      <c r="E1467" s="66">
        <v>267.2</v>
      </c>
      <c r="F1467" s="64">
        <f t="shared" si="22"/>
        <v>-57.309198264302601</v>
      </c>
      <c r="G1467" s="60" t="s">
        <v>9</v>
      </c>
      <c r="H1467" s="60" t="s">
        <v>5064</v>
      </c>
    </row>
    <row r="1468" spans="1:8">
      <c r="A1468" s="59" t="s">
        <v>2876</v>
      </c>
      <c r="B1468" s="62">
        <v>18</v>
      </c>
      <c r="C1468" s="60" t="s">
        <v>5059</v>
      </c>
      <c r="D1468" s="64">
        <f>IFERROR(VLOOKUP(C1468,測定点マスタ!$E$2:$F$28,2,FALSE)/VLOOKUP(A1468,'焼鈍条件-3CGL'!$A$2:$B$197,2,FALSE)*60,"")</f>
        <v>67.940806258324173</v>
      </c>
      <c r="E1468" s="66">
        <v>69.099999999999994</v>
      </c>
      <c r="F1468" s="64">
        <f t="shared" si="22"/>
        <v>-42.744548856014205</v>
      </c>
      <c r="G1468" s="60" t="s">
        <v>9</v>
      </c>
      <c r="H1468" s="60" t="s">
        <v>5064</v>
      </c>
    </row>
    <row r="1469" spans="1:8">
      <c r="A1469" s="59" t="s">
        <v>2891</v>
      </c>
      <c r="B1469" s="62">
        <v>1</v>
      </c>
      <c r="C1469" s="60" t="s">
        <v>5041</v>
      </c>
      <c r="D1469" s="64">
        <f>IFERROR(VLOOKUP(C1469,測定点マスタ!$E$2:$F$28,2,FALSE)/VLOOKUP(A1469,'焼鈍条件-3CGL'!$A$2:$B$197,2,FALSE)*60,"")</f>
        <v>0</v>
      </c>
      <c r="E1469" s="66">
        <v>30.5</v>
      </c>
      <c r="F1469" s="64" t="str">
        <f t="shared" si="22"/>
        <v/>
      </c>
      <c r="G1469" s="60" t="s">
        <v>9</v>
      </c>
      <c r="H1469" s="60" t="s">
        <v>5042</v>
      </c>
    </row>
    <row r="1470" spans="1:8">
      <c r="A1470" s="59" t="s">
        <v>2891</v>
      </c>
      <c r="B1470" s="62">
        <v>2</v>
      </c>
      <c r="C1470" s="60" t="s">
        <v>5043</v>
      </c>
      <c r="D1470" s="64">
        <f>IFERROR(VLOOKUP(C1470,測定点マスタ!$E$2:$F$28,2,FALSE)/VLOOKUP(A1470,'焼鈍条件-3CGL'!$A$2:$B$197,2,FALSE)*60,"")</f>
        <v>7.8464194172725845</v>
      </c>
      <c r="E1470" s="66">
        <v>172.4</v>
      </c>
      <c r="F1470" s="64">
        <f t="shared" si="22"/>
        <v>18.084682000000001</v>
      </c>
      <c r="G1470" s="60" t="s">
        <v>9</v>
      </c>
      <c r="H1470" s="60" t="s">
        <v>5042</v>
      </c>
    </row>
    <row r="1471" spans="1:8">
      <c r="A1471" s="59" t="s">
        <v>2891</v>
      </c>
      <c r="B1471" s="62">
        <v>3</v>
      </c>
      <c r="C1471" s="60" t="s">
        <v>5044</v>
      </c>
      <c r="D1471" s="64">
        <f>IFERROR(VLOOKUP(C1471,測定点マスタ!$E$2:$F$28,2,FALSE)/VLOOKUP(A1471,'焼鈍条件-3CGL'!$A$2:$B$197,2,FALSE)*60,"")</f>
        <v>17.785217345817859</v>
      </c>
      <c r="E1471" s="66">
        <v>660.6</v>
      </c>
      <c r="F1471" s="64">
        <f t="shared" si="22"/>
        <v>49.120628421052636</v>
      </c>
      <c r="G1471" s="60" t="s">
        <v>9</v>
      </c>
      <c r="H1471" s="60" t="s">
        <v>5042</v>
      </c>
    </row>
    <row r="1472" spans="1:8">
      <c r="A1472" s="59" t="s">
        <v>2891</v>
      </c>
      <c r="B1472" s="62">
        <v>4</v>
      </c>
      <c r="C1472" s="60" t="s">
        <v>5045</v>
      </c>
      <c r="D1472" s="64">
        <f>IFERROR(VLOOKUP(C1472,測定点マスタ!$E$2:$F$28,2,FALSE)/VLOOKUP(A1472,'焼鈍条件-3CGL'!$A$2:$B$197,2,FALSE)*60,"")</f>
        <v>23.016163623999581</v>
      </c>
      <c r="E1472" s="66">
        <v>801.7</v>
      </c>
      <c r="F1472" s="64">
        <f t="shared" si="22"/>
        <v>26.974087000000008</v>
      </c>
      <c r="G1472" s="60" t="s">
        <v>9</v>
      </c>
      <c r="H1472" s="60" t="s">
        <v>5042</v>
      </c>
    </row>
    <row r="1473" spans="1:8">
      <c r="A1473" s="59" t="s">
        <v>2891</v>
      </c>
      <c r="B1473" s="62">
        <v>5</v>
      </c>
      <c r="C1473" s="60" t="s">
        <v>5046</v>
      </c>
      <c r="D1473" s="64">
        <f>IFERROR(VLOOKUP(C1473,測定点マスタ!$E$2:$F$28,2,FALSE)/VLOOKUP(A1473,'焼鈍条件-3CGL'!$A$2:$B$197,2,FALSE)*60,"")</f>
        <v>28.247109902181304</v>
      </c>
      <c r="E1473" s="66">
        <v>751</v>
      </c>
      <c r="F1473" s="64">
        <f t="shared" si="22"/>
        <v>-9.6923190000000101</v>
      </c>
      <c r="G1473" s="60" t="s">
        <v>9</v>
      </c>
      <c r="H1473" s="60" t="s">
        <v>5042</v>
      </c>
    </row>
    <row r="1474" spans="1:8">
      <c r="A1474" s="59" t="s">
        <v>2891</v>
      </c>
      <c r="B1474" s="62">
        <v>6</v>
      </c>
      <c r="C1474" s="60" t="s">
        <v>5047</v>
      </c>
      <c r="D1474" s="64">
        <f>IFERROR(VLOOKUP(C1474,測定点マスタ!$E$2:$F$28,2,FALSE)/VLOOKUP(A1474,'焼鈍条件-3CGL'!$A$2:$B$197,2,FALSE)*60,"")</f>
        <v>31.385677669090338</v>
      </c>
      <c r="E1474" s="66">
        <v>726.2</v>
      </c>
      <c r="F1474" s="64">
        <f t="shared" ref="F1474:F1537" si="23">IF(A1474=A1473,IFERROR((E1474-E1473)/(D1474-D1473),""),"")</f>
        <v>-7.9016933333333181</v>
      </c>
      <c r="G1474" s="60" t="s">
        <v>9</v>
      </c>
      <c r="H1474" s="60" t="s">
        <v>5042</v>
      </c>
    </row>
    <row r="1475" spans="1:8">
      <c r="A1475" s="59" t="s">
        <v>2891</v>
      </c>
      <c r="B1475" s="62">
        <v>7</v>
      </c>
      <c r="C1475" s="60" t="s">
        <v>5048</v>
      </c>
      <c r="D1475" s="64">
        <f>IFERROR(VLOOKUP(C1475,測定点マスタ!$E$2:$F$28,2,FALSE)/VLOOKUP(A1475,'焼鈍条件-3CGL'!$A$2:$B$197,2,FALSE)*60,"")</f>
        <v>34.524245435999376</v>
      </c>
      <c r="E1475" s="66">
        <v>672.8</v>
      </c>
      <c r="F1475" s="64">
        <f t="shared" si="23"/>
        <v>-17.014130000000009</v>
      </c>
      <c r="G1475" s="60" t="s">
        <v>9</v>
      </c>
      <c r="H1475" s="60" t="s">
        <v>5042</v>
      </c>
    </row>
    <row r="1476" spans="1:8">
      <c r="A1476" s="59" t="s">
        <v>2891</v>
      </c>
      <c r="B1476" s="62">
        <v>8</v>
      </c>
      <c r="C1476" s="60" t="s">
        <v>5049</v>
      </c>
      <c r="D1476" s="64">
        <f>IFERROR(VLOOKUP(C1476,測定点マスタ!$E$2:$F$28,2,FALSE)/VLOOKUP(A1476,'焼鈍条件-3CGL'!$A$2:$B$197,2,FALSE)*60,"")</f>
        <v>38.185907830726578</v>
      </c>
      <c r="E1476" s="66">
        <v>598.9</v>
      </c>
      <c r="F1476" s="64">
        <f t="shared" si="23"/>
        <v>-20.182090000000017</v>
      </c>
      <c r="G1476" s="60" t="s">
        <v>9</v>
      </c>
      <c r="H1476" s="60" t="s">
        <v>5042</v>
      </c>
    </row>
    <row r="1477" spans="1:8">
      <c r="A1477" s="59" t="s">
        <v>2891</v>
      </c>
      <c r="B1477" s="62">
        <v>9</v>
      </c>
      <c r="C1477" s="60" t="s">
        <v>5050</v>
      </c>
      <c r="D1477" s="64">
        <f>IFERROR(VLOOKUP(C1477,測定点マスタ!$E$2:$F$28,2,FALSE)/VLOOKUP(A1477,'焼鈍条件-3CGL'!$A$2:$B$197,2,FALSE)*60,"")</f>
        <v>42.370664853271961</v>
      </c>
      <c r="E1477" s="66">
        <v>504.5</v>
      </c>
      <c r="F1477" s="64">
        <f t="shared" si="23"/>
        <v>-22.558059999999966</v>
      </c>
      <c r="G1477" s="60" t="s">
        <v>9</v>
      </c>
      <c r="H1477" s="60" t="s">
        <v>5042</v>
      </c>
    </row>
    <row r="1478" spans="1:8">
      <c r="A1478" s="59" t="s">
        <v>2891</v>
      </c>
      <c r="B1478" s="62">
        <v>10</v>
      </c>
      <c r="C1478" s="60" t="s">
        <v>5051</v>
      </c>
      <c r="D1478" s="64">
        <f>IFERROR(VLOOKUP(C1478,測定点マスタ!$E$2:$F$28,2,FALSE)/VLOOKUP(A1478,'焼鈍条件-3CGL'!$A$2:$B$197,2,FALSE)*60,"")</f>
        <v>46.032327247999163</v>
      </c>
      <c r="E1478" s="66">
        <v>467.4</v>
      </c>
      <c r="F1478" s="64">
        <f t="shared" si="23"/>
        <v>-10.132010000000019</v>
      </c>
      <c r="G1478" s="60" t="s">
        <v>9</v>
      </c>
      <c r="H1478" s="60" t="s">
        <v>5042</v>
      </c>
    </row>
    <row r="1479" spans="1:8">
      <c r="A1479" s="59" t="s">
        <v>2891</v>
      </c>
      <c r="B1479" s="62">
        <v>11</v>
      </c>
      <c r="C1479" s="60" t="s">
        <v>5060</v>
      </c>
      <c r="D1479" s="64">
        <f>IFERROR(VLOOKUP(C1479,測定点マスタ!$E$2:$F$28,2,FALSE)/VLOOKUP(A1479,'焼鈍条件-3CGL'!$A$2:$B$197,2,FALSE)*60,"")</f>
        <v>48.124705759271855</v>
      </c>
      <c r="E1479" s="66">
        <v>397.8</v>
      </c>
      <c r="F1479" s="64">
        <f t="shared" si="23"/>
        <v>-33.263579999999941</v>
      </c>
      <c r="G1479" s="60" t="s">
        <v>9</v>
      </c>
      <c r="H1479" s="60" t="s">
        <v>5042</v>
      </c>
    </row>
    <row r="1480" spans="1:8">
      <c r="A1480" s="59" t="s">
        <v>2891</v>
      </c>
      <c r="B1480" s="62">
        <v>12</v>
      </c>
      <c r="C1480" s="60" t="s">
        <v>5052</v>
      </c>
      <c r="D1480" s="64">
        <f>IFERROR(VLOOKUP(C1480,測定点マスタ!$E$2:$F$28,2,FALSE)/VLOOKUP(A1480,'焼鈍条件-3CGL'!$A$2:$B$197,2,FALSE)*60,"")</f>
        <v>50.740178898362714</v>
      </c>
      <c r="E1480" s="66">
        <v>344.1</v>
      </c>
      <c r="F1480" s="64">
        <f t="shared" si="23"/>
        <v>-20.531658000000011</v>
      </c>
      <c r="G1480" s="60" t="s">
        <v>9</v>
      </c>
      <c r="H1480" s="60" t="s">
        <v>5042</v>
      </c>
    </row>
    <row r="1481" spans="1:8">
      <c r="A1481" s="59" t="s">
        <v>2891</v>
      </c>
      <c r="B1481" s="62">
        <v>13</v>
      </c>
      <c r="C1481" s="60" t="s">
        <v>5053</v>
      </c>
      <c r="D1481" s="64">
        <f>IFERROR(VLOOKUP(C1481,測定点マスタ!$E$2:$F$28,2,FALSE)/VLOOKUP(A1481,'焼鈍条件-3CGL'!$A$2:$B$197,2,FALSE)*60,"")</f>
        <v>57.017314432180783</v>
      </c>
      <c r="E1481" s="66">
        <v>505</v>
      </c>
      <c r="F1481" s="64">
        <f t="shared" si="23"/>
        <v>25.632710833333327</v>
      </c>
      <c r="G1481" s="60" t="s">
        <v>9</v>
      </c>
      <c r="H1481" s="60" t="s">
        <v>5042</v>
      </c>
    </row>
    <row r="1482" spans="1:8">
      <c r="A1482" s="59" t="s">
        <v>2891</v>
      </c>
      <c r="B1482" s="62">
        <v>14</v>
      </c>
      <c r="C1482" s="60" t="s">
        <v>5063</v>
      </c>
      <c r="D1482" s="64">
        <f>IFERROR(VLOOKUP(C1482,測定点マスタ!$E$2:$F$28,2,FALSE)/VLOOKUP(A1482,'焼鈍条件-3CGL'!$A$2:$B$197,2,FALSE)*60,"")</f>
        <v>60.155882199089824</v>
      </c>
      <c r="E1482" s="66">
        <v>503.6</v>
      </c>
      <c r="F1482" s="64">
        <f t="shared" si="23"/>
        <v>-0.44606333333332504</v>
      </c>
      <c r="G1482" s="60" t="s">
        <v>9</v>
      </c>
      <c r="H1482" s="60" t="s">
        <v>5042</v>
      </c>
    </row>
    <row r="1483" spans="1:8">
      <c r="A1483" s="59" t="s">
        <v>2891</v>
      </c>
      <c r="B1483" s="62">
        <v>15</v>
      </c>
      <c r="C1483" s="60" t="s">
        <v>5054</v>
      </c>
      <c r="D1483" s="64">
        <f>IFERROR(VLOOKUP(C1483,測定点マスタ!$E$2:$F$28,2,FALSE)/VLOOKUP(A1483,'焼鈍条件-3CGL'!$A$2:$B$197,2,FALSE)*60,"")</f>
        <v>63.817544593817026</v>
      </c>
      <c r="E1483" s="66">
        <v>482.6</v>
      </c>
      <c r="F1483" s="64">
        <f t="shared" si="23"/>
        <v>-5.7351000000000072</v>
      </c>
      <c r="G1483" s="60" t="s">
        <v>9</v>
      </c>
      <c r="H1483" s="60" t="s">
        <v>5042</v>
      </c>
    </row>
    <row r="1484" spans="1:8">
      <c r="A1484" s="59" t="s">
        <v>2891</v>
      </c>
      <c r="B1484" s="62">
        <v>16</v>
      </c>
      <c r="C1484" s="60" t="s">
        <v>5056</v>
      </c>
      <c r="D1484" s="64">
        <f>IFERROR(VLOOKUP(C1484,測定点マスタ!$E$2:$F$28,2,FALSE)/VLOOKUP(A1484,'焼鈍条件-3CGL'!$A$2:$B$197,2,FALSE)*60,"")</f>
        <v>69.571585499816919</v>
      </c>
      <c r="E1484" s="66">
        <v>266.7</v>
      </c>
      <c r="F1484" s="64">
        <f t="shared" si="23"/>
        <v>-37.521457272727289</v>
      </c>
      <c r="G1484" s="60" t="s">
        <v>9</v>
      </c>
      <c r="H1484" s="60" t="s">
        <v>5042</v>
      </c>
    </row>
    <row r="1485" spans="1:8">
      <c r="A1485" s="59" t="s">
        <v>2891</v>
      </c>
      <c r="B1485" s="62">
        <v>17</v>
      </c>
      <c r="C1485" s="60" t="s">
        <v>5068</v>
      </c>
      <c r="D1485" s="64">
        <f>IFERROR(VLOOKUP(C1485,測定点マスタ!$E$2:$F$28,2,FALSE)/VLOOKUP(A1485,'焼鈍条件-3CGL'!$A$2:$B$197,2,FALSE)*60,"")</f>
        <v>83.097318019115448</v>
      </c>
      <c r="E1485" s="66">
        <v>351.5</v>
      </c>
      <c r="F1485" s="64">
        <f t="shared" si="23"/>
        <v>6.2695310497237235</v>
      </c>
      <c r="G1485" s="60" t="s">
        <v>9</v>
      </c>
      <c r="H1485" s="60" t="s">
        <v>5042</v>
      </c>
    </row>
    <row r="1486" spans="1:8">
      <c r="A1486" s="59" t="s">
        <v>2891</v>
      </c>
      <c r="B1486" s="62">
        <v>18</v>
      </c>
      <c r="C1486" s="60" t="s">
        <v>5057</v>
      </c>
      <c r="D1486" s="64">
        <f>IFERROR(VLOOKUP(C1486,測定点マスタ!$E$2:$F$28,2,FALSE)/VLOOKUP(A1486,'焼鈍条件-3CGL'!$A$2:$B$197,2,FALSE)*60,"")</f>
        <v>86.254567737017837</v>
      </c>
      <c r="E1486" s="66">
        <v>171.2</v>
      </c>
      <c r="F1486" s="64">
        <f t="shared" si="23"/>
        <v>-57.10666437870097</v>
      </c>
      <c r="G1486" s="60" t="s">
        <v>9</v>
      </c>
      <c r="H1486" s="60" t="s">
        <v>5042</v>
      </c>
    </row>
    <row r="1487" spans="1:8">
      <c r="A1487" s="59" t="s">
        <v>2891</v>
      </c>
      <c r="B1487" s="62">
        <v>19</v>
      </c>
      <c r="C1487" s="60" t="s">
        <v>5058</v>
      </c>
      <c r="D1487" s="64">
        <f>IFERROR(VLOOKUP(C1487,測定点マスタ!$E$2:$F$28,2,FALSE)/VLOOKUP(A1487,'焼鈍条件-3CGL'!$A$2:$B$197,2,FALSE)*60,"")</f>
        <v>89.411817454920225</v>
      </c>
      <c r="E1487" s="66">
        <v>101.4</v>
      </c>
      <c r="F1487" s="64">
        <f t="shared" si="23"/>
        <v>-22.107848994083895</v>
      </c>
      <c r="G1487" s="60" t="s">
        <v>9</v>
      </c>
      <c r="H1487" s="60" t="s">
        <v>5042</v>
      </c>
    </row>
    <row r="1488" spans="1:8">
      <c r="A1488" s="59" t="s">
        <v>2891</v>
      </c>
      <c r="B1488" s="62">
        <v>20</v>
      </c>
      <c r="C1488" s="60" t="s">
        <v>5059</v>
      </c>
      <c r="D1488" s="64">
        <f>IFERROR(VLOOKUP(C1488,測定点マスタ!$E$2:$F$28,2,FALSE)/VLOOKUP(A1488,'焼鈍条件-3CGL'!$A$2:$B$197,2,FALSE)*60,"")</f>
        <v>92.569067172823154</v>
      </c>
      <c r="E1488" s="66">
        <v>63.9</v>
      </c>
      <c r="F1488" s="64">
        <f t="shared" si="23"/>
        <v>-11.8774260355015</v>
      </c>
      <c r="G1488" s="60" t="s">
        <v>9</v>
      </c>
      <c r="H1488" s="60" t="s">
        <v>5042</v>
      </c>
    </row>
    <row r="1489" spans="1:8">
      <c r="A1489" s="59" t="s">
        <v>2898</v>
      </c>
      <c r="B1489" s="62">
        <v>1</v>
      </c>
      <c r="C1489" s="60" t="s">
        <v>5041</v>
      </c>
      <c r="D1489" s="64">
        <f>IFERROR(VLOOKUP(C1489,測定点マスタ!$E$2:$F$28,2,FALSE)/VLOOKUP(A1489,'焼鈍条件-3CGL'!$A$2:$B$197,2,FALSE)*60,"")</f>
        <v>0</v>
      </c>
      <c r="E1489" s="66">
        <v>25.5</v>
      </c>
      <c r="F1489" s="64" t="str">
        <f t="shared" si="23"/>
        <v/>
      </c>
      <c r="G1489" s="60" t="s">
        <v>9</v>
      </c>
      <c r="H1489" s="60" t="s">
        <v>5042</v>
      </c>
    </row>
    <row r="1490" spans="1:8">
      <c r="A1490" s="59" t="s">
        <v>2898</v>
      </c>
      <c r="B1490" s="62">
        <v>2</v>
      </c>
      <c r="C1490" s="60" t="s">
        <v>5043</v>
      </c>
      <c r="D1490" s="64">
        <f>IFERROR(VLOOKUP(C1490,測定点マスタ!$E$2:$F$28,2,FALSE)/VLOOKUP(A1490,'焼鈍条件-3CGL'!$A$2:$B$197,2,FALSE)*60,"")</f>
        <v>8.3166999334664009</v>
      </c>
      <c r="E1490" s="66">
        <v>182.5</v>
      </c>
      <c r="F1490" s="64">
        <f t="shared" si="23"/>
        <v>18.877679999999998</v>
      </c>
      <c r="G1490" s="60" t="s">
        <v>9</v>
      </c>
      <c r="H1490" s="60" t="s">
        <v>5042</v>
      </c>
    </row>
    <row r="1491" spans="1:8">
      <c r="A1491" s="59" t="s">
        <v>2898</v>
      </c>
      <c r="B1491" s="62">
        <v>3</v>
      </c>
      <c r="C1491" s="60" t="s">
        <v>5044</v>
      </c>
      <c r="D1491" s="64">
        <f>IFERROR(VLOOKUP(C1491,測定点マスタ!$E$2:$F$28,2,FALSE)/VLOOKUP(A1491,'焼鈍条件-3CGL'!$A$2:$B$197,2,FALSE)*60,"")</f>
        <v>18.851186515857176</v>
      </c>
      <c r="E1491" s="66">
        <v>624.20000000000005</v>
      </c>
      <c r="F1491" s="64">
        <f t="shared" si="23"/>
        <v>41.928953684210526</v>
      </c>
      <c r="G1491" s="60" t="s">
        <v>9</v>
      </c>
      <c r="H1491" s="60" t="s">
        <v>5042</v>
      </c>
    </row>
    <row r="1492" spans="1:8">
      <c r="A1492" s="59" t="s">
        <v>2898</v>
      </c>
      <c r="B1492" s="62">
        <v>4</v>
      </c>
      <c r="C1492" s="60" t="s">
        <v>5045</v>
      </c>
      <c r="D1492" s="64">
        <f>IFERROR(VLOOKUP(C1492,測定点マスタ!$E$2:$F$28,2,FALSE)/VLOOKUP(A1492,'焼鈍条件-3CGL'!$A$2:$B$197,2,FALSE)*60,"")</f>
        <v>24.395653138168111</v>
      </c>
      <c r="E1492" s="66">
        <v>784.6</v>
      </c>
      <c r="F1492" s="64">
        <f t="shared" si="23"/>
        <v>28.929743999999989</v>
      </c>
      <c r="G1492" s="60" t="s">
        <v>9</v>
      </c>
      <c r="H1492" s="60" t="s">
        <v>5042</v>
      </c>
    </row>
    <row r="1493" spans="1:8">
      <c r="A1493" s="59" t="s">
        <v>2898</v>
      </c>
      <c r="B1493" s="62">
        <v>5</v>
      </c>
      <c r="C1493" s="60" t="s">
        <v>5047</v>
      </c>
      <c r="D1493" s="64">
        <f>IFERROR(VLOOKUP(C1493,測定点マスタ!$E$2:$F$28,2,FALSE)/VLOOKUP(A1493,'焼鈍条件-3CGL'!$A$2:$B$197,2,FALSE)*60,"")</f>
        <v>33.266799733865604</v>
      </c>
      <c r="E1493" s="66">
        <v>719.2</v>
      </c>
      <c r="F1493" s="64">
        <f t="shared" si="23"/>
        <v>-7.3722149999999989</v>
      </c>
      <c r="G1493" s="60" t="s">
        <v>9</v>
      </c>
      <c r="H1493" s="60" t="s">
        <v>5042</v>
      </c>
    </row>
    <row r="1494" spans="1:8">
      <c r="A1494" s="59" t="s">
        <v>2898</v>
      </c>
      <c r="B1494" s="62">
        <v>6</v>
      </c>
      <c r="C1494" s="60" t="s">
        <v>5049</v>
      </c>
      <c r="D1494" s="64">
        <f>IFERROR(VLOOKUP(C1494,測定点マスタ!$E$2:$F$28,2,FALSE)/VLOOKUP(A1494,'焼鈍条件-3CGL'!$A$2:$B$197,2,FALSE)*60,"")</f>
        <v>40.474606342869819</v>
      </c>
      <c r="E1494" s="66">
        <v>600.70000000000005</v>
      </c>
      <c r="F1494" s="64">
        <f t="shared" si="23"/>
        <v>-16.440507692307687</v>
      </c>
      <c r="G1494" s="60" t="s">
        <v>9</v>
      </c>
      <c r="H1494" s="60" t="s">
        <v>5042</v>
      </c>
    </row>
    <row r="1495" spans="1:8">
      <c r="A1495" s="59" t="s">
        <v>2898</v>
      </c>
      <c r="B1495" s="62">
        <v>7</v>
      </c>
      <c r="C1495" s="60" t="s">
        <v>5050</v>
      </c>
      <c r="D1495" s="64">
        <f>IFERROR(VLOOKUP(C1495,測定点マスタ!$E$2:$F$28,2,FALSE)/VLOOKUP(A1495,'焼鈍条件-3CGL'!$A$2:$B$197,2,FALSE)*60,"")</f>
        <v>44.910179640718567</v>
      </c>
      <c r="E1495" s="66">
        <v>501.5</v>
      </c>
      <c r="F1495" s="64">
        <f t="shared" si="23"/>
        <v>-22.364640000000005</v>
      </c>
      <c r="G1495" s="60" t="s">
        <v>9</v>
      </c>
      <c r="H1495" s="60" t="s">
        <v>5042</v>
      </c>
    </row>
    <row r="1496" spans="1:8">
      <c r="A1496" s="59" t="s">
        <v>2898</v>
      </c>
      <c r="B1496" s="62">
        <v>8</v>
      </c>
      <c r="C1496" s="60" t="s">
        <v>5051</v>
      </c>
      <c r="D1496" s="64">
        <f>IFERROR(VLOOKUP(C1496,測定点マスタ!$E$2:$F$28,2,FALSE)/VLOOKUP(A1496,'焼鈍条件-3CGL'!$A$2:$B$197,2,FALSE)*60,"")</f>
        <v>48.791306276336222</v>
      </c>
      <c r="E1496" s="66">
        <v>461.2</v>
      </c>
      <c r="F1496" s="64">
        <f t="shared" si="23"/>
        <v>-10.383582857142857</v>
      </c>
      <c r="G1496" s="60" t="s">
        <v>9</v>
      </c>
      <c r="H1496" s="60" t="s">
        <v>5042</v>
      </c>
    </row>
    <row r="1497" spans="1:8">
      <c r="A1497" s="59" t="s">
        <v>2898</v>
      </c>
      <c r="B1497" s="62">
        <v>9</v>
      </c>
      <c r="C1497" s="60" t="s">
        <v>5060</v>
      </c>
      <c r="D1497" s="64">
        <f>IFERROR(VLOOKUP(C1497,測定点マスタ!$E$2:$F$28,2,FALSE)/VLOOKUP(A1497,'焼鈍条件-3CGL'!$A$2:$B$197,2,FALSE)*60,"")</f>
        <v>51.009092925260589</v>
      </c>
      <c r="E1497" s="66">
        <v>375.2</v>
      </c>
      <c r="F1497" s="64">
        <f t="shared" si="23"/>
        <v>-38.777400000000114</v>
      </c>
      <c r="G1497" s="60" t="s">
        <v>9</v>
      </c>
      <c r="H1497" s="60" t="s">
        <v>5042</v>
      </c>
    </row>
    <row r="1498" spans="1:8">
      <c r="A1498" s="59" t="s">
        <v>2898</v>
      </c>
      <c r="B1498" s="62">
        <v>10</v>
      </c>
      <c r="C1498" s="60" t="s">
        <v>5052</v>
      </c>
      <c r="D1498" s="64">
        <f>IFERROR(VLOOKUP(C1498,測定点マスタ!$E$2:$F$28,2,FALSE)/VLOOKUP(A1498,'焼鈍条件-3CGL'!$A$2:$B$197,2,FALSE)*60,"")</f>
        <v>53.781326236416064</v>
      </c>
      <c r="E1498" s="66">
        <v>326.89999999999998</v>
      </c>
      <c r="F1498" s="64">
        <f t="shared" si="23"/>
        <v>-17.422775999999956</v>
      </c>
      <c r="G1498" s="60" t="s">
        <v>9</v>
      </c>
      <c r="H1498" s="60" t="s">
        <v>5042</v>
      </c>
    </row>
    <row r="1499" spans="1:8">
      <c r="A1499" s="59" t="s">
        <v>2898</v>
      </c>
      <c r="B1499" s="62">
        <v>11</v>
      </c>
      <c r="C1499" s="60" t="s">
        <v>5069</v>
      </c>
      <c r="D1499" s="64">
        <f>IFERROR(VLOOKUP(C1499,測定点マスタ!$E$2:$F$28,2,FALSE)/VLOOKUP(A1499,'焼鈍条件-3CGL'!$A$2:$B$197,2,FALSE)*60,"")</f>
        <v>57.662452872033711</v>
      </c>
      <c r="E1499" s="66">
        <v>504.9</v>
      </c>
      <c r="F1499" s="64">
        <f t="shared" si="23"/>
        <v>45.862971428571498</v>
      </c>
      <c r="G1499" s="60" t="s">
        <v>9</v>
      </c>
      <c r="H1499" s="60" t="s">
        <v>5042</v>
      </c>
    </row>
    <row r="1500" spans="1:8">
      <c r="A1500" s="59" t="s">
        <v>2898</v>
      </c>
      <c r="B1500" s="62">
        <v>12</v>
      </c>
      <c r="C1500" s="60" t="s">
        <v>5053</v>
      </c>
      <c r="D1500" s="64">
        <f>IFERROR(VLOOKUP(C1500,測定点マスタ!$E$2:$F$28,2,FALSE)/VLOOKUP(A1500,'焼鈍条件-3CGL'!$A$2:$B$197,2,FALSE)*60,"")</f>
        <v>60.434686183189179</v>
      </c>
      <c r="E1500" s="66">
        <v>516.70000000000005</v>
      </c>
      <c r="F1500" s="64">
        <f t="shared" si="23"/>
        <v>4.2564960000000234</v>
      </c>
      <c r="G1500" s="60" t="s">
        <v>9</v>
      </c>
      <c r="H1500" s="60" t="s">
        <v>5042</v>
      </c>
    </row>
    <row r="1501" spans="1:8">
      <c r="A1501" s="59" t="s">
        <v>2898</v>
      </c>
      <c r="B1501" s="62">
        <v>13</v>
      </c>
      <c r="C1501" s="60" t="s">
        <v>5054</v>
      </c>
      <c r="D1501" s="64">
        <f>IFERROR(VLOOKUP(C1501,測定点マスタ!$E$2:$F$28,2,FALSE)/VLOOKUP(A1501,'焼鈍条件-3CGL'!$A$2:$B$197,2,FALSE)*60,"")</f>
        <v>67.642492792193394</v>
      </c>
      <c r="E1501" s="66">
        <v>488.4</v>
      </c>
      <c r="F1501" s="64">
        <f t="shared" si="23"/>
        <v>-3.9262984615384702</v>
      </c>
      <c r="G1501" s="60" t="s">
        <v>9</v>
      </c>
      <c r="H1501" s="60" t="s">
        <v>5042</v>
      </c>
    </row>
    <row r="1502" spans="1:8">
      <c r="A1502" s="59" t="s">
        <v>2898</v>
      </c>
      <c r="B1502" s="62">
        <v>14</v>
      </c>
      <c r="C1502" s="60" t="s">
        <v>5055</v>
      </c>
      <c r="D1502" s="64">
        <f>IFERROR(VLOOKUP(C1502,測定点マスタ!$E$2:$F$28,2,FALSE)/VLOOKUP(A1502,'焼鈍条件-3CGL'!$A$2:$B$197,2,FALSE)*60,"")</f>
        <v>70.414726103348855</v>
      </c>
      <c r="E1502" s="66">
        <v>549.4</v>
      </c>
      <c r="F1502" s="64">
        <f t="shared" si="23"/>
        <v>22.003920000000051</v>
      </c>
      <c r="G1502" s="60" t="s">
        <v>9</v>
      </c>
      <c r="H1502" s="60" t="s">
        <v>5042</v>
      </c>
    </row>
    <row r="1503" spans="1:8">
      <c r="A1503" s="59" t="s">
        <v>2898</v>
      </c>
      <c r="B1503" s="62">
        <v>15</v>
      </c>
      <c r="C1503" s="60" t="s">
        <v>5056</v>
      </c>
      <c r="D1503" s="64">
        <f>IFERROR(VLOOKUP(C1503,測定点マスタ!$E$2:$F$28,2,FALSE)/VLOOKUP(A1503,'焼鈍条件-3CGL'!$A$2:$B$197,2,FALSE)*60,"")</f>
        <v>73.741406076735416</v>
      </c>
      <c r="E1503" s="66">
        <v>270</v>
      </c>
      <c r="F1503" s="64">
        <f t="shared" si="23"/>
        <v>-83.987639999999971</v>
      </c>
      <c r="G1503" s="60" t="s">
        <v>9</v>
      </c>
      <c r="H1503" s="60" t="s">
        <v>5042</v>
      </c>
    </row>
    <row r="1504" spans="1:8">
      <c r="A1504" s="59" t="s">
        <v>2898</v>
      </c>
      <c r="B1504" s="62">
        <v>16</v>
      </c>
      <c r="C1504" s="60" t="s">
        <v>5057</v>
      </c>
      <c r="D1504" s="64">
        <f>IFERROR(VLOOKUP(C1504,測定点マスタ!$E$2:$F$28,2,FALSE)/VLOOKUP(A1504,'焼鈍条件-3CGL'!$A$2:$B$197,2,FALSE)*60,"")</f>
        <v>91.424294268605564</v>
      </c>
      <c r="E1504" s="66">
        <v>237.3</v>
      </c>
      <c r="F1504" s="64">
        <f t="shared" si="23"/>
        <v>-1.8492454199328183</v>
      </c>
      <c r="G1504" s="60" t="s">
        <v>9</v>
      </c>
      <c r="H1504" s="60" t="s">
        <v>5042</v>
      </c>
    </row>
    <row r="1505" spans="1:8">
      <c r="A1505" s="59" t="s">
        <v>2898</v>
      </c>
      <c r="B1505" s="62">
        <v>17</v>
      </c>
      <c r="C1505" s="60" t="s">
        <v>5059</v>
      </c>
      <c r="D1505" s="64">
        <f>IFERROR(VLOOKUP(C1505,測定点マスタ!$E$2:$F$28,2,FALSE)/VLOOKUP(A1505,'焼鈍条件-3CGL'!$A$2:$B$197,2,FALSE)*60,"")</f>
        <v>98.117257548395443</v>
      </c>
      <c r="E1505" s="66">
        <v>67.3</v>
      </c>
      <c r="F1505" s="64">
        <f t="shared" si="23"/>
        <v>-25.399810650886618</v>
      </c>
      <c r="G1505" s="60" t="s">
        <v>9</v>
      </c>
      <c r="H1505" s="60" t="s">
        <v>5042</v>
      </c>
    </row>
    <row r="1506" spans="1:8">
      <c r="A1506" s="59" t="s">
        <v>2903</v>
      </c>
      <c r="B1506" s="62">
        <v>1</v>
      </c>
      <c r="C1506" s="60" t="s">
        <v>5041</v>
      </c>
      <c r="D1506" s="64">
        <f>IFERROR(VLOOKUP(C1506,測定点マスタ!$E$2:$F$28,2,FALSE)/VLOOKUP(A1506,'焼鈍条件-3CGL'!$A$2:$B$197,2,FALSE)*60,"")</f>
        <v>0</v>
      </c>
      <c r="E1506" s="66">
        <v>34.6</v>
      </c>
      <c r="F1506" s="64" t="str">
        <f t="shared" si="23"/>
        <v/>
      </c>
      <c r="G1506" s="60" t="s">
        <v>12</v>
      </c>
      <c r="H1506" s="60" t="s">
        <v>5042</v>
      </c>
    </row>
    <row r="1507" spans="1:8">
      <c r="A1507" s="59" t="s">
        <v>2903</v>
      </c>
      <c r="B1507" s="62">
        <v>2</v>
      </c>
      <c r="C1507" s="60" t="s">
        <v>5043</v>
      </c>
      <c r="D1507" s="64">
        <f>IFERROR(VLOOKUP(C1507,測定点マスタ!$E$2:$F$28,2,FALSE)/VLOOKUP(A1507,'焼鈍条件-3CGL'!$A$2:$B$197,2,FALSE)*60,"")</f>
        <v>8.5692250564140657</v>
      </c>
      <c r="E1507" s="66">
        <v>159.80000000000001</v>
      </c>
      <c r="F1507" s="64">
        <f t="shared" si="23"/>
        <v>14.610422666666667</v>
      </c>
      <c r="G1507" s="60" t="s">
        <v>12</v>
      </c>
      <c r="H1507" s="60" t="s">
        <v>5042</v>
      </c>
    </row>
    <row r="1508" spans="1:8">
      <c r="A1508" s="59" t="s">
        <v>2903</v>
      </c>
      <c r="B1508" s="62">
        <v>3</v>
      </c>
      <c r="C1508" s="60" t="s">
        <v>5044</v>
      </c>
      <c r="D1508" s="64">
        <f>IFERROR(VLOOKUP(C1508,測定点マスタ!$E$2:$F$28,2,FALSE)/VLOOKUP(A1508,'焼鈍条件-3CGL'!$A$2:$B$197,2,FALSE)*60,"")</f>
        <v>19.423576794538548</v>
      </c>
      <c r="E1508" s="66">
        <v>663.1</v>
      </c>
      <c r="F1508" s="64">
        <f t="shared" si="23"/>
        <v>46.368499210526316</v>
      </c>
      <c r="G1508" s="60" t="s">
        <v>12</v>
      </c>
      <c r="H1508" s="60" t="s">
        <v>5042</v>
      </c>
    </row>
    <row r="1509" spans="1:8">
      <c r="A1509" s="59" t="s">
        <v>2903</v>
      </c>
      <c r="B1509" s="62">
        <v>4</v>
      </c>
      <c r="C1509" s="60" t="s">
        <v>5045</v>
      </c>
      <c r="D1509" s="64">
        <f>IFERROR(VLOOKUP(C1509,測定点マスタ!$E$2:$F$28,2,FALSE)/VLOOKUP(A1509,'焼鈍条件-3CGL'!$A$2:$B$197,2,FALSE)*60,"")</f>
        <v>25.136393498814588</v>
      </c>
      <c r="E1509" s="66">
        <v>798.9</v>
      </c>
      <c r="F1509" s="64">
        <f t="shared" si="23"/>
        <v>23.771111000000005</v>
      </c>
      <c r="G1509" s="60" t="s">
        <v>12</v>
      </c>
      <c r="H1509" s="60" t="s">
        <v>5042</v>
      </c>
    </row>
    <row r="1510" spans="1:8">
      <c r="A1510" s="59" t="s">
        <v>2903</v>
      </c>
      <c r="B1510" s="62">
        <v>5</v>
      </c>
      <c r="C1510" s="60" t="s">
        <v>5046</v>
      </c>
      <c r="D1510" s="64">
        <f>IFERROR(VLOOKUP(C1510,測定点マスタ!$E$2:$F$28,2,FALSE)/VLOOKUP(A1510,'焼鈍条件-3CGL'!$A$2:$B$197,2,FALSE)*60,"")</f>
        <v>30.849210203090635</v>
      </c>
      <c r="E1510" s="66">
        <v>747.6</v>
      </c>
      <c r="F1510" s="64">
        <f t="shared" si="23"/>
        <v>-8.9798084999999848</v>
      </c>
      <c r="G1510" s="60" t="s">
        <v>12</v>
      </c>
      <c r="H1510" s="60" t="s">
        <v>5042</v>
      </c>
    </row>
    <row r="1511" spans="1:8">
      <c r="A1511" s="59" t="s">
        <v>2903</v>
      </c>
      <c r="B1511" s="62">
        <v>6</v>
      </c>
      <c r="C1511" s="60" t="s">
        <v>5047</v>
      </c>
      <c r="D1511" s="64">
        <f>IFERROR(VLOOKUP(C1511,測定点マスタ!$E$2:$F$28,2,FALSE)/VLOOKUP(A1511,'焼鈍条件-3CGL'!$A$2:$B$197,2,FALSE)*60,"")</f>
        <v>34.276900225656263</v>
      </c>
      <c r="E1511" s="66">
        <v>724.4</v>
      </c>
      <c r="F1511" s="64">
        <f t="shared" si="23"/>
        <v>-6.7684066666666762</v>
      </c>
      <c r="G1511" s="60" t="s">
        <v>12</v>
      </c>
      <c r="H1511" s="60" t="s">
        <v>5042</v>
      </c>
    </row>
    <row r="1512" spans="1:8">
      <c r="A1512" s="59" t="s">
        <v>2903</v>
      </c>
      <c r="B1512" s="62">
        <v>7</v>
      </c>
      <c r="C1512" s="60" t="s">
        <v>5049</v>
      </c>
      <c r="D1512" s="64">
        <f>IFERROR(VLOOKUP(C1512,測定点マスタ!$E$2:$F$28,2,FALSE)/VLOOKUP(A1512,'焼鈍条件-3CGL'!$A$2:$B$197,2,FALSE)*60,"")</f>
        <v>41.703561941215114</v>
      </c>
      <c r="E1512" s="66">
        <v>579.20000000000005</v>
      </c>
      <c r="F1512" s="64">
        <f t="shared" si="23"/>
        <v>-19.551180000000006</v>
      </c>
      <c r="G1512" s="60" t="s">
        <v>12</v>
      </c>
      <c r="H1512" s="60" t="s">
        <v>5042</v>
      </c>
    </row>
    <row r="1513" spans="1:8">
      <c r="A1513" s="59" t="s">
        <v>2903</v>
      </c>
      <c r="B1513" s="62">
        <v>8</v>
      </c>
      <c r="C1513" s="60" t="s">
        <v>5050</v>
      </c>
      <c r="D1513" s="64">
        <f>IFERROR(VLOOKUP(C1513,測定点マスタ!$E$2:$F$28,2,FALSE)/VLOOKUP(A1513,'焼鈍条件-3CGL'!$A$2:$B$197,2,FALSE)*60,"")</f>
        <v>46.273815304635953</v>
      </c>
      <c r="E1513" s="66">
        <v>466.2</v>
      </c>
      <c r="F1513" s="64">
        <f t="shared" si="23"/>
        <v>-24.725106249999985</v>
      </c>
      <c r="G1513" s="60" t="s">
        <v>12</v>
      </c>
      <c r="H1513" s="60" t="s">
        <v>5042</v>
      </c>
    </row>
    <row r="1514" spans="1:8">
      <c r="A1514" s="59" t="s">
        <v>2903</v>
      </c>
      <c r="B1514" s="62">
        <v>9</v>
      </c>
      <c r="C1514" s="60" t="s">
        <v>5051</v>
      </c>
      <c r="D1514" s="64">
        <f>IFERROR(VLOOKUP(C1514,測定点マスタ!$E$2:$F$28,2,FALSE)/VLOOKUP(A1514,'焼鈍条件-3CGL'!$A$2:$B$197,2,FALSE)*60,"")</f>
        <v>50.272786997629176</v>
      </c>
      <c r="E1514" s="66">
        <v>466.6</v>
      </c>
      <c r="F1514" s="64">
        <f t="shared" si="23"/>
        <v>0.100025714285723</v>
      </c>
      <c r="G1514" s="60" t="s">
        <v>12</v>
      </c>
      <c r="H1514" s="60" t="s">
        <v>5042</v>
      </c>
    </row>
    <row r="1515" spans="1:8">
      <c r="A1515" s="59" t="s">
        <v>2903</v>
      </c>
      <c r="B1515" s="62">
        <v>10</v>
      </c>
      <c r="C1515" s="60" t="s">
        <v>5060</v>
      </c>
      <c r="D1515" s="64">
        <f>IFERROR(VLOOKUP(C1515,測定点マスタ!$E$2:$F$28,2,FALSE)/VLOOKUP(A1515,'焼鈍条件-3CGL'!$A$2:$B$197,2,FALSE)*60,"")</f>
        <v>52.557913679339599</v>
      </c>
      <c r="E1515" s="66">
        <v>422.1</v>
      </c>
      <c r="F1515" s="64">
        <f t="shared" si="23"/>
        <v>-19.473756249999951</v>
      </c>
      <c r="G1515" s="60" t="s">
        <v>12</v>
      </c>
      <c r="H1515" s="60" t="s">
        <v>5042</v>
      </c>
    </row>
    <row r="1516" spans="1:8">
      <c r="A1516" s="59" t="s">
        <v>2903</v>
      </c>
      <c r="B1516" s="62">
        <v>11</v>
      </c>
      <c r="C1516" s="60" t="s">
        <v>5052</v>
      </c>
      <c r="D1516" s="64">
        <f>IFERROR(VLOOKUP(C1516,測定点マスタ!$E$2:$F$28,2,FALSE)/VLOOKUP(A1516,'焼鈍条件-3CGL'!$A$2:$B$197,2,FALSE)*60,"")</f>
        <v>55.414322031477617</v>
      </c>
      <c r="E1516" s="66">
        <v>356.2</v>
      </c>
      <c r="F1516" s="64">
        <f t="shared" si="23"/>
        <v>-23.070931000000037</v>
      </c>
      <c r="G1516" s="60" t="s">
        <v>12</v>
      </c>
      <c r="H1516" s="60" t="s">
        <v>5042</v>
      </c>
    </row>
    <row r="1517" spans="1:8">
      <c r="A1517" s="59" t="s">
        <v>2903</v>
      </c>
      <c r="B1517" s="62">
        <v>12</v>
      </c>
      <c r="C1517" s="60" t="s">
        <v>5053</v>
      </c>
      <c r="D1517" s="64">
        <f>IFERROR(VLOOKUP(C1517,測定点マスタ!$E$2:$F$28,2,FALSE)/VLOOKUP(A1517,'焼鈍条件-3CGL'!$A$2:$B$197,2,FALSE)*60,"")</f>
        <v>62.269702076608873</v>
      </c>
      <c r="E1517" s="66">
        <v>535.29999999999995</v>
      </c>
      <c r="F1517" s="64">
        <f t="shared" si="23"/>
        <v>26.125466249999981</v>
      </c>
      <c r="G1517" s="60" t="s">
        <v>12</v>
      </c>
      <c r="H1517" s="60" t="s">
        <v>5042</v>
      </c>
    </row>
    <row r="1518" spans="1:8">
      <c r="A1518" s="59" t="s">
        <v>2903</v>
      </c>
      <c r="B1518" s="62">
        <v>13</v>
      </c>
      <c r="C1518" s="60" t="s">
        <v>5054</v>
      </c>
      <c r="D1518" s="64">
        <f>IFERROR(VLOOKUP(C1518,測定点マスタ!$E$2:$F$28,2,FALSE)/VLOOKUP(A1518,'焼鈍条件-3CGL'!$A$2:$B$197,2,FALSE)*60,"")</f>
        <v>69.696363792167716</v>
      </c>
      <c r="E1518" s="66">
        <v>531.1</v>
      </c>
      <c r="F1518" s="64">
        <f t="shared" si="23"/>
        <v>-0.56552999999999176</v>
      </c>
      <c r="G1518" s="60" t="s">
        <v>12</v>
      </c>
      <c r="H1518" s="60" t="s">
        <v>5042</v>
      </c>
    </row>
    <row r="1519" spans="1:8">
      <c r="A1519" s="59" t="s">
        <v>2903</v>
      </c>
      <c r="B1519" s="62">
        <v>14</v>
      </c>
      <c r="C1519" s="60" t="s">
        <v>5055</v>
      </c>
      <c r="D1519" s="64">
        <f>IFERROR(VLOOKUP(C1519,測定点マスタ!$E$2:$F$28,2,FALSE)/VLOOKUP(A1519,'焼鈍条件-3CGL'!$A$2:$B$197,2,FALSE)*60,"")</f>
        <v>72.552772144305749</v>
      </c>
      <c r="E1519" s="66">
        <v>558.29999999999995</v>
      </c>
      <c r="F1519" s="64">
        <f t="shared" si="23"/>
        <v>9.5224479999999403</v>
      </c>
      <c r="G1519" s="60" t="s">
        <v>12</v>
      </c>
      <c r="H1519" s="60" t="s">
        <v>5042</v>
      </c>
    </row>
    <row r="1520" spans="1:8">
      <c r="A1520" s="59" t="s">
        <v>2903</v>
      </c>
      <c r="B1520" s="62">
        <v>15</v>
      </c>
      <c r="C1520" s="60" t="s">
        <v>5056</v>
      </c>
      <c r="D1520" s="64">
        <f>IFERROR(VLOOKUP(C1520,測定点マスタ!$E$2:$F$28,2,FALSE)/VLOOKUP(A1520,'焼鈍条件-3CGL'!$A$2:$B$197,2,FALSE)*60,"")</f>
        <v>75.980462166871376</v>
      </c>
      <c r="E1520" s="66">
        <v>276.3</v>
      </c>
      <c r="F1520" s="64">
        <f t="shared" si="23"/>
        <v>-82.271149999999949</v>
      </c>
      <c r="G1520" s="60" t="s">
        <v>12</v>
      </c>
      <c r="H1520" s="60" t="s">
        <v>5042</v>
      </c>
    </row>
    <row r="1521" spans="1:8">
      <c r="A1521" s="59" t="s">
        <v>2903</v>
      </c>
      <c r="B1521" s="62">
        <v>16</v>
      </c>
      <c r="C1521" s="60" t="s">
        <v>5068</v>
      </c>
      <c r="D1521" s="64">
        <f>IFERROR(VLOOKUP(C1521,測定点マスタ!$E$2:$F$28,2,FALSE)/VLOOKUP(A1521,'焼鈍条件-3CGL'!$A$2:$B$197,2,FALSE)*60,"")</f>
        <v>90.752173930785219</v>
      </c>
      <c r="E1521" s="66">
        <v>363.7</v>
      </c>
      <c r="F1521" s="64">
        <f t="shared" si="23"/>
        <v>5.9167144198894723</v>
      </c>
      <c r="G1521" s="60" t="s">
        <v>12</v>
      </c>
      <c r="H1521" s="60" t="s">
        <v>5042</v>
      </c>
    </row>
    <row r="1522" spans="1:8">
      <c r="A1522" s="59" t="s">
        <v>2903</v>
      </c>
      <c r="B1522" s="62">
        <v>17</v>
      </c>
      <c r="C1522" s="60" t="s">
        <v>5057</v>
      </c>
      <c r="D1522" s="64">
        <f>IFERROR(VLOOKUP(C1522,測定点マスタ!$E$2:$F$28,2,FALSE)/VLOOKUP(A1522,'焼鈍条件-3CGL'!$A$2:$B$197,2,FALSE)*60,"")</f>
        <v>94.20026687015168</v>
      </c>
      <c r="E1522" s="66">
        <v>245.5</v>
      </c>
      <c r="F1522" s="64">
        <f t="shared" si="23"/>
        <v>-34.279818461539961</v>
      </c>
      <c r="G1522" s="60" t="s">
        <v>12</v>
      </c>
      <c r="H1522" s="60" t="s">
        <v>5042</v>
      </c>
    </row>
    <row r="1523" spans="1:8">
      <c r="A1523" s="59" t="s">
        <v>2903</v>
      </c>
      <c r="B1523" s="62">
        <v>18</v>
      </c>
      <c r="C1523" s="60" t="s">
        <v>5058</v>
      </c>
      <c r="D1523" s="64">
        <f>IFERROR(VLOOKUP(C1523,測定点マスタ!$E$2:$F$28,2,FALSE)/VLOOKUP(A1523,'焼鈍条件-3CGL'!$A$2:$B$197,2,FALSE)*60,"")</f>
        <v>97.648359809518126</v>
      </c>
      <c r="E1523" s="66">
        <v>91.2</v>
      </c>
      <c r="F1523" s="64">
        <f t="shared" si="23"/>
        <v>-44.74937384615599</v>
      </c>
      <c r="G1523" s="60" t="s">
        <v>12</v>
      </c>
      <c r="H1523" s="60" t="s">
        <v>5042</v>
      </c>
    </row>
    <row r="1524" spans="1:8">
      <c r="A1524" s="59" t="s">
        <v>2903</v>
      </c>
      <c r="B1524" s="62">
        <v>19</v>
      </c>
      <c r="C1524" s="60" t="s">
        <v>5059</v>
      </c>
      <c r="D1524" s="64">
        <f>IFERROR(VLOOKUP(C1524,測定点マスタ!$E$2:$F$28,2,FALSE)/VLOOKUP(A1524,'焼鈍条件-3CGL'!$A$2:$B$197,2,FALSE)*60,"")</f>
        <v>101.09645274888514</v>
      </c>
      <c r="E1524" s="66">
        <v>39.4</v>
      </c>
      <c r="F1524" s="64">
        <f t="shared" si="23"/>
        <v>-15.022796923075166</v>
      </c>
      <c r="G1524" s="60" t="s">
        <v>12</v>
      </c>
      <c r="H1524" s="60" t="s">
        <v>5042</v>
      </c>
    </row>
    <row r="1525" spans="1:8">
      <c r="A1525" s="59" t="s">
        <v>2918</v>
      </c>
      <c r="B1525" s="62">
        <v>1</v>
      </c>
      <c r="C1525" s="60" t="s">
        <v>5041</v>
      </c>
      <c r="D1525" s="64">
        <f>IFERROR(VLOOKUP(C1525,測定点マスタ!$E$2:$F$28,2,FALSE)/VLOOKUP(A1525,'焼鈍条件-3CGL'!$A$2:$B$197,2,FALSE)*60,"")</f>
        <v>0</v>
      </c>
      <c r="E1525" s="66">
        <v>26.3</v>
      </c>
      <c r="F1525" s="64" t="str">
        <f t="shared" si="23"/>
        <v/>
      </c>
      <c r="G1525" s="60" t="s">
        <v>9</v>
      </c>
      <c r="H1525" s="60" t="s">
        <v>5061</v>
      </c>
    </row>
    <row r="1526" spans="1:8">
      <c r="A1526" s="59" t="s">
        <v>2918</v>
      </c>
      <c r="B1526" s="62">
        <v>2</v>
      </c>
      <c r="C1526" s="60" t="s">
        <v>5043</v>
      </c>
      <c r="D1526" s="64">
        <f>IFERROR(VLOOKUP(C1526,測定点マスタ!$E$2:$F$28,2,FALSE)/VLOOKUP(A1526,'焼鈍条件-3CGL'!$A$2:$B$197,2,FALSE)*60,"")</f>
        <v>7.3066774913740611</v>
      </c>
      <c r="E1526" s="66">
        <v>165.7</v>
      </c>
      <c r="F1526" s="64">
        <f t="shared" si="23"/>
        <v>19.078438888888886</v>
      </c>
      <c r="G1526" s="60" t="s">
        <v>9</v>
      </c>
      <c r="H1526" s="60" t="s">
        <v>5061</v>
      </c>
    </row>
    <row r="1527" spans="1:8">
      <c r="A1527" s="59" t="s">
        <v>2918</v>
      </c>
      <c r="B1527" s="62">
        <v>3</v>
      </c>
      <c r="C1527" s="60" t="s">
        <v>5067</v>
      </c>
      <c r="D1527" s="64">
        <f>IFERROR(VLOOKUP(C1527,測定点マスタ!$E$2:$F$28,2,FALSE)/VLOOKUP(A1527,'焼鈍条件-3CGL'!$A$2:$B$197,2,FALSE)*60,"")</f>
        <v>12.177795818956771</v>
      </c>
      <c r="E1527" s="66">
        <v>333</v>
      </c>
      <c r="F1527" s="64">
        <f t="shared" si="23"/>
        <v>34.345295833333324</v>
      </c>
      <c r="G1527" s="60" t="s">
        <v>9</v>
      </c>
      <c r="H1527" s="60" t="s">
        <v>5061</v>
      </c>
    </row>
    <row r="1528" spans="1:8">
      <c r="A1528" s="59" t="s">
        <v>2918</v>
      </c>
      <c r="B1528" s="62">
        <v>4</v>
      </c>
      <c r="C1528" s="60" t="s">
        <v>5044</v>
      </c>
      <c r="D1528" s="64">
        <f>IFERROR(VLOOKUP(C1528,測定点マスタ!$E$2:$F$28,2,FALSE)/VLOOKUP(A1528,'焼鈍条件-3CGL'!$A$2:$B$197,2,FALSE)*60,"")</f>
        <v>16.561802313781207</v>
      </c>
      <c r="E1528" s="66">
        <v>643.4</v>
      </c>
      <c r="F1528" s="64">
        <f t="shared" si="23"/>
        <v>70.802814814814809</v>
      </c>
      <c r="G1528" s="60" t="s">
        <v>9</v>
      </c>
      <c r="H1528" s="60" t="s">
        <v>5061</v>
      </c>
    </row>
    <row r="1529" spans="1:8">
      <c r="A1529" s="59" t="s">
        <v>2918</v>
      </c>
      <c r="B1529" s="62">
        <v>5</v>
      </c>
      <c r="C1529" s="60" t="s">
        <v>5045</v>
      </c>
      <c r="D1529" s="64">
        <f>IFERROR(VLOOKUP(C1529,測定点マスタ!$E$2:$F$28,2,FALSE)/VLOOKUP(A1529,'焼鈍条件-3CGL'!$A$2:$B$197,2,FALSE)*60,"")</f>
        <v>21.432920641363914</v>
      </c>
      <c r="E1529" s="66">
        <v>773.1</v>
      </c>
      <c r="F1529" s="64">
        <f t="shared" si="23"/>
        <v>26.626329166666679</v>
      </c>
      <c r="G1529" s="60" t="s">
        <v>9</v>
      </c>
      <c r="H1529" s="60" t="s">
        <v>5061</v>
      </c>
    </row>
    <row r="1530" spans="1:8">
      <c r="A1530" s="59" t="s">
        <v>2918</v>
      </c>
      <c r="B1530" s="62">
        <v>6</v>
      </c>
      <c r="C1530" s="60" t="s">
        <v>5046</v>
      </c>
      <c r="D1530" s="64">
        <f>IFERROR(VLOOKUP(C1530,測定点マスタ!$E$2:$F$28,2,FALSE)/VLOOKUP(A1530,'焼鈍条件-3CGL'!$A$2:$B$197,2,FALSE)*60,"")</f>
        <v>26.304038968946621</v>
      </c>
      <c r="E1530" s="66">
        <v>747.2</v>
      </c>
      <c r="F1530" s="64">
        <f t="shared" si="23"/>
        <v>-5.3170541666666624</v>
      </c>
      <c r="G1530" s="60" t="s">
        <v>9</v>
      </c>
      <c r="H1530" s="60" t="s">
        <v>5061</v>
      </c>
    </row>
    <row r="1531" spans="1:8">
      <c r="A1531" s="59" t="s">
        <v>2918</v>
      </c>
      <c r="B1531" s="62">
        <v>7</v>
      </c>
      <c r="C1531" s="60" t="s">
        <v>5047</v>
      </c>
      <c r="D1531" s="64">
        <f>IFERROR(VLOOKUP(C1531,測定点マスタ!$E$2:$F$28,2,FALSE)/VLOOKUP(A1531,'焼鈍条件-3CGL'!$A$2:$B$197,2,FALSE)*60,"")</f>
        <v>29.226709965496244</v>
      </c>
      <c r="E1531" s="66">
        <v>711.8</v>
      </c>
      <c r="F1531" s="64">
        <f t="shared" si="23"/>
        <v>-12.112208333333369</v>
      </c>
      <c r="G1531" s="60" t="s">
        <v>9</v>
      </c>
      <c r="H1531" s="60" t="s">
        <v>5061</v>
      </c>
    </row>
    <row r="1532" spans="1:8">
      <c r="A1532" s="59" t="s">
        <v>2918</v>
      </c>
      <c r="B1532" s="62">
        <v>8</v>
      </c>
      <c r="C1532" s="60" t="s">
        <v>5048</v>
      </c>
      <c r="D1532" s="64">
        <f>IFERROR(VLOOKUP(C1532,測定点マスタ!$E$2:$F$28,2,FALSE)/VLOOKUP(A1532,'焼鈍条件-3CGL'!$A$2:$B$197,2,FALSE)*60,"")</f>
        <v>32.149380962045875</v>
      </c>
      <c r="E1532" s="66">
        <v>676.5</v>
      </c>
      <c r="F1532" s="64">
        <f t="shared" si="23"/>
        <v>-12.077993055555515</v>
      </c>
      <c r="G1532" s="60" t="s">
        <v>9</v>
      </c>
      <c r="H1532" s="60" t="s">
        <v>5061</v>
      </c>
    </row>
    <row r="1533" spans="1:8">
      <c r="A1533" s="59" t="s">
        <v>2918</v>
      </c>
      <c r="B1533" s="62">
        <v>9</v>
      </c>
      <c r="C1533" s="60" t="s">
        <v>5049</v>
      </c>
      <c r="D1533" s="64">
        <f>IFERROR(VLOOKUP(C1533,測定点マスタ!$E$2:$F$28,2,FALSE)/VLOOKUP(A1533,'焼鈍条件-3CGL'!$A$2:$B$197,2,FALSE)*60,"")</f>
        <v>35.559163791353768</v>
      </c>
      <c r="E1533" s="66">
        <v>552.1</v>
      </c>
      <c r="F1533" s="64">
        <f t="shared" si="23"/>
        <v>-36.483261904761918</v>
      </c>
      <c r="G1533" s="60" t="s">
        <v>9</v>
      </c>
      <c r="H1533" s="60" t="s">
        <v>5061</v>
      </c>
    </row>
    <row r="1534" spans="1:8">
      <c r="A1534" s="59" t="s">
        <v>2918</v>
      </c>
      <c r="B1534" s="62">
        <v>10</v>
      </c>
      <c r="C1534" s="60" t="s">
        <v>5050</v>
      </c>
      <c r="D1534" s="64">
        <f>IFERROR(VLOOKUP(C1534,測定点マスタ!$E$2:$F$28,2,FALSE)/VLOOKUP(A1534,'焼鈍条件-3CGL'!$A$2:$B$197,2,FALSE)*60,"")</f>
        <v>39.456058453419928</v>
      </c>
      <c r="E1534" s="66">
        <v>484.5</v>
      </c>
      <c r="F1534" s="64">
        <f t="shared" si="23"/>
        <v>-17.347145833333368</v>
      </c>
      <c r="G1534" s="60" t="s">
        <v>9</v>
      </c>
      <c r="H1534" s="60" t="s">
        <v>5061</v>
      </c>
    </row>
    <row r="1535" spans="1:8">
      <c r="A1535" s="59" t="s">
        <v>2918</v>
      </c>
      <c r="B1535" s="62">
        <v>11</v>
      </c>
      <c r="C1535" s="60" t="s">
        <v>5051</v>
      </c>
      <c r="D1535" s="64">
        <f>IFERROR(VLOOKUP(C1535,測定点マスタ!$E$2:$F$28,2,FALSE)/VLOOKUP(A1535,'焼鈍条件-3CGL'!$A$2:$B$197,2,FALSE)*60,"")</f>
        <v>42.865841282727828</v>
      </c>
      <c r="E1535" s="66">
        <v>427</v>
      </c>
      <c r="F1535" s="64">
        <f t="shared" si="23"/>
        <v>-16.863244047619023</v>
      </c>
      <c r="G1535" s="60" t="s">
        <v>9</v>
      </c>
      <c r="H1535" s="60" t="s">
        <v>5061</v>
      </c>
    </row>
    <row r="1536" spans="1:8">
      <c r="A1536" s="59" t="s">
        <v>2918</v>
      </c>
      <c r="B1536" s="62">
        <v>12</v>
      </c>
      <c r="C1536" s="60" t="s">
        <v>5052</v>
      </c>
      <c r="D1536" s="64">
        <f>IFERROR(VLOOKUP(C1536,測定点マスタ!$E$2:$F$28,2,FALSE)/VLOOKUP(A1536,'焼鈍条件-3CGL'!$A$2:$B$197,2,FALSE)*60,"")</f>
        <v>47.249847777552262</v>
      </c>
      <c r="E1536" s="66">
        <v>319.3</v>
      </c>
      <c r="F1536" s="64">
        <f t="shared" si="23"/>
        <v>-24.566569444444461</v>
      </c>
      <c r="G1536" s="60" t="s">
        <v>9</v>
      </c>
      <c r="H1536" s="60" t="s">
        <v>5061</v>
      </c>
    </row>
    <row r="1537" spans="1:8">
      <c r="A1537" s="59" t="s">
        <v>2918</v>
      </c>
      <c r="B1537" s="62">
        <v>13</v>
      </c>
      <c r="C1537" s="60" t="s">
        <v>5053</v>
      </c>
      <c r="D1537" s="64">
        <f>IFERROR(VLOOKUP(C1537,測定点マスタ!$E$2:$F$28,2,FALSE)/VLOOKUP(A1537,'焼鈍条件-3CGL'!$A$2:$B$197,2,FALSE)*60,"")</f>
        <v>53.095189770651515</v>
      </c>
      <c r="E1537" s="66">
        <v>496.6</v>
      </c>
      <c r="F1537" s="64">
        <f t="shared" si="23"/>
        <v>30.331843749999976</v>
      </c>
      <c r="G1537" s="60" t="s">
        <v>9</v>
      </c>
      <c r="H1537" s="60" t="s">
        <v>5061</v>
      </c>
    </row>
    <row r="1538" spans="1:8">
      <c r="A1538" s="59" t="s">
        <v>2918</v>
      </c>
      <c r="B1538" s="62">
        <v>14</v>
      </c>
      <c r="C1538" s="60" t="s">
        <v>5054</v>
      </c>
      <c r="D1538" s="64">
        <f>IFERROR(VLOOKUP(C1538,測定点マスタ!$E$2:$F$28,2,FALSE)/VLOOKUP(A1538,'焼鈍条件-3CGL'!$A$2:$B$197,2,FALSE)*60,"")</f>
        <v>59.427643596509029</v>
      </c>
      <c r="E1538" s="66">
        <v>479.8</v>
      </c>
      <c r="F1538" s="64">
        <f t="shared" ref="F1538:F1601" si="24">IF(A1538=A1537,IFERROR((E1538-E1537)/(D1538-D1537),""),"")</f>
        <v>-2.6530000000000045</v>
      </c>
      <c r="G1538" s="60" t="s">
        <v>9</v>
      </c>
      <c r="H1538" s="60" t="s">
        <v>5061</v>
      </c>
    </row>
    <row r="1539" spans="1:8">
      <c r="A1539" s="59" t="s">
        <v>2918</v>
      </c>
      <c r="B1539" s="62">
        <v>15</v>
      </c>
      <c r="C1539" s="60" t="s">
        <v>5056</v>
      </c>
      <c r="D1539" s="64">
        <f>IFERROR(VLOOKUP(C1539,測定点マスタ!$E$2:$F$28,2,FALSE)/VLOOKUP(A1539,'焼鈍条件-3CGL'!$A$2:$B$197,2,FALSE)*60,"")</f>
        <v>64.785873756850009</v>
      </c>
      <c r="E1539" s="66">
        <v>245.5</v>
      </c>
      <c r="F1539" s="64">
        <f t="shared" si="24"/>
        <v>-43.727124999999987</v>
      </c>
      <c r="G1539" s="60" t="s">
        <v>9</v>
      </c>
      <c r="H1539" s="60" t="s">
        <v>5061</v>
      </c>
    </row>
    <row r="1540" spans="1:8">
      <c r="A1540" s="59" t="s">
        <v>2918</v>
      </c>
      <c r="B1540" s="62">
        <v>16</v>
      </c>
      <c r="C1540" s="60" t="s">
        <v>5062</v>
      </c>
      <c r="D1540" s="64">
        <f>IFERROR(VLOOKUP(C1540,測定点マスタ!$E$2:$F$28,2,FALSE)/VLOOKUP(A1540,'焼鈍条件-3CGL'!$A$2:$B$197,2,FALSE)*60,"")</f>
        <v>70.631215749949263</v>
      </c>
      <c r="E1540" s="66">
        <v>455.9</v>
      </c>
      <c r="F1540" s="64">
        <f t="shared" si="24"/>
        <v>35.994472222222186</v>
      </c>
      <c r="G1540" s="60" t="s">
        <v>9</v>
      </c>
      <c r="H1540" s="60" t="s">
        <v>5061</v>
      </c>
    </row>
    <row r="1541" spans="1:8">
      <c r="A1541" s="59" t="s">
        <v>2918</v>
      </c>
      <c r="B1541" s="62">
        <v>17</v>
      </c>
      <c r="C1541" s="60" t="s">
        <v>5057</v>
      </c>
      <c r="D1541" s="64">
        <f>IFERROR(VLOOKUP(C1541,測定点マスタ!$E$2:$F$28,2,FALSE)/VLOOKUP(A1541,'焼鈍条件-3CGL'!$A$2:$B$197,2,FALSE)*60,"")</f>
        <v>80.321261851604788</v>
      </c>
      <c r="E1541" s="66">
        <v>269.60000000000002</v>
      </c>
      <c r="F1541" s="64">
        <f t="shared" si="24"/>
        <v>-19.225914721723662</v>
      </c>
      <c r="G1541" s="60" t="s">
        <v>9</v>
      </c>
      <c r="H1541" s="60" t="s">
        <v>5061</v>
      </c>
    </row>
    <row r="1542" spans="1:8">
      <c r="A1542" s="59" t="s">
        <v>2918</v>
      </c>
      <c r="B1542" s="62">
        <v>18</v>
      </c>
      <c r="C1542" s="60" t="s">
        <v>5058</v>
      </c>
      <c r="D1542" s="64">
        <f>IFERROR(VLOOKUP(C1542,測定点マスタ!$E$2:$F$28,2,FALSE)/VLOOKUP(A1542,'焼鈍条件-3CGL'!$A$2:$B$197,2,FALSE)*60,"")</f>
        <v>83.261329699324207</v>
      </c>
      <c r="E1542" s="66">
        <v>99.4</v>
      </c>
      <c r="F1542" s="64">
        <f t="shared" si="24"/>
        <v>-57.889820512823349</v>
      </c>
      <c r="G1542" s="60" t="s">
        <v>9</v>
      </c>
      <c r="H1542" s="60" t="s">
        <v>5061</v>
      </c>
    </row>
    <row r="1543" spans="1:8">
      <c r="A1543" s="59" t="s">
        <v>2918</v>
      </c>
      <c r="B1543" s="62">
        <v>19</v>
      </c>
      <c r="C1543" s="60" t="s">
        <v>5059</v>
      </c>
      <c r="D1543" s="64">
        <f>IFERROR(VLOOKUP(C1543,測定点マスタ!$E$2:$F$28,2,FALSE)/VLOOKUP(A1543,'焼鈍条件-3CGL'!$A$2:$B$197,2,FALSE)*60,"")</f>
        <v>86.201397547044124</v>
      </c>
      <c r="E1543" s="66">
        <v>70.7</v>
      </c>
      <c r="F1543" s="64">
        <f t="shared" si="24"/>
        <v>-9.7616794871783146</v>
      </c>
      <c r="G1543" s="60" t="s">
        <v>9</v>
      </c>
      <c r="H1543" s="60" t="s">
        <v>5061</v>
      </c>
    </row>
    <row r="1544" spans="1:8">
      <c r="A1544" s="59" t="s">
        <v>2935</v>
      </c>
      <c r="B1544" s="62">
        <v>1</v>
      </c>
      <c r="C1544" s="60" t="s">
        <v>5041</v>
      </c>
      <c r="D1544" s="64">
        <f>IFERROR(VLOOKUP(C1544,測定点マスタ!$E$2:$F$28,2,FALSE)/VLOOKUP(A1544,'焼鈍条件-3CGL'!$A$2:$B$197,2,FALSE)*60,"")</f>
        <v>0</v>
      </c>
      <c r="E1544" s="66">
        <v>29.8</v>
      </c>
      <c r="F1544" s="64" t="str">
        <f t="shared" si="24"/>
        <v/>
      </c>
      <c r="G1544" s="60" t="s">
        <v>12</v>
      </c>
      <c r="H1544" s="60" t="s">
        <v>5064</v>
      </c>
    </row>
    <row r="1545" spans="1:8">
      <c r="A1545" s="59" t="s">
        <v>2935</v>
      </c>
      <c r="B1545" s="62">
        <v>2</v>
      </c>
      <c r="C1545" s="60" t="s">
        <v>5043</v>
      </c>
      <c r="D1545" s="64">
        <f>IFERROR(VLOOKUP(C1545,測定点マスタ!$E$2:$F$28,2,FALSE)/VLOOKUP(A1545,'焼鈍条件-3CGL'!$A$2:$B$197,2,FALSE)*60,"")</f>
        <v>9.3177347551506369</v>
      </c>
      <c r="E1545" s="66">
        <v>166.7</v>
      </c>
      <c r="F1545" s="64">
        <f t="shared" si="24"/>
        <v>14.69241222222222</v>
      </c>
      <c r="G1545" s="60" t="s">
        <v>12</v>
      </c>
      <c r="H1545" s="60" t="s">
        <v>5064</v>
      </c>
    </row>
    <row r="1546" spans="1:8">
      <c r="A1546" s="59" t="s">
        <v>2935</v>
      </c>
      <c r="B1546" s="62">
        <v>3</v>
      </c>
      <c r="C1546" s="60" t="s">
        <v>5067</v>
      </c>
      <c r="D1546" s="64">
        <f>IFERROR(VLOOKUP(C1546,測定点マスタ!$E$2:$F$28,2,FALSE)/VLOOKUP(A1546,'焼鈍条件-3CGL'!$A$2:$B$197,2,FALSE)*60,"")</f>
        <v>15.52955792525106</v>
      </c>
      <c r="E1546" s="66">
        <v>354.7</v>
      </c>
      <c r="F1546" s="64">
        <f t="shared" si="24"/>
        <v>30.264866666666673</v>
      </c>
      <c r="G1546" s="60" t="s">
        <v>12</v>
      </c>
      <c r="H1546" s="60" t="s">
        <v>5064</v>
      </c>
    </row>
    <row r="1547" spans="1:8">
      <c r="A1547" s="59" t="s">
        <v>2935</v>
      </c>
      <c r="B1547" s="62">
        <v>4</v>
      </c>
      <c r="C1547" s="60" t="s">
        <v>5044</v>
      </c>
      <c r="D1547" s="64">
        <f>IFERROR(VLOOKUP(C1547,測定点マスタ!$E$2:$F$28,2,FALSE)/VLOOKUP(A1547,'焼鈍条件-3CGL'!$A$2:$B$197,2,FALSE)*60,"")</f>
        <v>21.120198778341443</v>
      </c>
      <c r="E1547" s="66">
        <v>662</v>
      </c>
      <c r="F1547" s="64">
        <f t="shared" si="24"/>
        <v>54.966864814814812</v>
      </c>
      <c r="G1547" s="60" t="s">
        <v>12</v>
      </c>
      <c r="H1547" s="60" t="s">
        <v>5064</v>
      </c>
    </row>
    <row r="1548" spans="1:8">
      <c r="A1548" s="59" t="s">
        <v>2935</v>
      </c>
      <c r="B1548" s="62">
        <v>5</v>
      </c>
      <c r="C1548" s="60" t="s">
        <v>5045</v>
      </c>
      <c r="D1548" s="64">
        <f>IFERROR(VLOOKUP(C1548,測定点マスタ!$E$2:$F$28,2,FALSE)/VLOOKUP(A1548,'焼鈍条件-3CGL'!$A$2:$B$197,2,FALSE)*60,"")</f>
        <v>27.332021948441866</v>
      </c>
      <c r="E1548" s="66">
        <v>832.4</v>
      </c>
      <c r="F1548" s="64">
        <f t="shared" si="24"/>
        <v>27.431560000000001</v>
      </c>
      <c r="G1548" s="60" t="s">
        <v>12</v>
      </c>
      <c r="H1548" s="60" t="s">
        <v>5064</v>
      </c>
    </row>
    <row r="1549" spans="1:8">
      <c r="A1549" s="59" t="s">
        <v>2935</v>
      </c>
      <c r="B1549" s="62">
        <v>6</v>
      </c>
      <c r="C1549" s="60" t="s">
        <v>5047</v>
      </c>
      <c r="D1549" s="64">
        <f>IFERROR(VLOOKUP(C1549,測定点マスタ!$E$2:$F$28,2,FALSE)/VLOOKUP(A1549,'焼鈍条件-3CGL'!$A$2:$B$197,2,FALSE)*60,"")</f>
        <v>37.270939020602547</v>
      </c>
      <c r="E1549" s="66">
        <v>786.5</v>
      </c>
      <c r="F1549" s="64">
        <f t="shared" si="24"/>
        <v>-4.6182093749999966</v>
      </c>
      <c r="G1549" s="60" t="s">
        <v>12</v>
      </c>
      <c r="H1549" s="60" t="s">
        <v>5064</v>
      </c>
    </row>
    <row r="1550" spans="1:8">
      <c r="A1550" s="59" t="s">
        <v>2935</v>
      </c>
      <c r="B1550" s="62">
        <v>7</v>
      </c>
      <c r="C1550" s="60" t="s">
        <v>5049</v>
      </c>
      <c r="D1550" s="64">
        <f>IFERROR(VLOOKUP(C1550,測定点マスタ!$E$2:$F$28,2,FALSE)/VLOOKUP(A1550,'焼鈍条件-3CGL'!$A$2:$B$197,2,FALSE)*60,"")</f>
        <v>45.346309141733094</v>
      </c>
      <c r="E1550" s="66">
        <v>631.79999999999995</v>
      </c>
      <c r="F1550" s="64">
        <f t="shared" si="24"/>
        <v>-19.157016666666685</v>
      </c>
      <c r="G1550" s="60" t="s">
        <v>12</v>
      </c>
      <c r="H1550" s="60" t="s">
        <v>5064</v>
      </c>
    </row>
    <row r="1551" spans="1:8">
      <c r="A1551" s="59" t="s">
        <v>2935</v>
      </c>
      <c r="B1551" s="62">
        <v>8</v>
      </c>
      <c r="C1551" s="60" t="s">
        <v>5050</v>
      </c>
      <c r="D1551" s="64">
        <f>IFERROR(VLOOKUP(C1551,測定点マスタ!$E$2:$F$28,2,FALSE)/VLOOKUP(A1551,'焼鈍条件-3CGL'!$A$2:$B$197,2,FALSE)*60,"")</f>
        <v>50.31576767781344</v>
      </c>
      <c r="E1551" s="66">
        <v>521.70000000000005</v>
      </c>
      <c r="F1551" s="64">
        <f t="shared" si="24"/>
        <v>-22.155331249999954</v>
      </c>
      <c r="G1551" s="60" t="s">
        <v>12</v>
      </c>
      <c r="H1551" s="60" t="s">
        <v>5064</v>
      </c>
    </row>
    <row r="1552" spans="1:8">
      <c r="A1552" s="59" t="s">
        <v>2935</v>
      </c>
      <c r="B1552" s="62">
        <v>9</v>
      </c>
      <c r="C1552" s="60" t="s">
        <v>5051</v>
      </c>
      <c r="D1552" s="64">
        <f>IFERROR(VLOOKUP(C1552,測定点マスタ!$E$2:$F$28,2,FALSE)/VLOOKUP(A1552,'焼鈍条件-3CGL'!$A$2:$B$197,2,FALSE)*60,"")</f>
        <v>54.664043896883733</v>
      </c>
      <c r="E1552" s="66">
        <v>459.4</v>
      </c>
      <c r="F1552" s="64">
        <f t="shared" si="24"/>
        <v>-14.327516666666696</v>
      </c>
      <c r="G1552" s="60" t="s">
        <v>12</v>
      </c>
      <c r="H1552" s="60" t="s">
        <v>5064</v>
      </c>
    </row>
    <row r="1553" spans="1:8">
      <c r="A1553" s="59" t="s">
        <v>2935</v>
      </c>
      <c r="B1553" s="62">
        <v>10</v>
      </c>
      <c r="C1553" s="60" t="s">
        <v>5052</v>
      </c>
      <c r="D1553" s="64">
        <f>IFERROR(VLOOKUP(C1553,測定点マスタ!$E$2:$F$28,2,FALSE)/VLOOKUP(A1553,'焼鈍条件-3CGL'!$A$2:$B$197,2,FALSE)*60,"")</f>
        <v>60.254684749974118</v>
      </c>
      <c r="E1553" s="66">
        <v>371</v>
      </c>
      <c r="F1553" s="64">
        <f t="shared" si="24"/>
        <v>-15.812140740740729</v>
      </c>
      <c r="G1553" s="60" t="s">
        <v>12</v>
      </c>
      <c r="H1553" s="60" t="s">
        <v>5064</v>
      </c>
    </row>
    <row r="1554" spans="1:8">
      <c r="A1554" s="59" t="s">
        <v>2935</v>
      </c>
      <c r="B1554" s="62">
        <v>11</v>
      </c>
      <c r="C1554" s="60" t="s">
        <v>5053</v>
      </c>
      <c r="D1554" s="64">
        <f>IFERROR(VLOOKUP(C1554,測定点マスタ!$E$2:$F$28,2,FALSE)/VLOOKUP(A1554,'焼鈍条件-3CGL'!$A$2:$B$197,2,FALSE)*60,"")</f>
        <v>67.708872554094626</v>
      </c>
      <c r="E1554" s="66">
        <v>535.6</v>
      </c>
      <c r="F1554" s="64">
        <f t="shared" si="24"/>
        <v>22.08154722222223</v>
      </c>
      <c r="G1554" s="60" t="s">
        <v>12</v>
      </c>
      <c r="H1554" s="60" t="s">
        <v>5064</v>
      </c>
    </row>
    <row r="1555" spans="1:8">
      <c r="A1555" s="59" t="s">
        <v>2935</v>
      </c>
      <c r="B1555" s="62">
        <v>12</v>
      </c>
      <c r="C1555" s="60" t="s">
        <v>5054</v>
      </c>
      <c r="D1555" s="64">
        <f>IFERROR(VLOOKUP(C1555,測定点マスタ!$E$2:$F$28,2,FALSE)/VLOOKUP(A1555,'焼鈍条件-3CGL'!$A$2:$B$197,2,FALSE)*60,"")</f>
        <v>75.784242675225173</v>
      </c>
      <c r="E1555" s="66">
        <v>536.29999999999995</v>
      </c>
      <c r="F1555" s="64">
        <f t="shared" si="24"/>
        <v>8.6683333333324938E-2</v>
      </c>
      <c r="G1555" s="60" t="s">
        <v>12</v>
      </c>
      <c r="H1555" s="60" t="s">
        <v>5064</v>
      </c>
    </row>
    <row r="1556" spans="1:8">
      <c r="A1556" s="59" t="s">
        <v>2935</v>
      </c>
      <c r="B1556" s="62">
        <v>13</v>
      </c>
      <c r="C1556" s="60" t="s">
        <v>5056</v>
      </c>
      <c r="D1556" s="64">
        <f>IFERROR(VLOOKUP(C1556,測定点マスタ!$E$2:$F$28,2,FALSE)/VLOOKUP(A1556,'焼鈍条件-3CGL'!$A$2:$B$197,2,FALSE)*60,"")</f>
        <v>82.617248162335642</v>
      </c>
      <c r="E1556" s="66">
        <v>277.8</v>
      </c>
      <c r="F1556" s="64">
        <f t="shared" si="24"/>
        <v>-37.831083333333311</v>
      </c>
      <c r="G1556" s="60" t="s">
        <v>12</v>
      </c>
      <c r="H1556" s="60" t="s">
        <v>5064</v>
      </c>
    </row>
    <row r="1557" spans="1:8">
      <c r="A1557" s="59" t="s">
        <v>2935</v>
      </c>
      <c r="B1557" s="62">
        <v>14</v>
      </c>
      <c r="C1557" s="60" t="s">
        <v>5062</v>
      </c>
      <c r="D1557" s="64">
        <f>IFERROR(VLOOKUP(C1557,測定点マスタ!$E$2:$F$28,2,FALSE)/VLOOKUP(A1557,'焼鈍条件-3CGL'!$A$2:$B$197,2,FALSE)*60,"")</f>
        <v>90.07143596645615</v>
      </c>
      <c r="E1557" s="66">
        <v>460.4</v>
      </c>
      <c r="F1557" s="64">
        <f t="shared" si="24"/>
        <v>24.496297222222221</v>
      </c>
      <c r="G1557" s="60" t="s">
        <v>12</v>
      </c>
      <c r="H1557" s="60" t="s">
        <v>5064</v>
      </c>
    </row>
    <row r="1558" spans="1:8">
      <c r="A1558" s="59" t="s">
        <v>2935</v>
      </c>
      <c r="B1558" s="62">
        <v>15</v>
      </c>
      <c r="C1558" s="60" t="s">
        <v>5065</v>
      </c>
      <c r="D1558" s="64">
        <f>IFERROR(VLOOKUP(C1558,測定点マスタ!$E$2:$F$28,2,FALSE)/VLOOKUP(A1558,'焼鈍条件-3CGL'!$A$2:$B$197,2,FALSE)*60,"")</f>
        <v>91.180690103973902</v>
      </c>
      <c r="E1558" s="66">
        <v>544.79999999999995</v>
      </c>
      <c r="F1558" s="64">
        <f t="shared" si="24"/>
        <v>76.087162666679063</v>
      </c>
      <c r="G1558" s="60" t="s">
        <v>12</v>
      </c>
      <c r="H1558" s="60" t="s">
        <v>5064</v>
      </c>
    </row>
    <row r="1559" spans="1:8">
      <c r="A1559" s="59" t="s">
        <v>2935</v>
      </c>
      <c r="B1559" s="62">
        <v>16</v>
      </c>
      <c r="C1559" s="60" t="s">
        <v>5066</v>
      </c>
      <c r="D1559" s="64">
        <f>IFERROR(VLOOKUP(C1559,測定点マスタ!$E$2:$F$28,2,FALSE)/VLOOKUP(A1559,'焼鈍条件-3CGL'!$A$2:$B$197,2,FALSE)*60,"")</f>
        <v>94.929969088784972</v>
      </c>
      <c r="E1559" s="66">
        <v>517.6</v>
      </c>
      <c r="F1559" s="64">
        <f t="shared" si="24"/>
        <v>-7.2547282051273028</v>
      </c>
      <c r="G1559" s="60" t="s">
        <v>12</v>
      </c>
      <c r="H1559" s="60" t="s">
        <v>5064</v>
      </c>
    </row>
    <row r="1560" spans="1:8">
      <c r="A1560" s="59" t="s">
        <v>2935</v>
      </c>
      <c r="B1560" s="62">
        <v>17</v>
      </c>
      <c r="C1560" s="60" t="s">
        <v>5068</v>
      </c>
      <c r="D1560" s="64">
        <f>IFERROR(VLOOKUP(C1560,測定点マスタ!$E$2:$F$28,2,FALSE)/VLOOKUP(A1560,'焼鈍条件-3CGL'!$A$2:$B$197,2,FALSE)*60,"")</f>
        <v>98.679248073595403</v>
      </c>
      <c r="E1560" s="66">
        <v>342.9</v>
      </c>
      <c r="F1560" s="64">
        <f t="shared" si="24"/>
        <v>-46.595625641027922</v>
      </c>
      <c r="G1560" s="60" t="s">
        <v>12</v>
      </c>
      <c r="H1560" s="60" t="s">
        <v>5064</v>
      </c>
    </row>
    <row r="1561" spans="1:8">
      <c r="A1561" s="59" t="s">
        <v>2935</v>
      </c>
      <c r="B1561" s="62">
        <v>18</v>
      </c>
      <c r="C1561" s="60" t="s">
        <v>5057</v>
      </c>
      <c r="D1561" s="64">
        <f>IFERROR(VLOOKUP(C1561,測定点マスタ!$E$2:$F$28,2,FALSE)/VLOOKUP(A1561,'焼鈍条件-3CGL'!$A$2:$B$197,2,FALSE)*60,"")</f>
        <v>102.42852705840583</v>
      </c>
      <c r="E1561" s="66">
        <v>202.2</v>
      </c>
      <c r="F1561" s="64">
        <f t="shared" si="24"/>
        <v>-37.527215384617207</v>
      </c>
      <c r="G1561" s="60" t="s">
        <v>12</v>
      </c>
      <c r="H1561" s="60" t="s">
        <v>5064</v>
      </c>
    </row>
    <row r="1562" spans="1:8">
      <c r="A1562" s="59" t="s">
        <v>2935</v>
      </c>
      <c r="B1562" s="62">
        <v>19</v>
      </c>
      <c r="C1562" s="60" t="s">
        <v>5058</v>
      </c>
      <c r="D1562" s="64">
        <f>IFERROR(VLOOKUP(C1562,測定点マスタ!$E$2:$F$28,2,FALSE)/VLOOKUP(A1562,'焼鈍条件-3CGL'!$A$2:$B$197,2,FALSE)*60,"")</f>
        <v>106.17780604321626</v>
      </c>
      <c r="E1562" s="66">
        <v>131.69999999999999</v>
      </c>
      <c r="F1562" s="64">
        <f t="shared" si="24"/>
        <v>-18.8036153846163</v>
      </c>
      <c r="G1562" s="60" t="s">
        <v>12</v>
      </c>
      <c r="H1562" s="60" t="s">
        <v>5064</v>
      </c>
    </row>
    <row r="1563" spans="1:8">
      <c r="A1563" s="59" t="s">
        <v>2935</v>
      </c>
      <c r="B1563" s="62">
        <v>20</v>
      </c>
      <c r="C1563" s="60" t="s">
        <v>5059</v>
      </c>
      <c r="D1563" s="64">
        <f>IFERROR(VLOOKUP(C1563,測定点マスタ!$E$2:$F$28,2,FALSE)/VLOOKUP(A1563,'焼鈍条件-3CGL'!$A$2:$B$197,2,FALSE)*60,"")</f>
        <v>109.92708502802734</v>
      </c>
      <c r="E1563" s="66">
        <v>70</v>
      </c>
      <c r="F1563" s="64">
        <f t="shared" si="24"/>
        <v>-16.456497435895425</v>
      </c>
      <c r="G1563" s="60" t="s">
        <v>12</v>
      </c>
      <c r="H1563" s="60" t="s">
        <v>5064</v>
      </c>
    </row>
    <row r="1564" spans="1:8">
      <c r="A1564" s="59" t="s">
        <v>2958</v>
      </c>
      <c r="B1564" s="62">
        <v>1</v>
      </c>
      <c r="C1564" s="60" t="s">
        <v>5041</v>
      </c>
      <c r="D1564" s="64">
        <f>IFERROR(VLOOKUP(C1564,測定点マスタ!$E$2:$F$28,2,FALSE)/VLOOKUP(A1564,'焼鈍条件-3CGL'!$A$2:$B$197,2,FALSE)*60,"")</f>
        <v>0</v>
      </c>
      <c r="E1564" s="66">
        <v>25.5</v>
      </c>
      <c r="F1564" s="64" t="str">
        <f t="shared" si="24"/>
        <v/>
      </c>
      <c r="G1564" s="60" t="s">
        <v>9</v>
      </c>
      <c r="H1564" s="60" t="s">
        <v>5064</v>
      </c>
    </row>
    <row r="1565" spans="1:8">
      <c r="A1565" s="59" t="s">
        <v>2958</v>
      </c>
      <c r="B1565" s="62">
        <v>2</v>
      </c>
      <c r="C1565" s="60" t="s">
        <v>5043</v>
      </c>
      <c r="D1565" s="64">
        <f>IFERROR(VLOOKUP(C1565,測定点マスタ!$E$2:$F$28,2,FALSE)/VLOOKUP(A1565,'焼鈍条件-3CGL'!$A$2:$B$197,2,FALSE)*60,"")</f>
        <v>10.937993728883596</v>
      </c>
      <c r="E1565" s="66">
        <v>177.8</v>
      </c>
      <c r="F1565" s="64">
        <f t="shared" si="24"/>
        <v>13.92394288888889</v>
      </c>
      <c r="G1565" s="60" t="s">
        <v>9</v>
      </c>
      <c r="H1565" s="60" t="s">
        <v>5064</v>
      </c>
    </row>
    <row r="1566" spans="1:8">
      <c r="A1566" s="59" t="s">
        <v>2958</v>
      </c>
      <c r="B1566" s="62">
        <v>3</v>
      </c>
      <c r="C1566" s="60" t="s">
        <v>5044</v>
      </c>
      <c r="D1566" s="64">
        <f>IFERROR(VLOOKUP(C1566,測定点マスタ!$E$2:$F$28,2,FALSE)/VLOOKUP(A1566,'焼鈍条件-3CGL'!$A$2:$B$197,2,FALSE)*60,"")</f>
        <v>24.792785785469484</v>
      </c>
      <c r="E1566" s="66">
        <v>705.2</v>
      </c>
      <c r="F1566" s="64">
        <f t="shared" si="24"/>
        <v>38.066251578947373</v>
      </c>
      <c r="G1566" s="60" t="s">
        <v>9</v>
      </c>
      <c r="H1566" s="60" t="s">
        <v>5064</v>
      </c>
    </row>
    <row r="1567" spans="1:8">
      <c r="A1567" s="59" t="s">
        <v>2958</v>
      </c>
      <c r="B1567" s="62">
        <v>4</v>
      </c>
      <c r="C1567" s="60" t="s">
        <v>5045</v>
      </c>
      <c r="D1567" s="64">
        <f>IFERROR(VLOOKUP(C1567,測定点マスタ!$E$2:$F$28,2,FALSE)/VLOOKUP(A1567,'焼鈍条件-3CGL'!$A$2:$B$197,2,FALSE)*60,"")</f>
        <v>32.084781604725215</v>
      </c>
      <c r="E1567" s="66">
        <v>869.6</v>
      </c>
      <c r="F1567" s="64">
        <f t="shared" si="24"/>
        <v>22.545267999999993</v>
      </c>
      <c r="G1567" s="60" t="s">
        <v>9</v>
      </c>
      <c r="H1567" s="60" t="s">
        <v>5064</v>
      </c>
    </row>
    <row r="1568" spans="1:8">
      <c r="A1568" s="59" t="s">
        <v>2958</v>
      </c>
      <c r="B1568" s="62">
        <v>5</v>
      </c>
      <c r="C1568" s="60" t="s">
        <v>5047</v>
      </c>
      <c r="D1568" s="64">
        <f>IFERROR(VLOOKUP(C1568,測定点マスタ!$E$2:$F$28,2,FALSE)/VLOOKUP(A1568,'焼鈍条件-3CGL'!$A$2:$B$197,2,FALSE)*60,"")</f>
        <v>43.751974915534383</v>
      </c>
      <c r="E1568" s="66">
        <v>811.2</v>
      </c>
      <c r="F1568" s="64">
        <f t="shared" si="24"/>
        <v>-5.0054883333333313</v>
      </c>
      <c r="G1568" s="60" t="s">
        <v>9</v>
      </c>
      <c r="H1568" s="60" t="s">
        <v>5064</v>
      </c>
    </row>
    <row r="1569" spans="1:8">
      <c r="A1569" s="59" t="s">
        <v>2958</v>
      </c>
      <c r="B1569" s="62">
        <v>6</v>
      </c>
      <c r="C1569" s="60" t="s">
        <v>5049</v>
      </c>
      <c r="D1569" s="64">
        <f>IFERROR(VLOOKUP(C1569,測定点マスタ!$E$2:$F$28,2,FALSE)/VLOOKUP(A1569,'焼鈍条件-3CGL'!$A$2:$B$197,2,FALSE)*60,"")</f>
        <v>53.231569480566833</v>
      </c>
      <c r="E1569" s="66">
        <v>635.9</v>
      </c>
      <c r="F1569" s="64">
        <f t="shared" si="24"/>
        <v>-18.492352051282058</v>
      </c>
      <c r="G1569" s="60" t="s">
        <v>9</v>
      </c>
      <c r="H1569" s="60" t="s">
        <v>5064</v>
      </c>
    </row>
    <row r="1570" spans="1:8">
      <c r="A1570" s="59" t="s">
        <v>2958</v>
      </c>
      <c r="B1570" s="62">
        <v>7</v>
      </c>
      <c r="C1570" s="60" t="s">
        <v>5050</v>
      </c>
      <c r="D1570" s="64">
        <f>IFERROR(VLOOKUP(C1570,測定点マスタ!$E$2:$F$28,2,FALSE)/VLOOKUP(A1570,'焼鈍条件-3CGL'!$A$2:$B$197,2,FALSE)*60,"")</f>
        <v>59.065166135971417</v>
      </c>
      <c r="E1570" s="66">
        <v>519.4</v>
      </c>
      <c r="F1570" s="64">
        <f t="shared" si="24"/>
        <v>-19.970527083333334</v>
      </c>
      <c r="G1570" s="60" t="s">
        <v>9</v>
      </c>
      <c r="H1570" s="60" t="s">
        <v>5064</v>
      </c>
    </row>
    <row r="1571" spans="1:8">
      <c r="A1571" s="59" t="s">
        <v>2958</v>
      </c>
      <c r="B1571" s="62">
        <v>8</v>
      </c>
      <c r="C1571" s="60" t="s">
        <v>5051</v>
      </c>
      <c r="D1571" s="64">
        <f>IFERROR(VLOOKUP(C1571,測定点マスタ!$E$2:$F$28,2,FALSE)/VLOOKUP(A1571,'焼鈍条件-3CGL'!$A$2:$B$197,2,FALSE)*60,"")</f>
        <v>64.16956320945043</v>
      </c>
      <c r="E1571" s="66">
        <v>501.9</v>
      </c>
      <c r="F1571" s="64">
        <f t="shared" si="24"/>
        <v>-3.4284166666666649</v>
      </c>
      <c r="G1571" s="60" t="s">
        <v>9</v>
      </c>
      <c r="H1571" s="60" t="s">
        <v>5064</v>
      </c>
    </row>
    <row r="1572" spans="1:8">
      <c r="A1572" s="59" t="s">
        <v>2958</v>
      </c>
      <c r="B1572" s="62">
        <v>9</v>
      </c>
      <c r="C1572" s="60" t="s">
        <v>5052</v>
      </c>
      <c r="D1572" s="64">
        <f>IFERROR(VLOOKUP(C1572,測定点マスタ!$E$2:$F$28,2,FALSE)/VLOOKUP(A1572,'焼鈍条件-3CGL'!$A$2:$B$197,2,FALSE)*60,"")</f>
        <v>70.732359446780578</v>
      </c>
      <c r="E1572" s="66">
        <v>372.3</v>
      </c>
      <c r="F1572" s="64">
        <f t="shared" si="24"/>
        <v>-19.747680000000024</v>
      </c>
      <c r="G1572" s="60" t="s">
        <v>9</v>
      </c>
      <c r="H1572" s="60" t="s">
        <v>5064</v>
      </c>
    </row>
    <row r="1573" spans="1:8">
      <c r="A1573" s="59" t="s">
        <v>2958</v>
      </c>
      <c r="B1573" s="62">
        <v>10</v>
      </c>
      <c r="C1573" s="60" t="s">
        <v>5069</v>
      </c>
      <c r="D1573" s="64">
        <f>IFERROR(VLOOKUP(C1573,測定点マスタ!$E$2:$F$28,2,FALSE)/VLOOKUP(A1573,'焼鈍条件-3CGL'!$A$2:$B$197,2,FALSE)*60,"")</f>
        <v>75.836756520259598</v>
      </c>
      <c r="E1573" s="66">
        <v>534.5</v>
      </c>
      <c r="F1573" s="64">
        <f t="shared" si="24"/>
        <v>31.7765247619047</v>
      </c>
      <c r="G1573" s="60" t="s">
        <v>9</v>
      </c>
      <c r="H1573" s="60" t="s">
        <v>5064</v>
      </c>
    </row>
    <row r="1574" spans="1:8">
      <c r="A1574" s="59" t="s">
        <v>2958</v>
      </c>
      <c r="B1574" s="62">
        <v>11</v>
      </c>
      <c r="C1574" s="60" t="s">
        <v>5053</v>
      </c>
      <c r="D1574" s="64">
        <f>IFERROR(VLOOKUP(C1574,測定点マスタ!$E$2:$F$28,2,FALSE)/VLOOKUP(A1574,'焼鈍条件-3CGL'!$A$2:$B$197,2,FALSE)*60,"")</f>
        <v>79.482754429887464</v>
      </c>
      <c r="E1574" s="66">
        <v>582.29999999999995</v>
      </c>
      <c r="F1574" s="64">
        <f t="shared" si="24"/>
        <v>13.110265333333318</v>
      </c>
      <c r="G1574" s="60" t="s">
        <v>9</v>
      </c>
      <c r="H1574" s="60" t="s">
        <v>5064</v>
      </c>
    </row>
    <row r="1575" spans="1:8">
      <c r="A1575" s="59" t="s">
        <v>2958</v>
      </c>
      <c r="B1575" s="62">
        <v>12</v>
      </c>
      <c r="C1575" s="60" t="s">
        <v>5054</v>
      </c>
      <c r="D1575" s="64">
        <f>IFERROR(VLOOKUP(C1575,測定点マスタ!$E$2:$F$28,2,FALSE)/VLOOKUP(A1575,'焼鈍条件-3CGL'!$A$2:$B$197,2,FALSE)*60,"")</f>
        <v>88.962348994919921</v>
      </c>
      <c r="E1575" s="66">
        <v>579.79999999999995</v>
      </c>
      <c r="F1575" s="64">
        <f t="shared" si="24"/>
        <v>-0.26372435897435875</v>
      </c>
      <c r="G1575" s="60" t="s">
        <v>9</v>
      </c>
      <c r="H1575" s="60" t="s">
        <v>5064</v>
      </c>
    </row>
    <row r="1576" spans="1:8">
      <c r="A1576" s="59" t="s">
        <v>2958</v>
      </c>
      <c r="B1576" s="62">
        <v>13</v>
      </c>
      <c r="C1576" s="60" t="s">
        <v>5056</v>
      </c>
      <c r="D1576" s="64">
        <f>IFERROR(VLOOKUP(C1576,測定点マスタ!$E$2:$F$28,2,FALSE)/VLOOKUP(A1576,'焼鈍条件-3CGL'!$A$2:$B$197,2,FALSE)*60,"")</f>
        <v>96.983544396101223</v>
      </c>
      <c r="E1576" s="66">
        <v>300.5</v>
      </c>
      <c r="F1576" s="64">
        <f t="shared" si="24"/>
        <v>-34.820246363636365</v>
      </c>
      <c r="G1576" s="60" t="s">
        <v>9</v>
      </c>
      <c r="H1576" s="60" t="s">
        <v>5064</v>
      </c>
    </row>
    <row r="1577" spans="1:8">
      <c r="A1577" s="59" t="s">
        <v>2958</v>
      </c>
      <c r="B1577" s="62">
        <v>14</v>
      </c>
      <c r="C1577" s="60" t="s">
        <v>5062</v>
      </c>
      <c r="D1577" s="64">
        <f>IFERROR(VLOOKUP(C1577,測定点マスタ!$E$2:$F$28,2,FALSE)/VLOOKUP(A1577,'焼鈍条件-3CGL'!$A$2:$B$197,2,FALSE)*60,"")</f>
        <v>105.7339393792081</v>
      </c>
      <c r="E1577" s="66">
        <v>462.5</v>
      </c>
      <c r="F1577" s="64">
        <f t="shared" si="24"/>
        <v>18.51345000000001</v>
      </c>
      <c r="G1577" s="60" t="s">
        <v>9</v>
      </c>
      <c r="H1577" s="60" t="s">
        <v>5064</v>
      </c>
    </row>
    <row r="1578" spans="1:8">
      <c r="A1578" s="59" t="s">
        <v>2958</v>
      </c>
      <c r="B1578" s="62">
        <v>15</v>
      </c>
      <c r="C1578" s="60" t="s">
        <v>5065</v>
      </c>
      <c r="D1578" s="64">
        <f>IFERROR(VLOOKUP(C1578,測定点マスタ!$E$2:$F$28,2,FALSE)/VLOOKUP(A1578,'焼鈍条件-3CGL'!$A$2:$B$197,2,FALSE)*60,"")</f>
        <v>107.03608148978927</v>
      </c>
      <c r="E1578" s="66">
        <v>522.29999999999995</v>
      </c>
      <c r="F1578" s="64">
        <f t="shared" si="24"/>
        <v>45.92432693334063</v>
      </c>
      <c r="G1578" s="60" t="s">
        <v>9</v>
      </c>
      <c r="H1578" s="60" t="s">
        <v>5064</v>
      </c>
    </row>
    <row r="1579" spans="1:8">
      <c r="A1579" s="59" t="s">
        <v>2958</v>
      </c>
      <c r="B1579" s="62">
        <v>16</v>
      </c>
      <c r="C1579" s="60" t="s">
        <v>5066</v>
      </c>
      <c r="D1579" s="64">
        <f>IFERROR(VLOOKUP(C1579,測定点マスタ!$E$2:$F$28,2,FALSE)/VLOOKUP(A1579,'焼鈍条件-3CGL'!$A$2:$B$197,2,FALSE)*60,"")</f>
        <v>111.43732182355487</v>
      </c>
      <c r="E1579" s="66">
        <v>509.1</v>
      </c>
      <c r="F1579" s="64">
        <f t="shared" si="24"/>
        <v>-2.9991545562126385</v>
      </c>
      <c r="G1579" s="60" t="s">
        <v>9</v>
      </c>
      <c r="H1579" s="60" t="s">
        <v>5064</v>
      </c>
    </row>
    <row r="1580" spans="1:8">
      <c r="A1580" s="59" t="s">
        <v>2958</v>
      </c>
      <c r="B1580" s="62">
        <v>17</v>
      </c>
      <c r="C1580" s="60" t="s">
        <v>5057</v>
      </c>
      <c r="D1580" s="64">
        <f>IFERROR(VLOOKUP(C1580,測定点マスタ!$E$2:$F$28,2,FALSE)/VLOOKUP(A1580,'焼鈍条件-3CGL'!$A$2:$B$197,2,FALSE)*60,"")</f>
        <v>120.23980249108456</v>
      </c>
      <c r="E1580" s="66">
        <v>204.1</v>
      </c>
      <c r="F1580" s="64">
        <f t="shared" si="24"/>
        <v>-34.64932347140212</v>
      </c>
      <c r="G1580" s="60" t="s">
        <v>9</v>
      </c>
      <c r="H1580" s="60" t="s">
        <v>5064</v>
      </c>
    </row>
    <row r="1581" spans="1:8">
      <c r="A1581" s="59" t="s">
        <v>2958</v>
      </c>
      <c r="B1581" s="62">
        <v>18</v>
      </c>
      <c r="C1581" s="60" t="s">
        <v>5058</v>
      </c>
      <c r="D1581" s="64">
        <f>IFERROR(VLOOKUP(C1581,測定点マスタ!$E$2:$F$28,2,FALSE)/VLOOKUP(A1581,'焼鈍条件-3CGL'!$A$2:$B$197,2,FALSE)*60,"")</f>
        <v>124.64104282484942</v>
      </c>
      <c r="E1581" s="66">
        <v>130.6</v>
      </c>
      <c r="F1581" s="64">
        <f t="shared" si="24"/>
        <v>-16.699837869823263</v>
      </c>
      <c r="G1581" s="60" t="s">
        <v>9</v>
      </c>
      <c r="H1581" s="60" t="s">
        <v>5064</v>
      </c>
    </row>
    <row r="1582" spans="1:8">
      <c r="A1582" s="59" t="s">
        <v>2958</v>
      </c>
      <c r="B1582" s="62">
        <v>19</v>
      </c>
      <c r="C1582" s="60" t="s">
        <v>5059</v>
      </c>
      <c r="D1582" s="64">
        <f>IFERROR(VLOOKUP(C1582,測定点マスタ!$E$2:$F$28,2,FALSE)/VLOOKUP(A1582,'焼鈍条件-3CGL'!$A$2:$B$197,2,FALSE)*60,"")</f>
        <v>129.04228315861502</v>
      </c>
      <c r="E1582" s="66">
        <v>38.4</v>
      </c>
      <c r="F1582" s="64">
        <f t="shared" si="24"/>
        <v>-20.948640157788383</v>
      </c>
      <c r="G1582" s="60" t="s">
        <v>9</v>
      </c>
      <c r="H1582" s="60" t="s">
        <v>5064</v>
      </c>
    </row>
    <row r="1583" spans="1:8">
      <c r="A1583" s="59" t="s">
        <v>2979</v>
      </c>
      <c r="B1583" s="62">
        <v>1</v>
      </c>
      <c r="C1583" s="60" t="s">
        <v>5041</v>
      </c>
      <c r="D1583" s="64">
        <f>IFERROR(VLOOKUP(C1583,測定点マスタ!$E$2:$F$28,2,FALSE)/VLOOKUP(A1583,'焼鈍条件-3CGL'!$A$2:$B$197,2,FALSE)*60,"")</f>
        <v>0</v>
      </c>
      <c r="E1583" s="66">
        <v>25.8</v>
      </c>
      <c r="F1583" s="64" t="str">
        <f t="shared" si="24"/>
        <v/>
      </c>
      <c r="G1583" s="60" t="s">
        <v>9</v>
      </c>
      <c r="H1583" s="60" t="s">
        <v>5064</v>
      </c>
    </row>
    <row r="1584" spans="1:8">
      <c r="A1584" s="59" t="s">
        <v>2979</v>
      </c>
      <c r="B1584" s="62">
        <v>2</v>
      </c>
      <c r="C1584" s="60" t="s">
        <v>5043</v>
      </c>
      <c r="D1584" s="64">
        <f>IFERROR(VLOOKUP(C1584,測定点マスタ!$E$2:$F$28,2,FALSE)/VLOOKUP(A1584,'焼鈍条件-3CGL'!$A$2:$B$197,2,FALSE)*60,"")</f>
        <v>7.1871206797419021</v>
      </c>
      <c r="E1584" s="66">
        <v>168.8</v>
      </c>
      <c r="F1584" s="64">
        <f t="shared" si="24"/>
        <v>19.896702222222224</v>
      </c>
      <c r="G1584" s="60" t="s">
        <v>9</v>
      </c>
      <c r="H1584" s="60" t="s">
        <v>5064</v>
      </c>
    </row>
    <row r="1585" spans="1:8">
      <c r="A1585" s="59" t="s">
        <v>2979</v>
      </c>
      <c r="B1585" s="62">
        <v>3</v>
      </c>
      <c r="C1585" s="60" t="s">
        <v>5044</v>
      </c>
      <c r="D1585" s="64">
        <f>IFERROR(VLOOKUP(C1585,測定点マスタ!$E$2:$F$28,2,FALSE)/VLOOKUP(A1585,'焼鈍条件-3CGL'!$A$2:$B$197,2,FALSE)*60,"")</f>
        <v>16.290806874081643</v>
      </c>
      <c r="E1585" s="66">
        <v>667.4</v>
      </c>
      <c r="F1585" s="64">
        <f t="shared" si="24"/>
        <v>54.76902315789475</v>
      </c>
      <c r="G1585" s="60" t="s">
        <v>9</v>
      </c>
      <c r="H1585" s="60" t="s">
        <v>5064</v>
      </c>
    </row>
    <row r="1586" spans="1:8">
      <c r="A1586" s="59" t="s">
        <v>2979</v>
      </c>
      <c r="B1586" s="62">
        <v>4</v>
      </c>
      <c r="C1586" s="60" t="s">
        <v>5045</v>
      </c>
      <c r="D1586" s="64">
        <f>IFERROR(VLOOKUP(C1586,測定点マスタ!$E$2:$F$28,2,FALSE)/VLOOKUP(A1586,'焼鈍条件-3CGL'!$A$2:$B$197,2,FALSE)*60,"")</f>
        <v>21.082220660576247</v>
      </c>
      <c r="E1586" s="66">
        <v>800.1</v>
      </c>
      <c r="F1586" s="64">
        <f t="shared" si="24"/>
        <v>27.695374666666659</v>
      </c>
      <c r="G1586" s="60" t="s">
        <v>9</v>
      </c>
      <c r="H1586" s="60" t="s">
        <v>5064</v>
      </c>
    </row>
    <row r="1587" spans="1:8">
      <c r="A1587" s="59" t="s">
        <v>2979</v>
      </c>
      <c r="B1587" s="62">
        <v>5</v>
      </c>
      <c r="C1587" s="60" t="s">
        <v>5047</v>
      </c>
      <c r="D1587" s="64">
        <f>IFERROR(VLOOKUP(C1587,測定点マスタ!$E$2:$F$28,2,FALSE)/VLOOKUP(A1587,'焼鈍条件-3CGL'!$A$2:$B$197,2,FALSE)*60,"")</f>
        <v>28.748482718967608</v>
      </c>
      <c r="E1587" s="66">
        <v>716.4</v>
      </c>
      <c r="F1587" s="64">
        <f t="shared" si="24"/>
        <v>-10.917967500000008</v>
      </c>
      <c r="G1587" s="60" t="s">
        <v>9</v>
      </c>
      <c r="H1587" s="60" t="s">
        <v>5064</v>
      </c>
    </row>
    <row r="1588" spans="1:8">
      <c r="A1588" s="59" t="s">
        <v>2979</v>
      </c>
      <c r="B1588" s="62">
        <v>6</v>
      </c>
      <c r="C1588" s="60" t="s">
        <v>5049</v>
      </c>
      <c r="D1588" s="64">
        <f>IFERROR(VLOOKUP(C1588,測定点マスタ!$E$2:$F$28,2,FALSE)/VLOOKUP(A1588,'焼鈍条件-3CGL'!$A$2:$B$197,2,FALSE)*60,"")</f>
        <v>34.977320641410593</v>
      </c>
      <c r="E1588" s="66">
        <v>578.29999999999995</v>
      </c>
      <c r="F1588" s="64">
        <f t="shared" si="24"/>
        <v>-22.17106974358974</v>
      </c>
      <c r="G1588" s="60" t="s">
        <v>9</v>
      </c>
      <c r="H1588" s="60" t="s">
        <v>5064</v>
      </c>
    </row>
    <row r="1589" spans="1:8">
      <c r="A1589" s="59" t="s">
        <v>2979</v>
      </c>
      <c r="B1589" s="62">
        <v>7</v>
      </c>
      <c r="C1589" s="60" t="s">
        <v>5050</v>
      </c>
      <c r="D1589" s="64">
        <f>IFERROR(VLOOKUP(C1589,測定点マスタ!$E$2:$F$28,2,FALSE)/VLOOKUP(A1589,'焼鈍条件-3CGL'!$A$2:$B$197,2,FALSE)*60,"")</f>
        <v>38.81045167060627</v>
      </c>
      <c r="E1589" s="66">
        <v>486.5</v>
      </c>
      <c r="F1589" s="64">
        <f t="shared" si="24"/>
        <v>-23.949090000000016</v>
      </c>
      <c r="G1589" s="60" t="s">
        <v>9</v>
      </c>
      <c r="H1589" s="60" t="s">
        <v>5064</v>
      </c>
    </row>
    <row r="1590" spans="1:8">
      <c r="A1590" s="59" t="s">
        <v>2979</v>
      </c>
      <c r="B1590" s="62">
        <v>8</v>
      </c>
      <c r="C1590" s="60" t="s">
        <v>5051</v>
      </c>
      <c r="D1590" s="64">
        <f>IFERROR(VLOOKUP(C1590,測定点マスタ!$E$2:$F$28,2,FALSE)/VLOOKUP(A1590,'焼鈍条件-3CGL'!$A$2:$B$197,2,FALSE)*60,"")</f>
        <v>42.164441321152495</v>
      </c>
      <c r="E1590" s="66">
        <v>458.7</v>
      </c>
      <c r="F1590" s="64">
        <f t="shared" si="24"/>
        <v>-8.2886361904761845</v>
      </c>
      <c r="G1590" s="60" t="s">
        <v>9</v>
      </c>
      <c r="H1590" s="60" t="s">
        <v>5064</v>
      </c>
    </row>
    <row r="1591" spans="1:8">
      <c r="A1591" s="59" t="s">
        <v>2979</v>
      </c>
      <c r="B1591" s="62">
        <v>9</v>
      </c>
      <c r="C1591" s="60" t="s">
        <v>5052</v>
      </c>
      <c r="D1591" s="64">
        <f>IFERROR(VLOOKUP(C1591,測定点マスタ!$E$2:$F$28,2,FALSE)/VLOOKUP(A1591,'焼鈍条件-3CGL'!$A$2:$B$197,2,FALSE)*60,"")</f>
        <v>46.476713728997638</v>
      </c>
      <c r="E1591" s="66">
        <v>337.9</v>
      </c>
      <c r="F1591" s="64">
        <f t="shared" si="24"/>
        <v>-28.013072592592589</v>
      </c>
      <c r="G1591" s="60" t="s">
        <v>9</v>
      </c>
      <c r="H1591" s="60" t="s">
        <v>5064</v>
      </c>
    </row>
    <row r="1592" spans="1:8">
      <c r="A1592" s="59" t="s">
        <v>2979</v>
      </c>
      <c r="B1592" s="62">
        <v>10</v>
      </c>
      <c r="C1592" s="60" t="s">
        <v>5053</v>
      </c>
      <c r="D1592" s="64">
        <f>IFERROR(VLOOKUP(C1592,測定点マスタ!$E$2:$F$28,2,FALSE)/VLOOKUP(A1592,'焼鈍条件-3CGL'!$A$2:$B$197,2,FALSE)*60,"")</f>
        <v>52.226410272791156</v>
      </c>
      <c r="E1592" s="66">
        <v>511.4</v>
      </c>
      <c r="F1592" s="64">
        <f t="shared" si="24"/>
        <v>30.175505555555571</v>
      </c>
      <c r="G1592" s="60" t="s">
        <v>9</v>
      </c>
      <c r="H1592" s="60" t="s">
        <v>5064</v>
      </c>
    </row>
    <row r="1593" spans="1:8">
      <c r="A1593" s="59" t="s">
        <v>2979</v>
      </c>
      <c r="B1593" s="62">
        <v>11</v>
      </c>
      <c r="C1593" s="60" t="s">
        <v>5054</v>
      </c>
      <c r="D1593" s="64">
        <f>IFERROR(VLOOKUP(C1593,測定点マスタ!$E$2:$F$28,2,FALSE)/VLOOKUP(A1593,'焼鈍条件-3CGL'!$A$2:$B$197,2,FALSE)*60,"")</f>
        <v>58.455248195234141</v>
      </c>
      <c r="E1593" s="66">
        <v>490.2</v>
      </c>
      <c r="F1593" s="64">
        <f t="shared" si="24"/>
        <v>-3.4035241025640994</v>
      </c>
      <c r="G1593" s="60" t="s">
        <v>9</v>
      </c>
      <c r="H1593" s="60" t="s">
        <v>5064</v>
      </c>
    </row>
    <row r="1594" spans="1:8">
      <c r="A1594" s="59" t="s">
        <v>2979</v>
      </c>
      <c r="B1594" s="62">
        <v>12</v>
      </c>
      <c r="C1594" s="60" t="s">
        <v>5055</v>
      </c>
      <c r="D1594" s="64">
        <f>IFERROR(VLOOKUP(C1594,測定点マスタ!$E$2:$F$28,2,FALSE)/VLOOKUP(A1594,'焼鈍条件-3CGL'!$A$2:$B$197,2,FALSE)*60,"")</f>
        <v>60.850955088481435</v>
      </c>
      <c r="E1594" s="66">
        <v>551.79999999999995</v>
      </c>
      <c r="F1594" s="64">
        <f t="shared" si="24"/>
        <v>25.712661333333397</v>
      </c>
      <c r="G1594" s="60" t="s">
        <v>9</v>
      </c>
      <c r="H1594" s="60" t="s">
        <v>5064</v>
      </c>
    </row>
    <row r="1595" spans="1:8">
      <c r="A1595" s="59" t="s">
        <v>2979</v>
      </c>
      <c r="B1595" s="62">
        <v>13</v>
      </c>
      <c r="C1595" s="60" t="s">
        <v>5056</v>
      </c>
      <c r="D1595" s="64">
        <f>IFERROR(VLOOKUP(C1595,測定点マスタ!$E$2:$F$28,2,FALSE)/VLOOKUP(A1595,'焼鈍条件-3CGL'!$A$2:$B$197,2,FALSE)*60,"")</f>
        <v>63.725803360378201</v>
      </c>
      <c r="E1595" s="66">
        <v>273.8</v>
      </c>
      <c r="F1595" s="64">
        <f t="shared" si="24"/>
        <v>-96.700755555555347</v>
      </c>
      <c r="G1595" s="60" t="s">
        <v>9</v>
      </c>
      <c r="H1595" s="60" t="s">
        <v>5064</v>
      </c>
    </row>
    <row r="1596" spans="1:8">
      <c r="A1596" s="59" t="s">
        <v>2979</v>
      </c>
      <c r="B1596" s="62">
        <v>14</v>
      </c>
      <c r="C1596" s="60" t="s">
        <v>5062</v>
      </c>
      <c r="D1596" s="64">
        <f>IFERROR(VLOOKUP(C1596,測定点マスタ!$E$2:$F$28,2,FALSE)/VLOOKUP(A1596,'焼鈍条件-3CGL'!$A$2:$B$197,2,FALSE)*60,"")</f>
        <v>69.475499904171727</v>
      </c>
      <c r="E1596" s="66">
        <v>454.9</v>
      </c>
      <c r="F1596" s="64">
        <f t="shared" si="24"/>
        <v>31.497314444444417</v>
      </c>
      <c r="G1596" s="60" t="s">
        <v>9</v>
      </c>
      <c r="H1596" s="60" t="s">
        <v>5064</v>
      </c>
    </row>
    <row r="1597" spans="1:8">
      <c r="A1597" s="59" t="s">
        <v>2979</v>
      </c>
      <c r="B1597" s="62">
        <v>15</v>
      </c>
      <c r="C1597" s="60" t="s">
        <v>5065</v>
      </c>
      <c r="D1597" s="64">
        <f>IFERROR(VLOOKUP(C1597,測定点マスタ!$E$2:$F$28,2,FALSE)/VLOOKUP(A1597,'焼鈍条件-3CGL'!$A$2:$B$197,2,FALSE)*60,"")</f>
        <v>70.331109508902756</v>
      </c>
      <c r="E1597" s="66">
        <v>537</v>
      </c>
      <c r="F1597" s="64">
        <f t="shared" si="24"/>
        <v>95.954977066683497</v>
      </c>
      <c r="G1597" s="60" t="s">
        <v>9</v>
      </c>
      <c r="H1597" s="60" t="s">
        <v>5064</v>
      </c>
    </row>
    <row r="1598" spans="1:8">
      <c r="A1598" s="59" t="s">
        <v>2979</v>
      </c>
      <c r="B1598" s="62">
        <v>16</v>
      </c>
      <c r="C1598" s="60" t="s">
        <v>5066</v>
      </c>
      <c r="D1598" s="64">
        <f>IFERROR(VLOOKUP(C1598,測定点マスタ!$E$2:$F$28,2,FALSE)/VLOOKUP(A1598,'焼鈍条件-3CGL'!$A$2:$B$197,2,FALSE)*60,"")</f>
        <v>73.223069972894493</v>
      </c>
      <c r="E1598" s="66">
        <v>514.5</v>
      </c>
      <c r="F1598" s="64">
        <f t="shared" si="24"/>
        <v>-7.7801893491114784</v>
      </c>
      <c r="G1598" s="60" t="s">
        <v>9</v>
      </c>
      <c r="H1598" s="60" t="s">
        <v>5064</v>
      </c>
    </row>
    <row r="1599" spans="1:8">
      <c r="A1599" s="59" t="s">
        <v>2979</v>
      </c>
      <c r="B1599" s="62">
        <v>17</v>
      </c>
      <c r="C1599" s="60" t="s">
        <v>5057</v>
      </c>
      <c r="D1599" s="64">
        <f>IFERROR(VLOOKUP(C1599,測定点マスタ!$E$2:$F$28,2,FALSE)/VLOOKUP(A1599,'焼鈍条件-3CGL'!$A$2:$B$197,2,FALSE)*60,"")</f>
        <v>79.006990900876986</v>
      </c>
      <c r="E1599" s="66">
        <v>244.1</v>
      </c>
      <c r="F1599" s="64">
        <f t="shared" si="24"/>
        <v>-46.750293333335563</v>
      </c>
      <c r="G1599" s="60" t="s">
        <v>9</v>
      </c>
      <c r="H1599" s="60" t="s">
        <v>5064</v>
      </c>
    </row>
    <row r="1600" spans="1:8">
      <c r="A1600" s="59" t="s">
        <v>2979</v>
      </c>
      <c r="B1600" s="62">
        <v>18</v>
      </c>
      <c r="C1600" s="60" t="s">
        <v>5059</v>
      </c>
      <c r="D1600" s="64">
        <f>IFERROR(VLOOKUP(C1600,測定点マスタ!$E$2:$F$28,2,FALSE)/VLOOKUP(A1600,'焼鈍条件-3CGL'!$A$2:$B$197,2,FALSE)*60,"")</f>
        <v>84.790911828859961</v>
      </c>
      <c r="E1600" s="66">
        <v>53.5</v>
      </c>
      <c r="F1600" s="64">
        <f t="shared" si="24"/>
        <v>-32.953424220906122</v>
      </c>
      <c r="G1600" s="60" t="s">
        <v>9</v>
      </c>
      <c r="H1600" s="60" t="s">
        <v>5064</v>
      </c>
    </row>
    <row r="1601" spans="1:8">
      <c r="A1601" s="59" t="s">
        <v>2991</v>
      </c>
      <c r="B1601" s="62">
        <v>1</v>
      </c>
      <c r="C1601" s="60" t="s">
        <v>5041</v>
      </c>
      <c r="D1601" s="64">
        <f>IFERROR(VLOOKUP(C1601,測定点マスタ!$E$2:$F$28,2,FALSE)/VLOOKUP(A1601,'焼鈍条件-3CGL'!$A$2:$B$197,2,FALSE)*60,"")</f>
        <v>0</v>
      </c>
      <c r="E1601" s="66">
        <v>39.9</v>
      </c>
      <c r="F1601" s="64" t="str">
        <f t="shared" si="24"/>
        <v/>
      </c>
      <c r="G1601" s="60" t="s">
        <v>12</v>
      </c>
      <c r="H1601" s="60" t="s">
        <v>5064</v>
      </c>
    </row>
    <row r="1602" spans="1:8">
      <c r="A1602" s="59" t="s">
        <v>2991</v>
      </c>
      <c r="B1602" s="62">
        <v>2</v>
      </c>
      <c r="C1602" s="60" t="s">
        <v>5043</v>
      </c>
      <c r="D1602" s="64">
        <f>IFERROR(VLOOKUP(C1602,測定点マスタ!$E$2:$F$28,2,FALSE)/VLOOKUP(A1602,'焼鈍条件-3CGL'!$A$2:$B$197,2,FALSE)*60,"")</f>
        <v>6.4756587183951879</v>
      </c>
      <c r="E1602" s="66">
        <v>161.1</v>
      </c>
      <c r="F1602" s="64">
        <f t="shared" ref="F1602:F1665" si="25">IF(A1602=A1601,IFERROR((E1602-E1601)/(D1602-D1601),""),"")</f>
        <v>18.716242666666666</v>
      </c>
      <c r="G1602" s="60" t="s">
        <v>12</v>
      </c>
      <c r="H1602" s="60" t="s">
        <v>5064</v>
      </c>
    </row>
    <row r="1603" spans="1:8">
      <c r="A1603" s="59" t="s">
        <v>2991</v>
      </c>
      <c r="B1603" s="62">
        <v>3</v>
      </c>
      <c r="C1603" s="60" t="s">
        <v>5044</v>
      </c>
      <c r="D1603" s="64">
        <f>IFERROR(VLOOKUP(C1603,測定点マスタ!$E$2:$F$28,2,FALSE)/VLOOKUP(A1603,'焼鈍条件-3CGL'!$A$2:$B$197,2,FALSE)*60,"")</f>
        <v>14.67815976169576</v>
      </c>
      <c r="E1603" s="66">
        <v>626.5</v>
      </c>
      <c r="F1603" s="64">
        <f t="shared" si="25"/>
        <v>56.738791929824558</v>
      </c>
      <c r="G1603" s="60" t="s">
        <v>12</v>
      </c>
      <c r="H1603" s="60" t="s">
        <v>5064</v>
      </c>
    </row>
    <row r="1604" spans="1:8">
      <c r="A1604" s="59" t="s">
        <v>2991</v>
      </c>
      <c r="B1604" s="62">
        <v>4</v>
      </c>
      <c r="C1604" s="60" t="s">
        <v>5045</v>
      </c>
      <c r="D1604" s="64">
        <f>IFERROR(VLOOKUP(C1604,測定点マスタ!$E$2:$F$28,2,FALSE)/VLOOKUP(A1604,'焼鈍条件-3CGL'!$A$2:$B$197,2,FALSE)*60,"")</f>
        <v>18.995265573959216</v>
      </c>
      <c r="E1604" s="66">
        <v>765.1</v>
      </c>
      <c r="F1604" s="64">
        <f t="shared" si="25"/>
        <v>32.104842000000019</v>
      </c>
      <c r="G1604" s="60" t="s">
        <v>12</v>
      </c>
      <c r="H1604" s="60" t="s">
        <v>5064</v>
      </c>
    </row>
    <row r="1605" spans="1:8">
      <c r="A1605" s="59" t="s">
        <v>2991</v>
      </c>
      <c r="B1605" s="62">
        <v>5</v>
      </c>
      <c r="C1605" s="60" t="s">
        <v>5047</v>
      </c>
      <c r="D1605" s="64">
        <f>IFERROR(VLOOKUP(C1605,測定点マスタ!$E$2:$F$28,2,FALSE)/VLOOKUP(A1605,'焼鈍条件-3CGL'!$A$2:$B$197,2,FALSE)*60,"")</f>
        <v>25.902634873580752</v>
      </c>
      <c r="E1605" s="66">
        <v>686.8</v>
      </c>
      <c r="F1605" s="64">
        <f t="shared" si="25"/>
        <v>-11.335719375000007</v>
      </c>
      <c r="G1605" s="60" t="s">
        <v>12</v>
      </c>
      <c r="H1605" s="60" t="s">
        <v>5064</v>
      </c>
    </row>
    <row r="1606" spans="1:8">
      <c r="A1606" s="59" t="s">
        <v>2991</v>
      </c>
      <c r="B1606" s="62">
        <v>6</v>
      </c>
      <c r="C1606" s="60" t="s">
        <v>5048</v>
      </c>
      <c r="D1606" s="64">
        <f>IFERROR(VLOOKUP(C1606,測定点マスタ!$E$2:$F$28,2,FALSE)/VLOOKUP(A1606,'焼鈍条件-3CGL'!$A$2:$B$197,2,FALSE)*60,"")</f>
        <v>28.492898360938824</v>
      </c>
      <c r="E1606" s="66">
        <v>670.1</v>
      </c>
      <c r="F1606" s="64">
        <f t="shared" si="25"/>
        <v>-6.4472205555555364</v>
      </c>
      <c r="G1606" s="60" t="s">
        <v>12</v>
      </c>
      <c r="H1606" s="60" t="s">
        <v>5064</v>
      </c>
    </row>
    <row r="1607" spans="1:8">
      <c r="A1607" s="59" t="s">
        <v>2991</v>
      </c>
      <c r="B1607" s="62">
        <v>7</v>
      </c>
      <c r="C1607" s="60" t="s">
        <v>5049</v>
      </c>
      <c r="D1607" s="64">
        <f>IFERROR(VLOOKUP(C1607,測定点マスタ!$E$2:$F$28,2,FALSE)/VLOOKUP(A1607,'焼鈍条件-3CGL'!$A$2:$B$197,2,FALSE)*60,"")</f>
        <v>31.514872429523251</v>
      </c>
      <c r="E1607" s="66">
        <v>591.29999999999995</v>
      </c>
      <c r="F1607" s="64">
        <f t="shared" si="25"/>
        <v>-26.075670476190446</v>
      </c>
      <c r="G1607" s="60" t="s">
        <v>12</v>
      </c>
      <c r="H1607" s="60" t="s">
        <v>5064</v>
      </c>
    </row>
    <row r="1608" spans="1:8">
      <c r="A1608" s="59" t="s">
        <v>2991</v>
      </c>
      <c r="B1608" s="62">
        <v>8</v>
      </c>
      <c r="C1608" s="60" t="s">
        <v>5050</v>
      </c>
      <c r="D1608" s="64">
        <f>IFERROR(VLOOKUP(C1608,測定点マスタ!$E$2:$F$28,2,FALSE)/VLOOKUP(A1608,'焼鈍条件-3CGL'!$A$2:$B$197,2,FALSE)*60,"")</f>
        <v>34.968557079334012</v>
      </c>
      <c r="E1608" s="66">
        <v>493.8</v>
      </c>
      <c r="F1608" s="64">
        <f t="shared" si="25"/>
        <v>-28.230718750000033</v>
      </c>
      <c r="G1608" s="60" t="s">
        <v>12</v>
      </c>
      <c r="H1608" s="60" t="s">
        <v>5064</v>
      </c>
    </row>
    <row r="1609" spans="1:8">
      <c r="A1609" s="59" t="s">
        <v>2991</v>
      </c>
      <c r="B1609" s="62">
        <v>9</v>
      </c>
      <c r="C1609" s="60" t="s">
        <v>5051</v>
      </c>
      <c r="D1609" s="64">
        <f>IFERROR(VLOOKUP(C1609,測定点マスタ!$E$2:$F$28,2,FALSE)/VLOOKUP(A1609,'焼鈍条件-3CGL'!$A$2:$B$197,2,FALSE)*60,"")</f>
        <v>37.990531147918432</v>
      </c>
      <c r="E1609" s="66">
        <v>438.9</v>
      </c>
      <c r="F1609" s="64">
        <f t="shared" si="25"/>
        <v>-18.166932857142875</v>
      </c>
      <c r="G1609" s="60" t="s">
        <v>12</v>
      </c>
      <c r="H1609" s="60" t="s">
        <v>5064</v>
      </c>
    </row>
    <row r="1610" spans="1:8">
      <c r="A1610" s="59" t="s">
        <v>2991</v>
      </c>
      <c r="B1610" s="62">
        <v>10</v>
      </c>
      <c r="C1610" s="60" t="s">
        <v>5052</v>
      </c>
      <c r="D1610" s="64">
        <f>IFERROR(VLOOKUP(C1610,測定点マスタ!$E$2:$F$28,2,FALSE)/VLOOKUP(A1610,'焼鈍条件-3CGL'!$A$2:$B$197,2,FALSE)*60,"")</f>
        <v>41.875926378955548</v>
      </c>
      <c r="E1610" s="66">
        <v>332.5</v>
      </c>
      <c r="F1610" s="64">
        <f t="shared" si="25"/>
        <v>-27.384601481481454</v>
      </c>
      <c r="G1610" s="60" t="s">
        <v>12</v>
      </c>
      <c r="H1610" s="60" t="s">
        <v>5064</v>
      </c>
    </row>
    <row r="1611" spans="1:8">
      <c r="A1611" s="59" t="s">
        <v>2991</v>
      </c>
      <c r="B1611" s="62">
        <v>11</v>
      </c>
      <c r="C1611" s="60" t="s">
        <v>5053</v>
      </c>
      <c r="D1611" s="64">
        <f>IFERROR(VLOOKUP(C1611,測定点マスタ!$E$2:$F$28,2,FALSE)/VLOOKUP(A1611,'焼鈍条件-3CGL'!$A$2:$B$197,2,FALSE)*60,"")</f>
        <v>47.056453353671699</v>
      </c>
      <c r="E1611" s="66">
        <v>497.6</v>
      </c>
      <c r="F1611" s="64">
        <f t="shared" si="25"/>
        <v>31.869344722222216</v>
      </c>
      <c r="G1611" s="60" t="s">
        <v>12</v>
      </c>
      <c r="H1611" s="60" t="s">
        <v>5064</v>
      </c>
    </row>
    <row r="1612" spans="1:8">
      <c r="A1612" s="59" t="s">
        <v>2991</v>
      </c>
      <c r="B1612" s="62">
        <v>12</v>
      </c>
      <c r="C1612" s="60" t="s">
        <v>5054</v>
      </c>
      <c r="D1612" s="64">
        <f>IFERROR(VLOOKUP(C1612,測定点マスタ!$E$2:$F$28,2,FALSE)/VLOOKUP(A1612,'焼鈍条件-3CGL'!$A$2:$B$197,2,FALSE)*60,"")</f>
        <v>52.668690909614199</v>
      </c>
      <c r="E1612" s="66">
        <v>493.5</v>
      </c>
      <c r="F1612" s="64">
        <f t="shared" si="25"/>
        <v>-0.73054641025641387</v>
      </c>
      <c r="G1612" s="60" t="s">
        <v>12</v>
      </c>
      <c r="H1612" s="60" t="s">
        <v>5064</v>
      </c>
    </row>
    <row r="1613" spans="1:8">
      <c r="A1613" s="59" t="s">
        <v>2991</v>
      </c>
      <c r="B1613" s="62">
        <v>13</v>
      </c>
      <c r="C1613" s="60" t="s">
        <v>5056</v>
      </c>
      <c r="D1613" s="64">
        <f>IFERROR(VLOOKUP(C1613,測定点マスタ!$E$2:$F$28,2,FALSE)/VLOOKUP(A1613,'焼鈍条件-3CGL'!$A$2:$B$197,2,FALSE)*60,"")</f>
        <v>57.417507303103996</v>
      </c>
      <c r="E1613" s="66">
        <v>248.1</v>
      </c>
      <c r="F1613" s="64">
        <f t="shared" si="25"/>
        <v>-51.676034545454627</v>
      </c>
      <c r="G1613" s="60" t="s">
        <v>12</v>
      </c>
      <c r="H1613" s="60" t="s">
        <v>5064</v>
      </c>
    </row>
    <row r="1614" spans="1:8">
      <c r="A1614" s="59" t="s">
        <v>2991</v>
      </c>
      <c r="B1614" s="62">
        <v>14</v>
      </c>
      <c r="C1614" s="60" t="s">
        <v>5062</v>
      </c>
      <c r="D1614" s="64">
        <f>IFERROR(VLOOKUP(C1614,測定点マスタ!$E$2:$F$28,2,FALSE)/VLOOKUP(A1614,'焼鈍条件-3CGL'!$A$2:$B$197,2,FALSE)*60,"")</f>
        <v>62.598034277820148</v>
      </c>
      <c r="E1614" s="66">
        <v>455.7</v>
      </c>
      <c r="F1614" s="64">
        <f t="shared" si="25"/>
        <v>40.07314333333332</v>
      </c>
      <c r="G1614" s="60" t="s">
        <v>12</v>
      </c>
      <c r="H1614" s="60" t="s">
        <v>5064</v>
      </c>
    </row>
    <row r="1615" spans="1:8">
      <c r="A1615" s="59" t="s">
        <v>2991</v>
      </c>
      <c r="B1615" s="62">
        <v>15</v>
      </c>
      <c r="C1615" s="60" t="s">
        <v>5065</v>
      </c>
      <c r="D1615" s="64">
        <f>IFERROR(VLOOKUP(C1615,測定点マスタ!$E$2:$F$28,2,FALSE)/VLOOKUP(A1615,'焼鈍条件-3CGL'!$A$2:$B$197,2,FALSE)*60,"")</f>
        <v>63.36894603000993</v>
      </c>
      <c r="E1615" s="66">
        <v>530</v>
      </c>
      <c r="F1615" s="64">
        <f t="shared" si="25"/>
        <v>96.379384266681797</v>
      </c>
      <c r="G1615" s="60" t="s">
        <v>12</v>
      </c>
      <c r="H1615" s="60" t="s">
        <v>5064</v>
      </c>
    </row>
    <row r="1616" spans="1:8">
      <c r="A1616" s="59" t="s">
        <v>2991</v>
      </c>
      <c r="B1616" s="62">
        <v>16</v>
      </c>
      <c r="C1616" s="60" t="s">
        <v>5066</v>
      </c>
      <c r="D1616" s="64">
        <f>IFERROR(VLOOKUP(C1616,測定点マスタ!$E$2:$F$28,2,FALSE)/VLOOKUP(A1616,'焼鈍条件-3CGL'!$A$2:$B$197,2,FALSE)*60,"")</f>
        <v>65.974627752412118</v>
      </c>
      <c r="E1616" s="66">
        <v>507.8</v>
      </c>
      <c r="F1616" s="64">
        <f t="shared" si="25"/>
        <v>-8.5198433136084333</v>
      </c>
      <c r="G1616" s="60" t="s">
        <v>12</v>
      </c>
      <c r="H1616" s="60" t="s">
        <v>5064</v>
      </c>
    </row>
    <row r="1617" spans="1:8">
      <c r="A1617" s="59" t="s">
        <v>2991</v>
      </c>
      <c r="B1617" s="62">
        <v>17</v>
      </c>
      <c r="C1617" s="60" t="s">
        <v>5057</v>
      </c>
      <c r="D1617" s="64">
        <f>IFERROR(VLOOKUP(C1617,測定点マスタ!$E$2:$F$28,2,FALSE)/VLOOKUP(A1617,'焼鈍条件-3CGL'!$A$2:$B$197,2,FALSE)*60,"")</f>
        <v>71.185991197215614</v>
      </c>
      <c r="E1617" s="66">
        <v>224.2</v>
      </c>
      <c r="F1617" s="64">
        <f t="shared" si="25"/>
        <v>-54.419539723868496</v>
      </c>
      <c r="G1617" s="60" t="s">
        <v>12</v>
      </c>
      <c r="H1617" s="60" t="s">
        <v>5064</v>
      </c>
    </row>
    <row r="1618" spans="1:8">
      <c r="A1618" s="59" t="s">
        <v>2991</v>
      </c>
      <c r="B1618" s="62">
        <v>18</v>
      </c>
      <c r="C1618" s="60" t="s">
        <v>5058</v>
      </c>
      <c r="D1618" s="64">
        <f>IFERROR(VLOOKUP(C1618,測定点マスタ!$E$2:$F$28,2,FALSE)/VLOOKUP(A1618,'焼鈍条件-3CGL'!$A$2:$B$197,2,FALSE)*60,"")</f>
        <v>73.791672919617355</v>
      </c>
      <c r="E1618" s="66">
        <v>141</v>
      </c>
      <c r="F1618" s="64">
        <f t="shared" si="25"/>
        <v>-31.930223589745207</v>
      </c>
      <c r="G1618" s="60" t="s">
        <v>12</v>
      </c>
      <c r="H1618" s="60" t="s">
        <v>5064</v>
      </c>
    </row>
    <row r="1619" spans="1:8">
      <c r="A1619" s="59" t="s">
        <v>2991</v>
      </c>
      <c r="B1619" s="62">
        <v>19</v>
      </c>
      <c r="C1619" s="60" t="s">
        <v>5059</v>
      </c>
      <c r="D1619" s="64">
        <f>IFERROR(VLOOKUP(C1619,測定点マスタ!$E$2:$F$28,2,FALSE)/VLOOKUP(A1619,'焼鈍条件-3CGL'!$A$2:$B$197,2,FALSE)*60,"")</f>
        <v>76.39735464201955</v>
      </c>
      <c r="E1619" s="66">
        <v>65.900000000000006</v>
      </c>
      <c r="F1619" s="64">
        <f t="shared" si="25"/>
        <v>-28.821632110450082</v>
      </c>
      <c r="G1619" s="60" t="s">
        <v>12</v>
      </c>
      <c r="H1619" s="60" t="s">
        <v>5064</v>
      </c>
    </row>
    <row r="1620" spans="1:8">
      <c r="A1620" s="59" t="s">
        <v>3000</v>
      </c>
      <c r="B1620" s="62">
        <v>1</v>
      </c>
      <c r="C1620" s="60" t="s">
        <v>5041</v>
      </c>
      <c r="D1620" s="64">
        <f>IFERROR(VLOOKUP(C1620,測定点マスタ!$E$2:$F$28,2,FALSE)/VLOOKUP(A1620,'焼鈍条件-3CGL'!$A$2:$B$197,2,FALSE)*60,"")</f>
        <v>0</v>
      </c>
      <c r="E1620" s="66">
        <v>36</v>
      </c>
      <c r="F1620" s="64" t="str">
        <f t="shared" si="25"/>
        <v/>
      </c>
      <c r="G1620" s="60" t="s">
        <v>12</v>
      </c>
      <c r="H1620" s="60" t="s">
        <v>5061</v>
      </c>
    </row>
    <row r="1621" spans="1:8">
      <c r="A1621" s="59" t="s">
        <v>3000</v>
      </c>
      <c r="B1621" s="62">
        <v>2</v>
      </c>
      <c r="C1621" s="60" t="s">
        <v>5043</v>
      </c>
      <c r="D1621" s="64">
        <f>IFERROR(VLOOKUP(C1621,測定点マスタ!$E$2:$F$28,2,FALSE)/VLOOKUP(A1621,'焼鈍条件-3CGL'!$A$2:$B$197,2,FALSE)*60,"")</f>
        <v>6.0014403456829637</v>
      </c>
      <c r="E1621" s="66">
        <v>181.7</v>
      </c>
      <c r="F1621" s="64">
        <f t="shared" si="25"/>
        <v>24.277505333333334</v>
      </c>
      <c r="G1621" s="60" t="s">
        <v>12</v>
      </c>
      <c r="H1621" s="60" t="s">
        <v>5061</v>
      </c>
    </row>
    <row r="1622" spans="1:8">
      <c r="A1622" s="59" t="s">
        <v>3000</v>
      </c>
      <c r="B1622" s="62">
        <v>3</v>
      </c>
      <c r="C1622" s="60" t="s">
        <v>5044</v>
      </c>
      <c r="D1622" s="64">
        <f>IFERROR(VLOOKUP(C1622,測定点マスタ!$E$2:$F$28,2,FALSE)/VLOOKUP(A1622,'焼鈍条件-3CGL'!$A$2:$B$197,2,FALSE)*60,"")</f>
        <v>13.603264783548051</v>
      </c>
      <c r="E1622" s="66">
        <v>619.9</v>
      </c>
      <c r="F1622" s="64">
        <f t="shared" si="25"/>
        <v>57.644056842105265</v>
      </c>
      <c r="G1622" s="60" t="s">
        <v>12</v>
      </c>
      <c r="H1622" s="60" t="s">
        <v>5061</v>
      </c>
    </row>
    <row r="1623" spans="1:8">
      <c r="A1623" s="59" t="s">
        <v>3000</v>
      </c>
      <c r="B1623" s="62">
        <v>4</v>
      </c>
      <c r="C1623" s="60" t="s">
        <v>5045</v>
      </c>
      <c r="D1623" s="64">
        <f>IFERROR(VLOOKUP(C1623,測定点マスタ!$E$2:$F$28,2,FALSE)/VLOOKUP(A1623,'焼鈍条件-3CGL'!$A$2:$B$197,2,FALSE)*60,"")</f>
        <v>17.604225014003358</v>
      </c>
      <c r="E1623" s="66">
        <v>784.6</v>
      </c>
      <c r="F1623" s="64">
        <f t="shared" si="25"/>
        <v>41.165118000000028</v>
      </c>
      <c r="G1623" s="60" t="s">
        <v>12</v>
      </c>
      <c r="H1623" s="60" t="s">
        <v>5061</v>
      </c>
    </row>
    <row r="1624" spans="1:8">
      <c r="A1624" s="59" t="s">
        <v>3000</v>
      </c>
      <c r="B1624" s="62">
        <v>5</v>
      </c>
      <c r="C1624" s="60" t="s">
        <v>5047</v>
      </c>
      <c r="D1624" s="64">
        <f>IFERROR(VLOOKUP(C1624,測定点マスタ!$E$2:$F$28,2,FALSE)/VLOOKUP(A1624,'焼鈍条件-3CGL'!$A$2:$B$197,2,FALSE)*60,"")</f>
        <v>24.005761382731855</v>
      </c>
      <c r="E1624" s="66">
        <v>707.3</v>
      </c>
      <c r="F1624" s="64">
        <f t="shared" si="25"/>
        <v>-12.075226250000007</v>
      </c>
      <c r="G1624" s="60" t="s">
        <v>12</v>
      </c>
      <c r="H1624" s="60" t="s">
        <v>5061</v>
      </c>
    </row>
    <row r="1625" spans="1:8">
      <c r="A1625" s="59" t="s">
        <v>3000</v>
      </c>
      <c r="B1625" s="62">
        <v>6</v>
      </c>
      <c r="C1625" s="60" t="s">
        <v>5049</v>
      </c>
      <c r="D1625" s="64">
        <f>IFERROR(VLOOKUP(C1625,測定点マスタ!$E$2:$F$28,2,FALSE)/VLOOKUP(A1625,'焼鈍条件-3CGL'!$A$2:$B$197,2,FALSE)*60,"")</f>
        <v>29.207009682323758</v>
      </c>
      <c r="E1625" s="66">
        <v>582.29999999999995</v>
      </c>
      <c r="F1625" s="64">
        <f t="shared" si="25"/>
        <v>-24.032692307692304</v>
      </c>
      <c r="G1625" s="60" t="s">
        <v>12</v>
      </c>
      <c r="H1625" s="60" t="s">
        <v>5061</v>
      </c>
    </row>
    <row r="1626" spans="1:8">
      <c r="A1626" s="59" t="s">
        <v>3000</v>
      </c>
      <c r="B1626" s="62">
        <v>7</v>
      </c>
      <c r="C1626" s="60" t="s">
        <v>5050</v>
      </c>
      <c r="D1626" s="64">
        <f>IFERROR(VLOOKUP(C1626,測定点マスタ!$E$2:$F$28,2,FALSE)/VLOOKUP(A1626,'焼鈍条件-3CGL'!$A$2:$B$197,2,FALSE)*60,"")</f>
        <v>32.407777866688001</v>
      </c>
      <c r="E1626" s="66">
        <v>486.3</v>
      </c>
      <c r="F1626" s="64">
        <f t="shared" si="25"/>
        <v>-29.992800000000024</v>
      </c>
      <c r="G1626" s="60" t="s">
        <v>12</v>
      </c>
      <c r="H1626" s="60" t="s">
        <v>5061</v>
      </c>
    </row>
    <row r="1627" spans="1:8">
      <c r="A1627" s="59" t="s">
        <v>3000</v>
      </c>
      <c r="B1627" s="62">
        <v>8</v>
      </c>
      <c r="C1627" s="60" t="s">
        <v>5051</v>
      </c>
      <c r="D1627" s="64">
        <f>IFERROR(VLOOKUP(C1627,測定点マスタ!$E$2:$F$28,2,FALSE)/VLOOKUP(A1627,'焼鈍条件-3CGL'!$A$2:$B$197,2,FALSE)*60,"")</f>
        <v>35.208450028006716</v>
      </c>
      <c r="E1627" s="66">
        <v>422.8</v>
      </c>
      <c r="F1627" s="64">
        <f t="shared" si="25"/>
        <v>-22.673128571428581</v>
      </c>
      <c r="G1627" s="60" t="s">
        <v>12</v>
      </c>
      <c r="H1627" s="60" t="s">
        <v>5061</v>
      </c>
    </row>
    <row r="1628" spans="1:8">
      <c r="A1628" s="59" t="s">
        <v>3000</v>
      </c>
      <c r="B1628" s="62">
        <v>9</v>
      </c>
      <c r="C1628" s="60" t="s">
        <v>5052</v>
      </c>
      <c r="D1628" s="64">
        <f>IFERROR(VLOOKUP(C1628,測定点マスタ!$E$2:$F$28,2,FALSE)/VLOOKUP(A1628,'焼鈍条件-3CGL'!$A$2:$B$197,2,FALSE)*60,"")</f>
        <v>38.809314235416501</v>
      </c>
      <c r="E1628" s="66">
        <v>326.2</v>
      </c>
      <c r="F1628" s="64">
        <f t="shared" si="25"/>
        <v>-26.826893333333292</v>
      </c>
      <c r="G1628" s="60" t="s">
        <v>12</v>
      </c>
      <c r="H1628" s="60" t="s">
        <v>5061</v>
      </c>
    </row>
    <row r="1629" spans="1:8">
      <c r="A1629" s="59" t="s">
        <v>3000</v>
      </c>
      <c r="B1629" s="62">
        <v>10</v>
      </c>
      <c r="C1629" s="60" t="s">
        <v>5053</v>
      </c>
      <c r="D1629" s="64">
        <f>IFERROR(VLOOKUP(C1629,測定点マスタ!$E$2:$F$28,2,FALSE)/VLOOKUP(A1629,'焼鈍条件-3CGL'!$A$2:$B$197,2,FALSE)*60,"")</f>
        <v>43.610466511962876</v>
      </c>
      <c r="E1629" s="66">
        <v>497.5</v>
      </c>
      <c r="F1629" s="64">
        <f t="shared" si="25"/>
        <v>35.678934999999974</v>
      </c>
      <c r="G1629" s="60" t="s">
        <v>12</v>
      </c>
      <c r="H1629" s="60" t="s">
        <v>5061</v>
      </c>
    </row>
    <row r="1630" spans="1:8">
      <c r="A1630" s="59" t="s">
        <v>3000</v>
      </c>
      <c r="B1630" s="62">
        <v>11</v>
      </c>
      <c r="C1630" s="60" t="s">
        <v>5054</v>
      </c>
      <c r="D1630" s="64">
        <f>IFERROR(VLOOKUP(C1630,測定点マスタ!$E$2:$F$28,2,FALSE)/VLOOKUP(A1630,'焼鈍条件-3CGL'!$A$2:$B$197,2,FALSE)*60,"")</f>
        <v>48.811714811554772</v>
      </c>
      <c r="E1630" s="66">
        <v>497.8</v>
      </c>
      <c r="F1630" s="64">
        <f t="shared" si="25"/>
        <v>5.7678461538463795E-2</v>
      </c>
      <c r="G1630" s="60" t="s">
        <v>12</v>
      </c>
      <c r="H1630" s="60" t="s">
        <v>5061</v>
      </c>
    </row>
    <row r="1631" spans="1:8">
      <c r="A1631" s="59" t="s">
        <v>3000</v>
      </c>
      <c r="B1631" s="62">
        <v>12</v>
      </c>
      <c r="C1631" s="60" t="s">
        <v>5056</v>
      </c>
      <c r="D1631" s="64">
        <f>IFERROR(VLOOKUP(C1631,測定点マスタ!$E$2:$F$28,2,FALSE)/VLOOKUP(A1631,'焼鈍条件-3CGL'!$A$2:$B$197,2,FALSE)*60,"")</f>
        <v>53.212771065055612</v>
      </c>
      <c r="E1631" s="66">
        <v>265.89999999999998</v>
      </c>
      <c r="F1631" s="64">
        <f t="shared" si="25"/>
        <v>-52.691896363636367</v>
      </c>
      <c r="G1631" s="60" t="s">
        <v>12</v>
      </c>
      <c r="H1631" s="60" t="s">
        <v>5061</v>
      </c>
    </row>
    <row r="1632" spans="1:8">
      <c r="A1632" s="59" t="s">
        <v>3000</v>
      </c>
      <c r="B1632" s="62">
        <v>13</v>
      </c>
      <c r="C1632" s="60" t="s">
        <v>5062</v>
      </c>
      <c r="D1632" s="64">
        <f>IFERROR(VLOOKUP(C1632,測定点マスタ!$E$2:$F$28,2,FALSE)/VLOOKUP(A1632,'焼鈍条件-3CGL'!$A$2:$B$197,2,FALSE)*60,"")</f>
        <v>58.013923341601981</v>
      </c>
      <c r="E1632" s="66">
        <v>460</v>
      </c>
      <c r="F1632" s="64">
        <f t="shared" si="25"/>
        <v>40.427795000000032</v>
      </c>
      <c r="G1632" s="60" t="s">
        <v>12</v>
      </c>
      <c r="H1632" s="60" t="s">
        <v>5061</v>
      </c>
    </row>
    <row r="1633" spans="1:8">
      <c r="A1633" s="59" t="s">
        <v>3000</v>
      </c>
      <c r="B1633" s="62">
        <v>14</v>
      </c>
      <c r="C1633" s="60" t="s">
        <v>5068</v>
      </c>
      <c r="D1633" s="64">
        <f>IFERROR(VLOOKUP(C1633,測定点マスタ!$E$2:$F$28,2,FALSE)/VLOOKUP(A1633,'焼鈍条件-3CGL'!$A$2:$B$197,2,FALSE)*60,"")</f>
        <v>63.558111089518682</v>
      </c>
      <c r="E1633" s="66">
        <v>371.5</v>
      </c>
      <c r="F1633" s="64">
        <f t="shared" si="25"/>
        <v>-15.962662886597768</v>
      </c>
      <c r="G1633" s="60" t="s">
        <v>12</v>
      </c>
      <c r="H1633" s="60" t="s">
        <v>5061</v>
      </c>
    </row>
    <row r="1634" spans="1:8">
      <c r="A1634" s="59" t="s">
        <v>3000</v>
      </c>
      <c r="B1634" s="62">
        <v>15</v>
      </c>
      <c r="C1634" s="60" t="s">
        <v>5057</v>
      </c>
      <c r="D1634" s="64">
        <f>IFERROR(VLOOKUP(C1634,測定点マスタ!$E$2:$F$28,2,FALSE)/VLOOKUP(A1634,'焼鈍条件-3CGL'!$A$2:$B$197,2,FALSE)*60,"")</f>
        <v>65.972976371471944</v>
      </c>
      <c r="E1634" s="66">
        <v>283.60000000000002</v>
      </c>
      <c r="F1634" s="64">
        <f t="shared" si="25"/>
        <v>-36.399546035504784</v>
      </c>
      <c r="G1634" s="60" t="s">
        <v>12</v>
      </c>
      <c r="H1634" s="60" t="s">
        <v>5061</v>
      </c>
    </row>
    <row r="1635" spans="1:8">
      <c r="A1635" s="59" t="s">
        <v>3000</v>
      </c>
      <c r="B1635" s="62">
        <v>16</v>
      </c>
      <c r="C1635" s="60" t="s">
        <v>5058</v>
      </c>
      <c r="D1635" s="64">
        <f>IFERROR(VLOOKUP(C1635,測定点マスタ!$E$2:$F$28,2,FALSE)/VLOOKUP(A1635,'焼鈍条件-3CGL'!$A$2:$B$197,2,FALSE)*60,"")</f>
        <v>68.387841653425227</v>
      </c>
      <c r="E1635" s="66">
        <v>143.4</v>
      </c>
      <c r="F1635" s="64">
        <f t="shared" si="25"/>
        <v>-58.057068875742061</v>
      </c>
      <c r="G1635" s="60" t="s">
        <v>12</v>
      </c>
      <c r="H1635" s="60" t="s">
        <v>5061</v>
      </c>
    </row>
    <row r="1636" spans="1:8">
      <c r="A1636" s="59" t="s">
        <v>3000</v>
      </c>
      <c r="B1636" s="62">
        <v>17</v>
      </c>
      <c r="C1636" s="60" t="s">
        <v>5059</v>
      </c>
      <c r="D1636" s="64">
        <f>IFERROR(VLOOKUP(C1636,測定点マスタ!$E$2:$F$28,2,FALSE)/VLOOKUP(A1636,'焼鈍条件-3CGL'!$A$2:$B$197,2,FALSE)*60,"")</f>
        <v>70.802706935378893</v>
      </c>
      <c r="E1636" s="66">
        <v>67.599999999999994</v>
      </c>
      <c r="F1636" s="64">
        <f t="shared" si="25"/>
        <v>-31.38891455620934</v>
      </c>
      <c r="G1636" s="60" t="s">
        <v>12</v>
      </c>
      <c r="H1636" s="60" t="s">
        <v>5061</v>
      </c>
    </row>
    <row r="1637" spans="1:8">
      <c r="A1637" s="59" t="s">
        <v>3002</v>
      </c>
      <c r="B1637" s="62">
        <v>1</v>
      </c>
      <c r="C1637" s="60" t="s">
        <v>5041</v>
      </c>
      <c r="D1637" s="64">
        <f>IFERROR(VLOOKUP(C1637,測定点マスタ!$E$2:$F$28,2,FALSE)/VLOOKUP(A1637,'焼鈍条件-3CGL'!$A$2:$B$197,2,FALSE)*60,"")</f>
        <v>0</v>
      </c>
      <c r="E1637" s="66">
        <v>26.3</v>
      </c>
      <c r="F1637" s="64" t="str">
        <f t="shared" si="25"/>
        <v/>
      </c>
      <c r="G1637" s="60" t="s">
        <v>9</v>
      </c>
      <c r="H1637" s="60" t="s">
        <v>5061</v>
      </c>
    </row>
    <row r="1638" spans="1:8">
      <c r="A1638" s="59" t="s">
        <v>3002</v>
      </c>
      <c r="B1638" s="62">
        <v>2</v>
      </c>
      <c r="C1638" s="60" t="s">
        <v>5043</v>
      </c>
      <c r="D1638" s="64">
        <f>IFERROR(VLOOKUP(C1638,測定点マスタ!$E$2:$F$28,2,FALSE)/VLOOKUP(A1638,'焼鈍条件-3CGL'!$A$2:$B$197,2,FALSE)*60,"")</f>
        <v>9.4474302989586825</v>
      </c>
      <c r="E1638" s="66">
        <v>187.5</v>
      </c>
      <c r="F1638" s="64">
        <f t="shared" si="25"/>
        <v>17.062840888888889</v>
      </c>
      <c r="G1638" s="60" t="s">
        <v>9</v>
      </c>
      <c r="H1638" s="60" t="s">
        <v>5061</v>
      </c>
    </row>
    <row r="1639" spans="1:8">
      <c r="A1639" s="59" t="s">
        <v>3002</v>
      </c>
      <c r="B1639" s="62">
        <v>3</v>
      </c>
      <c r="C1639" s="60" t="s">
        <v>5067</v>
      </c>
      <c r="D1639" s="64">
        <f>IFERROR(VLOOKUP(C1639,測定点マスタ!$E$2:$F$28,2,FALSE)/VLOOKUP(A1639,'焼鈍条件-3CGL'!$A$2:$B$197,2,FALSE)*60,"")</f>
        <v>15.74571716493114</v>
      </c>
      <c r="E1639" s="66">
        <v>374.3</v>
      </c>
      <c r="F1639" s="64">
        <f t="shared" si="25"/>
        <v>29.65885866666666</v>
      </c>
      <c r="G1639" s="60" t="s">
        <v>9</v>
      </c>
      <c r="H1639" s="60" t="s">
        <v>5061</v>
      </c>
    </row>
    <row r="1640" spans="1:8">
      <c r="A1640" s="59" t="s">
        <v>3002</v>
      </c>
      <c r="B1640" s="62">
        <v>4</v>
      </c>
      <c r="C1640" s="60" t="s">
        <v>5044</v>
      </c>
      <c r="D1640" s="64">
        <f>IFERROR(VLOOKUP(C1640,測定点マスタ!$E$2:$F$28,2,FALSE)/VLOOKUP(A1640,'焼鈍条件-3CGL'!$A$2:$B$197,2,FALSE)*60,"")</f>
        <v>21.414175344306351</v>
      </c>
      <c r="E1640" s="66">
        <v>660.4</v>
      </c>
      <c r="F1640" s="64">
        <f t="shared" si="25"/>
        <v>50.472278518518507</v>
      </c>
      <c r="G1640" s="60" t="s">
        <v>9</v>
      </c>
      <c r="H1640" s="60" t="s">
        <v>5061</v>
      </c>
    </row>
    <row r="1641" spans="1:8">
      <c r="A1641" s="59" t="s">
        <v>3002</v>
      </c>
      <c r="B1641" s="62">
        <v>5</v>
      </c>
      <c r="C1641" s="60" t="s">
        <v>5045</v>
      </c>
      <c r="D1641" s="64">
        <f>IFERROR(VLOOKUP(C1641,測定点マスタ!$E$2:$F$28,2,FALSE)/VLOOKUP(A1641,'焼鈍条件-3CGL'!$A$2:$B$197,2,FALSE)*60,"")</f>
        <v>27.712462210278808</v>
      </c>
      <c r="E1641" s="66">
        <v>814.8</v>
      </c>
      <c r="F1641" s="64">
        <f t="shared" si="25"/>
        <v>24.514602666666654</v>
      </c>
      <c r="G1641" s="60" t="s">
        <v>9</v>
      </c>
      <c r="H1641" s="60" t="s">
        <v>5061</v>
      </c>
    </row>
    <row r="1642" spans="1:8">
      <c r="A1642" s="59" t="s">
        <v>3002</v>
      </c>
      <c r="B1642" s="62">
        <v>6</v>
      </c>
      <c r="C1642" s="60" t="s">
        <v>5047</v>
      </c>
      <c r="D1642" s="64">
        <f>IFERROR(VLOOKUP(C1642,測定点マスタ!$E$2:$F$28,2,FALSE)/VLOOKUP(A1642,'焼鈍条件-3CGL'!$A$2:$B$197,2,FALSE)*60,"")</f>
        <v>37.78972119583473</v>
      </c>
      <c r="E1642" s="66">
        <v>732.6</v>
      </c>
      <c r="F1642" s="64">
        <f t="shared" si="25"/>
        <v>-8.156979999999999</v>
      </c>
      <c r="G1642" s="60" t="s">
        <v>9</v>
      </c>
      <c r="H1642" s="60" t="s">
        <v>5061</v>
      </c>
    </row>
    <row r="1643" spans="1:8">
      <c r="A1643" s="59" t="s">
        <v>3002</v>
      </c>
      <c r="B1643" s="62">
        <v>7</v>
      </c>
      <c r="C1643" s="60" t="s">
        <v>5049</v>
      </c>
      <c r="D1643" s="64">
        <f>IFERROR(VLOOKUP(C1643,測定点マスタ!$E$2:$F$28,2,FALSE)/VLOOKUP(A1643,'焼鈍条件-3CGL'!$A$2:$B$197,2,FALSE)*60,"")</f>
        <v>45.97749412159893</v>
      </c>
      <c r="E1643" s="66">
        <v>602.6</v>
      </c>
      <c r="F1643" s="64">
        <f t="shared" si="25"/>
        <v>-15.877333333333318</v>
      </c>
      <c r="G1643" s="60" t="s">
        <v>9</v>
      </c>
      <c r="H1643" s="60" t="s">
        <v>5061</v>
      </c>
    </row>
    <row r="1644" spans="1:8">
      <c r="A1644" s="59" t="s">
        <v>3002</v>
      </c>
      <c r="B1644" s="62">
        <v>8</v>
      </c>
      <c r="C1644" s="60" t="s">
        <v>5050</v>
      </c>
      <c r="D1644" s="64">
        <f>IFERROR(VLOOKUP(C1644,測定点マスタ!$E$2:$F$28,2,FALSE)/VLOOKUP(A1644,'焼鈍条件-3CGL'!$A$2:$B$197,2,FALSE)*60,"")</f>
        <v>51.016123614376895</v>
      </c>
      <c r="E1644" s="66">
        <v>512.5</v>
      </c>
      <c r="F1644" s="64">
        <f t="shared" si="25"/>
        <v>-17.881846666666672</v>
      </c>
      <c r="G1644" s="60" t="s">
        <v>9</v>
      </c>
      <c r="H1644" s="60" t="s">
        <v>5061</v>
      </c>
    </row>
    <row r="1645" spans="1:8">
      <c r="A1645" s="59" t="s">
        <v>3002</v>
      </c>
      <c r="B1645" s="62">
        <v>9</v>
      </c>
      <c r="C1645" s="60" t="s">
        <v>5051</v>
      </c>
      <c r="D1645" s="64">
        <f>IFERROR(VLOOKUP(C1645,測定点マスタ!$E$2:$F$28,2,FALSE)/VLOOKUP(A1645,'焼鈍条件-3CGL'!$A$2:$B$197,2,FALSE)*60,"")</f>
        <v>55.424924420557616</v>
      </c>
      <c r="E1645" s="66">
        <v>476.7</v>
      </c>
      <c r="F1645" s="64">
        <f t="shared" si="25"/>
        <v>-8.120121904761902</v>
      </c>
      <c r="G1645" s="60" t="s">
        <v>9</v>
      </c>
      <c r="H1645" s="60" t="s">
        <v>5061</v>
      </c>
    </row>
    <row r="1646" spans="1:8">
      <c r="A1646" s="59" t="s">
        <v>3002</v>
      </c>
      <c r="B1646" s="62">
        <v>10</v>
      </c>
      <c r="C1646" s="60" t="s">
        <v>5060</v>
      </c>
      <c r="D1646" s="64">
        <f>IFERROR(VLOOKUP(C1646,測定点マスタ!$E$2:$F$28,2,FALSE)/VLOOKUP(A1646,'焼鈍条件-3CGL'!$A$2:$B$197,2,FALSE)*60,"")</f>
        <v>57.944239166946595</v>
      </c>
      <c r="E1646" s="66">
        <v>415.3</v>
      </c>
      <c r="F1646" s="64">
        <f t="shared" si="25"/>
        <v>-24.371706666666693</v>
      </c>
      <c r="G1646" s="60" t="s">
        <v>9</v>
      </c>
      <c r="H1646" s="60" t="s">
        <v>5061</v>
      </c>
    </row>
    <row r="1647" spans="1:8">
      <c r="A1647" s="59" t="s">
        <v>3002</v>
      </c>
      <c r="B1647" s="62">
        <v>11</v>
      </c>
      <c r="C1647" s="60" t="s">
        <v>5052</v>
      </c>
      <c r="D1647" s="64">
        <f>IFERROR(VLOOKUP(C1647,測定点マスタ!$E$2:$F$28,2,FALSE)/VLOOKUP(A1647,'焼鈍条件-3CGL'!$A$2:$B$197,2,FALSE)*60,"")</f>
        <v>61.093382599932823</v>
      </c>
      <c r="E1647" s="66">
        <v>367.5</v>
      </c>
      <c r="F1647" s="64">
        <f t="shared" si="25"/>
        <v>-15.178730666666667</v>
      </c>
      <c r="G1647" s="60" t="s">
        <v>9</v>
      </c>
      <c r="H1647" s="60" t="s">
        <v>5061</v>
      </c>
    </row>
    <row r="1648" spans="1:8">
      <c r="A1648" s="59" t="s">
        <v>3002</v>
      </c>
      <c r="B1648" s="62">
        <v>12</v>
      </c>
      <c r="C1648" s="60" t="s">
        <v>5053</v>
      </c>
      <c r="D1648" s="64">
        <f>IFERROR(VLOOKUP(C1648,測定点マスタ!$E$2:$F$28,2,FALSE)/VLOOKUP(A1648,'焼鈍条件-3CGL'!$A$2:$B$197,2,FALSE)*60,"")</f>
        <v>68.651326839099767</v>
      </c>
      <c r="E1648" s="66">
        <v>514.1</v>
      </c>
      <c r="F1648" s="64">
        <f t="shared" si="25"/>
        <v>19.396808888888902</v>
      </c>
      <c r="G1648" s="60" t="s">
        <v>9</v>
      </c>
      <c r="H1648" s="60" t="s">
        <v>5061</v>
      </c>
    </row>
    <row r="1649" spans="1:8">
      <c r="A1649" s="59" t="s">
        <v>3002</v>
      </c>
      <c r="B1649" s="62">
        <v>13</v>
      </c>
      <c r="C1649" s="60" t="s">
        <v>5054</v>
      </c>
      <c r="D1649" s="64">
        <f>IFERROR(VLOOKUP(C1649,測定点マスタ!$E$2:$F$28,2,FALSE)/VLOOKUP(A1649,'焼鈍条件-3CGL'!$A$2:$B$197,2,FALSE)*60,"")</f>
        <v>76.83909976486396</v>
      </c>
      <c r="E1649" s="66">
        <v>509.3</v>
      </c>
      <c r="F1649" s="64">
        <f t="shared" si="25"/>
        <v>-0.58624000000000132</v>
      </c>
      <c r="G1649" s="60" t="s">
        <v>9</v>
      </c>
      <c r="H1649" s="60" t="s">
        <v>5061</v>
      </c>
    </row>
    <row r="1650" spans="1:8">
      <c r="A1650" s="59" t="s">
        <v>3002</v>
      </c>
      <c r="B1650" s="62">
        <v>14</v>
      </c>
      <c r="C1650" s="60" t="s">
        <v>5056</v>
      </c>
      <c r="D1650" s="64">
        <f>IFERROR(VLOOKUP(C1650,測定点マスタ!$E$2:$F$28,2,FALSE)/VLOOKUP(A1650,'焼鈍条件-3CGL'!$A$2:$B$197,2,FALSE)*60,"")</f>
        <v>83.767215317433653</v>
      </c>
      <c r="E1650" s="66">
        <v>281</v>
      </c>
      <c r="F1650" s="64">
        <f t="shared" si="25"/>
        <v>-32.952683636363673</v>
      </c>
      <c r="G1650" s="60" t="s">
        <v>9</v>
      </c>
      <c r="H1650" s="60" t="s">
        <v>5061</v>
      </c>
    </row>
    <row r="1651" spans="1:8">
      <c r="A1651" s="59" t="s">
        <v>3002</v>
      </c>
      <c r="B1651" s="62">
        <v>15</v>
      </c>
      <c r="C1651" s="60" t="s">
        <v>5062</v>
      </c>
      <c r="D1651" s="64">
        <f>IFERROR(VLOOKUP(C1651,測定点マスタ!$E$2:$F$28,2,FALSE)/VLOOKUP(A1651,'焼鈍条件-3CGL'!$A$2:$B$197,2,FALSE)*60,"")</f>
        <v>91.32515955660061</v>
      </c>
      <c r="E1651" s="66">
        <v>454.2</v>
      </c>
      <c r="F1651" s="64">
        <f t="shared" si="25"/>
        <v>22.916284444444411</v>
      </c>
      <c r="G1651" s="60" t="s">
        <v>9</v>
      </c>
      <c r="H1651" s="60" t="s">
        <v>5061</v>
      </c>
    </row>
    <row r="1652" spans="1:8">
      <c r="A1652" s="59" t="s">
        <v>3002</v>
      </c>
      <c r="B1652" s="62">
        <v>16</v>
      </c>
      <c r="C1652" s="60" t="s">
        <v>5057</v>
      </c>
      <c r="D1652" s="64">
        <f>IFERROR(VLOOKUP(C1652,測定点マスタ!$E$2:$F$28,2,FALSE)/VLOOKUP(A1652,'焼鈍条件-3CGL'!$A$2:$B$197,2,FALSE)*60,"")</f>
        <v>103.85425164355287</v>
      </c>
      <c r="E1652" s="66">
        <v>236.3</v>
      </c>
      <c r="F1652" s="64">
        <f t="shared" si="25"/>
        <v>-17.391523542788871</v>
      </c>
      <c r="G1652" s="60" t="s">
        <v>9</v>
      </c>
      <c r="H1652" s="60" t="s">
        <v>5061</v>
      </c>
    </row>
    <row r="1653" spans="1:8">
      <c r="A1653" s="59" t="s">
        <v>3002</v>
      </c>
      <c r="B1653" s="62">
        <v>17</v>
      </c>
      <c r="C1653" s="60" t="s">
        <v>5059</v>
      </c>
      <c r="D1653" s="64">
        <f>IFERROR(VLOOKUP(C1653,測定点マスタ!$E$2:$F$28,2,FALSE)/VLOOKUP(A1653,'焼鈍条件-3CGL'!$A$2:$B$197,2,FALSE)*60,"")</f>
        <v>111.45718364604846</v>
      </c>
      <c r="E1653" s="66">
        <v>59</v>
      </c>
      <c r="F1653" s="64">
        <f t="shared" si="25"/>
        <v>-23.319950769229941</v>
      </c>
      <c r="G1653" s="60" t="s">
        <v>9</v>
      </c>
      <c r="H1653" s="60" t="s">
        <v>5061</v>
      </c>
    </row>
    <row r="1654" spans="1:8">
      <c r="A1654" s="59" t="s">
        <v>3028</v>
      </c>
      <c r="B1654" s="62">
        <v>1</v>
      </c>
      <c r="C1654" s="60" t="s">
        <v>5041</v>
      </c>
      <c r="D1654" s="64">
        <f>IFERROR(VLOOKUP(C1654,測定点マスタ!$E$2:$F$28,2,FALSE)/VLOOKUP(A1654,'焼鈍条件-3CGL'!$A$2:$B$197,2,FALSE)*60,"")</f>
        <v>0</v>
      </c>
      <c r="E1654" s="66">
        <v>38</v>
      </c>
      <c r="F1654" s="64" t="str">
        <f t="shared" si="25"/>
        <v/>
      </c>
      <c r="G1654" s="60" t="s">
        <v>12</v>
      </c>
      <c r="H1654" s="60" t="s">
        <v>5042</v>
      </c>
    </row>
    <row r="1655" spans="1:8">
      <c r="A1655" s="59" t="s">
        <v>3028</v>
      </c>
      <c r="B1655" s="62">
        <v>2</v>
      </c>
      <c r="C1655" s="60" t="s">
        <v>5043</v>
      </c>
      <c r="D1655" s="64">
        <f>IFERROR(VLOOKUP(C1655,測定点マスタ!$E$2:$F$28,2,FALSE)/VLOOKUP(A1655,'焼鈍条件-3CGL'!$A$2:$B$197,2,FALSE)*60,"")</f>
        <v>8.3043450178543434</v>
      </c>
      <c r="E1655" s="66">
        <v>172.8</v>
      </c>
      <c r="F1655" s="64">
        <f t="shared" si="25"/>
        <v>16.232466222222222</v>
      </c>
      <c r="G1655" s="60" t="s">
        <v>12</v>
      </c>
      <c r="H1655" s="60" t="s">
        <v>5042</v>
      </c>
    </row>
    <row r="1656" spans="1:8">
      <c r="A1656" s="59" t="s">
        <v>3028</v>
      </c>
      <c r="B1656" s="62">
        <v>3</v>
      </c>
      <c r="C1656" s="60" t="s">
        <v>5044</v>
      </c>
      <c r="D1656" s="64">
        <f>IFERROR(VLOOKUP(C1656,測定点マスタ!$E$2:$F$28,2,FALSE)/VLOOKUP(A1656,'焼鈍条件-3CGL'!$A$2:$B$197,2,FALSE)*60,"")</f>
        <v>18.823182040469845</v>
      </c>
      <c r="E1656" s="66">
        <v>660.7</v>
      </c>
      <c r="F1656" s="64">
        <f t="shared" si="25"/>
        <v>46.383454649122797</v>
      </c>
      <c r="G1656" s="60" t="s">
        <v>12</v>
      </c>
      <c r="H1656" s="60" t="s">
        <v>5042</v>
      </c>
    </row>
    <row r="1657" spans="1:8">
      <c r="A1657" s="59" t="s">
        <v>3028</v>
      </c>
      <c r="B1657" s="62">
        <v>4</v>
      </c>
      <c r="C1657" s="60" t="s">
        <v>5045</v>
      </c>
      <c r="D1657" s="64">
        <f>IFERROR(VLOOKUP(C1657,測定点マスタ!$E$2:$F$28,2,FALSE)/VLOOKUP(A1657,'焼鈍条件-3CGL'!$A$2:$B$197,2,FALSE)*60,"")</f>
        <v>24.359412052372736</v>
      </c>
      <c r="E1657" s="66">
        <v>788.6</v>
      </c>
      <c r="F1657" s="64">
        <f t="shared" si="25"/>
        <v>23.102363833333346</v>
      </c>
      <c r="G1657" s="60" t="s">
        <v>12</v>
      </c>
      <c r="H1657" s="60" t="s">
        <v>5042</v>
      </c>
    </row>
    <row r="1658" spans="1:8">
      <c r="A1658" s="59" t="s">
        <v>3028</v>
      </c>
      <c r="B1658" s="62">
        <v>5</v>
      </c>
      <c r="C1658" s="60" t="s">
        <v>5047</v>
      </c>
      <c r="D1658" s="64">
        <f>IFERROR(VLOOKUP(C1658,測定点マスタ!$E$2:$F$28,2,FALSE)/VLOOKUP(A1658,'焼鈍条件-3CGL'!$A$2:$B$197,2,FALSE)*60,"")</f>
        <v>33.217380071417374</v>
      </c>
      <c r="E1658" s="66">
        <v>713.4</v>
      </c>
      <c r="F1658" s="64">
        <f t="shared" si="25"/>
        <v>-8.4895316666666663</v>
      </c>
      <c r="G1658" s="60" t="s">
        <v>12</v>
      </c>
      <c r="H1658" s="60" t="s">
        <v>5042</v>
      </c>
    </row>
    <row r="1659" spans="1:8">
      <c r="A1659" s="59" t="s">
        <v>3028</v>
      </c>
      <c r="B1659" s="62">
        <v>6</v>
      </c>
      <c r="C1659" s="60" t="s">
        <v>5049</v>
      </c>
      <c r="D1659" s="64">
        <f>IFERROR(VLOOKUP(C1659,測定点マスタ!$E$2:$F$28,2,FALSE)/VLOOKUP(A1659,'焼鈍条件-3CGL'!$A$2:$B$197,2,FALSE)*60,"")</f>
        <v>40.414479086891134</v>
      </c>
      <c r="E1659" s="66">
        <v>567.5</v>
      </c>
      <c r="F1659" s="64">
        <f t="shared" si="25"/>
        <v>-20.272056794871798</v>
      </c>
      <c r="G1659" s="60" t="s">
        <v>12</v>
      </c>
      <c r="H1659" s="60" t="s">
        <v>5042</v>
      </c>
    </row>
    <row r="1660" spans="1:8">
      <c r="A1660" s="59" t="s">
        <v>3028</v>
      </c>
      <c r="B1660" s="62">
        <v>7</v>
      </c>
      <c r="C1660" s="60" t="s">
        <v>5050</v>
      </c>
      <c r="D1660" s="64">
        <f>IFERROR(VLOOKUP(C1660,測定点マスタ!$E$2:$F$28,2,FALSE)/VLOOKUP(A1660,'焼鈍条件-3CGL'!$A$2:$B$197,2,FALSE)*60,"")</f>
        <v>44.843463096413444</v>
      </c>
      <c r="E1660" s="66">
        <v>498.7</v>
      </c>
      <c r="F1660" s="64">
        <f t="shared" si="25"/>
        <v>-15.53403666666669</v>
      </c>
      <c r="G1660" s="60" t="s">
        <v>12</v>
      </c>
      <c r="H1660" s="60" t="s">
        <v>5042</v>
      </c>
    </row>
    <row r="1661" spans="1:8">
      <c r="A1661" s="59" t="s">
        <v>3028</v>
      </c>
      <c r="B1661" s="62">
        <v>8</v>
      </c>
      <c r="C1661" s="60" t="s">
        <v>5051</v>
      </c>
      <c r="D1661" s="64">
        <f>IFERROR(VLOOKUP(C1661,測定点マスタ!$E$2:$F$28,2,FALSE)/VLOOKUP(A1661,'焼鈍条件-3CGL'!$A$2:$B$197,2,FALSE)*60,"")</f>
        <v>48.718824104745472</v>
      </c>
      <c r="E1661" s="66">
        <v>444.6</v>
      </c>
      <c r="F1661" s="64">
        <f t="shared" si="25"/>
        <v>-13.959989761904746</v>
      </c>
      <c r="G1661" s="60" t="s">
        <v>12</v>
      </c>
      <c r="H1661" s="60" t="s">
        <v>5042</v>
      </c>
    </row>
    <row r="1662" spans="1:8">
      <c r="A1662" s="59" t="s">
        <v>3028</v>
      </c>
      <c r="B1662" s="62">
        <v>9</v>
      </c>
      <c r="C1662" s="60" t="s">
        <v>5060</v>
      </c>
      <c r="D1662" s="64">
        <f>IFERROR(VLOOKUP(C1662,測定点マスタ!$E$2:$F$28,2,FALSE)/VLOOKUP(A1662,'焼鈍条件-3CGL'!$A$2:$B$197,2,FALSE)*60,"")</f>
        <v>50.933316109506627</v>
      </c>
      <c r="E1662" s="66">
        <v>390.1</v>
      </c>
      <c r="F1662" s="64">
        <f t="shared" si="25"/>
        <v>-24.610610416666699</v>
      </c>
      <c r="G1662" s="60" t="s">
        <v>12</v>
      </c>
      <c r="H1662" s="60" t="s">
        <v>5042</v>
      </c>
    </row>
    <row r="1663" spans="1:8">
      <c r="A1663" s="59" t="s">
        <v>3028</v>
      </c>
      <c r="B1663" s="62">
        <v>10</v>
      </c>
      <c r="C1663" s="60" t="s">
        <v>5052</v>
      </c>
      <c r="D1663" s="64">
        <f>IFERROR(VLOOKUP(C1663,測定点マスタ!$E$2:$F$28,2,FALSE)/VLOOKUP(A1663,'焼鈍条件-3CGL'!$A$2:$B$197,2,FALSE)*60,"")</f>
        <v>53.701431115458078</v>
      </c>
      <c r="E1663" s="66">
        <v>351.7</v>
      </c>
      <c r="F1663" s="64">
        <f t="shared" si="25"/>
        <v>-13.872255999999995</v>
      </c>
      <c r="G1663" s="60" t="s">
        <v>12</v>
      </c>
      <c r="H1663" s="60" t="s">
        <v>5042</v>
      </c>
    </row>
    <row r="1664" spans="1:8">
      <c r="A1664" s="59" t="s">
        <v>3028</v>
      </c>
      <c r="B1664" s="62">
        <v>11</v>
      </c>
      <c r="C1664" s="60" t="s">
        <v>5053</v>
      </c>
      <c r="D1664" s="64">
        <f>IFERROR(VLOOKUP(C1664,測定点マスタ!$E$2:$F$28,2,FALSE)/VLOOKUP(A1664,'焼鈍条件-3CGL'!$A$2:$B$197,2,FALSE)*60,"")</f>
        <v>60.34490712974155</v>
      </c>
      <c r="E1664" s="66">
        <v>501.2</v>
      </c>
      <c r="F1664" s="64">
        <f t="shared" si="25"/>
        <v>22.503279861111118</v>
      </c>
      <c r="G1664" s="60" t="s">
        <v>12</v>
      </c>
      <c r="H1664" s="60" t="s">
        <v>5042</v>
      </c>
    </row>
    <row r="1665" spans="1:8">
      <c r="A1665" s="59" t="s">
        <v>3028</v>
      </c>
      <c r="B1665" s="62">
        <v>12</v>
      </c>
      <c r="C1665" s="60" t="s">
        <v>5063</v>
      </c>
      <c r="D1665" s="64">
        <f>IFERROR(VLOOKUP(C1665,測定点マスタ!$E$2:$F$28,2,FALSE)/VLOOKUP(A1665,'焼鈍条件-3CGL'!$A$2:$B$197,2,FALSE)*60,"")</f>
        <v>63.666645136883282</v>
      </c>
      <c r="E1665" s="66">
        <v>495.7</v>
      </c>
      <c r="F1665" s="64">
        <f t="shared" si="25"/>
        <v>-1.6557597222222245</v>
      </c>
      <c r="G1665" s="60" t="s">
        <v>12</v>
      </c>
      <c r="H1665" s="60" t="s">
        <v>5042</v>
      </c>
    </row>
    <row r="1666" spans="1:8">
      <c r="A1666" s="59" t="s">
        <v>3028</v>
      </c>
      <c r="B1666" s="62">
        <v>13</v>
      </c>
      <c r="C1666" s="60" t="s">
        <v>5054</v>
      </c>
      <c r="D1666" s="64">
        <f>IFERROR(VLOOKUP(C1666,測定点マスタ!$E$2:$F$28,2,FALSE)/VLOOKUP(A1666,'焼鈍条件-3CGL'!$A$2:$B$197,2,FALSE)*60,"")</f>
        <v>67.542006145215325</v>
      </c>
      <c r="E1666" s="66">
        <v>487.2</v>
      </c>
      <c r="F1666" s="64">
        <f t="shared" ref="F1666:F1729" si="26">IF(A1666=A1665,IFERROR((E1666-E1665)/(D1666-D1665),""),"")</f>
        <v>-2.1933440476190382</v>
      </c>
      <c r="G1666" s="60" t="s">
        <v>12</v>
      </c>
      <c r="H1666" s="60" t="s">
        <v>5042</v>
      </c>
    </row>
    <row r="1667" spans="1:8">
      <c r="A1667" s="59" t="s">
        <v>3028</v>
      </c>
      <c r="B1667" s="62">
        <v>14</v>
      </c>
      <c r="C1667" s="60" t="s">
        <v>5056</v>
      </c>
      <c r="D1667" s="64">
        <f>IFERROR(VLOOKUP(C1667,測定点マスタ!$E$2:$F$28,2,FALSE)/VLOOKUP(A1667,'焼鈍条件-3CGL'!$A$2:$B$197,2,FALSE)*60,"")</f>
        <v>73.631859158308501</v>
      </c>
      <c r="E1667" s="66">
        <v>276.5</v>
      </c>
      <c r="F1667" s="64">
        <f t="shared" si="26"/>
        <v>-34.598536212121253</v>
      </c>
      <c r="G1667" s="60" t="s">
        <v>12</v>
      </c>
      <c r="H1667" s="60" t="s">
        <v>5042</v>
      </c>
    </row>
    <row r="1668" spans="1:8">
      <c r="A1668" s="59" t="s">
        <v>3028</v>
      </c>
      <c r="B1668" s="62">
        <v>15</v>
      </c>
      <c r="C1668" s="60" t="s">
        <v>5057</v>
      </c>
      <c r="D1668" s="64">
        <f>IFERROR(VLOOKUP(C1668,測定点マスタ!$E$2:$F$28,2,FALSE)/VLOOKUP(A1668,'焼鈍条件-3CGL'!$A$2:$B$197,2,FALSE)*60,"")</f>
        <v>91.288478446270148</v>
      </c>
      <c r="E1668" s="66">
        <v>187.3</v>
      </c>
      <c r="F1668" s="64">
        <f t="shared" si="26"/>
        <v>-5.0519297349757606</v>
      </c>
      <c r="G1668" s="60" t="s">
        <v>12</v>
      </c>
      <c r="H1668" s="60" t="s">
        <v>5042</v>
      </c>
    </row>
    <row r="1669" spans="1:8">
      <c r="A1669" s="59" t="s">
        <v>3028</v>
      </c>
      <c r="B1669" s="62">
        <v>16</v>
      </c>
      <c r="C1669" s="60" t="s">
        <v>5058</v>
      </c>
      <c r="D1669" s="64">
        <f>IFERROR(VLOOKUP(C1669,測定点マスタ!$E$2:$F$28,2,FALSE)/VLOOKUP(A1669,'焼鈍条件-3CGL'!$A$2:$B$197,2,FALSE)*60,"")</f>
        <v>94.629988703454231</v>
      </c>
      <c r="E1669" s="66">
        <v>101.7</v>
      </c>
      <c r="F1669" s="64">
        <f t="shared" si="26"/>
        <v>-25.617159132151158</v>
      </c>
      <c r="G1669" s="60" t="s">
        <v>12</v>
      </c>
      <c r="H1669" s="60" t="s">
        <v>5042</v>
      </c>
    </row>
    <row r="1670" spans="1:8">
      <c r="A1670" s="59" t="s">
        <v>3028</v>
      </c>
      <c r="B1670" s="62">
        <v>17</v>
      </c>
      <c r="C1670" s="60" t="s">
        <v>5059</v>
      </c>
      <c r="D1670" s="64">
        <f>IFERROR(VLOOKUP(C1670,測定点マスタ!$E$2:$F$28,2,FALSE)/VLOOKUP(A1670,'焼鈍条件-3CGL'!$A$2:$B$197,2,FALSE)*60,"")</f>
        <v>97.971498960638897</v>
      </c>
      <c r="E1670" s="66">
        <v>56.4</v>
      </c>
      <c r="F1670" s="64">
        <f t="shared" si="26"/>
        <v>-13.556744260353332</v>
      </c>
      <c r="G1670" s="60" t="s">
        <v>12</v>
      </c>
      <c r="H1670" s="60" t="s">
        <v>5042</v>
      </c>
    </row>
    <row r="1671" spans="1:8">
      <c r="A1671" s="59" t="s">
        <v>3051</v>
      </c>
      <c r="B1671" s="62">
        <v>1</v>
      </c>
      <c r="C1671" s="60" t="s">
        <v>5041</v>
      </c>
      <c r="D1671" s="64">
        <f>IFERROR(VLOOKUP(C1671,測定点マスタ!$E$2:$F$28,2,FALSE)/VLOOKUP(A1671,'焼鈍条件-3CGL'!$A$2:$B$197,2,FALSE)*60,"")</f>
        <v>0</v>
      </c>
      <c r="E1671" s="66">
        <v>39.4</v>
      </c>
      <c r="F1671" s="64" t="str">
        <f t="shared" si="26"/>
        <v/>
      </c>
      <c r="G1671" s="60" t="s">
        <v>12</v>
      </c>
      <c r="H1671" s="60" t="s">
        <v>5061</v>
      </c>
    </row>
    <row r="1672" spans="1:8">
      <c r="A1672" s="59" t="s">
        <v>3051</v>
      </c>
      <c r="B1672" s="62">
        <v>2</v>
      </c>
      <c r="C1672" s="60" t="s">
        <v>5043</v>
      </c>
      <c r="D1672" s="64">
        <f>IFERROR(VLOOKUP(C1672,測定点マスタ!$E$2:$F$28,2,FALSE)/VLOOKUP(A1672,'焼鈍条件-3CGL'!$A$2:$B$197,2,FALSE)*60,"")</f>
        <v>8.0994249408292021</v>
      </c>
      <c r="E1672" s="66">
        <v>181.7</v>
      </c>
      <c r="F1672" s="64">
        <f t="shared" si="26"/>
        <v>17.56914855555555</v>
      </c>
      <c r="G1672" s="60" t="s">
        <v>12</v>
      </c>
      <c r="H1672" s="60" t="s">
        <v>5061</v>
      </c>
    </row>
    <row r="1673" spans="1:8">
      <c r="A1673" s="59" t="s">
        <v>3051</v>
      </c>
      <c r="B1673" s="62">
        <v>3</v>
      </c>
      <c r="C1673" s="60" t="s">
        <v>5067</v>
      </c>
      <c r="D1673" s="64">
        <f>IFERROR(VLOOKUP(C1673,測定点マスタ!$E$2:$F$28,2,FALSE)/VLOOKUP(A1673,'焼鈍条件-3CGL'!$A$2:$B$197,2,FALSE)*60,"")</f>
        <v>13.499041568048668</v>
      </c>
      <c r="E1673" s="66">
        <v>360.2</v>
      </c>
      <c r="F1673" s="64">
        <f t="shared" si="26"/>
        <v>33.057902500000012</v>
      </c>
      <c r="G1673" s="60" t="s">
        <v>12</v>
      </c>
      <c r="H1673" s="60" t="s">
        <v>5061</v>
      </c>
    </row>
    <row r="1674" spans="1:8">
      <c r="A1674" s="59" t="s">
        <v>3051</v>
      </c>
      <c r="B1674" s="62">
        <v>4</v>
      </c>
      <c r="C1674" s="60" t="s">
        <v>5044</v>
      </c>
      <c r="D1674" s="64">
        <f>IFERROR(VLOOKUP(C1674,測定点マスタ!$E$2:$F$28,2,FALSE)/VLOOKUP(A1674,'焼鈍条件-3CGL'!$A$2:$B$197,2,FALSE)*60,"")</f>
        <v>18.35869653254619</v>
      </c>
      <c r="E1674" s="66">
        <v>663.5</v>
      </c>
      <c r="F1674" s="64">
        <f t="shared" si="26"/>
        <v>62.411838333333307</v>
      </c>
      <c r="G1674" s="60" t="s">
        <v>12</v>
      </c>
      <c r="H1674" s="60" t="s">
        <v>5061</v>
      </c>
    </row>
    <row r="1675" spans="1:8">
      <c r="A1675" s="59" t="s">
        <v>3051</v>
      </c>
      <c r="B1675" s="62">
        <v>5</v>
      </c>
      <c r="C1675" s="60" t="s">
        <v>5045</v>
      </c>
      <c r="D1675" s="64">
        <f>IFERROR(VLOOKUP(C1675,測定点マスタ!$E$2:$F$28,2,FALSE)/VLOOKUP(A1675,'焼鈍条件-3CGL'!$A$2:$B$197,2,FALSE)*60,"")</f>
        <v>23.758313159765656</v>
      </c>
      <c r="E1675" s="66">
        <v>802.6</v>
      </c>
      <c r="F1675" s="64">
        <f t="shared" si="26"/>
        <v>25.761088166666678</v>
      </c>
      <c r="G1675" s="60" t="s">
        <v>12</v>
      </c>
      <c r="H1675" s="60" t="s">
        <v>5061</v>
      </c>
    </row>
    <row r="1676" spans="1:8">
      <c r="A1676" s="59" t="s">
        <v>3051</v>
      </c>
      <c r="B1676" s="62">
        <v>6</v>
      </c>
      <c r="C1676" s="60" t="s">
        <v>5047</v>
      </c>
      <c r="D1676" s="64">
        <f>IFERROR(VLOOKUP(C1676,測定点マスタ!$E$2:$F$28,2,FALSE)/VLOOKUP(A1676,'焼鈍条件-3CGL'!$A$2:$B$197,2,FALSE)*60,"")</f>
        <v>32.397699763316808</v>
      </c>
      <c r="E1676" s="66">
        <v>726.2</v>
      </c>
      <c r="F1676" s="64">
        <f t="shared" si="26"/>
        <v>-8.843220416666659</v>
      </c>
      <c r="G1676" s="60" t="s">
        <v>12</v>
      </c>
      <c r="H1676" s="60" t="s">
        <v>5061</v>
      </c>
    </row>
    <row r="1677" spans="1:8">
      <c r="A1677" s="59" t="s">
        <v>3051</v>
      </c>
      <c r="B1677" s="62">
        <v>7</v>
      </c>
      <c r="C1677" s="60" t="s">
        <v>5049</v>
      </c>
      <c r="D1677" s="64">
        <f>IFERROR(VLOOKUP(C1677,測定点マスタ!$E$2:$F$28,2,FALSE)/VLOOKUP(A1677,'焼鈍条件-3CGL'!$A$2:$B$197,2,FALSE)*60,"")</f>
        <v>39.41720137870211</v>
      </c>
      <c r="E1677" s="66">
        <v>601</v>
      </c>
      <c r="F1677" s="64">
        <f t="shared" si="26"/>
        <v>-17.836024102564124</v>
      </c>
      <c r="G1677" s="60" t="s">
        <v>12</v>
      </c>
      <c r="H1677" s="60" t="s">
        <v>5061</v>
      </c>
    </row>
    <row r="1678" spans="1:8">
      <c r="A1678" s="59" t="s">
        <v>3051</v>
      </c>
      <c r="B1678" s="62">
        <v>8</v>
      </c>
      <c r="C1678" s="60" t="s">
        <v>5050</v>
      </c>
      <c r="D1678" s="64">
        <f>IFERROR(VLOOKUP(C1678,測定点マスタ!$E$2:$F$28,2,FALSE)/VLOOKUP(A1678,'焼鈍条件-3CGL'!$A$2:$B$197,2,FALSE)*60,"")</f>
        <v>43.73689468047769</v>
      </c>
      <c r="E1678" s="66">
        <v>471.4</v>
      </c>
      <c r="F1678" s="64">
        <f t="shared" si="26"/>
        <v>-30.002129999999966</v>
      </c>
      <c r="G1678" s="60" t="s">
        <v>12</v>
      </c>
      <c r="H1678" s="60" t="s">
        <v>5061</v>
      </c>
    </row>
    <row r="1679" spans="1:8">
      <c r="A1679" s="59" t="s">
        <v>3051</v>
      </c>
      <c r="B1679" s="62">
        <v>9</v>
      </c>
      <c r="C1679" s="60" t="s">
        <v>5051</v>
      </c>
      <c r="D1679" s="64">
        <f>IFERROR(VLOOKUP(C1679,測定点マスタ!$E$2:$F$28,2,FALSE)/VLOOKUP(A1679,'焼鈍条件-3CGL'!$A$2:$B$197,2,FALSE)*60,"")</f>
        <v>47.516626319531312</v>
      </c>
      <c r="E1679" s="66">
        <v>468.5</v>
      </c>
      <c r="F1679" s="64">
        <f t="shared" si="26"/>
        <v>-0.76725023809523307</v>
      </c>
      <c r="G1679" s="60" t="s">
        <v>12</v>
      </c>
      <c r="H1679" s="60" t="s">
        <v>5061</v>
      </c>
    </row>
    <row r="1680" spans="1:8">
      <c r="A1680" s="59" t="s">
        <v>3051</v>
      </c>
      <c r="B1680" s="62">
        <v>10</v>
      </c>
      <c r="C1680" s="60" t="s">
        <v>5060</v>
      </c>
      <c r="D1680" s="64">
        <f>IFERROR(VLOOKUP(C1680,測定点マスタ!$E$2:$F$28,2,FALSE)/VLOOKUP(A1680,'焼鈍条件-3CGL'!$A$2:$B$197,2,FALSE)*60,"")</f>
        <v>49.676472970419098</v>
      </c>
      <c r="E1680" s="66">
        <v>387.9</v>
      </c>
      <c r="F1680" s="64">
        <f t="shared" si="26"/>
        <v>-37.317464166666689</v>
      </c>
      <c r="G1680" s="60" t="s">
        <v>12</v>
      </c>
      <c r="H1680" s="60" t="s">
        <v>5061</v>
      </c>
    </row>
    <row r="1681" spans="1:8">
      <c r="A1681" s="59" t="s">
        <v>3051</v>
      </c>
      <c r="B1681" s="62">
        <v>11</v>
      </c>
      <c r="C1681" s="60" t="s">
        <v>5052</v>
      </c>
      <c r="D1681" s="64">
        <f>IFERROR(VLOOKUP(C1681,測定点マスタ!$E$2:$F$28,2,FALSE)/VLOOKUP(A1681,'焼鈍条件-3CGL'!$A$2:$B$197,2,FALSE)*60,"")</f>
        <v>52.376281284028835</v>
      </c>
      <c r="E1681" s="66">
        <v>361.1</v>
      </c>
      <c r="F1681" s="64">
        <f t="shared" si="26"/>
        <v>-9.9266306666666395</v>
      </c>
      <c r="G1681" s="60" t="s">
        <v>12</v>
      </c>
      <c r="H1681" s="60" t="s">
        <v>5061</v>
      </c>
    </row>
    <row r="1682" spans="1:8">
      <c r="A1682" s="59" t="s">
        <v>3051</v>
      </c>
      <c r="B1682" s="62">
        <v>12</v>
      </c>
      <c r="C1682" s="60" t="s">
        <v>5053</v>
      </c>
      <c r="D1682" s="64">
        <f>IFERROR(VLOOKUP(C1682,測定点マスタ!$E$2:$F$28,2,FALSE)/VLOOKUP(A1682,'焼鈍条件-3CGL'!$A$2:$B$197,2,FALSE)*60,"")</f>
        <v>58.855821236692194</v>
      </c>
      <c r="E1682" s="66">
        <v>509.3</v>
      </c>
      <c r="F1682" s="64">
        <f t="shared" si="26"/>
        <v>22.871994166666671</v>
      </c>
      <c r="G1682" s="60" t="s">
        <v>12</v>
      </c>
      <c r="H1682" s="60" t="s">
        <v>5061</v>
      </c>
    </row>
    <row r="1683" spans="1:8">
      <c r="A1683" s="59" t="s">
        <v>3051</v>
      </c>
      <c r="B1683" s="62">
        <v>13</v>
      </c>
      <c r="C1683" s="60" t="s">
        <v>5063</v>
      </c>
      <c r="D1683" s="64">
        <f>IFERROR(VLOOKUP(C1683,測定点マスタ!$E$2:$F$28,2,FALSE)/VLOOKUP(A1683,'焼鈍条件-3CGL'!$A$2:$B$197,2,FALSE)*60,"")</f>
        <v>62.095591213023873</v>
      </c>
      <c r="E1683" s="66">
        <v>514.20000000000005</v>
      </c>
      <c r="F1683" s="64">
        <f t="shared" si="26"/>
        <v>1.5124530555555666</v>
      </c>
      <c r="G1683" s="60" t="s">
        <v>12</v>
      </c>
      <c r="H1683" s="60" t="s">
        <v>5061</v>
      </c>
    </row>
    <row r="1684" spans="1:8">
      <c r="A1684" s="59" t="s">
        <v>3051</v>
      </c>
      <c r="B1684" s="62">
        <v>14</v>
      </c>
      <c r="C1684" s="60" t="s">
        <v>5054</v>
      </c>
      <c r="D1684" s="64">
        <f>IFERROR(VLOOKUP(C1684,測定点マスタ!$E$2:$F$28,2,FALSE)/VLOOKUP(A1684,'焼鈍条件-3CGL'!$A$2:$B$197,2,FALSE)*60,"")</f>
        <v>65.875322852077502</v>
      </c>
      <c r="E1684" s="66">
        <v>493.7</v>
      </c>
      <c r="F1684" s="64">
        <f t="shared" si="26"/>
        <v>-5.4236654761904877</v>
      </c>
      <c r="G1684" s="60" t="s">
        <v>12</v>
      </c>
      <c r="H1684" s="60" t="s">
        <v>5061</v>
      </c>
    </row>
    <row r="1685" spans="1:8">
      <c r="A1685" s="59" t="s">
        <v>3051</v>
      </c>
      <c r="B1685" s="62">
        <v>15</v>
      </c>
      <c r="C1685" s="60" t="s">
        <v>5056</v>
      </c>
      <c r="D1685" s="64">
        <f>IFERROR(VLOOKUP(C1685,測定点マスタ!$E$2:$F$28,2,FALSE)/VLOOKUP(A1685,'焼鈍条件-3CGL'!$A$2:$B$197,2,FALSE)*60,"")</f>
        <v>71.814901142018911</v>
      </c>
      <c r="E1685" s="66">
        <v>266.39999999999998</v>
      </c>
      <c r="F1685" s="64">
        <f t="shared" si="26"/>
        <v>-38.268710151515187</v>
      </c>
      <c r="G1685" s="60" t="s">
        <v>12</v>
      </c>
      <c r="H1685" s="60" t="s">
        <v>5061</v>
      </c>
    </row>
    <row r="1686" spans="1:8">
      <c r="A1686" s="59" t="s">
        <v>3051</v>
      </c>
      <c r="B1686" s="62">
        <v>16</v>
      </c>
      <c r="C1686" s="60" t="s">
        <v>5062</v>
      </c>
      <c r="D1686" s="64">
        <f>IFERROR(VLOOKUP(C1686,測定点マスタ!$E$2:$F$28,2,FALSE)/VLOOKUP(A1686,'焼鈍条件-3CGL'!$A$2:$B$197,2,FALSE)*60,"")</f>
        <v>78.294441094682284</v>
      </c>
      <c r="E1686" s="66">
        <v>453.6</v>
      </c>
      <c r="F1686" s="64">
        <f t="shared" si="26"/>
        <v>28.890939999999954</v>
      </c>
      <c r="G1686" s="60" t="s">
        <v>12</v>
      </c>
      <c r="H1686" s="60" t="s">
        <v>5061</v>
      </c>
    </row>
    <row r="1687" spans="1:8">
      <c r="A1687" s="59" t="s">
        <v>3051</v>
      </c>
      <c r="B1687" s="62">
        <v>17</v>
      </c>
      <c r="C1687" s="60" t="s">
        <v>5057</v>
      </c>
      <c r="D1687" s="64">
        <f>IFERROR(VLOOKUP(C1687,測定点マスタ!$E$2:$F$28,2,FALSE)/VLOOKUP(A1687,'焼鈍条件-3CGL'!$A$2:$B$197,2,FALSE)*60,"")</f>
        <v>89.035821313829501</v>
      </c>
      <c r="E1687" s="66">
        <v>180.3</v>
      </c>
      <c r="F1687" s="64">
        <f t="shared" si="26"/>
        <v>-25.443657558348487</v>
      </c>
      <c r="G1687" s="60" t="s">
        <v>12</v>
      </c>
      <c r="H1687" s="60" t="s">
        <v>5061</v>
      </c>
    </row>
    <row r="1688" spans="1:8">
      <c r="A1688" s="59" t="s">
        <v>3051</v>
      </c>
      <c r="B1688" s="62">
        <v>18</v>
      </c>
      <c r="C1688" s="60" t="s">
        <v>5058</v>
      </c>
      <c r="D1688" s="64">
        <f>IFERROR(VLOOKUP(C1688,測定点マスタ!$E$2:$F$28,2,FALSE)/VLOOKUP(A1688,'焼鈍条件-3CGL'!$A$2:$B$197,2,FALSE)*60,"")</f>
        <v>92.294875635258236</v>
      </c>
      <c r="E1688" s="66">
        <v>89.4</v>
      </c>
      <c r="F1688" s="64">
        <f t="shared" si="26"/>
        <v>-27.891526508877092</v>
      </c>
      <c r="G1688" s="60" t="s">
        <v>12</v>
      </c>
      <c r="H1688" s="60" t="s">
        <v>5061</v>
      </c>
    </row>
    <row r="1689" spans="1:8">
      <c r="A1689" s="59" t="s">
        <v>3051</v>
      </c>
      <c r="B1689" s="62">
        <v>19</v>
      </c>
      <c r="C1689" s="60" t="s">
        <v>5059</v>
      </c>
      <c r="D1689" s="64">
        <f>IFERROR(VLOOKUP(C1689,測定点マスタ!$E$2:$F$28,2,FALSE)/VLOOKUP(A1689,'焼鈍条件-3CGL'!$A$2:$B$197,2,FALSE)*60,"")</f>
        <v>95.553929956687512</v>
      </c>
      <c r="E1689" s="66">
        <v>64.8</v>
      </c>
      <c r="F1689" s="64">
        <f t="shared" si="26"/>
        <v>-7.5482018934902415</v>
      </c>
      <c r="G1689" s="60" t="s">
        <v>12</v>
      </c>
      <c r="H1689" s="60" t="s">
        <v>5061</v>
      </c>
    </row>
    <row r="1690" spans="1:8">
      <c r="A1690" s="59" t="s">
        <v>3066</v>
      </c>
      <c r="B1690" s="62">
        <v>1</v>
      </c>
      <c r="C1690" s="60" t="s">
        <v>5041</v>
      </c>
      <c r="D1690" s="64">
        <f>IFERROR(VLOOKUP(C1690,測定点マスタ!$E$2:$F$28,2,FALSE)/VLOOKUP(A1690,'焼鈍条件-3CGL'!$A$2:$B$197,2,FALSE)*60,"")</f>
        <v>0</v>
      </c>
      <c r="E1690" s="66">
        <v>30</v>
      </c>
      <c r="F1690" s="64" t="str">
        <f t="shared" si="26"/>
        <v/>
      </c>
      <c r="G1690" s="60" t="s">
        <v>12</v>
      </c>
      <c r="H1690" s="60" t="s">
        <v>5042</v>
      </c>
    </row>
    <row r="1691" spans="1:8">
      <c r="A1691" s="59" t="s">
        <v>3066</v>
      </c>
      <c r="B1691" s="62">
        <v>2</v>
      </c>
      <c r="C1691" s="60" t="s">
        <v>5043</v>
      </c>
      <c r="D1691" s="64">
        <f>IFERROR(VLOOKUP(C1691,測定点マスタ!$E$2:$F$28,2,FALSE)/VLOOKUP(A1691,'焼鈍条件-3CGL'!$A$2:$B$197,2,FALSE)*60,"")</f>
        <v>9.0354188418600909</v>
      </c>
      <c r="E1691" s="66">
        <v>186</v>
      </c>
      <c r="F1691" s="64">
        <f t="shared" si="26"/>
        <v>17.265386666666668</v>
      </c>
      <c r="G1691" s="60" t="s">
        <v>12</v>
      </c>
      <c r="H1691" s="60" t="s">
        <v>5042</v>
      </c>
    </row>
    <row r="1692" spans="1:8">
      <c r="A1692" s="59" t="s">
        <v>3066</v>
      </c>
      <c r="B1692" s="62">
        <v>3</v>
      </c>
      <c r="C1692" s="60" t="s">
        <v>5044</v>
      </c>
      <c r="D1692" s="64">
        <f>IFERROR(VLOOKUP(C1692,測定点マスタ!$E$2:$F$28,2,FALSE)/VLOOKUP(A1692,'焼鈍条件-3CGL'!$A$2:$B$197,2,FALSE)*60,"")</f>
        <v>20.480282708216208</v>
      </c>
      <c r="E1692" s="66">
        <v>664.8</v>
      </c>
      <c r="F1692" s="64">
        <f t="shared" si="26"/>
        <v>41.835359999999994</v>
      </c>
      <c r="G1692" s="60" t="s">
        <v>12</v>
      </c>
      <c r="H1692" s="60" t="s">
        <v>5042</v>
      </c>
    </row>
    <row r="1693" spans="1:8">
      <c r="A1693" s="59" t="s">
        <v>3066</v>
      </c>
      <c r="B1693" s="62">
        <v>4</v>
      </c>
      <c r="C1693" s="60" t="s">
        <v>5045</v>
      </c>
      <c r="D1693" s="64">
        <f>IFERROR(VLOOKUP(C1693,測定点マスタ!$E$2:$F$28,2,FALSE)/VLOOKUP(A1693,'焼鈍条件-3CGL'!$A$2:$B$197,2,FALSE)*60,"")</f>
        <v>26.503895269456269</v>
      </c>
      <c r="E1693" s="66">
        <v>827.1</v>
      </c>
      <c r="F1693" s="64">
        <f t="shared" si="26"/>
        <v>26.943964000000012</v>
      </c>
      <c r="G1693" s="60" t="s">
        <v>12</v>
      </c>
      <c r="H1693" s="60" t="s">
        <v>5042</v>
      </c>
    </row>
    <row r="1694" spans="1:8">
      <c r="A1694" s="59" t="s">
        <v>3066</v>
      </c>
      <c r="B1694" s="62">
        <v>5</v>
      </c>
      <c r="C1694" s="60" t="s">
        <v>5046</v>
      </c>
      <c r="D1694" s="64">
        <f>IFERROR(VLOOKUP(C1694,測定点マスタ!$E$2:$F$28,2,FALSE)/VLOOKUP(A1694,'焼鈍条件-3CGL'!$A$2:$B$197,2,FALSE)*60,"")</f>
        <v>32.527507830696329</v>
      </c>
      <c r="E1694" s="66">
        <v>797.8</v>
      </c>
      <c r="F1694" s="64">
        <f t="shared" si="26"/>
        <v>-4.8641906666666781</v>
      </c>
      <c r="G1694" s="60" t="s">
        <v>12</v>
      </c>
      <c r="H1694" s="60" t="s">
        <v>5042</v>
      </c>
    </row>
    <row r="1695" spans="1:8">
      <c r="A1695" s="59" t="s">
        <v>3066</v>
      </c>
      <c r="B1695" s="62">
        <v>6</v>
      </c>
      <c r="C1695" s="60" t="s">
        <v>5047</v>
      </c>
      <c r="D1695" s="64">
        <f>IFERROR(VLOOKUP(C1695,測定点マスタ!$E$2:$F$28,2,FALSE)/VLOOKUP(A1695,'焼鈍条件-3CGL'!$A$2:$B$197,2,FALSE)*60,"")</f>
        <v>36.141675367440364</v>
      </c>
      <c r="E1695" s="66">
        <v>754.5</v>
      </c>
      <c r="F1695" s="64">
        <f t="shared" si="26"/>
        <v>-11.980628888888884</v>
      </c>
      <c r="G1695" s="60" t="s">
        <v>12</v>
      </c>
      <c r="H1695" s="60" t="s">
        <v>5042</v>
      </c>
    </row>
    <row r="1696" spans="1:8">
      <c r="A1696" s="59" t="s">
        <v>3066</v>
      </c>
      <c r="B1696" s="62">
        <v>7</v>
      </c>
      <c r="C1696" s="60" t="s">
        <v>5049</v>
      </c>
      <c r="D1696" s="64">
        <f>IFERROR(VLOOKUP(C1696,測定点マスタ!$E$2:$F$28,2,FALSE)/VLOOKUP(A1696,'焼鈍条件-3CGL'!$A$2:$B$197,2,FALSE)*60,"")</f>
        <v>43.972371697052445</v>
      </c>
      <c r="E1696" s="66">
        <v>622.79999999999995</v>
      </c>
      <c r="F1696" s="64">
        <f t="shared" si="26"/>
        <v>-16.818427692307694</v>
      </c>
      <c r="G1696" s="60" t="s">
        <v>12</v>
      </c>
      <c r="H1696" s="60" t="s">
        <v>5042</v>
      </c>
    </row>
    <row r="1697" spans="1:8">
      <c r="A1697" s="59" t="s">
        <v>3066</v>
      </c>
      <c r="B1697" s="62">
        <v>8</v>
      </c>
      <c r="C1697" s="60" t="s">
        <v>5050</v>
      </c>
      <c r="D1697" s="64">
        <f>IFERROR(VLOOKUP(C1697,測定点マスタ!$E$2:$F$28,2,FALSE)/VLOOKUP(A1697,'焼鈍条件-3CGL'!$A$2:$B$197,2,FALSE)*60,"")</f>
        <v>48.791261746044498</v>
      </c>
      <c r="E1697" s="66">
        <v>496.8</v>
      </c>
      <c r="F1697" s="64">
        <f t="shared" si="26"/>
        <v>-26.147099999999966</v>
      </c>
      <c r="G1697" s="60" t="s">
        <v>12</v>
      </c>
      <c r="H1697" s="60" t="s">
        <v>5042</v>
      </c>
    </row>
    <row r="1698" spans="1:8">
      <c r="A1698" s="59" t="s">
        <v>3066</v>
      </c>
      <c r="B1698" s="62">
        <v>9</v>
      </c>
      <c r="C1698" s="60" t="s">
        <v>5051</v>
      </c>
      <c r="D1698" s="64">
        <f>IFERROR(VLOOKUP(C1698,測定点マスタ!$E$2:$F$28,2,FALSE)/VLOOKUP(A1698,'焼鈍条件-3CGL'!$A$2:$B$197,2,FALSE)*60,"")</f>
        <v>53.007790538912538</v>
      </c>
      <c r="E1698" s="66">
        <v>478.1</v>
      </c>
      <c r="F1698" s="64">
        <f t="shared" si="26"/>
        <v>-4.4349276190476195</v>
      </c>
      <c r="G1698" s="60" t="s">
        <v>12</v>
      </c>
      <c r="H1698" s="60" t="s">
        <v>5042</v>
      </c>
    </row>
    <row r="1699" spans="1:8">
      <c r="A1699" s="59" t="s">
        <v>3066</v>
      </c>
      <c r="B1699" s="62">
        <v>10</v>
      </c>
      <c r="C1699" s="60" t="s">
        <v>5060</v>
      </c>
      <c r="D1699" s="64">
        <f>IFERROR(VLOOKUP(C1699,測定点マスタ!$E$2:$F$28,2,FALSE)/VLOOKUP(A1699,'焼鈍条件-3CGL'!$A$2:$B$197,2,FALSE)*60,"")</f>
        <v>55.41723556340856</v>
      </c>
      <c r="E1699" s="66">
        <v>418.8</v>
      </c>
      <c r="F1699" s="64">
        <f t="shared" si="26"/>
        <v>-24.611476666666686</v>
      </c>
      <c r="G1699" s="60" t="s">
        <v>12</v>
      </c>
      <c r="H1699" s="60" t="s">
        <v>5042</v>
      </c>
    </row>
    <row r="1700" spans="1:8">
      <c r="A1700" s="59" t="s">
        <v>3066</v>
      </c>
      <c r="B1700" s="62">
        <v>11</v>
      </c>
      <c r="C1700" s="60" t="s">
        <v>5052</v>
      </c>
      <c r="D1700" s="64">
        <f>IFERROR(VLOOKUP(C1700,測定点マスタ!$E$2:$F$28,2,FALSE)/VLOOKUP(A1700,'焼鈍条件-3CGL'!$A$2:$B$197,2,FALSE)*60,"")</f>
        <v>58.429041844028589</v>
      </c>
      <c r="E1700" s="66">
        <v>345.6</v>
      </c>
      <c r="F1700" s="64">
        <f t="shared" si="26"/>
        <v>-24.304352000000012</v>
      </c>
      <c r="G1700" s="60" t="s">
        <v>12</v>
      </c>
      <c r="H1700" s="60" t="s">
        <v>5042</v>
      </c>
    </row>
    <row r="1701" spans="1:8">
      <c r="A1701" s="59" t="s">
        <v>3066</v>
      </c>
      <c r="B1701" s="62">
        <v>12</v>
      </c>
      <c r="C1701" s="60" t="s">
        <v>5069</v>
      </c>
      <c r="D1701" s="64">
        <f>IFERROR(VLOOKUP(C1701,測定点マスタ!$E$2:$F$28,2,FALSE)/VLOOKUP(A1701,'焼鈍条件-3CGL'!$A$2:$B$197,2,FALSE)*60,"")</f>
        <v>62.645570636896636</v>
      </c>
      <c r="E1701" s="66">
        <v>505.7</v>
      </c>
      <c r="F1701" s="64">
        <f t="shared" si="26"/>
        <v>37.969620952380907</v>
      </c>
      <c r="G1701" s="60" t="s">
        <v>12</v>
      </c>
      <c r="H1701" s="60" t="s">
        <v>5042</v>
      </c>
    </row>
    <row r="1702" spans="1:8">
      <c r="A1702" s="59" t="s">
        <v>3066</v>
      </c>
      <c r="B1702" s="62">
        <v>13</v>
      </c>
      <c r="C1702" s="60" t="s">
        <v>5053</v>
      </c>
      <c r="D1702" s="64">
        <f>IFERROR(VLOOKUP(C1702,測定点マスタ!$E$2:$F$28,2,FALSE)/VLOOKUP(A1702,'焼鈍条件-3CGL'!$A$2:$B$197,2,FALSE)*60,"")</f>
        <v>65.657376917516657</v>
      </c>
      <c r="E1702" s="66">
        <v>522.9</v>
      </c>
      <c r="F1702" s="64">
        <f t="shared" si="26"/>
        <v>5.7108586666666801</v>
      </c>
      <c r="G1702" s="60" t="s">
        <v>12</v>
      </c>
      <c r="H1702" s="60" t="s">
        <v>5042</v>
      </c>
    </row>
    <row r="1703" spans="1:8">
      <c r="A1703" s="59" t="s">
        <v>3066</v>
      </c>
      <c r="B1703" s="62">
        <v>14</v>
      </c>
      <c r="C1703" s="60" t="s">
        <v>5063</v>
      </c>
      <c r="D1703" s="64">
        <f>IFERROR(VLOOKUP(C1703,測定点マスタ!$E$2:$F$28,2,FALSE)/VLOOKUP(A1703,'焼鈍条件-3CGL'!$A$2:$B$197,2,FALSE)*60,"")</f>
        <v>69.271544454260706</v>
      </c>
      <c r="E1703" s="66">
        <v>520.20000000000005</v>
      </c>
      <c r="F1703" s="64">
        <f t="shared" si="26"/>
        <v>-0.74705999999997863</v>
      </c>
      <c r="G1703" s="60" t="s">
        <v>12</v>
      </c>
      <c r="H1703" s="60" t="s">
        <v>5042</v>
      </c>
    </row>
    <row r="1704" spans="1:8">
      <c r="A1704" s="59" t="s">
        <v>3066</v>
      </c>
      <c r="B1704" s="62">
        <v>15</v>
      </c>
      <c r="C1704" s="60" t="s">
        <v>5054</v>
      </c>
      <c r="D1704" s="64">
        <f>IFERROR(VLOOKUP(C1704,測定点マスタ!$E$2:$F$28,2,FALSE)/VLOOKUP(A1704,'焼鈍条件-3CGL'!$A$2:$B$197,2,FALSE)*60,"")</f>
        <v>73.488073247128739</v>
      </c>
      <c r="E1704" s="66">
        <v>496.4</v>
      </c>
      <c r="F1704" s="64">
        <f t="shared" si="26"/>
        <v>-5.6444533333333631</v>
      </c>
      <c r="G1704" s="60" t="s">
        <v>12</v>
      </c>
      <c r="H1704" s="60" t="s">
        <v>5042</v>
      </c>
    </row>
    <row r="1705" spans="1:8">
      <c r="A1705" s="59" t="s">
        <v>3066</v>
      </c>
      <c r="B1705" s="62">
        <v>16</v>
      </c>
      <c r="C1705" s="60" t="s">
        <v>5055</v>
      </c>
      <c r="D1705" s="64">
        <f>IFERROR(VLOOKUP(C1705,測定点マスタ!$E$2:$F$28,2,FALSE)/VLOOKUP(A1705,'焼鈍条件-3CGL'!$A$2:$B$197,2,FALSE)*60,"")</f>
        <v>76.49987952774876</v>
      </c>
      <c r="E1705" s="66">
        <v>567.4</v>
      </c>
      <c r="F1705" s="64">
        <f t="shared" si="26"/>
        <v>23.573893333333405</v>
      </c>
      <c r="G1705" s="60" t="s">
        <v>12</v>
      </c>
      <c r="H1705" s="60" t="s">
        <v>5042</v>
      </c>
    </row>
    <row r="1706" spans="1:8">
      <c r="A1706" s="59" t="s">
        <v>3066</v>
      </c>
      <c r="B1706" s="62">
        <v>17</v>
      </c>
      <c r="C1706" s="60" t="s">
        <v>5056</v>
      </c>
      <c r="D1706" s="64">
        <f>IFERROR(VLOOKUP(C1706,測定点マスタ!$E$2:$F$28,2,FALSE)/VLOOKUP(A1706,'焼鈍条件-3CGL'!$A$2:$B$197,2,FALSE)*60,"")</f>
        <v>80.114047064492809</v>
      </c>
      <c r="E1706" s="66">
        <v>287.3</v>
      </c>
      <c r="F1706" s="64">
        <f t="shared" si="26"/>
        <v>-77.500557777777516</v>
      </c>
      <c r="G1706" s="60" t="s">
        <v>12</v>
      </c>
      <c r="H1706" s="60" t="s">
        <v>5042</v>
      </c>
    </row>
    <row r="1707" spans="1:8">
      <c r="A1707" s="59" t="s">
        <v>3066</v>
      </c>
      <c r="B1707" s="62">
        <v>18</v>
      </c>
      <c r="C1707" s="60" t="s">
        <v>5057</v>
      </c>
      <c r="D1707" s="64">
        <f>IFERROR(VLOOKUP(C1707,測定点マスタ!$E$2:$F$28,2,FALSE)/VLOOKUP(A1707,'焼鈍条件-3CGL'!$A$2:$B$197,2,FALSE)*60,"")</f>
        <v>99.325068554447626</v>
      </c>
      <c r="E1707" s="66">
        <v>280.39999999999998</v>
      </c>
      <c r="F1707" s="64">
        <f t="shared" si="26"/>
        <v>-0.3591688241881334</v>
      </c>
      <c r="G1707" s="60" t="s">
        <v>12</v>
      </c>
      <c r="H1707" s="60" t="s">
        <v>5042</v>
      </c>
    </row>
    <row r="1708" spans="1:8">
      <c r="A1708" s="59" t="s">
        <v>3066</v>
      </c>
      <c r="B1708" s="62">
        <v>19</v>
      </c>
      <c r="C1708" s="60" t="s">
        <v>5058</v>
      </c>
      <c r="D1708" s="64">
        <f>IFERROR(VLOOKUP(C1708,測定点マスタ!$E$2:$F$28,2,FALSE)/VLOOKUP(A1708,'焼鈍条件-3CGL'!$A$2:$B$197,2,FALSE)*60,"")</f>
        <v>102.96074899319592</v>
      </c>
      <c r="E1708" s="66">
        <v>97.8</v>
      </c>
      <c r="F1708" s="64">
        <f t="shared" si="26"/>
        <v>-50.22443613412463</v>
      </c>
      <c r="G1708" s="60" t="s">
        <v>12</v>
      </c>
      <c r="H1708" s="60" t="s">
        <v>5042</v>
      </c>
    </row>
    <row r="1709" spans="1:8">
      <c r="A1709" s="59" t="s">
        <v>3066</v>
      </c>
      <c r="B1709" s="62">
        <v>20</v>
      </c>
      <c r="C1709" s="60" t="s">
        <v>5059</v>
      </c>
      <c r="D1709" s="64">
        <f>IFERROR(VLOOKUP(C1709,測定点マスタ!$E$2:$F$28,2,FALSE)/VLOOKUP(A1709,'焼鈍条件-3CGL'!$A$2:$B$197,2,FALSE)*60,"")</f>
        <v>106.59642943194483</v>
      </c>
      <c r="E1709" s="66">
        <v>51.5</v>
      </c>
      <c r="F1709" s="64">
        <f t="shared" si="26"/>
        <v>-12.734892623272616</v>
      </c>
      <c r="G1709" s="60" t="s">
        <v>12</v>
      </c>
      <c r="H1709" s="60" t="s">
        <v>5042</v>
      </c>
    </row>
    <row r="1710" spans="1:8">
      <c r="A1710" s="59" t="s">
        <v>3087</v>
      </c>
      <c r="B1710" s="62">
        <v>1</v>
      </c>
      <c r="C1710" s="60" t="s">
        <v>5041</v>
      </c>
      <c r="D1710" s="64">
        <f>IFERROR(VLOOKUP(C1710,測定点マスタ!$E$2:$F$28,2,FALSE)/VLOOKUP(A1710,'焼鈍条件-3CGL'!$A$2:$B$197,2,FALSE)*60,"")</f>
        <v>0</v>
      </c>
      <c r="E1710" s="66">
        <v>32.299999999999997</v>
      </c>
      <c r="F1710" s="64" t="str">
        <f t="shared" si="26"/>
        <v/>
      </c>
      <c r="G1710" s="60" t="s">
        <v>9</v>
      </c>
      <c r="H1710" s="60" t="s">
        <v>5042</v>
      </c>
    </row>
    <row r="1711" spans="1:8">
      <c r="A1711" s="59" t="s">
        <v>3087</v>
      </c>
      <c r="B1711" s="62">
        <v>2</v>
      </c>
      <c r="C1711" s="60" t="s">
        <v>5043</v>
      </c>
      <c r="D1711" s="64">
        <f>IFERROR(VLOOKUP(C1711,測定点マスタ!$E$2:$F$28,2,FALSE)/VLOOKUP(A1711,'焼鈍条件-3CGL'!$A$2:$B$197,2,FALSE)*60,"")</f>
        <v>11.266618261936355</v>
      </c>
      <c r="E1711" s="66">
        <v>185.2</v>
      </c>
      <c r="F1711" s="64">
        <f t="shared" si="26"/>
        <v>13.571064222222223</v>
      </c>
      <c r="G1711" s="60" t="s">
        <v>9</v>
      </c>
      <c r="H1711" s="60" t="s">
        <v>5042</v>
      </c>
    </row>
    <row r="1712" spans="1:8">
      <c r="A1712" s="59" t="s">
        <v>3087</v>
      </c>
      <c r="B1712" s="62">
        <v>3</v>
      </c>
      <c r="C1712" s="60" t="s">
        <v>5044</v>
      </c>
      <c r="D1712" s="64">
        <f>IFERROR(VLOOKUP(C1712,測定点マスタ!$E$2:$F$28,2,FALSE)/VLOOKUP(A1712,'焼鈍条件-3CGL'!$A$2:$B$197,2,FALSE)*60,"")</f>
        <v>25.537668060389073</v>
      </c>
      <c r="E1712" s="66">
        <v>676.2</v>
      </c>
      <c r="F1712" s="64">
        <f t="shared" si="26"/>
        <v>34.405317543859653</v>
      </c>
      <c r="G1712" s="60" t="s">
        <v>9</v>
      </c>
      <c r="H1712" s="60" t="s">
        <v>5042</v>
      </c>
    </row>
    <row r="1713" spans="1:8">
      <c r="A1713" s="59" t="s">
        <v>3087</v>
      </c>
      <c r="B1713" s="62">
        <v>4</v>
      </c>
      <c r="C1713" s="60" t="s">
        <v>5045</v>
      </c>
      <c r="D1713" s="64">
        <f>IFERROR(VLOOKUP(C1713,測定点マスタ!$E$2:$F$28,2,FALSE)/VLOOKUP(A1713,'焼鈍条件-3CGL'!$A$2:$B$197,2,FALSE)*60,"")</f>
        <v>33.048746901679976</v>
      </c>
      <c r="E1713" s="66">
        <v>835.2</v>
      </c>
      <c r="F1713" s="64">
        <f t="shared" si="26"/>
        <v>21.168730000000004</v>
      </c>
      <c r="G1713" s="60" t="s">
        <v>9</v>
      </c>
      <c r="H1713" s="60" t="s">
        <v>5042</v>
      </c>
    </row>
    <row r="1714" spans="1:8">
      <c r="A1714" s="59" t="s">
        <v>3087</v>
      </c>
      <c r="B1714" s="62">
        <v>5</v>
      </c>
      <c r="C1714" s="60" t="s">
        <v>5047</v>
      </c>
      <c r="D1714" s="64">
        <f>IFERROR(VLOOKUP(C1714,測定点マスタ!$E$2:$F$28,2,FALSE)/VLOOKUP(A1714,'焼鈍条件-3CGL'!$A$2:$B$197,2,FALSE)*60,"")</f>
        <v>45.066473047745419</v>
      </c>
      <c r="E1714" s="66">
        <v>774.2</v>
      </c>
      <c r="F1714" s="64">
        <f t="shared" si="26"/>
        <v>-5.0758354166666688</v>
      </c>
      <c r="G1714" s="60" t="s">
        <v>9</v>
      </c>
      <c r="H1714" s="60" t="s">
        <v>5042</v>
      </c>
    </row>
    <row r="1715" spans="1:8">
      <c r="A1715" s="59" t="s">
        <v>3087</v>
      </c>
      <c r="B1715" s="62">
        <v>6</v>
      </c>
      <c r="C1715" s="60" t="s">
        <v>5049</v>
      </c>
      <c r="D1715" s="64">
        <f>IFERROR(VLOOKUP(C1715,測定点マスタ!$E$2:$F$28,2,FALSE)/VLOOKUP(A1715,'焼鈍条件-3CGL'!$A$2:$B$197,2,FALSE)*60,"")</f>
        <v>54.830875541423595</v>
      </c>
      <c r="E1715" s="66">
        <v>599.4</v>
      </c>
      <c r="F1715" s="64">
        <f t="shared" si="26"/>
        <v>-17.901761025641029</v>
      </c>
      <c r="G1715" s="60" t="s">
        <v>9</v>
      </c>
      <c r="H1715" s="60" t="s">
        <v>5042</v>
      </c>
    </row>
    <row r="1716" spans="1:8">
      <c r="A1716" s="59" t="s">
        <v>3087</v>
      </c>
      <c r="B1716" s="62">
        <v>7</v>
      </c>
      <c r="C1716" s="60" t="s">
        <v>5050</v>
      </c>
      <c r="D1716" s="64">
        <f>IFERROR(VLOOKUP(C1716,測定点マスタ!$E$2:$F$28,2,FALSE)/VLOOKUP(A1716,'焼鈍条件-3CGL'!$A$2:$B$197,2,FALSE)*60,"")</f>
        <v>60.839738614456323</v>
      </c>
      <c r="E1716" s="66">
        <v>524.6</v>
      </c>
      <c r="F1716" s="64">
        <f t="shared" si="26"/>
        <v>-12.448278333333315</v>
      </c>
      <c r="G1716" s="60" t="s">
        <v>9</v>
      </c>
      <c r="H1716" s="60" t="s">
        <v>5042</v>
      </c>
    </row>
    <row r="1717" spans="1:8">
      <c r="A1717" s="59" t="s">
        <v>3087</v>
      </c>
      <c r="B1717" s="62">
        <v>8</v>
      </c>
      <c r="C1717" s="60" t="s">
        <v>5051</v>
      </c>
      <c r="D1717" s="64">
        <f>IFERROR(VLOOKUP(C1717,測定点マスタ!$E$2:$F$28,2,FALSE)/VLOOKUP(A1717,'焼鈍条件-3CGL'!$A$2:$B$197,2,FALSE)*60,"")</f>
        <v>66.097493803359953</v>
      </c>
      <c r="E1717" s="66">
        <v>472.9</v>
      </c>
      <c r="F1717" s="64">
        <f t="shared" si="26"/>
        <v>-9.8330938095238238</v>
      </c>
      <c r="G1717" s="60" t="s">
        <v>9</v>
      </c>
      <c r="H1717" s="60" t="s">
        <v>5042</v>
      </c>
    </row>
    <row r="1718" spans="1:8">
      <c r="A1718" s="59" t="s">
        <v>3087</v>
      </c>
      <c r="B1718" s="62">
        <v>9</v>
      </c>
      <c r="C1718" s="60" t="s">
        <v>5060</v>
      </c>
      <c r="D1718" s="64">
        <f>IFERROR(VLOOKUP(C1718,測定点マスタ!$E$2:$F$28,2,FALSE)/VLOOKUP(A1718,'焼鈍条件-3CGL'!$A$2:$B$197,2,FALSE)*60,"")</f>
        <v>69.101925339876317</v>
      </c>
      <c r="E1718" s="66">
        <v>410.4</v>
      </c>
      <c r="F1718" s="64">
        <f t="shared" si="26"/>
        <v>-20.802604166666651</v>
      </c>
      <c r="G1718" s="60" t="s">
        <v>9</v>
      </c>
      <c r="H1718" s="60" t="s">
        <v>5042</v>
      </c>
    </row>
    <row r="1719" spans="1:8">
      <c r="A1719" s="59" t="s">
        <v>3087</v>
      </c>
      <c r="B1719" s="62">
        <v>10</v>
      </c>
      <c r="C1719" s="60" t="s">
        <v>5052</v>
      </c>
      <c r="D1719" s="64">
        <f>IFERROR(VLOOKUP(C1719,測定点マスタ!$E$2:$F$28,2,FALSE)/VLOOKUP(A1719,'焼鈍条件-3CGL'!$A$2:$B$197,2,FALSE)*60,"")</f>
        <v>72.857464760521765</v>
      </c>
      <c r="E1719" s="66">
        <v>372</v>
      </c>
      <c r="F1719" s="64">
        <f t="shared" si="26"/>
        <v>-10.224896000000005</v>
      </c>
      <c r="G1719" s="60" t="s">
        <v>9</v>
      </c>
      <c r="H1719" s="60" t="s">
        <v>5042</v>
      </c>
    </row>
    <row r="1720" spans="1:8">
      <c r="A1720" s="59" t="s">
        <v>3087</v>
      </c>
      <c r="B1720" s="62">
        <v>11</v>
      </c>
      <c r="C1720" s="60" t="s">
        <v>5053</v>
      </c>
      <c r="D1720" s="64">
        <f>IFERROR(VLOOKUP(C1720,測定点マスタ!$E$2:$F$28,2,FALSE)/VLOOKUP(A1720,'焼鈍条件-3CGL'!$A$2:$B$197,2,FALSE)*60,"")</f>
        <v>81.870759370070857</v>
      </c>
      <c r="E1720" s="66">
        <v>561.29999999999995</v>
      </c>
      <c r="F1720" s="64">
        <f t="shared" si="26"/>
        <v>21.002309166666645</v>
      </c>
      <c r="G1720" s="60" t="s">
        <v>9</v>
      </c>
      <c r="H1720" s="60" t="s">
        <v>5042</v>
      </c>
    </row>
    <row r="1721" spans="1:8">
      <c r="A1721" s="59" t="s">
        <v>3087</v>
      </c>
      <c r="B1721" s="62">
        <v>12</v>
      </c>
      <c r="C1721" s="60" t="s">
        <v>5063</v>
      </c>
      <c r="D1721" s="64">
        <f>IFERROR(VLOOKUP(C1721,測定点マスタ!$E$2:$F$28,2,FALSE)/VLOOKUP(A1721,'焼鈍条件-3CGL'!$A$2:$B$197,2,FALSE)*60,"")</f>
        <v>86.377406674845389</v>
      </c>
      <c r="E1721" s="66">
        <v>571.20000000000005</v>
      </c>
      <c r="F1721" s="64">
        <f t="shared" si="26"/>
        <v>2.1967550000000253</v>
      </c>
      <c r="G1721" s="60" t="s">
        <v>9</v>
      </c>
      <c r="H1721" s="60" t="s">
        <v>5042</v>
      </c>
    </row>
    <row r="1722" spans="1:8">
      <c r="A1722" s="59" t="s">
        <v>3087</v>
      </c>
      <c r="B1722" s="62">
        <v>13</v>
      </c>
      <c r="C1722" s="60" t="s">
        <v>5054</v>
      </c>
      <c r="D1722" s="64">
        <f>IFERROR(VLOOKUP(C1722,測定点マスタ!$E$2:$F$28,2,FALSE)/VLOOKUP(A1722,'焼鈍条件-3CGL'!$A$2:$B$197,2,FALSE)*60,"")</f>
        <v>91.635161863749033</v>
      </c>
      <c r="E1722" s="66">
        <v>560.6</v>
      </c>
      <c r="F1722" s="64">
        <f t="shared" si="26"/>
        <v>-2.0160695238095236</v>
      </c>
      <c r="G1722" s="60" t="s">
        <v>9</v>
      </c>
      <c r="H1722" s="60" t="s">
        <v>5042</v>
      </c>
    </row>
    <row r="1723" spans="1:8">
      <c r="A1723" s="59" t="s">
        <v>3087</v>
      </c>
      <c r="B1723" s="62">
        <v>14</v>
      </c>
      <c r="C1723" s="60" t="s">
        <v>5055</v>
      </c>
      <c r="D1723" s="64">
        <f>IFERROR(VLOOKUP(C1723,測定点マスタ!$E$2:$F$28,2,FALSE)/VLOOKUP(A1723,'焼鈍条件-3CGL'!$A$2:$B$197,2,FALSE)*60,"")</f>
        <v>95.390701284394481</v>
      </c>
      <c r="E1723" s="66">
        <v>561.9</v>
      </c>
      <c r="F1723" s="64">
        <f t="shared" si="26"/>
        <v>0.3461553333333216</v>
      </c>
      <c r="G1723" s="60" t="s">
        <v>9</v>
      </c>
      <c r="H1723" s="60" t="s">
        <v>5042</v>
      </c>
    </row>
    <row r="1724" spans="1:8">
      <c r="A1724" s="59" t="s">
        <v>3087</v>
      </c>
      <c r="B1724" s="62">
        <v>15</v>
      </c>
      <c r="C1724" s="60" t="s">
        <v>5056</v>
      </c>
      <c r="D1724" s="64">
        <f>IFERROR(VLOOKUP(C1724,測定点マスタ!$E$2:$F$28,2,FALSE)/VLOOKUP(A1724,'焼鈍条件-3CGL'!$A$2:$B$197,2,FALSE)*60,"")</f>
        <v>99.897348589169013</v>
      </c>
      <c r="E1724" s="66">
        <v>265.7</v>
      </c>
      <c r="F1724" s="64">
        <f t="shared" si="26"/>
        <v>-65.725134444444592</v>
      </c>
      <c r="G1724" s="60" t="s">
        <v>9</v>
      </c>
      <c r="H1724" s="60" t="s">
        <v>5042</v>
      </c>
    </row>
    <row r="1725" spans="1:8">
      <c r="A1725" s="59" t="s">
        <v>3087</v>
      </c>
      <c r="B1725" s="62">
        <v>16</v>
      </c>
      <c r="C1725" s="60" t="s">
        <v>5068</v>
      </c>
      <c r="D1725" s="64">
        <f>IFERROR(VLOOKUP(C1725,測定点マスタ!$E$2:$F$28,2,FALSE)/VLOOKUP(A1725,'焼鈍条件-3CGL'!$A$2:$B$197,2,FALSE)*60,"")</f>
        <v>119.31885245022133</v>
      </c>
      <c r="E1725" s="66">
        <v>374</v>
      </c>
      <c r="F1725" s="64">
        <f t="shared" si="26"/>
        <v>5.5762932044198559</v>
      </c>
      <c r="G1725" s="60" t="s">
        <v>9</v>
      </c>
      <c r="H1725" s="60" t="s">
        <v>5042</v>
      </c>
    </row>
    <row r="1726" spans="1:8">
      <c r="A1726" s="59" t="s">
        <v>3087</v>
      </c>
      <c r="B1726" s="62">
        <v>17</v>
      </c>
      <c r="C1726" s="60" t="s">
        <v>5057</v>
      </c>
      <c r="D1726" s="64">
        <f>IFERROR(VLOOKUP(C1726,測定点マスタ!$E$2:$F$28,2,FALSE)/VLOOKUP(A1726,'焼鈍条件-3CGL'!$A$2:$B$197,2,FALSE)*60,"")</f>
        <v>123.85232503657168</v>
      </c>
      <c r="E1726" s="66">
        <v>205.4</v>
      </c>
      <c r="F1726" s="64">
        <f t="shared" si="26"/>
        <v>-37.190034082842082</v>
      </c>
      <c r="G1726" s="60" t="s">
        <v>9</v>
      </c>
      <c r="H1726" s="60" t="s">
        <v>5042</v>
      </c>
    </row>
    <row r="1727" spans="1:8">
      <c r="A1727" s="59" t="s">
        <v>3087</v>
      </c>
      <c r="B1727" s="62">
        <v>18</v>
      </c>
      <c r="C1727" s="60" t="s">
        <v>5058</v>
      </c>
      <c r="D1727" s="64">
        <f>IFERROR(VLOOKUP(C1727,測定点マスタ!$E$2:$F$28,2,FALSE)/VLOOKUP(A1727,'焼鈍条件-3CGL'!$A$2:$B$197,2,FALSE)*60,"")</f>
        <v>128.38579762292204</v>
      </c>
      <c r="E1727" s="66">
        <v>123.7</v>
      </c>
      <c r="F1727" s="64">
        <f t="shared" si="26"/>
        <v>-18.021505246549218</v>
      </c>
      <c r="G1727" s="60" t="s">
        <v>9</v>
      </c>
      <c r="H1727" s="60" t="s">
        <v>5042</v>
      </c>
    </row>
    <row r="1728" spans="1:8">
      <c r="A1728" s="59" t="s">
        <v>3087</v>
      </c>
      <c r="B1728" s="62">
        <v>19</v>
      </c>
      <c r="C1728" s="60" t="s">
        <v>5059</v>
      </c>
      <c r="D1728" s="64">
        <f>IFERROR(VLOOKUP(C1728,測定点マスタ!$E$2:$F$28,2,FALSE)/VLOOKUP(A1728,'焼鈍条件-3CGL'!$A$2:$B$197,2,FALSE)*60,"")</f>
        <v>132.91927020927318</v>
      </c>
      <c r="E1728" s="66">
        <v>72.8</v>
      </c>
      <c r="F1728" s="64">
        <f t="shared" si="26"/>
        <v>-11.227596291911837</v>
      </c>
      <c r="G1728" s="60" t="s">
        <v>9</v>
      </c>
      <c r="H1728" s="60" t="s">
        <v>5042</v>
      </c>
    </row>
    <row r="1729" spans="1:8">
      <c r="A1729" s="59" t="s">
        <v>3102</v>
      </c>
      <c r="B1729" s="62">
        <v>1</v>
      </c>
      <c r="C1729" s="60" t="s">
        <v>5041</v>
      </c>
      <c r="D1729" s="64">
        <f>IFERROR(VLOOKUP(C1729,測定点マスタ!$E$2:$F$28,2,FALSE)/VLOOKUP(A1729,'焼鈍条件-3CGL'!$A$2:$B$197,2,FALSE)*60,"")</f>
        <v>0</v>
      </c>
      <c r="E1729" s="66">
        <v>38.700000000000003</v>
      </c>
      <c r="F1729" s="64" t="str">
        <f t="shared" si="26"/>
        <v/>
      </c>
      <c r="G1729" s="60" t="s">
        <v>9</v>
      </c>
      <c r="H1729" s="60" t="s">
        <v>5042</v>
      </c>
    </row>
    <row r="1730" spans="1:8">
      <c r="A1730" s="59" t="s">
        <v>3102</v>
      </c>
      <c r="B1730" s="62">
        <v>2</v>
      </c>
      <c r="C1730" s="60" t="s">
        <v>5043</v>
      </c>
      <c r="D1730" s="64">
        <f>IFERROR(VLOOKUP(C1730,測定点マスタ!$E$2:$F$28,2,FALSE)/VLOOKUP(A1730,'焼鈍条件-3CGL'!$A$2:$B$197,2,FALSE)*60,"")</f>
        <v>10.697984024343857</v>
      </c>
      <c r="E1730" s="66">
        <v>180.7</v>
      </c>
      <c r="F1730" s="64">
        <f t="shared" ref="F1730:F1793" si="27">IF(A1730=A1729,IFERROR((E1730-E1729)/(D1730-D1729),""),"")</f>
        <v>13.273528888888888</v>
      </c>
      <c r="G1730" s="60" t="s">
        <v>9</v>
      </c>
      <c r="H1730" s="60" t="s">
        <v>5042</v>
      </c>
    </row>
    <row r="1731" spans="1:8">
      <c r="A1731" s="59" t="s">
        <v>3102</v>
      </c>
      <c r="B1731" s="62">
        <v>3</v>
      </c>
      <c r="C1731" s="60" t="s">
        <v>5067</v>
      </c>
      <c r="D1731" s="64">
        <f>IFERROR(VLOOKUP(C1731,測定点マスタ!$E$2:$F$28,2,FALSE)/VLOOKUP(A1731,'焼鈍条件-3CGL'!$A$2:$B$197,2,FALSE)*60,"")</f>
        <v>17.829973373906427</v>
      </c>
      <c r="E1731" s="66">
        <v>388.3</v>
      </c>
      <c r="F1731" s="64">
        <f t="shared" si="27"/>
        <v>29.108288000000009</v>
      </c>
      <c r="G1731" s="60" t="s">
        <v>9</v>
      </c>
      <c r="H1731" s="60" t="s">
        <v>5042</v>
      </c>
    </row>
    <row r="1732" spans="1:8">
      <c r="A1732" s="59" t="s">
        <v>3102</v>
      </c>
      <c r="B1732" s="62">
        <v>4</v>
      </c>
      <c r="C1732" s="60" t="s">
        <v>5044</v>
      </c>
      <c r="D1732" s="64">
        <f>IFERROR(VLOOKUP(C1732,測定点マスタ!$E$2:$F$28,2,FALSE)/VLOOKUP(A1732,'焼鈍条件-3CGL'!$A$2:$B$197,2,FALSE)*60,"")</f>
        <v>24.248763788512743</v>
      </c>
      <c r="E1732" s="66">
        <v>690.4</v>
      </c>
      <c r="F1732" s="64">
        <f t="shared" si="27"/>
        <v>47.0649422222222</v>
      </c>
      <c r="G1732" s="60" t="s">
        <v>9</v>
      </c>
      <c r="H1732" s="60" t="s">
        <v>5042</v>
      </c>
    </row>
    <row r="1733" spans="1:8">
      <c r="A1733" s="59" t="s">
        <v>3102</v>
      </c>
      <c r="B1733" s="62">
        <v>5</v>
      </c>
      <c r="C1733" s="60" t="s">
        <v>5045</v>
      </c>
      <c r="D1733" s="64">
        <f>IFERROR(VLOOKUP(C1733,測定点マスタ!$E$2:$F$28,2,FALSE)/VLOOKUP(A1733,'焼鈍条件-3CGL'!$A$2:$B$197,2,FALSE)*60,"")</f>
        <v>31.380753138075313</v>
      </c>
      <c r="E1733" s="66">
        <v>820.7</v>
      </c>
      <c r="F1733" s="64">
        <f t="shared" si="27"/>
        <v>18.269797333333347</v>
      </c>
      <c r="G1733" s="60" t="s">
        <v>9</v>
      </c>
      <c r="H1733" s="60" t="s">
        <v>5042</v>
      </c>
    </row>
    <row r="1734" spans="1:8">
      <c r="A1734" s="59" t="s">
        <v>3102</v>
      </c>
      <c r="B1734" s="62">
        <v>6</v>
      </c>
      <c r="C1734" s="60" t="s">
        <v>5046</v>
      </c>
      <c r="D1734" s="64">
        <f>IFERROR(VLOOKUP(C1734,測定点マスタ!$E$2:$F$28,2,FALSE)/VLOOKUP(A1734,'焼鈍条件-3CGL'!$A$2:$B$197,2,FALSE)*60,"")</f>
        <v>38.512742487637887</v>
      </c>
      <c r="E1734" s="66">
        <v>780.8</v>
      </c>
      <c r="F1734" s="64">
        <f t="shared" si="27"/>
        <v>-5.5945120000000115</v>
      </c>
      <c r="G1734" s="60" t="s">
        <v>9</v>
      </c>
      <c r="H1734" s="60" t="s">
        <v>5042</v>
      </c>
    </row>
    <row r="1735" spans="1:8">
      <c r="A1735" s="59" t="s">
        <v>3102</v>
      </c>
      <c r="B1735" s="62">
        <v>7</v>
      </c>
      <c r="C1735" s="60" t="s">
        <v>5047</v>
      </c>
      <c r="D1735" s="64">
        <f>IFERROR(VLOOKUP(C1735,測定点マスタ!$E$2:$F$28,2,FALSE)/VLOOKUP(A1735,'焼鈍条件-3CGL'!$A$2:$B$197,2,FALSE)*60,"")</f>
        <v>42.791936097375427</v>
      </c>
      <c r="E1735" s="66">
        <v>757.1</v>
      </c>
      <c r="F1735" s="64">
        <f t="shared" si="27"/>
        <v>-5.5384266666666546</v>
      </c>
      <c r="G1735" s="60" t="s">
        <v>9</v>
      </c>
      <c r="H1735" s="60" t="s">
        <v>5042</v>
      </c>
    </row>
    <row r="1736" spans="1:8">
      <c r="A1736" s="59" t="s">
        <v>3102</v>
      </c>
      <c r="B1736" s="62">
        <v>8</v>
      </c>
      <c r="C1736" s="60" t="s">
        <v>5048</v>
      </c>
      <c r="D1736" s="64">
        <f>IFERROR(VLOOKUP(C1736,測定点マスタ!$E$2:$F$28,2,FALSE)/VLOOKUP(A1736,'焼鈍条件-3CGL'!$A$2:$B$197,2,FALSE)*60,"")</f>
        <v>47.071129707112966</v>
      </c>
      <c r="E1736" s="66">
        <v>711.7</v>
      </c>
      <c r="F1736" s="64">
        <f t="shared" si="27"/>
        <v>-10.609475555555557</v>
      </c>
      <c r="G1736" s="60" t="s">
        <v>9</v>
      </c>
      <c r="H1736" s="60" t="s">
        <v>5042</v>
      </c>
    </row>
    <row r="1737" spans="1:8">
      <c r="A1737" s="59" t="s">
        <v>3102</v>
      </c>
      <c r="B1737" s="62">
        <v>9</v>
      </c>
      <c r="C1737" s="60" t="s">
        <v>5049</v>
      </c>
      <c r="D1737" s="64">
        <f>IFERROR(VLOOKUP(C1737,測定点マスタ!$E$2:$F$28,2,FALSE)/VLOOKUP(A1737,'焼鈍条件-3CGL'!$A$2:$B$197,2,FALSE)*60,"")</f>
        <v>52.063522251806766</v>
      </c>
      <c r="E1737" s="66">
        <v>620.6</v>
      </c>
      <c r="F1737" s="64">
        <f t="shared" si="27"/>
        <v>-18.247763809523814</v>
      </c>
      <c r="G1737" s="60" t="s">
        <v>9</v>
      </c>
      <c r="H1737" s="60" t="s">
        <v>5042</v>
      </c>
    </row>
    <row r="1738" spans="1:8">
      <c r="A1738" s="59" t="s">
        <v>3102</v>
      </c>
      <c r="B1738" s="62">
        <v>10</v>
      </c>
      <c r="C1738" s="60" t="s">
        <v>5050</v>
      </c>
      <c r="D1738" s="64">
        <f>IFERROR(VLOOKUP(C1738,測定点マスタ!$E$2:$F$28,2,FALSE)/VLOOKUP(A1738,'焼鈍条件-3CGL'!$A$2:$B$197,2,FALSE)*60,"")</f>
        <v>57.769113731456827</v>
      </c>
      <c r="E1738" s="66">
        <v>504.6</v>
      </c>
      <c r="F1738" s="64">
        <f t="shared" si="27"/>
        <v>-20.330933333333324</v>
      </c>
      <c r="G1738" s="60" t="s">
        <v>9</v>
      </c>
      <c r="H1738" s="60" t="s">
        <v>5042</v>
      </c>
    </row>
    <row r="1739" spans="1:8">
      <c r="A1739" s="59" t="s">
        <v>3102</v>
      </c>
      <c r="B1739" s="62">
        <v>11</v>
      </c>
      <c r="C1739" s="60" t="s">
        <v>5051</v>
      </c>
      <c r="D1739" s="64">
        <f>IFERROR(VLOOKUP(C1739,測定点マスタ!$E$2:$F$28,2,FALSE)/VLOOKUP(A1739,'焼鈍条件-3CGL'!$A$2:$B$197,2,FALSE)*60,"")</f>
        <v>62.761506276150627</v>
      </c>
      <c r="E1739" s="66">
        <v>483.8</v>
      </c>
      <c r="F1739" s="64">
        <f t="shared" si="27"/>
        <v>-4.1663390476190498</v>
      </c>
      <c r="G1739" s="60" t="s">
        <v>9</v>
      </c>
      <c r="H1739" s="60" t="s">
        <v>5042</v>
      </c>
    </row>
    <row r="1740" spans="1:8">
      <c r="A1740" s="59" t="s">
        <v>3102</v>
      </c>
      <c r="B1740" s="62">
        <v>12</v>
      </c>
      <c r="C1740" s="60" t="s">
        <v>5060</v>
      </c>
      <c r="D1740" s="64">
        <f>IFERROR(VLOOKUP(C1740,測定点マスタ!$E$2:$F$28,2,FALSE)/VLOOKUP(A1740,'焼鈍条件-3CGL'!$A$2:$B$197,2,FALSE)*60,"")</f>
        <v>65.614302015975653</v>
      </c>
      <c r="E1740" s="66">
        <v>409.4</v>
      </c>
      <c r="F1740" s="64">
        <f t="shared" si="27"/>
        <v>-26.079680000000032</v>
      </c>
      <c r="G1740" s="60" t="s">
        <v>9</v>
      </c>
      <c r="H1740" s="60" t="s">
        <v>5042</v>
      </c>
    </row>
    <row r="1741" spans="1:8">
      <c r="A1741" s="59" t="s">
        <v>3102</v>
      </c>
      <c r="B1741" s="62">
        <v>13</v>
      </c>
      <c r="C1741" s="60" t="s">
        <v>5052</v>
      </c>
      <c r="D1741" s="64">
        <f>IFERROR(VLOOKUP(C1741,測定点マスタ!$E$2:$F$28,2,FALSE)/VLOOKUP(A1741,'焼鈍条件-3CGL'!$A$2:$B$197,2,FALSE)*60,"")</f>
        <v>69.180296690756933</v>
      </c>
      <c r="E1741" s="66">
        <v>364.7</v>
      </c>
      <c r="F1741" s="64">
        <f t="shared" si="27"/>
        <v>-12.535072000000017</v>
      </c>
      <c r="G1741" s="60" t="s">
        <v>9</v>
      </c>
      <c r="H1741" s="60" t="s">
        <v>5042</v>
      </c>
    </row>
    <row r="1742" spans="1:8">
      <c r="A1742" s="59" t="s">
        <v>3102</v>
      </c>
      <c r="B1742" s="62">
        <v>14</v>
      </c>
      <c r="C1742" s="60" t="s">
        <v>5069</v>
      </c>
      <c r="D1742" s="64">
        <f>IFERROR(VLOOKUP(C1742,測定点マスタ!$E$2:$F$28,2,FALSE)/VLOOKUP(A1742,'焼鈍条件-3CGL'!$A$2:$B$197,2,FALSE)*60,"")</f>
        <v>74.172689235450733</v>
      </c>
      <c r="E1742" s="66">
        <v>529.79999999999995</v>
      </c>
      <c r="F1742" s="64">
        <f t="shared" si="27"/>
        <v>33.070316190476184</v>
      </c>
      <c r="G1742" s="60" t="s">
        <v>9</v>
      </c>
      <c r="H1742" s="60" t="s">
        <v>5042</v>
      </c>
    </row>
    <row r="1743" spans="1:8">
      <c r="A1743" s="59" t="s">
        <v>3102</v>
      </c>
      <c r="B1743" s="62">
        <v>15</v>
      </c>
      <c r="C1743" s="60" t="s">
        <v>5053</v>
      </c>
      <c r="D1743" s="64">
        <f>IFERROR(VLOOKUP(C1743,測定点マスタ!$E$2:$F$28,2,FALSE)/VLOOKUP(A1743,'焼鈍条件-3CGL'!$A$2:$B$197,2,FALSE)*60,"")</f>
        <v>77.738683910232027</v>
      </c>
      <c r="E1743" s="66">
        <v>552.4</v>
      </c>
      <c r="F1743" s="64">
        <f t="shared" si="27"/>
        <v>6.3376426666666585</v>
      </c>
      <c r="G1743" s="60" t="s">
        <v>9</v>
      </c>
      <c r="H1743" s="60" t="s">
        <v>5042</v>
      </c>
    </row>
    <row r="1744" spans="1:8">
      <c r="A1744" s="59" t="s">
        <v>3102</v>
      </c>
      <c r="B1744" s="62">
        <v>16</v>
      </c>
      <c r="C1744" s="60" t="s">
        <v>5063</v>
      </c>
      <c r="D1744" s="64">
        <f>IFERROR(VLOOKUP(C1744,測定点マスタ!$E$2:$F$28,2,FALSE)/VLOOKUP(A1744,'焼鈍条件-3CGL'!$A$2:$B$197,2,FALSE)*60,"")</f>
        <v>82.017877519969574</v>
      </c>
      <c r="E1744" s="66">
        <v>552.20000000000005</v>
      </c>
      <c r="F1744" s="64">
        <f t="shared" si="27"/>
        <v>-4.6737777777761794E-2</v>
      </c>
      <c r="G1744" s="60" t="s">
        <v>9</v>
      </c>
      <c r="H1744" s="60" t="s">
        <v>5042</v>
      </c>
    </row>
    <row r="1745" spans="1:8">
      <c r="A1745" s="59" t="s">
        <v>3102</v>
      </c>
      <c r="B1745" s="62">
        <v>17</v>
      </c>
      <c r="C1745" s="60" t="s">
        <v>5054</v>
      </c>
      <c r="D1745" s="64">
        <f>IFERROR(VLOOKUP(C1745,測定点マスタ!$E$2:$F$28,2,FALSE)/VLOOKUP(A1745,'焼鈍条件-3CGL'!$A$2:$B$197,2,FALSE)*60,"")</f>
        <v>87.010270064663374</v>
      </c>
      <c r="E1745" s="66">
        <v>535.6</v>
      </c>
      <c r="F1745" s="64">
        <f t="shared" si="27"/>
        <v>-3.3250590476190522</v>
      </c>
      <c r="G1745" s="60" t="s">
        <v>9</v>
      </c>
      <c r="H1745" s="60" t="s">
        <v>5042</v>
      </c>
    </row>
    <row r="1746" spans="1:8">
      <c r="A1746" s="59" t="s">
        <v>3102</v>
      </c>
      <c r="B1746" s="62">
        <v>18</v>
      </c>
      <c r="C1746" s="60" t="s">
        <v>5056</v>
      </c>
      <c r="D1746" s="64">
        <f>IFERROR(VLOOKUP(C1746,測定点マスタ!$E$2:$F$28,2,FALSE)/VLOOKUP(A1746,'焼鈍条件-3CGL'!$A$2:$B$197,2,FALSE)*60,"")</f>
        <v>94.8554583491822</v>
      </c>
      <c r="E1746" s="66">
        <v>291.10000000000002</v>
      </c>
      <c r="F1746" s="64">
        <f t="shared" si="27"/>
        <v>-31.165600000000008</v>
      </c>
      <c r="G1746" s="60" t="s">
        <v>9</v>
      </c>
      <c r="H1746" s="60" t="s">
        <v>5042</v>
      </c>
    </row>
    <row r="1747" spans="1:8">
      <c r="A1747" s="59" t="s">
        <v>3102</v>
      </c>
      <c r="B1747" s="62">
        <v>19</v>
      </c>
      <c r="C1747" s="60" t="s">
        <v>5057</v>
      </c>
      <c r="D1747" s="64">
        <f>IFERROR(VLOOKUP(C1747,測定点マスタ!$E$2:$F$28,2,FALSE)/VLOOKUP(A1747,'焼鈍条件-3CGL'!$A$2:$B$197,2,FALSE)*60,"")</f>
        <v>117.60141009617988</v>
      </c>
      <c r="E1747" s="66">
        <v>236.4</v>
      </c>
      <c r="F1747" s="64">
        <f t="shared" si="27"/>
        <v>-2.4048235311683572</v>
      </c>
      <c r="G1747" s="60" t="s">
        <v>9</v>
      </c>
      <c r="H1747" s="60" t="s">
        <v>5042</v>
      </c>
    </row>
    <row r="1748" spans="1:8">
      <c r="A1748" s="59" t="s">
        <v>3102</v>
      </c>
      <c r="B1748" s="62">
        <v>20</v>
      </c>
      <c r="C1748" s="60" t="s">
        <v>5059</v>
      </c>
      <c r="D1748" s="64">
        <f>IFERROR(VLOOKUP(C1748,測定点マスタ!$E$2:$F$28,2,FALSE)/VLOOKUP(A1748,'焼鈍条件-3CGL'!$A$2:$B$197,2,FALSE)*60,"")</f>
        <v>126.21074009672358</v>
      </c>
      <c r="E1748" s="66">
        <v>51.6</v>
      </c>
      <c r="F1748" s="64">
        <f t="shared" si="27"/>
        <v>-21.465084970413411</v>
      </c>
      <c r="G1748" s="60" t="s">
        <v>9</v>
      </c>
      <c r="H1748" s="60" t="s">
        <v>5042</v>
      </c>
    </row>
    <row r="1749" spans="1:8">
      <c r="A1749" s="59" t="s">
        <v>3122</v>
      </c>
      <c r="B1749" s="62">
        <v>1</v>
      </c>
      <c r="C1749" s="60" t="s">
        <v>5041</v>
      </c>
      <c r="D1749" s="64">
        <f>IFERROR(VLOOKUP(C1749,測定点マスタ!$E$2:$F$28,2,FALSE)/VLOOKUP(A1749,'焼鈍条件-3CGL'!$A$2:$B$197,2,FALSE)*60,"")</f>
        <v>0</v>
      </c>
      <c r="E1749" s="66">
        <v>39.799999999999997</v>
      </c>
      <c r="F1749" s="64" t="str">
        <f t="shared" si="27"/>
        <v/>
      </c>
      <c r="G1749" s="60" t="s">
        <v>12</v>
      </c>
      <c r="H1749" s="60" t="s">
        <v>5061</v>
      </c>
    </row>
    <row r="1750" spans="1:8">
      <c r="A1750" s="59" t="s">
        <v>3122</v>
      </c>
      <c r="B1750" s="62">
        <v>2</v>
      </c>
      <c r="C1750" s="60" t="s">
        <v>5043</v>
      </c>
      <c r="D1750" s="64">
        <f>IFERROR(VLOOKUP(C1750,測定点マスタ!$E$2:$F$28,2,FALSE)/VLOOKUP(A1750,'焼鈍条件-3CGL'!$A$2:$B$197,2,FALSE)*60,"")</f>
        <v>9.5249182444517349</v>
      </c>
      <c r="E1750" s="66">
        <v>162.4</v>
      </c>
      <c r="F1750" s="64">
        <f t="shared" si="27"/>
        <v>12.871501555555557</v>
      </c>
      <c r="G1750" s="60" t="s">
        <v>12</v>
      </c>
      <c r="H1750" s="60" t="s">
        <v>5061</v>
      </c>
    </row>
    <row r="1751" spans="1:8">
      <c r="A1751" s="59" t="s">
        <v>3122</v>
      </c>
      <c r="B1751" s="62">
        <v>3</v>
      </c>
      <c r="C1751" s="60" t="s">
        <v>5067</v>
      </c>
      <c r="D1751" s="64">
        <f>IFERROR(VLOOKUP(C1751,測定点マスタ!$E$2:$F$28,2,FALSE)/VLOOKUP(A1751,'焼鈍条件-3CGL'!$A$2:$B$197,2,FALSE)*60,"")</f>
        <v>15.874863740752891</v>
      </c>
      <c r="E1751" s="66">
        <v>399.1</v>
      </c>
      <c r="F1751" s="64">
        <f t="shared" si="27"/>
        <v>37.275910500000002</v>
      </c>
      <c r="G1751" s="60" t="s">
        <v>12</v>
      </c>
      <c r="H1751" s="60" t="s">
        <v>5061</v>
      </c>
    </row>
    <row r="1752" spans="1:8">
      <c r="A1752" s="59" t="s">
        <v>3122</v>
      </c>
      <c r="B1752" s="62">
        <v>4</v>
      </c>
      <c r="C1752" s="60" t="s">
        <v>5044</v>
      </c>
      <c r="D1752" s="64">
        <f>IFERROR(VLOOKUP(C1752,測定点マスタ!$E$2:$F$28,2,FALSE)/VLOOKUP(A1752,'焼鈍条件-3CGL'!$A$2:$B$197,2,FALSE)*60,"")</f>
        <v>21.589814687423932</v>
      </c>
      <c r="E1752" s="66">
        <v>651.20000000000005</v>
      </c>
      <c r="F1752" s="64">
        <f t="shared" si="27"/>
        <v>44.112364629629639</v>
      </c>
      <c r="G1752" s="60" t="s">
        <v>12</v>
      </c>
      <c r="H1752" s="60" t="s">
        <v>5061</v>
      </c>
    </row>
    <row r="1753" spans="1:8">
      <c r="A1753" s="59" t="s">
        <v>3122</v>
      </c>
      <c r="B1753" s="62">
        <v>5</v>
      </c>
      <c r="C1753" s="60" t="s">
        <v>5045</v>
      </c>
      <c r="D1753" s="64">
        <f>IFERROR(VLOOKUP(C1753,測定点マスタ!$E$2:$F$28,2,FALSE)/VLOOKUP(A1753,'焼鈍条件-3CGL'!$A$2:$B$197,2,FALSE)*60,"")</f>
        <v>27.939760183725088</v>
      </c>
      <c r="E1753" s="66">
        <v>806.9</v>
      </c>
      <c r="F1753" s="64">
        <f t="shared" si="27"/>
        <v>24.51989549999999</v>
      </c>
      <c r="G1753" s="60" t="s">
        <v>12</v>
      </c>
      <c r="H1753" s="60" t="s">
        <v>5061</v>
      </c>
    </row>
    <row r="1754" spans="1:8">
      <c r="A1754" s="59" t="s">
        <v>3122</v>
      </c>
      <c r="B1754" s="62">
        <v>6</v>
      </c>
      <c r="C1754" s="60" t="s">
        <v>5047</v>
      </c>
      <c r="D1754" s="64">
        <f>IFERROR(VLOOKUP(C1754,測定点マスタ!$E$2:$F$28,2,FALSE)/VLOOKUP(A1754,'焼鈍条件-3CGL'!$A$2:$B$197,2,FALSE)*60,"")</f>
        <v>38.099672977806939</v>
      </c>
      <c r="E1754" s="66">
        <v>750.5</v>
      </c>
      <c r="F1754" s="64">
        <f t="shared" si="27"/>
        <v>-5.5512287499999973</v>
      </c>
      <c r="G1754" s="60" t="s">
        <v>12</v>
      </c>
      <c r="H1754" s="60" t="s">
        <v>5061</v>
      </c>
    </row>
    <row r="1755" spans="1:8">
      <c r="A1755" s="59" t="s">
        <v>3122</v>
      </c>
      <c r="B1755" s="62">
        <v>7</v>
      </c>
      <c r="C1755" s="60" t="s">
        <v>5048</v>
      </c>
      <c r="D1755" s="64">
        <f>IFERROR(VLOOKUP(C1755,測定点マスタ!$E$2:$F$28,2,FALSE)/VLOOKUP(A1755,'焼鈍条件-3CGL'!$A$2:$B$197,2,FALSE)*60,"")</f>
        <v>41.909640275587627</v>
      </c>
      <c r="E1755" s="66">
        <v>722.2</v>
      </c>
      <c r="F1755" s="64">
        <f t="shared" si="27"/>
        <v>-7.4278852777777784</v>
      </c>
      <c r="G1755" s="60" t="s">
        <v>12</v>
      </c>
      <c r="H1755" s="60" t="s">
        <v>5061</v>
      </c>
    </row>
    <row r="1756" spans="1:8">
      <c r="A1756" s="59" t="s">
        <v>3122</v>
      </c>
      <c r="B1756" s="62">
        <v>8</v>
      </c>
      <c r="C1756" s="60" t="s">
        <v>5049</v>
      </c>
      <c r="D1756" s="64">
        <f>IFERROR(VLOOKUP(C1756,測定点マスタ!$E$2:$F$28,2,FALSE)/VLOOKUP(A1756,'焼鈍条件-3CGL'!$A$2:$B$197,2,FALSE)*60,"")</f>
        <v>46.354602122998443</v>
      </c>
      <c r="E1756" s="66">
        <v>586</v>
      </c>
      <c r="F1756" s="64">
        <f t="shared" si="27"/>
        <v>-30.641432857142821</v>
      </c>
      <c r="G1756" s="60" t="s">
        <v>12</v>
      </c>
      <c r="H1756" s="60" t="s">
        <v>5061</v>
      </c>
    </row>
    <row r="1757" spans="1:8">
      <c r="A1757" s="59" t="s">
        <v>3122</v>
      </c>
      <c r="B1757" s="62">
        <v>9</v>
      </c>
      <c r="C1757" s="60" t="s">
        <v>5050</v>
      </c>
      <c r="D1757" s="64">
        <f>IFERROR(VLOOKUP(C1757,測定点マスタ!$E$2:$F$28,2,FALSE)/VLOOKUP(A1757,'焼鈍条件-3CGL'!$A$2:$B$197,2,FALSE)*60,"")</f>
        <v>51.434558520039367</v>
      </c>
      <c r="E1757" s="66">
        <v>503.6</v>
      </c>
      <c r="F1757" s="64">
        <f t="shared" si="27"/>
        <v>-16.220611666666667</v>
      </c>
      <c r="G1757" s="60" t="s">
        <v>12</v>
      </c>
      <c r="H1757" s="60" t="s">
        <v>5061</v>
      </c>
    </row>
    <row r="1758" spans="1:8">
      <c r="A1758" s="59" t="s">
        <v>3122</v>
      </c>
      <c r="B1758" s="62">
        <v>10</v>
      </c>
      <c r="C1758" s="60" t="s">
        <v>5051</v>
      </c>
      <c r="D1758" s="64">
        <f>IFERROR(VLOOKUP(C1758,測定点マスタ!$E$2:$F$28,2,FALSE)/VLOOKUP(A1758,'焼鈍条件-3CGL'!$A$2:$B$197,2,FALSE)*60,"")</f>
        <v>55.879520367450176</v>
      </c>
      <c r="E1758" s="66">
        <v>440.1</v>
      </c>
      <c r="F1758" s="64">
        <f t="shared" si="27"/>
        <v>-14.285836904761906</v>
      </c>
      <c r="G1758" s="60" t="s">
        <v>12</v>
      </c>
      <c r="H1758" s="60" t="s">
        <v>5061</v>
      </c>
    </row>
    <row r="1759" spans="1:8">
      <c r="A1759" s="59" t="s">
        <v>3122</v>
      </c>
      <c r="B1759" s="62">
        <v>11</v>
      </c>
      <c r="C1759" s="60" t="s">
        <v>5060</v>
      </c>
      <c r="D1759" s="64">
        <f>IFERROR(VLOOKUP(C1759,測定点マスタ!$E$2:$F$28,2,FALSE)/VLOOKUP(A1759,'焼鈍条件-3CGL'!$A$2:$B$197,2,FALSE)*60,"")</f>
        <v>58.419498565970642</v>
      </c>
      <c r="E1759" s="66">
        <v>418.3</v>
      </c>
      <c r="F1759" s="64">
        <f t="shared" si="27"/>
        <v>-8.5827508333333284</v>
      </c>
      <c r="G1759" s="60" t="s">
        <v>12</v>
      </c>
      <c r="H1759" s="60" t="s">
        <v>5061</v>
      </c>
    </row>
    <row r="1760" spans="1:8">
      <c r="A1760" s="59" t="s">
        <v>3122</v>
      </c>
      <c r="B1760" s="62">
        <v>12</v>
      </c>
      <c r="C1760" s="60" t="s">
        <v>5052</v>
      </c>
      <c r="D1760" s="64">
        <f>IFERROR(VLOOKUP(C1760,測定点マスタ!$E$2:$F$28,2,FALSE)/VLOOKUP(A1760,'焼鈍条件-3CGL'!$A$2:$B$197,2,FALSE)*60,"")</f>
        <v>61.594471314121222</v>
      </c>
      <c r="E1760" s="66">
        <v>366.9</v>
      </c>
      <c r="F1760" s="64">
        <f t="shared" si="27"/>
        <v>-16.189115333333337</v>
      </c>
      <c r="G1760" s="60" t="s">
        <v>12</v>
      </c>
      <c r="H1760" s="60" t="s">
        <v>5061</v>
      </c>
    </row>
    <row r="1761" spans="1:8">
      <c r="A1761" s="59" t="s">
        <v>3122</v>
      </c>
      <c r="B1761" s="62">
        <v>13</v>
      </c>
      <c r="C1761" s="60" t="s">
        <v>5053</v>
      </c>
      <c r="D1761" s="64">
        <f>IFERROR(VLOOKUP(C1761,測定点マスタ!$E$2:$F$28,2,FALSE)/VLOOKUP(A1761,'焼鈍条件-3CGL'!$A$2:$B$197,2,FALSE)*60,"")</f>
        <v>69.214405909682611</v>
      </c>
      <c r="E1761" s="66">
        <v>526.4</v>
      </c>
      <c r="F1761" s="64">
        <f t="shared" si="27"/>
        <v>20.931938194444442</v>
      </c>
      <c r="G1761" s="60" t="s">
        <v>12</v>
      </c>
      <c r="H1761" s="60" t="s">
        <v>5061</v>
      </c>
    </row>
    <row r="1762" spans="1:8">
      <c r="A1762" s="59" t="s">
        <v>3122</v>
      </c>
      <c r="B1762" s="62">
        <v>14</v>
      </c>
      <c r="C1762" s="60" t="s">
        <v>5063</v>
      </c>
      <c r="D1762" s="64">
        <f>IFERROR(VLOOKUP(C1762,測定点マスタ!$E$2:$F$28,2,FALSE)/VLOOKUP(A1762,'焼鈍条件-3CGL'!$A$2:$B$197,2,FALSE)*60,"")</f>
        <v>73.024373207463299</v>
      </c>
      <c r="E1762" s="66">
        <v>535.1</v>
      </c>
      <c r="F1762" s="64">
        <f t="shared" si="27"/>
        <v>2.2834841666666823</v>
      </c>
      <c r="G1762" s="60" t="s">
        <v>12</v>
      </c>
      <c r="H1762" s="60" t="s">
        <v>5061</v>
      </c>
    </row>
    <row r="1763" spans="1:8">
      <c r="A1763" s="59" t="s">
        <v>3122</v>
      </c>
      <c r="B1763" s="62">
        <v>15</v>
      </c>
      <c r="C1763" s="60" t="s">
        <v>5054</v>
      </c>
      <c r="D1763" s="64">
        <f>IFERROR(VLOOKUP(C1763,測定点マスタ!$E$2:$F$28,2,FALSE)/VLOOKUP(A1763,'焼鈍条件-3CGL'!$A$2:$B$197,2,FALSE)*60,"")</f>
        <v>77.469335054874108</v>
      </c>
      <c r="E1763" s="66">
        <v>523.6</v>
      </c>
      <c r="F1763" s="64">
        <f t="shared" si="27"/>
        <v>-2.5871988095238097</v>
      </c>
      <c r="G1763" s="60" t="s">
        <v>12</v>
      </c>
      <c r="H1763" s="60" t="s">
        <v>5061</v>
      </c>
    </row>
    <row r="1764" spans="1:8">
      <c r="A1764" s="59" t="s">
        <v>3122</v>
      </c>
      <c r="B1764" s="62">
        <v>16</v>
      </c>
      <c r="C1764" s="60" t="s">
        <v>5056</v>
      </c>
      <c r="D1764" s="64">
        <f>IFERROR(VLOOKUP(C1764,測定点マスタ!$E$2:$F$28,2,FALSE)/VLOOKUP(A1764,'焼鈍条件-3CGL'!$A$2:$B$197,2,FALSE)*60,"")</f>
        <v>84.45427510080539</v>
      </c>
      <c r="E1764" s="66">
        <v>266.89999999999998</v>
      </c>
      <c r="F1764" s="64">
        <f t="shared" si="27"/>
        <v>-36.750494393939348</v>
      </c>
      <c r="G1764" s="60" t="s">
        <v>12</v>
      </c>
      <c r="H1764" s="60" t="s">
        <v>5061</v>
      </c>
    </row>
    <row r="1765" spans="1:8">
      <c r="A1765" s="59" t="s">
        <v>3122</v>
      </c>
      <c r="B1765" s="62">
        <v>17</v>
      </c>
      <c r="C1765" s="60" t="s">
        <v>5062</v>
      </c>
      <c r="D1765" s="64">
        <f>IFERROR(VLOOKUP(C1765,測定点マスタ!$E$2:$F$28,2,FALSE)/VLOOKUP(A1765,'焼鈍条件-3CGL'!$A$2:$B$197,2,FALSE)*60,"")</f>
        <v>92.074209696366765</v>
      </c>
      <c r="E1765" s="66">
        <v>462</v>
      </c>
      <c r="F1765" s="64">
        <f t="shared" si="27"/>
        <v>25.603894305555603</v>
      </c>
      <c r="G1765" s="60" t="s">
        <v>12</v>
      </c>
      <c r="H1765" s="60" t="s">
        <v>5061</v>
      </c>
    </row>
    <row r="1766" spans="1:8">
      <c r="A1766" s="59" t="s">
        <v>3122</v>
      </c>
      <c r="B1766" s="62">
        <v>18</v>
      </c>
      <c r="C1766" s="60" t="s">
        <v>5068</v>
      </c>
      <c r="D1766" s="64">
        <f>IFERROR(VLOOKUP(C1766,測定点マスタ!$E$2:$F$28,2,FALSE)/VLOOKUP(A1766,'焼鈍条件-3CGL'!$A$2:$B$197,2,FALSE)*60,"")</f>
        <v>100.87341988409845</v>
      </c>
      <c r="E1766" s="66">
        <v>390.5</v>
      </c>
      <c r="F1766" s="64">
        <f t="shared" si="27"/>
        <v>-8.1257292955325671</v>
      </c>
      <c r="G1766" s="60" t="s">
        <v>12</v>
      </c>
      <c r="H1766" s="60" t="s">
        <v>5061</v>
      </c>
    </row>
    <row r="1767" spans="1:8">
      <c r="A1767" s="59" t="s">
        <v>3122</v>
      </c>
      <c r="B1767" s="62">
        <v>19</v>
      </c>
      <c r="C1767" s="60" t="s">
        <v>5057</v>
      </c>
      <c r="D1767" s="64">
        <f>IFERROR(VLOOKUP(C1767,測定点マスタ!$E$2:$F$28,2,FALSE)/VLOOKUP(A1767,'焼鈍条件-3CGL'!$A$2:$B$197,2,FALSE)*60,"")</f>
        <v>104.70606555865147</v>
      </c>
      <c r="E1767" s="66">
        <v>178.2</v>
      </c>
      <c r="F1767" s="64">
        <f t="shared" si="27"/>
        <v>-55.392545522685012</v>
      </c>
      <c r="G1767" s="60" t="s">
        <v>12</v>
      </c>
      <c r="H1767" s="60" t="s">
        <v>5061</v>
      </c>
    </row>
    <row r="1768" spans="1:8">
      <c r="A1768" s="59" t="s">
        <v>3122</v>
      </c>
      <c r="B1768" s="62">
        <v>20</v>
      </c>
      <c r="C1768" s="60" t="s">
        <v>5059</v>
      </c>
      <c r="D1768" s="64">
        <f>IFERROR(VLOOKUP(C1768,測定点マスタ!$E$2:$F$28,2,FALSE)/VLOOKUP(A1768,'焼鈍条件-3CGL'!$A$2:$B$197,2,FALSE)*60,"")</f>
        <v>112.37135690775816</v>
      </c>
      <c r="E1768" s="66">
        <v>73.8</v>
      </c>
      <c r="F1768" s="64">
        <f t="shared" si="27"/>
        <v>-13.61983455621251</v>
      </c>
      <c r="G1768" s="60" t="s">
        <v>12</v>
      </c>
      <c r="H1768" s="60" t="s">
        <v>5061</v>
      </c>
    </row>
    <row r="1769" spans="1:8">
      <c r="A1769" s="59" t="s">
        <v>3145</v>
      </c>
      <c r="B1769" s="62">
        <v>1</v>
      </c>
      <c r="C1769" s="60" t="s">
        <v>5041</v>
      </c>
      <c r="D1769" s="64">
        <f>IFERROR(VLOOKUP(C1769,測定点マスタ!$E$2:$F$28,2,FALSE)/VLOOKUP(A1769,'焼鈍条件-3CGL'!$A$2:$B$197,2,FALSE)*60,"")</f>
        <v>0</v>
      </c>
      <c r="E1769" s="66">
        <v>32.9</v>
      </c>
      <c r="F1769" s="64" t="str">
        <f t="shared" si="27"/>
        <v/>
      </c>
      <c r="G1769" s="60" t="s">
        <v>9</v>
      </c>
      <c r="H1769" s="60" t="s">
        <v>5064</v>
      </c>
    </row>
    <row r="1770" spans="1:8">
      <c r="A1770" s="59" t="s">
        <v>3145</v>
      </c>
      <c r="B1770" s="62">
        <v>2</v>
      </c>
      <c r="C1770" s="60" t="s">
        <v>5043</v>
      </c>
      <c r="D1770" s="64">
        <f>IFERROR(VLOOKUP(C1770,測定点マスタ!$E$2:$F$28,2,FALSE)/VLOOKUP(A1770,'焼鈍条件-3CGL'!$A$2:$B$197,2,FALSE)*60,"")</f>
        <v>14.773958435930266</v>
      </c>
      <c r="E1770" s="66">
        <v>171.1</v>
      </c>
      <c r="F1770" s="64">
        <f t="shared" si="27"/>
        <v>9.3542973333333332</v>
      </c>
      <c r="G1770" s="60" t="s">
        <v>9</v>
      </c>
      <c r="H1770" s="60" t="s">
        <v>5064</v>
      </c>
    </row>
    <row r="1771" spans="1:8">
      <c r="A1771" s="59" t="s">
        <v>3145</v>
      </c>
      <c r="B1771" s="62">
        <v>3</v>
      </c>
      <c r="C1771" s="60" t="s">
        <v>5044</v>
      </c>
      <c r="D1771" s="64">
        <f>IFERROR(VLOOKUP(C1771,測定点マスタ!$E$2:$F$28,2,FALSE)/VLOOKUP(A1771,'焼鈍条件-3CGL'!$A$2:$B$197,2,FALSE)*60,"")</f>
        <v>33.487639121441937</v>
      </c>
      <c r="E1771" s="66">
        <v>671.5</v>
      </c>
      <c r="F1771" s="64">
        <f t="shared" si="27"/>
        <v>26.739795789473686</v>
      </c>
      <c r="G1771" s="60" t="s">
        <v>9</v>
      </c>
      <c r="H1771" s="60" t="s">
        <v>5064</v>
      </c>
    </row>
    <row r="1772" spans="1:8">
      <c r="A1772" s="59" t="s">
        <v>3145</v>
      </c>
      <c r="B1772" s="62">
        <v>4</v>
      </c>
      <c r="C1772" s="60" t="s">
        <v>5045</v>
      </c>
      <c r="D1772" s="64">
        <f>IFERROR(VLOOKUP(C1772,測定点マスタ!$E$2:$F$28,2,FALSE)/VLOOKUP(A1772,'焼鈍条件-3CGL'!$A$2:$B$197,2,FALSE)*60,"")</f>
        <v>43.336944745395449</v>
      </c>
      <c r="E1772" s="66">
        <v>833.7</v>
      </c>
      <c r="F1772" s="64">
        <f t="shared" si="27"/>
        <v>16.468166000000004</v>
      </c>
      <c r="G1772" s="60" t="s">
        <v>9</v>
      </c>
      <c r="H1772" s="60" t="s">
        <v>5064</v>
      </c>
    </row>
    <row r="1773" spans="1:8">
      <c r="A1773" s="59" t="s">
        <v>3145</v>
      </c>
      <c r="B1773" s="62">
        <v>5</v>
      </c>
      <c r="C1773" s="60" t="s">
        <v>5047</v>
      </c>
      <c r="D1773" s="64">
        <f>IFERROR(VLOOKUP(C1773,測定点マスタ!$E$2:$F$28,2,FALSE)/VLOOKUP(A1773,'焼鈍条件-3CGL'!$A$2:$B$197,2,FALSE)*60,"")</f>
        <v>59.095833743721066</v>
      </c>
      <c r="E1773" s="66">
        <v>757.1</v>
      </c>
      <c r="F1773" s="64">
        <f t="shared" si="27"/>
        <v>-4.8607487500000017</v>
      </c>
      <c r="G1773" s="60" t="s">
        <v>9</v>
      </c>
      <c r="H1773" s="60" t="s">
        <v>5064</v>
      </c>
    </row>
    <row r="1774" spans="1:8">
      <c r="A1774" s="59" t="s">
        <v>3145</v>
      </c>
      <c r="B1774" s="62">
        <v>6</v>
      </c>
      <c r="C1774" s="60" t="s">
        <v>5049</v>
      </c>
      <c r="D1774" s="64">
        <f>IFERROR(VLOOKUP(C1774,測定点マスタ!$E$2:$F$28,2,FALSE)/VLOOKUP(A1774,'焼鈍条件-3CGL'!$A$2:$B$197,2,FALSE)*60,"")</f>
        <v>71.899931054860645</v>
      </c>
      <c r="E1774" s="66">
        <v>621</v>
      </c>
      <c r="F1774" s="64">
        <f t="shared" si="27"/>
        <v>-10.629409999999989</v>
      </c>
      <c r="G1774" s="60" t="s">
        <v>9</v>
      </c>
      <c r="H1774" s="60" t="s">
        <v>5064</v>
      </c>
    </row>
    <row r="1775" spans="1:8">
      <c r="A1775" s="59" t="s">
        <v>3145</v>
      </c>
      <c r="B1775" s="62">
        <v>7</v>
      </c>
      <c r="C1775" s="60" t="s">
        <v>5050</v>
      </c>
      <c r="D1775" s="64">
        <f>IFERROR(VLOOKUP(C1775,測定点マスタ!$E$2:$F$28,2,FALSE)/VLOOKUP(A1775,'焼鈍条件-3CGL'!$A$2:$B$197,2,FALSE)*60,"")</f>
        <v>79.779375554023446</v>
      </c>
      <c r="E1775" s="66">
        <v>520.4</v>
      </c>
      <c r="F1775" s="64">
        <f t="shared" si="27"/>
        <v>-12.767397500000015</v>
      </c>
      <c r="G1775" s="60" t="s">
        <v>9</v>
      </c>
      <c r="H1775" s="60" t="s">
        <v>5064</v>
      </c>
    </row>
    <row r="1776" spans="1:8">
      <c r="A1776" s="59" t="s">
        <v>3145</v>
      </c>
      <c r="B1776" s="62">
        <v>8</v>
      </c>
      <c r="C1776" s="60" t="s">
        <v>5051</v>
      </c>
      <c r="D1776" s="64">
        <f>IFERROR(VLOOKUP(C1776,測定点マスタ!$E$2:$F$28,2,FALSE)/VLOOKUP(A1776,'焼鈍条件-3CGL'!$A$2:$B$197,2,FALSE)*60,"")</f>
        <v>86.673889490790899</v>
      </c>
      <c r="E1776" s="66">
        <v>450.6</v>
      </c>
      <c r="F1776" s="64">
        <f t="shared" si="27"/>
        <v>-10.123991428571429</v>
      </c>
      <c r="G1776" s="60" t="s">
        <v>9</v>
      </c>
      <c r="H1776" s="60" t="s">
        <v>5064</v>
      </c>
    </row>
    <row r="1777" spans="1:8">
      <c r="A1777" s="59" t="s">
        <v>3145</v>
      </c>
      <c r="B1777" s="62">
        <v>9</v>
      </c>
      <c r="C1777" s="60" t="s">
        <v>5052</v>
      </c>
      <c r="D1777" s="64">
        <f>IFERROR(VLOOKUP(C1777,測定点マスタ!$E$2:$F$28,2,FALSE)/VLOOKUP(A1777,'焼鈍条件-3CGL'!$A$2:$B$197,2,FALSE)*60,"")</f>
        <v>95.538264552349062</v>
      </c>
      <c r="E1777" s="66">
        <v>355.7</v>
      </c>
      <c r="F1777" s="64">
        <f t="shared" si="27"/>
        <v>-10.705774444444444</v>
      </c>
      <c r="G1777" s="60" t="s">
        <v>9</v>
      </c>
      <c r="H1777" s="60" t="s">
        <v>5064</v>
      </c>
    </row>
    <row r="1778" spans="1:8">
      <c r="A1778" s="59" t="s">
        <v>3145</v>
      </c>
      <c r="B1778" s="62">
        <v>10</v>
      </c>
      <c r="C1778" s="60" t="s">
        <v>5053</v>
      </c>
      <c r="D1778" s="64">
        <f>IFERROR(VLOOKUP(C1778,測定点マスタ!$E$2:$F$28,2,FALSE)/VLOOKUP(A1778,'焼鈍条件-3CGL'!$A$2:$B$197,2,FALSE)*60,"")</f>
        <v>107.35743130109329</v>
      </c>
      <c r="E1778" s="66">
        <v>534.5</v>
      </c>
      <c r="F1778" s="64">
        <f t="shared" si="27"/>
        <v>15.127969999999989</v>
      </c>
      <c r="G1778" s="60" t="s">
        <v>9</v>
      </c>
      <c r="H1778" s="60" t="s">
        <v>5064</v>
      </c>
    </row>
    <row r="1779" spans="1:8">
      <c r="A1779" s="59" t="s">
        <v>3145</v>
      </c>
      <c r="B1779" s="62">
        <v>11</v>
      </c>
      <c r="C1779" s="60" t="s">
        <v>5054</v>
      </c>
      <c r="D1779" s="64">
        <f>IFERROR(VLOOKUP(C1779,測定点マスタ!$E$2:$F$28,2,FALSE)/VLOOKUP(A1779,'焼鈍条件-3CGL'!$A$2:$B$197,2,FALSE)*60,"")</f>
        <v>120.16152861223283</v>
      </c>
      <c r="E1779" s="66">
        <v>523.4</v>
      </c>
      <c r="F1779" s="64">
        <f t="shared" si="27"/>
        <v>-0.86691000000000329</v>
      </c>
      <c r="G1779" s="60" t="s">
        <v>9</v>
      </c>
      <c r="H1779" s="60" t="s">
        <v>5064</v>
      </c>
    </row>
    <row r="1780" spans="1:8">
      <c r="A1780" s="59" t="s">
        <v>3145</v>
      </c>
      <c r="B1780" s="62">
        <v>12</v>
      </c>
      <c r="C1780" s="60" t="s">
        <v>5056</v>
      </c>
      <c r="D1780" s="64">
        <f>IFERROR(VLOOKUP(C1780,測定点マスタ!$E$2:$F$28,2,FALSE)/VLOOKUP(A1780,'焼鈍条件-3CGL'!$A$2:$B$197,2,FALSE)*60,"")</f>
        <v>130.99576479858169</v>
      </c>
      <c r="E1780" s="66">
        <v>279.2</v>
      </c>
      <c r="F1780" s="64">
        <f t="shared" si="27"/>
        <v>-22.539660000000001</v>
      </c>
      <c r="G1780" s="60" t="s">
        <v>9</v>
      </c>
      <c r="H1780" s="60" t="s">
        <v>5064</v>
      </c>
    </row>
    <row r="1781" spans="1:8">
      <c r="A1781" s="59" t="s">
        <v>3145</v>
      </c>
      <c r="B1781" s="62">
        <v>13</v>
      </c>
      <c r="C1781" s="60" t="s">
        <v>5062</v>
      </c>
      <c r="D1781" s="64">
        <f>IFERROR(VLOOKUP(C1781,測定点マスタ!$E$2:$F$28,2,FALSE)/VLOOKUP(A1781,'焼鈍条件-3CGL'!$A$2:$B$197,2,FALSE)*60,"")</f>
        <v>142.81493154732593</v>
      </c>
      <c r="E1781" s="66">
        <v>452.3</v>
      </c>
      <c r="F1781" s="64">
        <f t="shared" si="27"/>
        <v>14.645702499999972</v>
      </c>
      <c r="G1781" s="60" t="s">
        <v>9</v>
      </c>
      <c r="H1781" s="60" t="s">
        <v>5064</v>
      </c>
    </row>
    <row r="1782" spans="1:8">
      <c r="A1782" s="59" t="s">
        <v>3145</v>
      </c>
      <c r="B1782" s="62">
        <v>14</v>
      </c>
      <c r="C1782" s="60" t="s">
        <v>5065</v>
      </c>
      <c r="D1782" s="64">
        <f>IFERROR(VLOOKUP(C1782,測定点マスタ!$E$2:$F$28,2,FALSE)/VLOOKUP(A1782,'焼鈍条件-3CGL'!$A$2:$B$197,2,FALSE)*60,"")</f>
        <v>144.57373612303161</v>
      </c>
      <c r="E1782" s="66">
        <v>511.3</v>
      </c>
      <c r="F1782" s="64">
        <f t="shared" si="27"/>
        <v>33.545512000005765</v>
      </c>
      <c r="G1782" s="60" t="s">
        <v>9</v>
      </c>
      <c r="H1782" s="60" t="s">
        <v>5064</v>
      </c>
    </row>
    <row r="1783" spans="1:8">
      <c r="A1783" s="59" t="s">
        <v>3145</v>
      </c>
      <c r="B1783" s="62">
        <v>15</v>
      </c>
      <c r="C1783" s="60" t="s">
        <v>5066</v>
      </c>
      <c r="D1783" s="64">
        <f>IFERROR(VLOOKUP(C1783,測定点マスタ!$E$2:$F$28,2,FALSE)/VLOOKUP(A1783,'焼鈍条件-3CGL'!$A$2:$B$197,2,FALSE)*60,"")</f>
        <v>150.51849558891854</v>
      </c>
      <c r="E1783" s="66">
        <v>496.8</v>
      </c>
      <c r="F1783" s="64">
        <f t="shared" si="27"/>
        <v>-2.4391230769227876</v>
      </c>
      <c r="G1783" s="60" t="s">
        <v>9</v>
      </c>
      <c r="H1783" s="60" t="s">
        <v>5064</v>
      </c>
    </row>
    <row r="1784" spans="1:8">
      <c r="A1784" s="59" t="s">
        <v>3145</v>
      </c>
      <c r="B1784" s="62">
        <v>16</v>
      </c>
      <c r="C1784" s="60" t="s">
        <v>5057</v>
      </c>
      <c r="D1784" s="64">
        <f>IFERROR(VLOOKUP(C1784,測定点マスタ!$E$2:$F$28,2,FALSE)/VLOOKUP(A1784,'焼鈍条件-3CGL'!$A$2:$B$197,2,FALSE)*60,"")</f>
        <v>162.40801452069041</v>
      </c>
      <c r="E1784" s="66">
        <v>246.4</v>
      </c>
      <c r="F1784" s="64">
        <f t="shared" si="27"/>
        <v>-21.06056615384718</v>
      </c>
      <c r="G1784" s="60" t="s">
        <v>9</v>
      </c>
      <c r="H1784" s="60" t="s">
        <v>5064</v>
      </c>
    </row>
    <row r="1785" spans="1:8">
      <c r="A1785" s="59" t="s">
        <v>3145</v>
      </c>
      <c r="B1785" s="62">
        <v>17</v>
      </c>
      <c r="C1785" s="60" t="s">
        <v>5059</v>
      </c>
      <c r="D1785" s="64">
        <f>IFERROR(VLOOKUP(C1785,測定点マスタ!$E$2:$F$28,2,FALSE)/VLOOKUP(A1785,'焼鈍条件-3CGL'!$A$2:$B$197,2,FALSE)*60,"")</f>
        <v>174.29753345246331</v>
      </c>
      <c r="E1785" s="66">
        <v>65.2</v>
      </c>
      <c r="F1785" s="64">
        <f t="shared" si="27"/>
        <v>-15.240313846153274</v>
      </c>
      <c r="G1785" s="60" t="s">
        <v>9</v>
      </c>
      <c r="H1785" s="60" t="s">
        <v>5064</v>
      </c>
    </row>
    <row r="1786" spans="1:8">
      <c r="A1786" s="59" t="s">
        <v>3160</v>
      </c>
      <c r="B1786" s="62">
        <v>1</v>
      </c>
      <c r="C1786" s="60" t="s">
        <v>5041</v>
      </c>
      <c r="D1786" s="64">
        <f>IFERROR(VLOOKUP(C1786,測定点マスタ!$E$2:$F$28,2,FALSE)/VLOOKUP(A1786,'焼鈍条件-3CGL'!$A$2:$B$197,2,FALSE)*60,"")</f>
        <v>0</v>
      </c>
      <c r="E1786" s="66">
        <v>34.6</v>
      </c>
      <c r="F1786" s="64" t="str">
        <f t="shared" si="27"/>
        <v/>
      </c>
      <c r="G1786" s="60" t="s">
        <v>9</v>
      </c>
      <c r="H1786" s="60" t="s">
        <v>5061</v>
      </c>
    </row>
    <row r="1787" spans="1:8">
      <c r="A1787" s="59" t="s">
        <v>3160</v>
      </c>
      <c r="B1787" s="62">
        <v>2</v>
      </c>
      <c r="C1787" s="60" t="s">
        <v>5043</v>
      </c>
      <c r="D1787" s="64">
        <f>IFERROR(VLOOKUP(C1787,測定点マスタ!$E$2:$F$28,2,FALSE)/VLOOKUP(A1787,'焼鈍条件-3CGL'!$A$2:$B$197,2,FALSE)*60,"")</f>
        <v>6.5129136604745739</v>
      </c>
      <c r="E1787" s="66">
        <v>176.8</v>
      </c>
      <c r="F1787" s="64">
        <f t="shared" si="27"/>
        <v>21.833546000000005</v>
      </c>
      <c r="G1787" s="60" t="s">
        <v>9</v>
      </c>
      <c r="H1787" s="60" t="s">
        <v>5061</v>
      </c>
    </row>
    <row r="1788" spans="1:8">
      <c r="A1788" s="59" t="s">
        <v>3160</v>
      </c>
      <c r="B1788" s="62">
        <v>3</v>
      </c>
      <c r="C1788" s="60" t="s">
        <v>5067</v>
      </c>
      <c r="D1788" s="64">
        <f>IFERROR(VLOOKUP(C1788,測定点マスタ!$E$2:$F$28,2,FALSE)/VLOOKUP(A1788,'焼鈍条件-3CGL'!$A$2:$B$197,2,FALSE)*60,"")</f>
        <v>10.854856100790956</v>
      </c>
      <c r="E1788" s="66">
        <v>349.4</v>
      </c>
      <c r="F1788" s="64">
        <f t="shared" si="27"/>
        <v>39.751793666666664</v>
      </c>
      <c r="G1788" s="60" t="s">
        <v>9</v>
      </c>
      <c r="H1788" s="60" t="s">
        <v>5061</v>
      </c>
    </row>
    <row r="1789" spans="1:8">
      <c r="A1789" s="59" t="s">
        <v>3160</v>
      </c>
      <c r="B1789" s="62">
        <v>4</v>
      </c>
      <c r="C1789" s="60" t="s">
        <v>5044</v>
      </c>
      <c r="D1789" s="64">
        <f>IFERROR(VLOOKUP(C1789,測定点マスタ!$E$2:$F$28,2,FALSE)/VLOOKUP(A1789,'焼鈍条件-3CGL'!$A$2:$B$197,2,FALSE)*60,"")</f>
        <v>14.762604297075701</v>
      </c>
      <c r="E1789" s="66">
        <v>648.79999999999995</v>
      </c>
      <c r="F1789" s="64">
        <f t="shared" si="27"/>
        <v>76.617014444444436</v>
      </c>
      <c r="G1789" s="60" t="s">
        <v>9</v>
      </c>
      <c r="H1789" s="60" t="s">
        <v>5061</v>
      </c>
    </row>
    <row r="1790" spans="1:8">
      <c r="A1790" s="59" t="s">
        <v>3160</v>
      </c>
      <c r="B1790" s="62">
        <v>5</v>
      </c>
      <c r="C1790" s="60" t="s">
        <v>5045</v>
      </c>
      <c r="D1790" s="64">
        <f>IFERROR(VLOOKUP(C1790,測定点マスタ!$E$2:$F$28,2,FALSE)/VLOOKUP(A1790,'焼鈍条件-3CGL'!$A$2:$B$197,2,FALSE)*60,"")</f>
        <v>19.104546737392084</v>
      </c>
      <c r="E1790" s="66">
        <v>799.3</v>
      </c>
      <c r="F1790" s="64">
        <f t="shared" si="27"/>
        <v>34.661905833333329</v>
      </c>
      <c r="G1790" s="60" t="s">
        <v>9</v>
      </c>
      <c r="H1790" s="60" t="s">
        <v>5061</v>
      </c>
    </row>
    <row r="1791" spans="1:8">
      <c r="A1791" s="59" t="s">
        <v>3160</v>
      </c>
      <c r="B1791" s="62">
        <v>6</v>
      </c>
      <c r="C1791" s="60" t="s">
        <v>5047</v>
      </c>
      <c r="D1791" s="64">
        <f>IFERROR(VLOOKUP(C1791,測定点マスタ!$E$2:$F$28,2,FALSE)/VLOOKUP(A1791,'焼鈍条件-3CGL'!$A$2:$B$197,2,FALSE)*60,"")</f>
        <v>26.051654641898295</v>
      </c>
      <c r="E1791" s="66">
        <v>730.8</v>
      </c>
      <c r="F1791" s="64">
        <f t="shared" si="27"/>
        <v>-9.8602182291666693</v>
      </c>
      <c r="G1791" s="60" t="s">
        <v>9</v>
      </c>
      <c r="H1791" s="60" t="s">
        <v>5061</v>
      </c>
    </row>
    <row r="1792" spans="1:8">
      <c r="A1792" s="59" t="s">
        <v>3160</v>
      </c>
      <c r="B1792" s="62">
        <v>7</v>
      </c>
      <c r="C1792" s="60" t="s">
        <v>5049</v>
      </c>
      <c r="D1792" s="64">
        <f>IFERROR(VLOOKUP(C1792,測定点マスタ!$E$2:$F$28,2,FALSE)/VLOOKUP(A1792,'焼鈍条件-3CGL'!$A$2:$B$197,2,FALSE)*60,"")</f>
        <v>31.696179814309595</v>
      </c>
      <c r="E1792" s="66">
        <v>584.9</v>
      </c>
      <c r="F1792" s="64">
        <f t="shared" si="27"/>
        <v>-25.848055512820501</v>
      </c>
      <c r="G1792" s="60" t="s">
        <v>9</v>
      </c>
      <c r="H1792" s="60" t="s">
        <v>5061</v>
      </c>
    </row>
    <row r="1793" spans="1:8">
      <c r="A1793" s="59" t="s">
        <v>3160</v>
      </c>
      <c r="B1793" s="62">
        <v>8</v>
      </c>
      <c r="C1793" s="60" t="s">
        <v>5050</v>
      </c>
      <c r="D1793" s="64">
        <f>IFERROR(VLOOKUP(C1793,測定点マスタ!$E$2:$F$28,2,FALSE)/VLOOKUP(A1793,'焼鈍条件-3CGL'!$A$2:$B$197,2,FALSE)*60,"")</f>
        <v>35.1697337665627</v>
      </c>
      <c r="E1793" s="66">
        <v>484.6</v>
      </c>
      <c r="F1793" s="64">
        <f t="shared" si="27"/>
        <v>-28.875325208333326</v>
      </c>
      <c r="G1793" s="60" t="s">
        <v>9</v>
      </c>
      <c r="H1793" s="60" t="s">
        <v>5061</v>
      </c>
    </row>
    <row r="1794" spans="1:8">
      <c r="A1794" s="59" t="s">
        <v>3160</v>
      </c>
      <c r="B1794" s="62">
        <v>9</v>
      </c>
      <c r="C1794" s="60" t="s">
        <v>5051</v>
      </c>
      <c r="D1794" s="64">
        <f>IFERROR(VLOOKUP(C1794,測定点マスタ!$E$2:$F$28,2,FALSE)/VLOOKUP(A1794,'焼鈍条件-3CGL'!$A$2:$B$197,2,FALSE)*60,"")</f>
        <v>38.209093474784169</v>
      </c>
      <c r="E1794" s="66">
        <v>460.5</v>
      </c>
      <c r="F1794" s="64">
        <f t="shared" ref="F1794:F1857" si="28">IF(A1794=A1793,IFERROR((E1794-E1793)/(D1794-D1793),""),"")</f>
        <v>-7.9293016666666736</v>
      </c>
      <c r="G1794" s="60" t="s">
        <v>9</v>
      </c>
      <c r="H1794" s="60" t="s">
        <v>5061</v>
      </c>
    </row>
    <row r="1795" spans="1:8">
      <c r="A1795" s="59" t="s">
        <v>3160</v>
      </c>
      <c r="B1795" s="62">
        <v>10</v>
      </c>
      <c r="C1795" s="60" t="s">
        <v>5052</v>
      </c>
      <c r="D1795" s="64">
        <f>IFERROR(VLOOKUP(C1795,測定点マスタ!$E$2:$F$28,2,FALSE)/VLOOKUP(A1795,'焼鈍条件-3CGL'!$A$2:$B$197,2,FALSE)*60,"")</f>
        <v>42.116841671068912</v>
      </c>
      <c r="E1795" s="66">
        <v>349.4</v>
      </c>
      <c r="F1795" s="64">
        <f t="shared" si="28"/>
        <v>-28.430695740740759</v>
      </c>
      <c r="G1795" s="60" t="s">
        <v>9</v>
      </c>
      <c r="H1795" s="60" t="s">
        <v>5061</v>
      </c>
    </row>
    <row r="1796" spans="1:8">
      <c r="A1796" s="59" t="s">
        <v>3160</v>
      </c>
      <c r="B1796" s="62">
        <v>11</v>
      </c>
      <c r="C1796" s="60" t="s">
        <v>5053</v>
      </c>
      <c r="D1796" s="64">
        <f>IFERROR(VLOOKUP(C1796,測定点マスタ!$E$2:$F$28,2,FALSE)/VLOOKUP(A1796,'焼鈍条件-3CGL'!$A$2:$B$197,2,FALSE)*60,"")</f>
        <v>47.327172599448573</v>
      </c>
      <c r="E1796" s="66">
        <v>518.4</v>
      </c>
      <c r="F1796" s="64">
        <f t="shared" si="28"/>
        <v>32.435559722222209</v>
      </c>
      <c r="G1796" s="60" t="s">
        <v>9</v>
      </c>
      <c r="H1796" s="60" t="s">
        <v>5061</v>
      </c>
    </row>
    <row r="1797" spans="1:8">
      <c r="A1797" s="59" t="s">
        <v>3160</v>
      </c>
      <c r="B1797" s="62">
        <v>12</v>
      </c>
      <c r="C1797" s="60" t="s">
        <v>5063</v>
      </c>
      <c r="D1797" s="64">
        <f>IFERROR(VLOOKUP(C1797,測定点マスタ!$E$2:$F$28,2,FALSE)/VLOOKUP(A1797,'焼鈍条件-3CGL'!$A$2:$B$197,2,FALSE)*60,"")</f>
        <v>49.932338063638397</v>
      </c>
      <c r="E1797" s="66">
        <v>527.4</v>
      </c>
      <c r="F1797" s="64">
        <f t="shared" si="28"/>
        <v>3.4546750000000079</v>
      </c>
      <c r="G1797" s="60" t="s">
        <v>9</v>
      </c>
      <c r="H1797" s="60" t="s">
        <v>5061</v>
      </c>
    </row>
    <row r="1798" spans="1:8">
      <c r="A1798" s="59" t="s">
        <v>3160</v>
      </c>
      <c r="B1798" s="62">
        <v>13</v>
      </c>
      <c r="C1798" s="60" t="s">
        <v>5054</v>
      </c>
      <c r="D1798" s="64">
        <f>IFERROR(VLOOKUP(C1798,測定点マスタ!$E$2:$F$28,2,FALSE)/VLOOKUP(A1798,'焼鈍条件-3CGL'!$A$2:$B$197,2,FALSE)*60,"")</f>
        <v>52.971697771859866</v>
      </c>
      <c r="E1798" s="66">
        <v>518.70000000000005</v>
      </c>
      <c r="F1798" s="64">
        <f t="shared" si="28"/>
        <v>-2.8624449999999775</v>
      </c>
      <c r="G1798" s="60" t="s">
        <v>9</v>
      </c>
      <c r="H1798" s="60" t="s">
        <v>5061</v>
      </c>
    </row>
    <row r="1799" spans="1:8">
      <c r="A1799" s="59" t="s">
        <v>3160</v>
      </c>
      <c r="B1799" s="62">
        <v>14</v>
      </c>
      <c r="C1799" s="60" t="s">
        <v>5056</v>
      </c>
      <c r="D1799" s="64">
        <f>IFERROR(VLOOKUP(C1799,測定点マスタ!$E$2:$F$28,2,FALSE)/VLOOKUP(A1799,'焼鈍条件-3CGL'!$A$2:$B$197,2,FALSE)*60,"")</f>
        <v>57.74783445620789</v>
      </c>
      <c r="E1799" s="66">
        <v>266.60000000000002</v>
      </c>
      <c r="F1799" s="64">
        <f t="shared" si="28"/>
        <v>-52.783246515151482</v>
      </c>
      <c r="G1799" s="60" t="s">
        <v>9</v>
      </c>
      <c r="H1799" s="60" t="s">
        <v>5061</v>
      </c>
    </row>
    <row r="1800" spans="1:8">
      <c r="A1800" s="59" t="s">
        <v>3160</v>
      </c>
      <c r="B1800" s="62">
        <v>15</v>
      </c>
      <c r="C1800" s="60" t="s">
        <v>5062</v>
      </c>
      <c r="D1800" s="64">
        <f>IFERROR(VLOOKUP(C1800,測定点マスタ!$E$2:$F$28,2,FALSE)/VLOOKUP(A1800,'焼鈍条件-3CGL'!$A$2:$B$197,2,FALSE)*60,"")</f>
        <v>62.958165384587552</v>
      </c>
      <c r="E1800" s="66">
        <v>455.2</v>
      </c>
      <c r="F1800" s="64">
        <f t="shared" si="28"/>
        <v>36.197316944444424</v>
      </c>
      <c r="G1800" s="60" t="s">
        <v>9</v>
      </c>
      <c r="H1800" s="60" t="s">
        <v>5061</v>
      </c>
    </row>
    <row r="1801" spans="1:8">
      <c r="A1801" s="59" t="s">
        <v>3160</v>
      </c>
      <c r="B1801" s="62">
        <v>16</v>
      </c>
      <c r="C1801" s="60" t="s">
        <v>5068</v>
      </c>
      <c r="D1801" s="64">
        <f>IFERROR(VLOOKUP(C1801,測定点マスタ!$E$2:$F$28,2,FALSE)/VLOOKUP(A1801,'焼鈍条件-3CGL'!$A$2:$B$197,2,FALSE)*60,"")</f>
        <v>68.974857051883163</v>
      </c>
      <c r="E1801" s="66">
        <v>331.3</v>
      </c>
      <c r="F1801" s="64">
        <f t="shared" si="28"/>
        <v>-20.592712216494665</v>
      </c>
      <c r="G1801" s="60" t="s">
        <v>9</v>
      </c>
      <c r="H1801" s="60" t="s">
        <v>5061</v>
      </c>
    </row>
    <row r="1802" spans="1:8">
      <c r="A1802" s="59" t="s">
        <v>3160</v>
      </c>
      <c r="B1802" s="62">
        <v>17</v>
      </c>
      <c r="C1802" s="60" t="s">
        <v>5057</v>
      </c>
      <c r="D1802" s="64">
        <f>IFERROR(VLOOKUP(C1802,測定点マスタ!$E$2:$F$28,2,FALSE)/VLOOKUP(A1802,'焼鈍条件-3CGL'!$A$2:$B$197,2,FALSE)*60,"")</f>
        <v>71.595529453359717</v>
      </c>
      <c r="E1802" s="66">
        <v>253.3</v>
      </c>
      <c r="F1802" s="64">
        <f t="shared" si="28"/>
        <v>-29.763353846155209</v>
      </c>
      <c r="G1802" s="60" t="s">
        <v>9</v>
      </c>
      <c r="H1802" s="60" t="s">
        <v>5061</v>
      </c>
    </row>
    <row r="1803" spans="1:8">
      <c r="A1803" s="59" t="s">
        <v>3160</v>
      </c>
      <c r="B1803" s="62">
        <v>18</v>
      </c>
      <c r="C1803" s="60" t="s">
        <v>5059</v>
      </c>
      <c r="D1803" s="64">
        <f>IFERROR(VLOOKUP(C1803,測定点マスタ!$E$2:$F$28,2,FALSE)/VLOOKUP(A1803,'焼鈍条件-3CGL'!$A$2:$B$197,2,FALSE)*60,"")</f>
        <v>76.836874256313251</v>
      </c>
      <c r="E1803" s="66">
        <v>61.2</v>
      </c>
      <c r="F1803" s="64">
        <f t="shared" si="28"/>
        <v>-36.6508991913202</v>
      </c>
      <c r="G1803" s="60" t="s">
        <v>9</v>
      </c>
      <c r="H1803" s="60" t="s">
        <v>5061</v>
      </c>
    </row>
    <row r="1804" spans="1:8">
      <c r="A1804" s="59" t="s">
        <v>3172</v>
      </c>
      <c r="B1804" s="62">
        <v>1</v>
      </c>
      <c r="C1804" s="60" t="s">
        <v>5041</v>
      </c>
      <c r="D1804" s="64">
        <f>IFERROR(VLOOKUP(C1804,測定点マスタ!$E$2:$F$28,2,FALSE)/VLOOKUP(A1804,'焼鈍条件-3CGL'!$A$2:$B$197,2,FALSE)*60,"")</f>
        <v>0</v>
      </c>
      <c r="E1804" s="66">
        <v>31.8</v>
      </c>
      <c r="F1804" s="64" t="str">
        <f t="shared" si="28"/>
        <v/>
      </c>
      <c r="G1804" s="60" t="s">
        <v>12</v>
      </c>
      <c r="H1804" s="60" t="s">
        <v>5042</v>
      </c>
    </row>
    <row r="1805" spans="1:8">
      <c r="A1805" s="59" t="s">
        <v>3172</v>
      </c>
      <c r="B1805" s="62">
        <v>2</v>
      </c>
      <c r="C1805" s="60" t="s">
        <v>5043</v>
      </c>
      <c r="D1805" s="64">
        <f>IFERROR(VLOOKUP(C1805,測定点マスタ!$E$2:$F$28,2,FALSE)/VLOOKUP(A1805,'焼鈍条件-3CGL'!$A$2:$B$197,2,FALSE)*60,"")</f>
        <v>8.6636760940297641</v>
      </c>
      <c r="E1805" s="66">
        <v>188.9</v>
      </c>
      <c r="F1805" s="64">
        <f t="shared" si="28"/>
        <v>18.133180222222222</v>
      </c>
      <c r="G1805" s="60" t="s">
        <v>12</v>
      </c>
      <c r="H1805" s="60" t="s">
        <v>5042</v>
      </c>
    </row>
    <row r="1806" spans="1:8">
      <c r="A1806" s="59" t="s">
        <v>3172</v>
      </c>
      <c r="B1806" s="62">
        <v>3</v>
      </c>
      <c r="C1806" s="60" t="s">
        <v>5044</v>
      </c>
      <c r="D1806" s="64">
        <f>IFERROR(VLOOKUP(C1806,測定点マスタ!$E$2:$F$28,2,FALSE)/VLOOKUP(A1806,'焼鈍条件-3CGL'!$A$2:$B$197,2,FALSE)*60,"")</f>
        <v>19.637665813134131</v>
      </c>
      <c r="E1806" s="66">
        <v>677.7</v>
      </c>
      <c r="F1806" s="64">
        <f t="shared" si="28"/>
        <v>44.541685614035103</v>
      </c>
      <c r="G1806" s="60" t="s">
        <v>12</v>
      </c>
      <c r="H1806" s="60" t="s">
        <v>5042</v>
      </c>
    </row>
    <row r="1807" spans="1:8">
      <c r="A1807" s="59" t="s">
        <v>3172</v>
      </c>
      <c r="B1807" s="62">
        <v>4</v>
      </c>
      <c r="C1807" s="60" t="s">
        <v>5045</v>
      </c>
      <c r="D1807" s="64">
        <f>IFERROR(VLOOKUP(C1807,測定点マスタ!$E$2:$F$28,2,FALSE)/VLOOKUP(A1807,'焼鈍条件-3CGL'!$A$2:$B$197,2,FALSE)*60,"")</f>
        <v>25.413449875820643</v>
      </c>
      <c r="E1807" s="66">
        <v>834.5</v>
      </c>
      <c r="F1807" s="64">
        <f t="shared" si="28"/>
        <v>27.147829333333316</v>
      </c>
      <c r="G1807" s="60" t="s">
        <v>12</v>
      </c>
      <c r="H1807" s="60" t="s">
        <v>5042</v>
      </c>
    </row>
    <row r="1808" spans="1:8">
      <c r="A1808" s="59" t="s">
        <v>3172</v>
      </c>
      <c r="B1808" s="62">
        <v>5</v>
      </c>
      <c r="C1808" s="60" t="s">
        <v>5047</v>
      </c>
      <c r="D1808" s="64">
        <f>IFERROR(VLOOKUP(C1808,測定点マスタ!$E$2:$F$28,2,FALSE)/VLOOKUP(A1808,'焼鈍条件-3CGL'!$A$2:$B$197,2,FALSE)*60,"")</f>
        <v>34.654704376119057</v>
      </c>
      <c r="E1808" s="66">
        <v>755.1</v>
      </c>
      <c r="F1808" s="64">
        <f t="shared" si="28"/>
        <v>-8.5919070833333322</v>
      </c>
      <c r="G1808" s="60" t="s">
        <v>12</v>
      </c>
      <c r="H1808" s="60" t="s">
        <v>5042</v>
      </c>
    </row>
    <row r="1809" spans="1:8">
      <c r="A1809" s="59" t="s">
        <v>3172</v>
      </c>
      <c r="B1809" s="62">
        <v>6</v>
      </c>
      <c r="C1809" s="60" t="s">
        <v>5049</v>
      </c>
      <c r="D1809" s="64">
        <f>IFERROR(VLOOKUP(C1809,測定点マスタ!$E$2:$F$28,2,FALSE)/VLOOKUP(A1809,'焼鈍条件-3CGL'!$A$2:$B$197,2,FALSE)*60,"")</f>
        <v>42.163223657611518</v>
      </c>
      <c r="E1809" s="66">
        <v>600.5</v>
      </c>
      <c r="F1809" s="64">
        <f t="shared" si="28"/>
        <v>-20.589945128205134</v>
      </c>
      <c r="G1809" s="60" t="s">
        <v>12</v>
      </c>
      <c r="H1809" s="60" t="s">
        <v>5042</v>
      </c>
    </row>
    <row r="1810" spans="1:8">
      <c r="A1810" s="59" t="s">
        <v>3172</v>
      </c>
      <c r="B1810" s="62">
        <v>7</v>
      </c>
      <c r="C1810" s="60" t="s">
        <v>5050</v>
      </c>
      <c r="D1810" s="64">
        <f>IFERROR(VLOOKUP(C1810,測定点マスタ!$E$2:$F$28,2,FALSE)/VLOOKUP(A1810,'焼鈍条件-3CGL'!$A$2:$B$197,2,FALSE)*60,"")</f>
        <v>46.78385090776073</v>
      </c>
      <c r="E1810" s="66">
        <v>511.4</v>
      </c>
      <c r="F1810" s="64">
        <f t="shared" si="28"/>
        <v>-19.283096249999986</v>
      </c>
      <c r="G1810" s="60" t="s">
        <v>12</v>
      </c>
      <c r="H1810" s="60" t="s">
        <v>5042</v>
      </c>
    </row>
    <row r="1811" spans="1:8">
      <c r="A1811" s="59" t="s">
        <v>3172</v>
      </c>
      <c r="B1811" s="62">
        <v>8</v>
      </c>
      <c r="C1811" s="60" t="s">
        <v>5051</v>
      </c>
      <c r="D1811" s="64">
        <f>IFERROR(VLOOKUP(C1811,測定点マスタ!$E$2:$F$28,2,FALSE)/VLOOKUP(A1811,'焼鈍条件-3CGL'!$A$2:$B$197,2,FALSE)*60,"")</f>
        <v>50.826899751641285</v>
      </c>
      <c r="E1811" s="66">
        <v>466.4</v>
      </c>
      <c r="F1811" s="64">
        <f t="shared" si="28"/>
        <v>-11.13021428571429</v>
      </c>
      <c r="G1811" s="60" t="s">
        <v>12</v>
      </c>
      <c r="H1811" s="60" t="s">
        <v>5042</v>
      </c>
    </row>
    <row r="1812" spans="1:8">
      <c r="A1812" s="59" t="s">
        <v>3172</v>
      </c>
      <c r="B1812" s="62">
        <v>9</v>
      </c>
      <c r="C1812" s="60" t="s">
        <v>5060</v>
      </c>
      <c r="D1812" s="64">
        <f>IFERROR(VLOOKUP(C1812,測定点マスタ!$E$2:$F$28,2,FALSE)/VLOOKUP(A1812,'焼鈍条件-3CGL'!$A$2:$B$197,2,FALSE)*60,"")</f>
        <v>53.137213376715884</v>
      </c>
      <c r="E1812" s="66">
        <v>416</v>
      </c>
      <c r="F1812" s="64">
        <f t="shared" si="28"/>
        <v>-21.815220000000036</v>
      </c>
      <c r="G1812" s="60" t="s">
        <v>12</v>
      </c>
      <c r="H1812" s="60" t="s">
        <v>5042</v>
      </c>
    </row>
    <row r="1813" spans="1:8">
      <c r="A1813" s="59" t="s">
        <v>3172</v>
      </c>
      <c r="B1813" s="62">
        <v>10</v>
      </c>
      <c r="C1813" s="60" t="s">
        <v>5052</v>
      </c>
      <c r="D1813" s="64">
        <f>IFERROR(VLOOKUP(C1813,測定点マスタ!$E$2:$F$28,2,FALSE)/VLOOKUP(A1813,'焼鈍条件-3CGL'!$A$2:$B$197,2,FALSE)*60,"")</f>
        <v>56.02510540805914</v>
      </c>
      <c r="E1813" s="66">
        <v>344.9</v>
      </c>
      <c r="F1813" s="64">
        <f t="shared" si="28"/>
        <v>-24.620034</v>
      </c>
      <c r="G1813" s="60" t="s">
        <v>12</v>
      </c>
      <c r="H1813" s="60" t="s">
        <v>5042</v>
      </c>
    </row>
    <row r="1814" spans="1:8">
      <c r="A1814" s="59" t="s">
        <v>3172</v>
      </c>
      <c r="B1814" s="62">
        <v>11</v>
      </c>
      <c r="C1814" s="60" t="s">
        <v>5069</v>
      </c>
      <c r="D1814" s="64">
        <f>IFERROR(VLOOKUP(C1814,測定点マスタ!$E$2:$F$28,2,FALSE)/VLOOKUP(A1814,'焼鈍条件-3CGL'!$A$2:$B$197,2,FALSE)*60,"")</f>
        <v>60.068154251939696</v>
      </c>
      <c r="E1814" s="66">
        <v>515.70000000000005</v>
      </c>
      <c r="F1814" s="64">
        <f t="shared" si="28"/>
        <v>42.245346666666698</v>
      </c>
      <c r="G1814" s="60" t="s">
        <v>12</v>
      </c>
      <c r="H1814" s="60" t="s">
        <v>5042</v>
      </c>
    </row>
    <row r="1815" spans="1:8">
      <c r="A1815" s="59" t="s">
        <v>3172</v>
      </c>
      <c r="B1815" s="62">
        <v>12</v>
      </c>
      <c r="C1815" s="60" t="s">
        <v>5053</v>
      </c>
      <c r="D1815" s="64">
        <f>IFERROR(VLOOKUP(C1815,測定点マスタ!$E$2:$F$28,2,FALSE)/VLOOKUP(A1815,'焼鈍条件-3CGL'!$A$2:$B$197,2,FALSE)*60,"")</f>
        <v>62.956046283282944</v>
      </c>
      <c r="E1815" s="66">
        <v>533.70000000000005</v>
      </c>
      <c r="F1815" s="64">
        <f t="shared" si="28"/>
        <v>6.2329200000000133</v>
      </c>
      <c r="G1815" s="60" t="s">
        <v>12</v>
      </c>
      <c r="H1815" s="60" t="s">
        <v>5042</v>
      </c>
    </row>
    <row r="1816" spans="1:8">
      <c r="A1816" s="59" t="s">
        <v>3172</v>
      </c>
      <c r="B1816" s="62">
        <v>13</v>
      </c>
      <c r="C1816" s="60" t="s">
        <v>5054</v>
      </c>
      <c r="D1816" s="64">
        <f>IFERROR(VLOOKUP(C1816,測定点マスタ!$E$2:$F$28,2,FALSE)/VLOOKUP(A1816,'焼鈍条件-3CGL'!$A$2:$B$197,2,FALSE)*60,"")</f>
        <v>70.464565564775413</v>
      </c>
      <c r="E1816" s="66">
        <v>523.20000000000005</v>
      </c>
      <c r="F1816" s="64">
        <f t="shared" si="28"/>
        <v>-1.3984115384615374</v>
      </c>
      <c r="G1816" s="60" t="s">
        <v>12</v>
      </c>
      <c r="H1816" s="60" t="s">
        <v>5042</v>
      </c>
    </row>
    <row r="1817" spans="1:8">
      <c r="A1817" s="59" t="s">
        <v>3172</v>
      </c>
      <c r="B1817" s="62">
        <v>14</v>
      </c>
      <c r="C1817" s="60" t="s">
        <v>5055</v>
      </c>
      <c r="D1817" s="64">
        <f>IFERROR(VLOOKUP(C1817,測定点マスタ!$E$2:$F$28,2,FALSE)/VLOOKUP(A1817,'焼鈍条件-3CGL'!$A$2:$B$197,2,FALSE)*60,"")</f>
        <v>73.352457596118668</v>
      </c>
      <c r="E1817" s="66">
        <v>545.1</v>
      </c>
      <c r="F1817" s="64">
        <f t="shared" si="28"/>
        <v>7.5833859999999893</v>
      </c>
      <c r="G1817" s="60" t="s">
        <v>12</v>
      </c>
      <c r="H1817" s="60" t="s">
        <v>5042</v>
      </c>
    </row>
    <row r="1818" spans="1:8">
      <c r="A1818" s="59" t="s">
        <v>3172</v>
      </c>
      <c r="B1818" s="62">
        <v>15</v>
      </c>
      <c r="C1818" s="60" t="s">
        <v>5056</v>
      </c>
      <c r="D1818" s="64">
        <f>IFERROR(VLOOKUP(C1818,測定点マスタ!$E$2:$F$28,2,FALSE)/VLOOKUP(A1818,'焼鈍条件-3CGL'!$A$2:$B$197,2,FALSE)*60,"")</f>
        <v>76.817928033730581</v>
      </c>
      <c r="E1818" s="66">
        <v>275</v>
      </c>
      <c r="F1818" s="64">
        <f t="shared" si="28"/>
        <v>-77.940356111110958</v>
      </c>
      <c r="G1818" s="60" t="s">
        <v>12</v>
      </c>
      <c r="H1818" s="60" t="s">
        <v>5042</v>
      </c>
    </row>
    <row r="1819" spans="1:8">
      <c r="A1819" s="59" t="s">
        <v>3172</v>
      </c>
      <c r="B1819" s="62">
        <v>16</v>
      </c>
      <c r="C1819" s="60" t="s">
        <v>5057</v>
      </c>
      <c r="D1819" s="64">
        <f>IFERROR(VLOOKUP(C1819,測定点マスタ!$E$2:$F$28,2,FALSE)/VLOOKUP(A1819,'焼鈍条件-3CGL'!$A$2:$B$197,2,FALSE)*60,"")</f>
        <v>95.23855363365567</v>
      </c>
      <c r="E1819" s="66">
        <v>261.3</v>
      </c>
      <c r="F1819" s="64">
        <f t="shared" si="28"/>
        <v>-0.7437315266890665</v>
      </c>
      <c r="G1819" s="60" t="s">
        <v>12</v>
      </c>
      <c r="H1819" s="60" t="s">
        <v>5042</v>
      </c>
    </row>
    <row r="1820" spans="1:8">
      <c r="A1820" s="59" t="s">
        <v>3172</v>
      </c>
      <c r="B1820" s="62">
        <v>17</v>
      </c>
      <c r="C1820" s="60" t="s">
        <v>5059</v>
      </c>
      <c r="D1820" s="64">
        <f>IFERROR(VLOOKUP(C1820,測定点マスタ!$E$2:$F$28,2,FALSE)/VLOOKUP(A1820,'焼鈍条件-3CGL'!$A$2:$B$197,2,FALSE)*60,"")</f>
        <v>102.21075010932751</v>
      </c>
      <c r="E1820" s="66">
        <v>68</v>
      </c>
      <c r="F1820" s="64">
        <f t="shared" si="28"/>
        <v>-27.724405167651813</v>
      </c>
      <c r="G1820" s="60" t="s">
        <v>12</v>
      </c>
      <c r="H1820" s="60" t="s">
        <v>5042</v>
      </c>
    </row>
    <row r="1821" spans="1:8">
      <c r="A1821" s="59" t="s">
        <v>3196</v>
      </c>
      <c r="B1821" s="62">
        <v>1</v>
      </c>
      <c r="C1821" s="60" t="s">
        <v>5041</v>
      </c>
      <c r="D1821" s="64">
        <f>IFERROR(VLOOKUP(C1821,測定点マスタ!$E$2:$F$28,2,FALSE)/VLOOKUP(A1821,'焼鈍条件-3CGL'!$A$2:$B$197,2,FALSE)*60,"")</f>
        <v>0</v>
      </c>
      <c r="E1821" s="66">
        <v>26.1</v>
      </c>
      <c r="F1821" s="64" t="str">
        <f t="shared" si="28"/>
        <v/>
      </c>
      <c r="G1821" s="60" t="s">
        <v>9</v>
      </c>
      <c r="H1821" s="60" t="s">
        <v>5064</v>
      </c>
    </row>
    <row r="1822" spans="1:8">
      <c r="A1822" s="59" t="s">
        <v>3196</v>
      </c>
      <c r="B1822" s="62">
        <v>2</v>
      </c>
      <c r="C1822" s="60" t="s">
        <v>5043</v>
      </c>
      <c r="D1822" s="64">
        <f>IFERROR(VLOOKUP(C1822,測定点マスタ!$E$2:$F$28,2,FALSE)/VLOOKUP(A1822,'焼鈍条件-3CGL'!$A$2:$B$197,2,FALSE)*60,"")</f>
        <v>12.152308938698352</v>
      </c>
      <c r="E1822" s="66">
        <v>186.5</v>
      </c>
      <c r="F1822" s="64">
        <f t="shared" si="28"/>
        <v>13.199137777777779</v>
      </c>
      <c r="G1822" s="60" t="s">
        <v>9</v>
      </c>
      <c r="H1822" s="60" t="s">
        <v>5064</v>
      </c>
    </row>
    <row r="1823" spans="1:8">
      <c r="A1823" s="59" t="s">
        <v>3196</v>
      </c>
      <c r="B1823" s="62">
        <v>3</v>
      </c>
      <c r="C1823" s="60" t="s">
        <v>5044</v>
      </c>
      <c r="D1823" s="64">
        <f>IFERROR(VLOOKUP(C1823,測定点マスタ!$E$2:$F$28,2,FALSE)/VLOOKUP(A1823,'焼鈍条件-3CGL'!$A$2:$B$197,2,FALSE)*60,"")</f>
        <v>27.545233594382932</v>
      </c>
      <c r="E1823" s="66">
        <v>668.3</v>
      </c>
      <c r="F1823" s="64">
        <f t="shared" si="28"/>
        <v>31.300094736842105</v>
      </c>
      <c r="G1823" s="60" t="s">
        <v>9</v>
      </c>
      <c r="H1823" s="60" t="s">
        <v>5064</v>
      </c>
    </row>
    <row r="1824" spans="1:8">
      <c r="A1824" s="59" t="s">
        <v>3196</v>
      </c>
      <c r="B1824" s="62">
        <v>4</v>
      </c>
      <c r="C1824" s="60" t="s">
        <v>5045</v>
      </c>
      <c r="D1824" s="64">
        <f>IFERROR(VLOOKUP(C1824,測定点マスタ!$E$2:$F$28,2,FALSE)/VLOOKUP(A1824,'焼鈍条件-3CGL'!$A$2:$B$197,2,FALSE)*60,"")</f>
        <v>35.646772886848495</v>
      </c>
      <c r="E1824" s="66">
        <v>824.6</v>
      </c>
      <c r="F1824" s="64">
        <f t="shared" si="28"/>
        <v>19.29263000000002</v>
      </c>
      <c r="G1824" s="60" t="s">
        <v>9</v>
      </c>
      <c r="H1824" s="60" t="s">
        <v>5064</v>
      </c>
    </row>
    <row r="1825" spans="1:8">
      <c r="A1825" s="59" t="s">
        <v>3196</v>
      </c>
      <c r="B1825" s="62">
        <v>5</v>
      </c>
      <c r="C1825" s="60" t="s">
        <v>5047</v>
      </c>
      <c r="D1825" s="64">
        <f>IFERROR(VLOOKUP(C1825,測定点マスタ!$E$2:$F$28,2,FALSE)/VLOOKUP(A1825,'焼鈍条件-3CGL'!$A$2:$B$197,2,FALSE)*60,"")</f>
        <v>48.60923575479341</v>
      </c>
      <c r="E1825" s="66">
        <v>780.1</v>
      </c>
      <c r="F1825" s="64">
        <f t="shared" si="28"/>
        <v>-3.4329895833333319</v>
      </c>
      <c r="G1825" s="60" t="s">
        <v>9</v>
      </c>
      <c r="H1825" s="60" t="s">
        <v>5064</v>
      </c>
    </row>
    <row r="1826" spans="1:8">
      <c r="A1826" s="59" t="s">
        <v>3196</v>
      </c>
      <c r="B1826" s="62">
        <v>6</v>
      </c>
      <c r="C1826" s="60" t="s">
        <v>5049</v>
      </c>
      <c r="D1826" s="64">
        <f>IFERROR(VLOOKUP(C1826,測定点マスタ!$E$2:$F$28,2,FALSE)/VLOOKUP(A1826,'焼鈍条件-3CGL'!$A$2:$B$197,2,FALSE)*60,"")</f>
        <v>59.141236834998651</v>
      </c>
      <c r="E1826" s="66">
        <v>634.4</v>
      </c>
      <c r="F1826" s="64">
        <f t="shared" si="28"/>
        <v>-13.834028205128208</v>
      </c>
      <c r="G1826" s="60" t="s">
        <v>9</v>
      </c>
      <c r="H1826" s="60" t="s">
        <v>5064</v>
      </c>
    </row>
    <row r="1827" spans="1:8">
      <c r="A1827" s="59" t="s">
        <v>3196</v>
      </c>
      <c r="B1827" s="62">
        <v>7</v>
      </c>
      <c r="C1827" s="60" t="s">
        <v>5050</v>
      </c>
      <c r="D1827" s="64">
        <f>IFERROR(VLOOKUP(C1827,測定点マスタ!$E$2:$F$28,2,FALSE)/VLOOKUP(A1827,'焼鈍条件-3CGL'!$A$2:$B$197,2,FALSE)*60,"")</f>
        <v>65.622468268971105</v>
      </c>
      <c r="E1827" s="66">
        <v>483.2</v>
      </c>
      <c r="F1827" s="64">
        <f t="shared" si="28"/>
        <v>-23.328900000000001</v>
      </c>
      <c r="G1827" s="60" t="s">
        <v>9</v>
      </c>
      <c r="H1827" s="60" t="s">
        <v>5064</v>
      </c>
    </row>
    <row r="1828" spans="1:8">
      <c r="A1828" s="59" t="s">
        <v>3196</v>
      </c>
      <c r="B1828" s="62">
        <v>8</v>
      </c>
      <c r="C1828" s="60" t="s">
        <v>5051</v>
      </c>
      <c r="D1828" s="64">
        <f>IFERROR(VLOOKUP(C1828,測定点マスタ!$E$2:$F$28,2,FALSE)/VLOOKUP(A1828,'焼鈍条件-3CGL'!$A$2:$B$197,2,FALSE)*60,"")</f>
        <v>71.293545773696991</v>
      </c>
      <c r="E1828" s="66">
        <v>457.8</v>
      </c>
      <c r="F1828" s="64">
        <f t="shared" si="28"/>
        <v>-4.4788666666666721</v>
      </c>
      <c r="G1828" s="60" t="s">
        <v>9</v>
      </c>
      <c r="H1828" s="60" t="s">
        <v>5064</v>
      </c>
    </row>
    <row r="1829" spans="1:8">
      <c r="A1829" s="59" t="s">
        <v>3196</v>
      </c>
      <c r="B1829" s="62">
        <v>9</v>
      </c>
      <c r="C1829" s="60" t="s">
        <v>5052</v>
      </c>
      <c r="D1829" s="64">
        <f>IFERROR(VLOOKUP(C1829,測定点マスタ!$E$2:$F$28,2,FALSE)/VLOOKUP(A1829,'焼鈍条件-3CGL'!$A$2:$B$197,2,FALSE)*60,"")</f>
        <v>78.584931136916012</v>
      </c>
      <c r="E1829" s="66">
        <v>343.9</v>
      </c>
      <c r="F1829" s="64">
        <f t="shared" si="28"/>
        <v>-15.621174074074059</v>
      </c>
      <c r="G1829" s="60" t="s">
        <v>9</v>
      </c>
      <c r="H1829" s="60" t="s">
        <v>5064</v>
      </c>
    </row>
    <row r="1830" spans="1:8">
      <c r="A1830" s="59" t="s">
        <v>3196</v>
      </c>
      <c r="B1830" s="62">
        <v>10</v>
      </c>
      <c r="C1830" s="60" t="s">
        <v>5053</v>
      </c>
      <c r="D1830" s="64">
        <f>IFERROR(VLOOKUP(C1830,測定点マスタ!$E$2:$F$28,2,FALSE)/VLOOKUP(A1830,'焼鈍条件-3CGL'!$A$2:$B$197,2,FALSE)*60,"")</f>
        <v>88.306778287874693</v>
      </c>
      <c r="E1830" s="66">
        <v>526.9</v>
      </c>
      <c r="F1830" s="64">
        <f t="shared" si="28"/>
        <v>18.823583333333335</v>
      </c>
      <c r="G1830" s="60" t="s">
        <v>9</v>
      </c>
      <c r="H1830" s="60" t="s">
        <v>5064</v>
      </c>
    </row>
    <row r="1831" spans="1:8">
      <c r="A1831" s="59" t="s">
        <v>3196</v>
      </c>
      <c r="B1831" s="62">
        <v>11</v>
      </c>
      <c r="C1831" s="60" t="s">
        <v>5054</v>
      </c>
      <c r="D1831" s="64">
        <f>IFERROR(VLOOKUP(C1831,測定点マスタ!$E$2:$F$28,2,FALSE)/VLOOKUP(A1831,'焼鈍条件-3CGL'!$A$2:$B$197,2,FALSE)*60,"")</f>
        <v>98.83877936807994</v>
      </c>
      <c r="E1831" s="66">
        <v>499.7</v>
      </c>
      <c r="F1831" s="64">
        <f t="shared" si="28"/>
        <v>-2.5826051282051248</v>
      </c>
      <c r="G1831" s="60" t="s">
        <v>9</v>
      </c>
      <c r="H1831" s="60" t="s">
        <v>5064</v>
      </c>
    </row>
    <row r="1832" spans="1:8">
      <c r="A1832" s="59" t="s">
        <v>3196</v>
      </c>
      <c r="B1832" s="62">
        <v>12</v>
      </c>
      <c r="C1832" s="60" t="s">
        <v>5056</v>
      </c>
      <c r="D1832" s="64">
        <f>IFERROR(VLOOKUP(C1832,測定点マスタ!$E$2:$F$28,2,FALSE)/VLOOKUP(A1832,'焼鈍条件-3CGL'!$A$2:$B$197,2,FALSE)*60,"")</f>
        <v>107.75047258979207</v>
      </c>
      <c r="E1832" s="66">
        <v>293.60000000000002</v>
      </c>
      <c r="F1832" s="64">
        <f t="shared" si="28"/>
        <v>-23.126918181818173</v>
      </c>
      <c r="G1832" s="60" t="s">
        <v>9</v>
      </c>
      <c r="H1832" s="60" t="s">
        <v>5064</v>
      </c>
    </row>
    <row r="1833" spans="1:8">
      <c r="A1833" s="59" t="s">
        <v>3196</v>
      </c>
      <c r="B1833" s="62">
        <v>13</v>
      </c>
      <c r="C1833" s="60" t="s">
        <v>5062</v>
      </c>
      <c r="D1833" s="64">
        <f>IFERROR(VLOOKUP(C1833,測定点マスタ!$E$2:$F$28,2,FALSE)/VLOOKUP(A1833,'焼鈍条件-3CGL'!$A$2:$B$197,2,FALSE)*60,"")</f>
        <v>117.47231974075075</v>
      </c>
      <c r="E1833" s="66">
        <v>459.1</v>
      </c>
      <c r="F1833" s="64">
        <f t="shared" si="28"/>
        <v>17.023513888888893</v>
      </c>
      <c r="G1833" s="60" t="s">
        <v>9</v>
      </c>
      <c r="H1833" s="60" t="s">
        <v>5064</v>
      </c>
    </row>
    <row r="1834" spans="1:8">
      <c r="A1834" s="59" t="s">
        <v>3196</v>
      </c>
      <c r="B1834" s="62">
        <v>14</v>
      </c>
      <c r="C1834" s="60" t="s">
        <v>5065</v>
      </c>
      <c r="D1834" s="64">
        <f>IFERROR(VLOOKUP(C1834,測定点マスタ!$E$2:$F$28,2,FALSE)/VLOOKUP(A1834,'焼鈍条件-3CGL'!$A$2:$B$197,2,FALSE)*60,"")</f>
        <v>118.91902318583365</v>
      </c>
      <c r="E1834" s="66">
        <v>514.6</v>
      </c>
      <c r="F1834" s="64">
        <f t="shared" si="28"/>
        <v>38.363080000006207</v>
      </c>
      <c r="G1834" s="60" t="s">
        <v>9</v>
      </c>
      <c r="H1834" s="60" t="s">
        <v>5064</v>
      </c>
    </row>
    <row r="1835" spans="1:8">
      <c r="A1835" s="59" t="s">
        <v>3196</v>
      </c>
      <c r="B1835" s="62">
        <v>15</v>
      </c>
      <c r="C1835" s="60" t="s">
        <v>5066</v>
      </c>
      <c r="D1835" s="64">
        <f>IFERROR(VLOOKUP(C1835,測定点マスタ!$E$2:$F$28,2,FALSE)/VLOOKUP(A1835,'焼鈍条件-3CGL'!$A$2:$B$197,2,FALSE)*60,"")</f>
        <v>123.80888083021523</v>
      </c>
      <c r="E1835" s="66">
        <v>494.1</v>
      </c>
      <c r="F1835" s="64">
        <f t="shared" si="28"/>
        <v>-4.192351084812131</v>
      </c>
      <c r="G1835" s="60" t="s">
        <v>9</v>
      </c>
      <c r="H1835" s="60" t="s">
        <v>5064</v>
      </c>
    </row>
    <row r="1836" spans="1:8">
      <c r="A1836" s="59" t="s">
        <v>3196</v>
      </c>
      <c r="B1836" s="62">
        <v>16</v>
      </c>
      <c r="C1836" s="60" t="s">
        <v>5068</v>
      </c>
      <c r="D1836" s="64">
        <f>IFERROR(VLOOKUP(C1836,測定点マスタ!$E$2:$F$28,2,FALSE)/VLOOKUP(A1836,'焼鈍条件-3CGL'!$A$2:$B$197,2,FALSE)*60,"")</f>
        <v>128.69873847459598</v>
      </c>
      <c r="E1836" s="66">
        <v>369.8</v>
      </c>
      <c r="F1836" s="64">
        <f t="shared" si="28"/>
        <v>-25.41996291913345</v>
      </c>
      <c r="G1836" s="60" t="s">
        <v>9</v>
      </c>
      <c r="H1836" s="60" t="s">
        <v>5064</v>
      </c>
    </row>
    <row r="1837" spans="1:8">
      <c r="A1837" s="59" t="s">
        <v>3196</v>
      </c>
      <c r="B1837" s="62">
        <v>17</v>
      </c>
      <c r="C1837" s="60" t="s">
        <v>5057</v>
      </c>
      <c r="D1837" s="64">
        <f>IFERROR(VLOOKUP(C1837,測定点マスタ!$E$2:$F$28,2,FALSE)/VLOOKUP(A1837,'焼鈍条件-3CGL'!$A$2:$B$197,2,FALSE)*60,"")</f>
        <v>133.58859611897677</v>
      </c>
      <c r="E1837" s="66">
        <v>207.5</v>
      </c>
      <c r="F1837" s="64">
        <f t="shared" si="28"/>
        <v>-33.191150295859494</v>
      </c>
      <c r="G1837" s="60" t="s">
        <v>9</v>
      </c>
      <c r="H1837" s="60" t="s">
        <v>5064</v>
      </c>
    </row>
    <row r="1838" spans="1:8">
      <c r="A1838" s="59" t="s">
        <v>3196</v>
      </c>
      <c r="B1838" s="62">
        <v>18</v>
      </c>
      <c r="C1838" s="60" t="s">
        <v>5059</v>
      </c>
      <c r="D1838" s="64">
        <f>IFERROR(VLOOKUP(C1838,測定点マスタ!$E$2:$F$28,2,FALSE)/VLOOKUP(A1838,'焼鈍条件-3CGL'!$A$2:$B$197,2,FALSE)*60,"")</f>
        <v>143.36831140773913</v>
      </c>
      <c r="E1838" s="66">
        <v>48.5</v>
      </c>
      <c r="F1838" s="64">
        <f t="shared" si="28"/>
        <v>-16.258142011833733</v>
      </c>
      <c r="G1838" s="60" t="s">
        <v>9</v>
      </c>
      <c r="H1838" s="60" t="s">
        <v>5064</v>
      </c>
    </row>
    <row r="1839" spans="1:8">
      <c r="A1839" s="59" t="s">
        <v>3211</v>
      </c>
      <c r="B1839" s="62">
        <v>1</v>
      </c>
      <c r="C1839" s="60" t="s">
        <v>5041</v>
      </c>
      <c r="D1839" s="64">
        <f>IFERROR(VLOOKUP(C1839,測定点マスタ!$E$2:$F$28,2,FALSE)/VLOOKUP(A1839,'焼鈍条件-3CGL'!$A$2:$B$197,2,FALSE)*60,"")</f>
        <v>0</v>
      </c>
      <c r="E1839" s="66">
        <v>32.1</v>
      </c>
      <c r="F1839" s="64" t="str">
        <f t="shared" si="28"/>
        <v/>
      </c>
      <c r="G1839" s="60" t="s">
        <v>12</v>
      </c>
      <c r="H1839" s="60" t="s">
        <v>5042</v>
      </c>
    </row>
    <row r="1840" spans="1:8">
      <c r="A1840" s="59" t="s">
        <v>3211</v>
      </c>
      <c r="B1840" s="62">
        <v>2</v>
      </c>
      <c r="C1840" s="60" t="s">
        <v>5043</v>
      </c>
      <c r="D1840" s="64">
        <f>IFERROR(VLOOKUP(C1840,測定点マスタ!$E$2:$F$28,2,FALSE)/VLOOKUP(A1840,'焼鈍条件-3CGL'!$A$2:$B$197,2,FALSE)*60,"")</f>
        <v>9.1064544525503131</v>
      </c>
      <c r="E1840" s="66">
        <v>187.2</v>
      </c>
      <c r="F1840" s="64">
        <f t="shared" si="28"/>
        <v>17.031875666666668</v>
      </c>
      <c r="G1840" s="60" t="s">
        <v>12</v>
      </c>
      <c r="H1840" s="60" t="s">
        <v>5042</v>
      </c>
    </row>
    <row r="1841" spans="1:8">
      <c r="A1841" s="59" t="s">
        <v>3211</v>
      </c>
      <c r="B1841" s="62">
        <v>3</v>
      </c>
      <c r="C1841" s="60" t="s">
        <v>5067</v>
      </c>
      <c r="D1841" s="64">
        <f>IFERROR(VLOOKUP(C1841,測定点マスタ!$E$2:$F$28,2,FALSE)/VLOOKUP(A1841,'焼鈍条件-3CGL'!$A$2:$B$197,2,FALSE)*60,"")</f>
        <v>15.177424087583853</v>
      </c>
      <c r="E1841" s="66">
        <v>402.1</v>
      </c>
      <c r="F1841" s="64">
        <f t="shared" si="28"/>
        <v>35.397969833333349</v>
      </c>
      <c r="G1841" s="60" t="s">
        <v>12</v>
      </c>
      <c r="H1841" s="60" t="s">
        <v>5042</v>
      </c>
    </row>
    <row r="1842" spans="1:8">
      <c r="A1842" s="59" t="s">
        <v>3211</v>
      </c>
      <c r="B1842" s="62">
        <v>4</v>
      </c>
      <c r="C1842" s="60" t="s">
        <v>5044</v>
      </c>
      <c r="D1842" s="64">
        <f>IFERROR(VLOOKUP(C1842,測定点マスタ!$E$2:$F$28,2,FALSE)/VLOOKUP(A1842,'焼鈍条件-3CGL'!$A$2:$B$197,2,FALSE)*60,"")</f>
        <v>20.641296759114045</v>
      </c>
      <c r="E1842" s="66">
        <v>686.9</v>
      </c>
      <c r="F1842" s="64">
        <f t="shared" si="28"/>
        <v>52.124201481481435</v>
      </c>
      <c r="G1842" s="60" t="s">
        <v>12</v>
      </c>
      <c r="H1842" s="60" t="s">
        <v>5042</v>
      </c>
    </row>
    <row r="1843" spans="1:8">
      <c r="A1843" s="59" t="s">
        <v>3211</v>
      </c>
      <c r="B1843" s="62">
        <v>5</v>
      </c>
      <c r="C1843" s="60" t="s">
        <v>5045</v>
      </c>
      <c r="D1843" s="64">
        <f>IFERROR(VLOOKUP(C1843,測定点マスタ!$E$2:$F$28,2,FALSE)/VLOOKUP(A1843,'焼鈍条件-3CGL'!$A$2:$B$197,2,FALSE)*60,"")</f>
        <v>26.712266394147584</v>
      </c>
      <c r="E1843" s="66">
        <v>830.6</v>
      </c>
      <c r="F1843" s="64">
        <f t="shared" si="28"/>
        <v>23.670024500000022</v>
      </c>
      <c r="G1843" s="60" t="s">
        <v>12</v>
      </c>
      <c r="H1843" s="60" t="s">
        <v>5042</v>
      </c>
    </row>
    <row r="1844" spans="1:8">
      <c r="A1844" s="59" t="s">
        <v>3211</v>
      </c>
      <c r="B1844" s="62">
        <v>6</v>
      </c>
      <c r="C1844" s="60" t="s">
        <v>5046</v>
      </c>
      <c r="D1844" s="64">
        <f>IFERROR(VLOOKUP(C1844,測定点マスタ!$E$2:$F$28,2,FALSE)/VLOOKUP(A1844,'焼鈍条件-3CGL'!$A$2:$B$197,2,FALSE)*60,"")</f>
        <v>32.783236029181126</v>
      </c>
      <c r="E1844" s="66">
        <v>808.4</v>
      </c>
      <c r="F1844" s="64">
        <f t="shared" si="28"/>
        <v>-3.6567470000000077</v>
      </c>
      <c r="G1844" s="60" t="s">
        <v>12</v>
      </c>
      <c r="H1844" s="60" t="s">
        <v>5042</v>
      </c>
    </row>
    <row r="1845" spans="1:8">
      <c r="A1845" s="59" t="s">
        <v>3211</v>
      </c>
      <c r="B1845" s="62">
        <v>7</v>
      </c>
      <c r="C1845" s="60" t="s">
        <v>5047</v>
      </c>
      <c r="D1845" s="64">
        <f>IFERROR(VLOOKUP(C1845,測定点マスタ!$E$2:$F$28,2,FALSE)/VLOOKUP(A1845,'焼鈍条件-3CGL'!$A$2:$B$197,2,FALSE)*60,"")</f>
        <v>36.425817810201252</v>
      </c>
      <c r="E1845" s="66">
        <v>783.8</v>
      </c>
      <c r="F1845" s="64">
        <f t="shared" si="28"/>
        <v>-6.7534516666666704</v>
      </c>
      <c r="G1845" s="60" t="s">
        <v>12</v>
      </c>
      <c r="H1845" s="60" t="s">
        <v>5042</v>
      </c>
    </row>
    <row r="1846" spans="1:8">
      <c r="A1846" s="59" t="s">
        <v>3211</v>
      </c>
      <c r="B1846" s="62">
        <v>8</v>
      </c>
      <c r="C1846" s="60" t="s">
        <v>5049</v>
      </c>
      <c r="D1846" s="64">
        <f>IFERROR(VLOOKUP(C1846,測定点マスタ!$E$2:$F$28,2,FALSE)/VLOOKUP(A1846,'焼鈍条件-3CGL'!$A$2:$B$197,2,FALSE)*60,"")</f>
        <v>44.318078335744858</v>
      </c>
      <c r="E1846" s="66">
        <v>597.6</v>
      </c>
      <c r="F1846" s="64">
        <f t="shared" si="28"/>
        <v>-23.592733589743581</v>
      </c>
      <c r="G1846" s="60" t="s">
        <v>12</v>
      </c>
      <c r="H1846" s="60" t="s">
        <v>5042</v>
      </c>
    </row>
    <row r="1847" spans="1:8">
      <c r="A1847" s="59" t="s">
        <v>3211</v>
      </c>
      <c r="B1847" s="62">
        <v>9</v>
      </c>
      <c r="C1847" s="60" t="s">
        <v>5050</v>
      </c>
      <c r="D1847" s="64">
        <f>IFERROR(VLOOKUP(C1847,測定点マスタ!$E$2:$F$28,2,FALSE)/VLOOKUP(A1847,'焼鈍条件-3CGL'!$A$2:$B$197,2,FALSE)*60,"")</f>
        <v>49.174854043771688</v>
      </c>
      <c r="E1847" s="66">
        <v>527.5</v>
      </c>
      <c r="F1847" s="64">
        <f t="shared" si="28"/>
        <v>-14.433443958333347</v>
      </c>
      <c r="G1847" s="60" t="s">
        <v>12</v>
      </c>
      <c r="H1847" s="60" t="s">
        <v>5042</v>
      </c>
    </row>
    <row r="1848" spans="1:8">
      <c r="A1848" s="59" t="s">
        <v>3211</v>
      </c>
      <c r="B1848" s="62">
        <v>10</v>
      </c>
      <c r="C1848" s="60" t="s">
        <v>5051</v>
      </c>
      <c r="D1848" s="64">
        <f>IFERROR(VLOOKUP(C1848,測定点マスタ!$E$2:$F$28,2,FALSE)/VLOOKUP(A1848,'焼鈍条件-3CGL'!$A$2:$B$197,2,FALSE)*60,"")</f>
        <v>53.424532788295167</v>
      </c>
      <c r="E1848" s="66">
        <v>456.7</v>
      </c>
      <c r="F1848" s="64">
        <f t="shared" si="28"/>
        <v>-16.660082857142864</v>
      </c>
      <c r="G1848" s="60" t="s">
        <v>12</v>
      </c>
      <c r="H1848" s="60" t="s">
        <v>5042</v>
      </c>
    </row>
    <row r="1849" spans="1:8">
      <c r="A1849" s="59" t="s">
        <v>3211</v>
      </c>
      <c r="B1849" s="62">
        <v>11</v>
      </c>
      <c r="C1849" s="60" t="s">
        <v>5052</v>
      </c>
      <c r="D1849" s="64">
        <f>IFERROR(VLOOKUP(C1849,測定点マスタ!$E$2:$F$28,2,FALSE)/VLOOKUP(A1849,'焼鈍条件-3CGL'!$A$2:$B$197,2,FALSE)*60,"")</f>
        <v>58.888405459825357</v>
      </c>
      <c r="E1849" s="66">
        <v>339.9</v>
      </c>
      <c r="F1849" s="64">
        <f t="shared" si="28"/>
        <v>-21.376779259259255</v>
      </c>
      <c r="G1849" s="60" t="s">
        <v>12</v>
      </c>
      <c r="H1849" s="60" t="s">
        <v>5042</v>
      </c>
    </row>
    <row r="1850" spans="1:8">
      <c r="A1850" s="59" t="s">
        <v>3211</v>
      </c>
      <c r="B1850" s="62">
        <v>12</v>
      </c>
      <c r="C1850" s="60" t="s">
        <v>5069</v>
      </c>
      <c r="D1850" s="64">
        <f>IFERROR(VLOOKUP(C1850,測定点マスタ!$E$2:$F$28,2,FALSE)/VLOOKUP(A1850,'焼鈍条件-3CGL'!$A$2:$B$197,2,FALSE)*60,"")</f>
        <v>63.138084204348843</v>
      </c>
      <c r="E1850" s="66">
        <v>523.4</v>
      </c>
      <c r="F1850" s="64">
        <f t="shared" si="28"/>
        <v>43.179734523809458</v>
      </c>
      <c r="G1850" s="60" t="s">
        <v>12</v>
      </c>
      <c r="H1850" s="60" t="s">
        <v>5042</v>
      </c>
    </row>
    <row r="1851" spans="1:8">
      <c r="A1851" s="59" t="s">
        <v>3211</v>
      </c>
      <c r="B1851" s="62">
        <v>13</v>
      </c>
      <c r="C1851" s="60" t="s">
        <v>5053</v>
      </c>
      <c r="D1851" s="64">
        <f>IFERROR(VLOOKUP(C1851,測定点マスタ!$E$2:$F$28,2,FALSE)/VLOOKUP(A1851,'焼鈍条件-3CGL'!$A$2:$B$197,2,FALSE)*60,"")</f>
        <v>66.173569021865603</v>
      </c>
      <c r="E1851" s="66">
        <v>535.29999999999995</v>
      </c>
      <c r="F1851" s="64">
        <f t="shared" si="28"/>
        <v>3.9202963333333396</v>
      </c>
      <c r="G1851" s="60" t="s">
        <v>12</v>
      </c>
      <c r="H1851" s="60" t="s">
        <v>5042</v>
      </c>
    </row>
    <row r="1852" spans="1:8">
      <c r="A1852" s="59" t="s">
        <v>3211</v>
      </c>
      <c r="B1852" s="62">
        <v>14</v>
      </c>
      <c r="C1852" s="60" t="s">
        <v>5063</v>
      </c>
      <c r="D1852" s="64">
        <f>IFERROR(VLOOKUP(C1852,測定点マスタ!$E$2:$F$28,2,FALSE)/VLOOKUP(A1852,'焼鈍条件-3CGL'!$A$2:$B$197,2,FALSE)*60,"")</f>
        <v>69.816150802885744</v>
      </c>
      <c r="E1852" s="66">
        <v>529.70000000000005</v>
      </c>
      <c r="F1852" s="64">
        <f t="shared" si="28"/>
        <v>-1.5373711111110795</v>
      </c>
      <c r="G1852" s="60" t="s">
        <v>12</v>
      </c>
      <c r="H1852" s="60" t="s">
        <v>5042</v>
      </c>
    </row>
    <row r="1853" spans="1:8">
      <c r="A1853" s="59" t="s">
        <v>3211</v>
      </c>
      <c r="B1853" s="62">
        <v>15</v>
      </c>
      <c r="C1853" s="60" t="s">
        <v>5054</v>
      </c>
      <c r="D1853" s="64">
        <f>IFERROR(VLOOKUP(C1853,測定点マスタ!$E$2:$F$28,2,FALSE)/VLOOKUP(A1853,'焼鈍条件-3CGL'!$A$2:$B$197,2,FALSE)*60,"")</f>
        <v>74.065829547409209</v>
      </c>
      <c r="E1853" s="66">
        <v>507.2</v>
      </c>
      <c r="F1853" s="64">
        <f t="shared" si="28"/>
        <v>-5.294517857142889</v>
      </c>
      <c r="G1853" s="60" t="s">
        <v>12</v>
      </c>
      <c r="H1853" s="60" t="s">
        <v>5042</v>
      </c>
    </row>
    <row r="1854" spans="1:8">
      <c r="A1854" s="59" t="s">
        <v>3211</v>
      </c>
      <c r="B1854" s="62">
        <v>16</v>
      </c>
      <c r="C1854" s="60" t="s">
        <v>5055</v>
      </c>
      <c r="D1854" s="64">
        <f>IFERROR(VLOOKUP(C1854,測定点マスタ!$E$2:$F$28,2,FALSE)/VLOOKUP(A1854,'焼鈍条件-3CGL'!$A$2:$B$197,2,FALSE)*60,"")</f>
        <v>77.101314364925983</v>
      </c>
      <c r="E1854" s="66">
        <v>569.9</v>
      </c>
      <c r="F1854" s="64">
        <f t="shared" si="28"/>
        <v>20.655678999999971</v>
      </c>
      <c r="G1854" s="60" t="s">
        <v>12</v>
      </c>
      <c r="H1854" s="60" t="s">
        <v>5042</v>
      </c>
    </row>
    <row r="1855" spans="1:8">
      <c r="A1855" s="59" t="s">
        <v>3211</v>
      </c>
      <c r="B1855" s="62">
        <v>17</v>
      </c>
      <c r="C1855" s="60" t="s">
        <v>5056</v>
      </c>
      <c r="D1855" s="64">
        <f>IFERROR(VLOOKUP(C1855,測定点マスタ!$E$2:$F$28,2,FALSE)/VLOOKUP(A1855,'焼鈍条件-3CGL'!$A$2:$B$197,2,FALSE)*60,"")</f>
        <v>80.74389614594611</v>
      </c>
      <c r="E1855" s="66">
        <v>288</v>
      </c>
      <c r="F1855" s="64">
        <f t="shared" si="28"/>
        <v>-77.390163611111078</v>
      </c>
      <c r="G1855" s="60" t="s">
        <v>12</v>
      </c>
      <c r="H1855" s="60" t="s">
        <v>5042</v>
      </c>
    </row>
    <row r="1856" spans="1:8">
      <c r="A1856" s="59" t="s">
        <v>3211</v>
      </c>
      <c r="B1856" s="62">
        <v>18</v>
      </c>
      <c r="C1856" s="60" t="s">
        <v>5068</v>
      </c>
      <c r="D1856" s="64">
        <f>IFERROR(VLOOKUP(C1856,測定点マスタ!$E$2:$F$28,2,FALSE)/VLOOKUP(A1856,'焼鈍条件-3CGL'!$A$2:$B$197,2,FALSE)*60,"")</f>
        <v>96.441689059390072</v>
      </c>
      <c r="E1856" s="66">
        <v>396.9</v>
      </c>
      <c r="F1856" s="64">
        <f t="shared" si="28"/>
        <v>6.9372809668507882</v>
      </c>
      <c r="G1856" s="60" t="s">
        <v>12</v>
      </c>
      <c r="H1856" s="60" t="s">
        <v>5042</v>
      </c>
    </row>
    <row r="1857" spans="1:8">
      <c r="A1857" s="59" t="s">
        <v>3211</v>
      </c>
      <c r="B1857" s="62">
        <v>19</v>
      </c>
      <c r="C1857" s="60" t="s">
        <v>5057</v>
      </c>
      <c r="D1857" s="64">
        <f>IFERROR(VLOOKUP(C1857,測定点マスタ!$E$2:$F$28,2,FALSE)/VLOOKUP(A1857,'焼鈍条件-3CGL'!$A$2:$B$197,2,FALSE)*60,"")</f>
        <v>100.10595287482084</v>
      </c>
      <c r="E1857" s="66">
        <v>177</v>
      </c>
      <c r="F1857" s="64">
        <f t="shared" si="28"/>
        <v>-60.012054556216086</v>
      </c>
      <c r="G1857" s="60" t="s">
        <v>12</v>
      </c>
      <c r="H1857" s="60" t="s">
        <v>5042</v>
      </c>
    </row>
    <row r="1858" spans="1:8">
      <c r="A1858" s="59" t="s">
        <v>3211</v>
      </c>
      <c r="B1858" s="62">
        <v>20</v>
      </c>
      <c r="C1858" s="60" t="s">
        <v>5059</v>
      </c>
      <c r="D1858" s="64">
        <f>IFERROR(VLOOKUP(C1858,測定点マスタ!$E$2:$F$28,2,FALSE)/VLOOKUP(A1858,'焼鈍条件-3CGL'!$A$2:$B$197,2,FALSE)*60,"")</f>
        <v>107.43448050568304</v>
      </c>
      <c r="E1858" s="66">
        <v>64.099999999999994</v>
      </c>
      <c r="F1858" s="64">
        <f t="shared" ref="F1858:F1921" si="29">IF(A1858=A1857,IFERROR((E1858-E1857)/(D1858-D1857),""),"")</f>
        <v>-15.405550157790342</v>
      </c>
      <c r="G1858" s="60" t="s">
        <v>12</v>
      </c>
      <c r="H1858" s="60" t="s">
        <v>5042</v>
      </c>
    </row>
    <row r="1859" spans="1:8">
      <c r="A1859" s="59" t="s">
        <v>3234</v>
      </c>
      <c r="B1859" s="62">
        <v>1</v>
      </c>
      <c r="C1859" s="60" t="s">
        <v>5041</v>
      </c>
      <c r="D1859" s="64">
        <f>IFERROR(VLOOKUP(C1859,測定点マスタ!$E$2:$F$28,2,FALSE)/VLOOKUP(A1859,'焼鈍条件-3CGL'!$A$2:$B$197,2,FALSE)*60,"")</f>
        <v>0</v>
      </c>
      <c r="E1859" s="66">
        <v>32.9</v>
      </c>
      <c r="F1859" s="64" t="str">
        <f t="shared" si="29"/>
        <v/>
      </c>
      <c r="G1859" s="60" t="s">
        <v>9</v>
      </c>
      <c r="H1859" s="60" t="s">
        <v>5061</v>
      </c>
    </row>
    <row r="1860" spans="1:8">
      <c r="A1860" s="59" t="s">
        <v>3234</v>
      </c>
      <c r="B1860" s="62">
        <v>2</v>
      </c>
      <c r="C1860" s="60" t="s">
        <v>5043</v>
      </c>
      <c r="D1860" s="64">
        <f>IFERROR(VLOOKUP(C1860,測定点マスタ!$E$2:$F$28,2,FALSE)/VLOOKUP(A1860,'焼鈍条件-3CGL'!$A$2:$B$197,2,FALSE)*60,"")</f>
        <v>10.303613133672208</v>
      </c>
      <c r="E1860" s="66">
        <v>165.8</v>
      </c>
      <c r="F1860" s="64">
        <f t="shared" si="29"/>
        <v>12.898388000000001</v>
      </c>
      <c r="G1860" s="60" t="s">
        <v>9</v>
      </c>
      <c r="H1860" s="60" t="s">
        <v>5061</v>
      </c>
    </row>
    <row r="1861" spans="1:8">
      <c r="A1861" s="59" t="s">
        <v>3234</v>
      </c>
      <c r="B1861" s="62">
        <v>3</v>
      </c>
      <c r="C1861" s="60" t="s">
        <v>5044</v>
      </c>
      <c r="D1861" s="64">
        <f>IFERROR(VLOOKUP(C1861,測定点マスタ!$E$2:$F$28,2,FALSE)/VLOOKUP(A1861,'焼鈍条件-3CGL'!$A$2:$B$197,2,FALSE)*60,"")</f>
        <v>23.354856436323672</v>
      </c>
      <c r="E1861" s="66">
        <v>659</v>
      </c>
      <c r="F1861" s="64">
        <f t="shared" si="29"/>
        <v>37.789503157894735</v>
      </c>
      <c r="G1861" s="60" t="s">
        <v>9</v>
      </c>
      <c r="H1861" s="60" t="s">
        <v>5061</v>
      </c>
    </row>
    <row r="1862" spans="1:8">
      <c r="A1862" s="59" t="s">
        <v>3234</v>
      </c>
      <c r="B1862" s="62">
        <v>4</v>
      </c>
      <c r="C1862" s="60" t="s">
        <v>5045</v>
      </c>
      <c r="D1862" s="64">
        <f>IFERROR(VLOOKUP(C1862,測定点マスタ!$E$2:$F$28,2,FALSE)/VLOOKUP(A1862,'焼鈍条件-3CGL'!$A$2:$B$197,2,FALSE)*60,"")</f>
        <v>30.22393185877181</v>
      </c>
      <c r="E1862" s="66">
        <v>810.7</v>
      </c>
      <c r="F1862" s="64">
        <f t="shared" si="29"/>
        <v>22.084486000000009</v>
      </c>
      <c r="G1862" s="60" t="s">
        <v>9</v>
      </c>
      <c r="H1862" s="60" t="s">
        <v>5061</v>
      </c>
    </row>
    <row r="1863" spans="1:8">
      <c r="A1863" s="59" t="s">
        <v>3234</v>
      </c>
      <c r="B1863" s="62">
        <v>5</v>
      </c>
      <c r="C1863" s="60" t="s">
        <v>5047</v>
      </c>
      <c r="D1863" s="64">
        <f>IFERROR(VLOOKUP(C1863,測定点マスタ!$E$2:$F$28,2,FALSE)/VLOOKUP(A1863,'焼鈍条件-3CGL'!$A$2:$B$197,2,FALSE)*60,"")</f>
        <v>41.214452534688832</v>
      </c>
      <c r="E1863" s="66">
        <v>747.4</v>
      </c>
      <c r="F1863" s="64">
        <f t="shared" si="29"/>
        <v>-5.7595087500000064</v>
      </c>
      <c r="G1863" s="60" t="s">
        <v>9</v>
      </c>
      <c r="H1863" s="60" t="s">
        <v>5061</v>
      </c>
    </row>
    <row r="1864" spans="1:8">
      <c r="A1864" s="59" t="s">
        <v>3234</v>
      </c>
      <c r="B1864" s="62">
        <v>6</v>
      </c>
      <c r="C1864" s="60" t="s">
        <v>5049</v>
      </c>
      <c r="D1864" s="64">
        <f>IFERROR(VLOOKUP(C1864,測定点マスタ!$E$2:$F$28,2,FALSE)/VLOOKUP(A1864,'焼鈍条件-3CGL'!$A$2:$B$197,2,FALSE)*60,"")</f>
        <v>50.144250583871411</v>
      </c>
      <c r="E1864" s="66">
        <v>584.1</v>
      </c>
      <c r="F1864" s="64">
        <f t="shared" si="29"/>
        <v>-18.287087692307686</v>
      </c>
      <c r="G1864" s="60" t="s">
        <v>9</v>
      </c>
      <c r="H1864" s="60" t="s">
        <v>5061</v>
      </c>
    </row>
    <row r="1865" spans="1:8">
      <c r="A1865" s="59" t="s">
        <v>3234</v>
      </c>
      <c r="B1865" s="62">
        <v>7</v>
      </c>
      <c r="C1865" s="60" t="s">
        <v>5050</v>
      </c>
      <c r="D1865" s="64">
        <f>IFERROR(VLOOKUP(C1865,測定点マスタ!$E$2:$F$28,2,FALSE)/VLOOKUP(A1865,'焼鈍条件-3CGL'!$A$2:$B$197,2,FALSE)*60,"")</f>
        <v>55.639510921829924</v>
      </c>
      <c r="E1865" s="66">
        <v>478.2</v>
      </c>
      <c r="F1865" s="64">
        <f t="shared" si="29"/>
        <v>-19.271152499999999</v>
      </c>
      <c r="G1865" s="60" t="s">
        <v>9</v>
      </c>
      <c r="H1865" s="60" t="s">
        <v>5061</v>
      </c>
    </row>
    <row r="1866" spans="1:8">
      <c r="A1866" s="59" t="s">
        <v>3234</v>
      </c>
      <c r="B1866" s="62">
        <v>8</v>
      </c>
      <c r="C1866" s="60" t="s">
        <v>5051</v>
      </c>
      <c r="D1866" s="64">
        <f>IFERROR(VLOOKUP(C1866,測定点マスタ!$E$2:$F$28,2,FALSE)/VLOOKUP(A1866,'焼鈍条件-3CGL'!$A$2:$B$197,2,FALSE)*60,"")</f>
        <v>60.447863717543619</v>
      </c>
      <c r="E1866" s="66">
        <v>464</v>
      </c>
      <c r="F1866" s="64">
        <f t="shared" si="29"/>
        <v>-2.9531942857142846</v>
      </c>
      <c r="G1866" s="60" t="s">
        <v>9</v>
      </c>
      <c r="H1866" s="60" t="s">
        <v>5061</v>
      </c>
    </row>
    <row r="1867" spans="1:8">
      <c r="A1867" s="59" t="s">
        <v>3234</v>
      </c>
      <c r="B1867" s="62">
        <v>9</v>
      </c>
      <c r="C1867" s="60" t="s">
        <v>5060</v>
      </c>
      <c r="D1867" s="64">
        <f>IFERROR(VLOOKUP(C1867,測定点マスタ!$E$2:$F$28,2,FALSE)/VLOOKUP(A1867,'焼鈍条件-3CGL'!$A$2:$B$197,2,FALSE)*60,"")</f>
        <v>63.195493886522883</v>
      </c>
      <c r="E1867" s="66">
        <v>387.9</v>
      </c>
      <c r="F1867" s="64">
        <f t="shared" si="29"/>
        <v>-27.696594999999927</v>
      </c>
      <c r="G1867" s="60" t="s">
        <v>9</v>
      </c>
      <c r="H1867" s="60" t="s">
        <v>5061</v>
      </c>
    </row>
    <row r="1868" spans="1:8">
      <c r="A1868" s="59" t="s">
        <v>3234</v>
      </c>
      <c r="B1868" s="62">
        <v>10</v>
      </c>
      <c r="C1868" s="60" t="s">
        <v>5052</v>
      </c>
      <c r="D1868" s="64">
        <f>IFERROR(VLOOKUP(C1868,測定点マスタ!$E$2:$F$28,2,FALSE)/VLOOKUP(A1868,'焼鈍条件-3CGL'!$A$2:$B$197,2,FALSE)*60,"")</f>
        <v>66.630031597746935</v>
      </c>
      <c r="E1868" s="66">
        <v>330.4</v>
      </c>
      <c r="F1868" s="64">
        <f t="shared" si="29"/>
        <v>-16.74170000000008</v>
      </c>
      <c r="G1868" s="60" t="s">
        <v>9</v>
      </c>
      <c r="H1868" s="60" t="s">
        <v>5061</v>
      </c>
    </row>
    <row r="1869" spans="1:8">
      <c r="A1869" s="59" t="s">
        <v>3234</v>
      </c>
      <c r="B1869" s="62">
        <v>11</v>
      </c>
      <c r="C1869" s="60" t="s">
        <v>5053</v>
      </c>
      <c r="D1869" s="64">
        <f>IFERROR(VLOOKUP(C1869,測定点マスタ!$E$2:$F$28,2,FALSE)/VLOOKUP(A1869,'焼鈍条件-3CGL'!$A$2:$B$197,2,FALSE)*60,"")</f>
        <v>74.872922104684719</v>
      </c>
      <c r="E1869" s="66">
        <v>518.5</v>
      </c>
      <c r="F1869" s="64">
        <f t="shared" si="29"/>
        <v>22.819664999999954</v>
      </c>
      <c r="G1869" s="60" t="s">
        <v>9</v>
      </c>
      <c r="H1869" s="60" t="s">
        <v>5061</v>
      </c>
    </row>
    <row r="1870" spans="1:8">
      <c r="A1870" s="59" t="s">
        <v>3234</v>
      </c>
      <c r="B1870" s="62">
        <v>12</v>
      </c>
      <c r="C1870" s="60" t="s">
        <v>5063</v>
      </c>
      <c r="D1870" s="64">
        <f>IFERROR(VLOOKUP(C1870,測定点マスタ!$E$2:$F$28,2,FALSE)/VLOOKUP(A1870,'焼鈍条件-3CGL'!$A$2:$B$197,2,FALSE)*60,"")</f>
        <v>78.994367358153596</v>
      </c>
      <c r="E1870" s="66">
        <v>524.4</v>
      </c>
      <c r="F1870" s="64">
        <f t="shared" si="29"/>
        <v>1.4315366666666631</v>
      </c>
      <c r="G1870" s="60" t="s">
        <v>9</v>
      </c>
      <c r="H1870" s="60" t="s">
        <v>5061</v>
      </c>
    </row>
    <row r="1871" spans="1:8">
      <c r="A1871" s="59" t="s">
        <v>3234</v>
      </c>
      <c r="B1871" s="62">
        <v>13</v>
      </c>
      <c r="C1871" s="60" t="s">
        <v>5054</v>
      </c>
      <c r="D1871" s="64">
        <f>IFERROR(VLOOKUP(C1871,測定点マスタ!$E$2:$F$28,2,FALSE)/VLOOKUP(A1871,'焼鈍条件-3CGL'!$A$2:$B$197,2,FALSE)*60,"")</f>
        <v>83.802720153867284</v>
      </c>
      <c r="E1871" s="66">
        <v>503.9</v>
      </c>
      <c r="F1871" s="64">
        <f t="shared" si="29"/>
        <v>-4.263414285714294</v>
      </c>
      <c r="G1871" s="60" t="s">
        <v>9</v>
      </c>
      <c r="H1871" s="60" t="s">
        <v>5061</v>
      </c>
    </row>
    <row r="1872" spans="1:8">
      <c r="A1872" s="59" t="s">
        <v>3234</v>
      </c>
      <c r="B1872" s="62">
        <v>14</v>
      </c>
      <c r="C1872" s="60" t="s">
        <v>5056</v>
      </c>
      <c r="D1872" s="64">
        <f>IFERROR(VLOOKUP(C1872,測定点マスタ!$E$2:$F$28,2,FALSE)/VLOOKUP(A1872,'焼鈍条件-3CGL'!$A$2:$B$197,2,FALSE)*60,"")</f>
        <v>91.358703118560243</v>
      </c>
      <c r="E1872" s="66">
        <v>275.3</v>
      </c>
      <c r="F1872" s="64">
        <f t="shared" si="29"/>
        <v>-30.254170909090881</v>
      </c>
      <c r="G1872" s="60" t="s">
        <v>9</v>
      </c>
      <c r="H1872" s="60" t="s">
        <v>5061</v>
      </c>
    </row>
    <row r="1873" spans="1:8">
      <c r="A1873" s="59" t="s">
        <v>3234</v>
      </c>
      <c r="B1873" s="62">
        <v>15</v>
      </c>
      <c r="C1873" s="60" t="s">
        <v>5062</v>
      </c>
      <c r="D1873" s="64">
        <f>IFERROR(VLOOKUP(C1873,測定点マスタ!$E$2:$F$28,2,FALSE)/VLOOKUP(A1873,'焼鈍条件-3CGL'!$A$2:$B$197,2,FALSE)*60,"")</f>
        <v>99.601593625498012</v>
      </c>
      <c r="E1873" s="66">
        <v>464.9</v>
      </c>
      <c r="F1873" s="64">
        <f t="shared" si="29"/>
        <v>23.001639999999988</v>
      </c>
      <c r="G1873" s="60" t="s">
        <v>9</v>
      </c>
      <c r="H1873" s="60" t="s">
        <v>5061</v>
      </c>
    </row>
    <row r="1874" spans="1:8">
      <c r="A1874" s="59" t="s">
        <v>3234</v>
      </c>
      <c r="B1874" s="62">
        <v>16</v>
      </c>
      <c r="C1874" s="60" t="s">
        <v>5057</v>
      </c>
      <c r="D1874" s="64">
        <f>IFERROR(VLOOKUP(C1874,測定点マスタ!$E$2:$F$28,2,FALSE)/VLOOKUP(A1874,'焼鈍条件-3CGL'!$A$2:$B$197,2,FALSE)*60,"")</f>
        <v>113.26614723372511</v>
      </c>
      <c r="E1874" s="66">
        <v>277.3</v>
      </c>
      <c r="F1874" s="64">
        <f t="shared" si="29"/>
        <v>-13.728951956912121</v>
      </c>
      <c r="G1874" s="60" t="s">
        <v>9</v>
      </c>
      <c r="H1874" s="60" t="s">
        <v>5061</v>
      </c>
    </row>
    <row r="1875" spans="1:8">
      <c r="A1875" s="59" t="s">
        <v>3234</v>
      </c>
      <c r="B1875" s="62">
        <v>17</v>
      </c>
      <c r="C1875" s="60" t="s">
        <v>5059</v>
      </c>
      <c r="D1875" s="64">
        <f>IFERROR(VLOOKUP(C1875,測定点マスタ!$E$2:$F$28,2,FALSE)/VLOOKUP(A1875,'焼鈍条件-3CGL'!$A$2:$B$197,2,FALSE)*60,"")</f>
        <v>121.55810256510924</v>
      </c>
      <c r="E1875" s="66">
        <v>35.4</v>
      </c>
      <c r="F1875" s="64">
        <f t="shared" si="29"/>
        <v>-29.172853727809574</v>
      </c>
      <c r="G1875" s="60" t="s">
        <v>9</v>
      </c>
      <c r="H1875" s="60" t="s">
        <v>5061</v>
      </c>
    </row>
    <row r="1876" spans="1:8">
      <c r="A1876" s="59" t="s">
        <v>3243</v>
      </c>
      <c r="B1876" s="62">
        <v>1</v>
      </c>
      <c r="C1876" s="60" t="s">
        <v>5041</v>
      </c>
      <c r="D1876" s="64">
        <f>IFERROR(VLOOKUP(C1876,測定点マスタ!$E$2:$F$28,2,FALSE)/VLOOKUP(A1876,'焼鈍条件-3CGL'!$A$2:$B$197,2,FALSE)*60,"")</f>
        <v>0</v>
      </c>
      <c r="E1876" s="66">
        <v>38.700000000000003</v>
      </c>
      <c r="F1876" s="64" t="str">
        <f t="shared" si="29"/>
        <v/>
      </c>
      <c r="G1876" s="60" t="s">
        <v>12</v>
      </c>
      <c r="H1876" s="60" t="s">
        <v>5042</v>
      </c>
    </row>
    <row r="1877" spans="1:8">
      <c r="A1877" s="59" t="s">
        <v>3243</v>
      </c>
      <c r="B1877" s="62">
        <v>2</v>
      </c>
      <c r="C1877" s="60" t="s">
        <v>5043</v>
      </c>
      <c r="D1877" s="64">
        <f>IFERROR(VLOOKUP(C1877,測定点マスタ!$E$2:$F$28,2,FALSE)/VLOOKUP(A1877,'焼鈍条件-3CGL'!$A$2:$B$197,2,FALSE)*60,"")</f>
        <v>7.8102626851683112</v>
      </c>
      <c r="E1877" s="66">
        <v>174.6</v>
      </c>
      <c r="F1877" s="64">
        <f t="shared" si="29"/>
        <v>17.400182999999998</v>
      </c>
      <c r="G1877" s="60" t="s">
        <v>12</v>
      </c>
      <c r="H1877" s="60" t="s">
        <v>5042</v>
      </c>
    </row>
    <row r="1878" spans="1:8">
      <c r="A1878" s="59" t="s">
        <v>3243</v>
      </c>
      <c r="B1878" s="62">
        <v>3</v>
      </c>
      <c r="C1878" s="60" t="s">
        <v>5044</v>
      </c>
      <c r="D1878" s="64">
        <f>IFERROR(VLOOKUP(C1878,測定点マスタ!$E$2:$F$28,2,FALSE)/VLOOKUP(A1878,'焼鈍条件-3CGL'!$A$2:$B$197,2,FALSE)*60,"")</f>
        <v>17.703262086381507</v>
      </c>
      <c r="E1878" s="66">
        <v>669.8</v>
      </c>
      <c r="F1878" s="64">
        <f t="shared" si="29"/>
        <v>50.055597894736827</v>
      </c>
      <c r="G1878" s="60" t="s">
        <v>12</v>
      </c>
      <c r="H1878" s="60" t="s">
        <v>5042</v>
      </c>
    </row>
    <row r="1879" spans="1:8">
      <c r="A1879" s="59" t="s">
        <v>3243</v>
      </c>
      <c r="B1879" s="62">
        <v>4</v>
      </c>
      <c r="C1879" s="60" t="s">
        <v>5045</v>
      </c>
      <c r="D1879" s="64">
        <f>IFERROR(VLOOKUP(C1879,測定点マスタ!$E$2:$F$28,2,FALSE)/VLOOKUP(A1879,'焼鈍条件-3CGL'!$A$2:$B$197,2,FALSE)*60,"")</f>
        <v>22.910103876493711</v>
      </c>
      <c r="E1879" s="66">
        <v>824</v>
      </c>
      <c r="F1879" s="64">
        <f t="shared" si="29"/>
        <v>29.614881000000029</v>
      </c>
      <c r="G1879" s="60" t="s">
        <v>12</v>
      </c>
      <c r="H1879" s="60" t="s">
        <v>5042</v>
      </c>
    </row>
    <row r="1880" spans="1:8">
      <c r="A1880" s="59" t="s">
        <v>3243</v>
      </c>
      <c r="B1880" s="62">
        <v>5</v>
      </c>
      <c r="C1880" s="60" t="s">
        <v>5047</v>
      </c>
      <c r="D1880" s="64">
        <f>IFERROR(VLOOKUP(C1880,測定点マスタ!$E$2:$F$28,2,FALSE)/VLOOKUP(A1880,'焼鈍条件-3CGL'!$A$2:$B$197,2,FALSE)*60,"")</f>
        <v>31.241050740673245</v>
      </c>
      <c r="E1880" s="66">
        <v>734.4</v>
      </c>
      <c r="F1880" s="64">
        <f t="shared" si="29"/>
        <v>-10.75508</v>
      </c>
      <c r="G1880" s="60" t="s">
        <v>12</v>
      </c>
      <c r="H1880" s="60" t="s">
        <v>5042</v>
      </c>
    </row>
    <row r="1881" spans="1:8">
      <c r="A1881" s="59" t="s">
        <v>3243</v>
      </c>
      <c r="B1881" s="62">
        <v>6</v>
      </c>
      <c r="C1881" s="60" t="s">
        <v>5049</v>
      </c>
      <c r="D1881" s="64">
        <f>IFERROR(VLOOKUP(C1881,測定点マスタ!$E$2:$F$28,2,FALSE)/VLOOKUP(A1881,'焼鈍条件-3CGL'!$A$2:$B$197,2,FALSE)*60,"")</f>
        <v>38.00994506781911</v>
      </c>
      <c r="E1881" s="66">
        <v>621.4</v>
      </c>
      <c r="F1881" s="64">
        <f t="shared" si="29"/>
        <v>-16.694011538461549</v>
      </c>
      <c r="G1881" s="60" t="s">
        <v>12</v>
      </c>
      <c r="H1881" s="60" t="s">
        <v>5042</v>
      </c>
    </row>
    <row r="1882" spans="1:8">
      <c r="A1882" s="59" t="s">
        <v>3243</v>
      </c>
      <c r="B1882" s="62">
        <v>7</v>
      </c>
      <c r="C1882" s="60" t="s">
        <v>5050</v>
      </c>
      <c r="D1882" s="64">
        <f>IFERROR(VLOOKUP(C1882,測定点マスタ!$E$2:$F$28,2,FALSE)/VLOOKUP(A1882,'焼鈍条件-3CGL'!$A$2:$B$197,2,FALSE)*60,"")</f>
        <v>42.175418499908879</v>
      </c>
      <c r="E1882" s="66">
        <v>521</v>
      </c>
      <c r="F1882" s="64">
        <f t="shared" si="29"/>
        <v>-24.102902499999978</v>
      </c>
      <c r="G1882" s="60" t="s">
        <v>12</v>
      </c>
      <c r="H1882" s="60" t="s">
        <v>5042</v>
      </c>
    </row>
    <row r="1883" spans="1:8">
      <c r="A1883" s="59" t="s">
        <v>3243</v>
      </c>
      <c r="B1883" s="62">
        <v>8</v>
      </c>
      <c r="C1883" s="60" t="s">
        <v>5051</v>
      </c>
      <c r="D1883" s="64">
        <f>IFERROR(VLOOKUP(C1883,測定点マスタ!$E$2:$F$28,2,FALSE)/VLOOKUP(A1883,'焼鈍条件-3CGL'!$A$2:$B$197,2,FALSE)*60,"")</f>
        <v>45.820207752987422</v>
      </c>
      <c r="E1883" s="66">
        <v>452.2</v>
      </c>
      <c r="F1883" s="64">
        <f t="shared" si="29"/>
        <v>-18.876262857142876</v>
      </c>
      <c r="G1883" s="60" t="s">
        <v>12</v>
      </c>
      <c r="H1883" s="60" t="s">
        <v>5042</v>
      </c>
    </row>
    <row r="1884" spans="1:8">
      <c r="A1884" s="59" t="s">
        <v>3243</v>
      </c>
      <c r="B1884" s="62">
        <v>9</v>
      </c>
      <c r="C1884" s="60" t="s">
        <v>5060</v>
      </c>
      <c r="D1884" s="64">
        <f>IFERROR(VLOOKUP(C1884,測定点マスタ!$E$2:$F$28,2,FALSE)/VLOOKUP(A1884,'焼鈍条件-3CGL'!$A$2:$B$197,2,FALSE)*60,"")</f>
        <v>47.902944469032306</v>
      </c>
      <c r="E1884" s="66">
        <v>407.4</v>
      </c>
      <c r="F1884" s="64">
        <f t="shared" si="29"/>
        <v>-21.510159999999992</v>
      </c>
      <c r="G1884" s="60" t="s">
        <v>12</v>
      </c>
      <c r="H1884" s="60" t="s">
        <v>5042</v>
      </c>
    </row>
    <row r="1885" spans="1:8">
      <c r="A1885" s="59" t="s">
        <v>3243</v>
      </c>
      <c r="B1885" s="62">
        <v>10</v>
      </c>
      <c r="C1885" s="60" t="s">
        <v>5052</v>
      </c>
      <c r="D1885" s="64">
        <f>IFERROR(VLOOKUP(C1885,測定点マスタ!$E$2:$F$28,2,FALSE)/VLOOKUP(A1885,'焼鈍条件-3CGL'!$A$2:$B$197,2,FALSE)*60,"")</f>
        <v>50.50636536408841</v>
      </c>
      <c r="E1885" s="66">
        <v>355.8</v>
      </c>
      <c r="F1885" s="64">
        <f t="shared" si="29"/>
        <v>-19.820075999999986</v>
      </c>
      <c r="G1885" s="60" t="s">
        <v>12</v>
      </c>
      <c r="H1885" s="60" t="s">
        <v>5042</v>
      </c>
    </row>
    <row r="1886" spans="1:8">
      <c r="A1886" s="59" t="s">
        <v>3243</v>
      </c>
      <c r="B1886" s="62">
        <v>11</v>
      </c>
      <c r="C1886" s="60" t="s">
        <v>5069</v>
      </c>
      <c r="D1886" s="64">
        <f>IFERROR(VLOOKUP(C1886,測定点マスタ!$E$2:$F$28,2,FALSE)/VLOOKUP(A1886,'焼鈍条件-3CGL'!$A$2:$B$197,2,FALSE)*60,"")</f>
        <v>54.151154617166952</v>
      </c>
      <c r="E1886" s="66">
        <v>538.79999999999995</v>
      </c>
      <c r="F1886" s="64">
        <f t="shared" si="29"/>
        <v>50.208664285714306</v>
      </c>
      <c r="G1886" s="60" t="s">
        <v>12</v>
      </c>
      <c r="H1886" s="60" t="s">
        <v>5042</v>
      </c>
    </row>
    <row r="1887" spans="1:8">
      <c r="A1887" s="59" t="s">
        <v>3243</v>
      </c>
      <c r="B1887" s="62">
        <v>12</v>
      </c>
      <c r="C1887" s="60" t="s">
        <v>5053</v>
      </c>
      <c r="D1887" s="64">
        <f>IFERROR(VLOOKUP(C1887,測定点マスタ!$E$2:$F$28,2,FALSE)/VLOOKUP(A1887,'焼鈍条件-3CGL'!$A$2:$B$197,2,FALSE)*60,"")</f>
        <v>56.754575512223063</v>
      </c>
      <c r="E1887" s="66">
        <v>552.1</v>
      </c>
      <c r="F1887" s="64">
        <f t="shared" si="29"/>
        <v>5.1086630000000124</v>
      </c>
      <c r="G1887" s="60" t="s">
        <v>12</v>
      </c>
      <c r="H1887" s="60" t="s">
        <v>5042</v>
      </c>
    </row>
    <row r="1888" spans="1:8">
      <c r="A1888" s="59" t="s">
        <v>3243</v>
      </c>
      <c r="B1888" s="62">
        <v>13</v>
      </c>
      <c r="C1888" s="60" t="s">
        <v>5054</v>
      </c>
      <c r="D1888" s="64">
        <f>IFERROR(VLOOKUP(C1888,測定点マスタ!$E$2:$F$28,2,FALSE)/VLOOKUP(A1888,'焼鈍条件-3CGL'!$A$2:$B$197,2,FALSE)*60,"")</f>
        <v>63.523469839368921</v>
      </c>
      <c r="E1888" s="66">
        <v>522.20000000000005</v>
      </c>
      <c r="F1888" s="64">
        <f t="shared" si="29"/>
        <v>-4.417265000000004</v>
      </c>
      <c r="G1888" s="60" t="s">
        <v>12</v>
      </c>
      <c r="H1888" s="60" t="s">
        <v>5042</v>
      </c>
    </row>
    <row r="1889" spans="1:8">
      <c r="A1889" s="59" t="s">
        <v>3243</v>
      </c>
      <c r="B1889" s="62">
        <v>14</v>
      </c>
      <c r="C1889" s="60" t="s">
        <v>5056</v>
      </c>
      <c r="D1889" s="64">
        <f>IFERROR(VLOOKUP(C1889,測定点マスタ!$E$2:$F$28,2,FALSE)/VLOOKUP(A1889,'焼鈍条件-3CGL'!$A$2:$B$197,2,FALSE)*60,"")</f>
        <v>69.250995808492348</v>
      </c>
      <c r="E1889" s="66">
        <v>275.7</v>
      </c>
      <c r="F1889" s="64">
        <f t="shared" si="29"/>
        <v>-43.037779545454569</v>
      </c>
      <c r="G1889" s="60" t="s">
        <v>12</v>
      </c>
      <c r="H1889" s="60" t="s">
        <v>5042</v>
      </c>
    </row>
    <row r="1890" spans="1:8">
      <c r="A1890" s="59" t="s">
        <v>3243</v>
      </c>
      <c r="B1890" s="62">
        <v>15</v>
      </c>
      <c r="C1890" s="60" t="s">
        <v>5057</v>
      </c>
      <c r="D1890" s="64">
        <f>IFERROR(VLOOKUP(C1890,測定点マスタ!$E$2:$F$28,2,FALSE)/VLOOKUP(A1890,'焼鈍条件-3CGL'!$A$2:$B$197,2,FALSE)*60,"")</f>
        <v>85.857101946243006</v>
      </c>
      <c r="E1890" s="66">
        <v>205.3</v>
      </c>
      <c r="F1890" s="64">
        <f t="shared" si="29"/>
        <v>-4.2394044344904955</v>
      </c>
      <c r="G1890" s="60" t="s">
        <v>12</v>
      </c>
      <c r="H1890" s="60" t="s">
        <v>5042</v>
      </c>
    </row>
    <row r="1891" spans="1:8">
      <c r="A1891" s="59" t="s">
        <v>3243</v>
      </c>
      <c r="B1891" s="62">
        <v>16</v>
      </c>
      <c r="C1891" s="60" t="s">
        <v>5059</v>
      </c>
      <c r="D1891" s="64">
        <f>IFERROR(VLOOKUP(C1891,測定点マスタ!$E$2:$F$28,2,FALSE)/VLOOKUP(A1891,'焼鈍条件-3CGL'!$A$2:$B$197,2,FALSE)*60,"")</f>
        <v>92.142503821450106</v>
      </c>
      <c r="E1891" s="66">
        <v>61.3</v>
      </c>
      <c r="F1891" s="64">
        <f t="shared" si="29"/>
        <v>-22.91022958579801</v>
      </c>
      <c r="G1891" s="60" t="s">
        <v>12</v>
      </c>
      <c r="H1891" s="60" t="s">
        <v>5042</v>
      </c>
    </row>
    <row r="1892" spans="1:8">
      <c r="A1892" s="59" t="s">
        <v>3253</v>
      </c>
      <c r="B1892" s="62">
        <v>1</v>
      </c>
      <c r="C1892" s="60" t="s">
        <v>5041</v>
      </c>
      <c r="D1892" s="64">
        <f>IFERROR(VLOOKUP(C1892,測定点マスタ!$E$2:$F$28,2,FALSE)/VLOOKUP(A1892,'焼鈍条件-3CGL'!$A$2:$B$197,2,FALSE)*60,"")</f>
        <v>0</v>
      </c>
      <c r="E1892" s="66">
        <v>34</v>
      </c>
      <c r="F1892" s="64" t="str">
        <f t="shared" si="29"/>
        <v/>
      </c>
      <c r="G1892" s="60" t="s">
        <v>12</v>
      </c>
      <c r="H1892" s="60" t="s">
        <v>5064</v>
      </c>
    </row>
    <row r="1893" spans="1:8">
      <c r="A1893" s="59" t="s">
        <v>3253</v>
      </c>
      <c r="B1893" s="62">
        <v>2</v>
      </c>
      <c r="C1893" s="60" t="s">
        <v>5043</v>
      </c>
      <c r="D1893" s="64">
        <f>IFERROR(VLOOKUP(C1893,測定点マスタ!$E$2:$F$28,2,FALSE)/VLOOKUP(A1893,'焼鈍条件-3CGL'!$A$2:$B$197,2,FALSE)*60,"")</f>
        <v>11.307100859339666</v>
      </c>
      <c r="E1893" s="66">
        <v>178.1</v>
      </c>
      <c r="F1893" s="64">
        <f t="shared" si="29"/>
        <v>12.744203999999998</v>
      </c>
      <c r="G1893" s="60" t="s">
        <v>12</v>
      </c>
      <c r="H1893" s="60" t="s">
        <v>5064</v>
      </c>
    </row>
    <row r="1894" spans="1:8">
      <c r="A1894" s="59" t="s">
        <v>3253</v>
      </c>
      <c r="B1894" s="62">
        <v>3</v>
      </c>
      <c r="C1894" s="60" t="s">
        <v>5044</v>
      </c>
      <c r="D1894" s="64">
        <f>IFERROR(VLOOKUP(C1894,測定点マスタ!$E$2:$F$28,2,FALSE)/VLOOKUP(A1894,'焼鈍条件-3CGL'!$A$2:$B$197,2,FALSE)*60,"")</f>
        <v>25.62942861450324</v>
      </c>
      <c r="E1894" s="66">
        <v>689.3</v>
      </c>
      <c r="F1894" s="64">
        <f t="shared" si="29"/>
        <v>35.692522105263158</v>
      </c>
      <c r="G1894" s="60" t="s">
        <v>12</v>
      </c>
      <c r="H1894" s="60" t="s">
        <v>5064</v>
      </c>
    </row>
    <row r="1895" spans="1:8">
      <c r="A1895" s="59" t="s">
        <v>3253</v>
      </c>
      <c r="B1895" s="62">
        <v>4</v>
      </c>
      <c r="C1895" s="60" t="s">
        <v>5045</v>
      </c>
      <c r="D1895" s="64">
        <f>IFERROR(VLOOKUP(C1895,測定点マスタ!$E$2:$F$28,2,FALSE)/VLOOKUP(A1895,'焼鈍条件-3CGL'!$A$2:$B$197,2,FALSE)*60,"")</f>
        <v>33.167495854063013</v>
      </c>
      <c r="E1895" s="66">
        <v>831.3</v>
      </c>
      <c r="F1895" s="64">
        <f t="shared" si="29"/>
        <v>18.837720000000012</v>
      </c>
      <c r="G1895" s="60" t="s">
        <v>12</v>
      </c>
      <c r="H1895" s="60" t="s">
        <v>5064</v>
      </c>
    </row>
    <row r="1896" spans="1:8">
      <c r="A1896" s="59" t="s">
        <v>3253</v>
      </c>
      <c r="B1896" s="62">
        <v>5</v>
      </c>
      <c r="C1896" s="60" t="s">
        <v>5047</v>
      </c>
      <c r="D1896" s="64">
        <f>IFERROR(VLOOKUP(C1896,測定点マスタ!$E$2:$F$28,2,FALSE)/VLOOKUP(A1896,'焼鈍条件-3CGL'!$A$2:$B$197,2,FALSE)*60,"")</f>
        <v>45.228403437358665</v>
      </c>
      <c r="E1896" s="66">
        <v>784.1</v>
      </c>
      <c r="F1896" s="64">
        <f t="shared" si="29"/>
        <v>-3.9134699999999913</v>
      </c>
      <c r="G1896" s="60" t="s">
        <v>12</v>
      </c>
      <c r="H1896" s="60" t="s">
        <v>5064</v>
      </c>
    </row>
    <row r="1897" spans="1:8">
      <c r="A1897" s="59" t="s">
        <v>3253</v>
      </c>
      <c r="B1897" s="62">
        <v>6</v>
      </c>
      <c r="C1897" s="60" t="s">
        <v>5049</v>
      </c>
      <c r="D1897" s="64">
        <f>IFERROR(VLOOKUP(C1897,測定点マスタ!$E$2:$F$28,2,FALSE)/VLOOKUP(A1897,'焼鈍条件-3CGL'!$A$2:$B$197,2,FALSE)*60,"")</f>
        <v>55.02789084878637</v>
      </c>
      <c r="E1897" s="66">
        <v>595</v>
      </c>
      <c r="F1897" s="64">
        <f t="shared" si="29"/>
        <v>-19.296927692307705</v>
      </c>
      <c r="G1897" s="60" t="s">
        <v>12</v>
      </c>
      <c r="H1897" s="60" t="s">
        <v>5064</v>
      </c>
    </row>
    <row r="1898" spans="1:8">
      <c r="A1898" s="59" t="s">
        <v>3253</v>
      </c>
      <c r="B1898" s="62">
        <v>7</v>
      </c>
      <c r="C1898" s="60" t="s">
        <v>5050</v>
      </c>
      <c r="D1898" s="64">
        <f>IFERROR(VLOOKUP(C1898,測定点マスタ!$E$2:$F$28,2,FALSE)/VLOOKUP(A1898,'焼鈍条件-3CGL'!$A$2:$B$197,2,FALSE)*60,"")</f>
        <v>61.058344640434193</v>
      </c>
      <c r="E1898" s="66">
        <v>532.9</v>
      </c>
      <c r="F1898" s="64">
        <f t="shared" si="29"/>
        <v>-10.297732500000002</v>
      </c>
      <c r="G1898" s="60" t="s">
        <v>12</v>
      </c>
      <c r="H1898" s="60" t="s">
        <v>5064</v>
      </c>
    </row>
    <row r="1899" spans="1:8">
      <c r="A1899" s="59" t="s">
        <v>3253</v>
      </c>
      <c r="B1899" s="62">
        <v>8</v>
      </c>
      <c r="C1899" s="60" t="s">
        <v>5051</v>
      </c>
      <c r="D1899" s="64">
        <f>IFERROR(VLOOKUP(C1899,測定点マスタ!$E$2:$F$28,2,FALSE)/VLOOKUP(A1899,'焼鈍条件-3CGL'!$A$2:$B$197,2,FALSE)*60,"")</f>
        <v>66.334991708126026</v>
      </c>
      <c r="E1899" s="66">
        <v>474.8</v>
      </c>
      <c r="F1899" s="64">
        <f t="shared" si="29"/>
        <v>-11.010780000000016</v>
      </c>
      <c r="G1899" s="60" t="s">
        <v>12</v>
      </c>
      <c r="H1899" s="60" t="s">
        <v>5064</v>
      </c>
    </row>
    <row r="1900" spans="1:8">
      <c r="A1900" s="59" t="s">
        <v>3253</v>
      </c>
      <c r="B1900" s="62">
        <v>9</v>
      </c>
      <c r="C1900" s="60" t="s">
        <v>5052</v>
      </c>
      <c r="D1900" s="64">
        <f>IFERROR(VLOOKUP(C1900,測定点マスタ!$E$2:$F$28,2,FALSE)/VLOOKUP(A1900,'焼鈍条件-3CGL'!$A$2:$B$197,2,FALSE)*60,"")</f>
        <v>73.119252223729831</v>
      </c>
      <c r="E1900" s="66">
        <v>356.9</v>
      </c>
      <c r="F1900" s="64">
        <f t="shared" si="29"/>
        <v>-17.37845999999999</v>
      </c>
      <c r="G1900" s="60" t="s">
        <v>12</v>
      </c>
      <c r="H1900" s="60" t="s">
        <v>5064</v>
      </c>
    </row>
    <row r="1901" spans="1:8">
      <c r="A1901" s="59" t="s">
        <v>3253</v>
      </c>
      <c r="B1901" s="62">
        <v>10</v>
      </c>
      <c r="C1901" s="60" t="s">
        <v>5053</v>
      </c>
      <c r="D1901" s="64">
        <f>IFERROR(VLOOKUP(C1901,測定点マスタ!$E$2:$F$28,2,FALSE)/VLOOKUP(A1901,'焼鈍条件-3CGL'!$A$2:$B$197,2,FALSE)*60,"")</f>
        <v>82.164932911201561</v>
      </c>
      <c r="E1901" s="66">
        <v>562.79999999999995</v>
      </c>
      <c r="F1901" s="64">
        <f t="shared" si="29"/>
        <v>22.762245000000004</v>
      </c>
      <c r="G1901" s="60" t="s">
        <v>12</v>
      </c>
      <c r="H1901" s="60" t="s">
        <v>5064</v>
      </c>
    </row>
    <row r="1902" spans="1:8">
      <c r="A1902" s="59" t="s">
        <v>3253</v>
      </c>
      <c r="B1902" s="62">
        <v>11</v>
      </c>
      <c r="C1902" s="60" t="s">
        <v>5054</v>
      </c>
      <c r="D1902" s="64">
        <f>IFERROR(VLOOKUP(C1902,測定点マスタ!$E$2:$F$28,2,FALSE)/VLOOKUP(A1902,'焼鈍条件-3CGL'!$A$2:$B$197,2,FALSE)*60,"")</f>
        <v>91.964420322629266</v>
      </c>
      <c r="E1902" s="66">
        <v>541.79999999999995</v>
      </c>
      <c r="F1902" s="64">
        <f t="shared" si="29"/>
        <v>-2.1429692307692316</v>
      </c>
      <c r="G1902" s="60" t="s">
        <v>12</v>
      </c>
      <c r="H1902" s="60" t="s">
        <v>5064</v>
      </c>
    </row>
    <row r="1903" spans="1:8">
      <c r="A1903" s="59" t="s">
        <v>3253</v>
      </c>
      <c r="B1903" s="62">
        <v>12</v>
      </c>
      <c r="C1903" s="60" t="s">
        <v>5056</v>
      </c>
      <c r="D1903" s="64">
        <f>IFERROR(VLOOKUP(C1903,測定点マスタ!$E$2:$F$28,2,FALSE)/VLOOKUP(A1903,'焼鈍条件-3CGL'!$A$2:$B$197,2,FALSE)*60,"")</f>
        <v>100.25629428614504</v>
      </c>
      <c r="E1903" s="66">
        <v>294.3</v>
      </c>
      <c r="F1903" s="64">
        <f t="shared" si="29"/>
        <v>-29.848499999999941</v>
      </c>
      <c r="G1903" s="60" t="s">
        <v>12</v>
      </c>
      <c r="H1903" s="60" t="s">
        <v>5064</v>
      </c>
    </row>
    <row r="1904" spans="1:8">
      <c r="A1904" s="59" t="s">
        <v>3253</v>
      </c>
      <c r="B1904" s="62">
        <v>13</v>
      </c>
      <c r="C1904" s="60" t="s">
        <v>5062</v>
      </c>
      <c r="D1904" s="64">
        <f>IFERROR(VLOOKUP(C1904,測定点マスタ!$E$2:$F$28,2,FALSE)/VLOOKUP(A1904,'焼鈍条件-3CGL'!$A$2:$B$197,2,FALSE)*60,"")</f>
        <v>109.30197497361677</v>
      </c>
      <c r="E1904" s="66">
        <v>463.4</v>
      </c>
      <c r="F1904" s="64">
        <f t="shared" si="29"/>
        <v>18.694005000000001</v>
      </c>
      <c r="G1904" s="60" t="s">
        <v>12</v>
      </c>
      <c r="H1904" s="60" t="s">
        <v>5064</v>
      </c>
    </row>
    <row r="1905" spans="1:8">
      <c r="A1905" s="59" t="s">
        <v>3253</v>
      </c>
      <c r="B1905" s="62">
        <v>14</v>
      </c>
      <c r="C1905" s="60" t="s">
        <v>5065</v>
      </c>
      <c r="D1905" s="64">
        <f>IFERROR(VLOOKUP(C1905,測定点マスタ!$E$2:$F$28,2,FALSE)/VLOOKUP(A1905,'焼鈍条件-3CGL'!$A$2:$B$197,2,FALSE)*60,"")</f>
        <v>110.64805840925222</v>
      </c>
      <c r="E1905" s="66">
        <v>543.70000000000005</v>
      </c>
      <c r="F1905" s="64">
        <f t="shared" si="29"/>
        <v>59.654548800010012</v>
      </c>
      <c r="G1905" s="60" t="s">
        <v>12</v>
      </c>
      <c r="H1905" s="60" t="s">
        <v>5064</v>
      </c>
    </row>
    <row r="1906" spans="1:8">
      <c r="A1906" s="59" t="s">
        <v>3253</v>
      </c>
      <c r="B1906" s="62">
        <v>15</v>
      </c>
      <c r="C1906" s="60" t="s">
        <v>5066</v>
      </c>
      <c r="D1906" s="64">
        <f>IFERROR(VLOOKUP(C1906,測定点マスタ!$E$2:$F$28,2,FALSE)/VLOOKUP(A1906,'焼鈍条件-3CGL'!$A$2:$B$197,2,FALSE)*60,"")</f>
        <v>115.19782042170134</v>
      </c>
      <c r="E1906" s="66">
        <v>535.29999999999995</v>
      </c>
      <c r="F1906" s="64">
        <f t="shared" si="29"/>
        <v>-1.8462504142009832</v>
      </c>
      <c r="G1906" s="60" t="s">
        <v>12</v>
      </c>
      <c r="H1906" s="60" t="s">
        <v>5064</v>
      </c>
    </row>
    <row r="1907" spans="1:8">
      <c r="A1907" s="59" t="s">
        <v>3253</v>
      </c>
      <c r="B1907" s="62">
        <v>16</v>
      </c>
      <c r="C1907" s="60" t="s">
        <v>5057</v>
      </c>
      <c r="D1907" s="64">
        <f>IFERROR(VLOOKUP(C1907,測定点マスタ!$E$2:$F$28,2,FALSE)/VLOOKUP(A1907,'焼鈍条件-3CGL'!$A$2:$B$197,2,FALSE)*60,"")</f>
        <v>124.29734444659806</v>
      </c>
      <c r="E1907" s="66">
        <v>201.8</v>
      </c>
      <c r="F1907" s="64">
        <f t="shared" si="29"/>
        <v>-36.650268639055</v>
      </c>
      <c r="G1907" s="60" t="s">
        <v>12</v>
      </c>
      <c r="H1907" s="60" t="s">
        <v>5064</v>
      </c>
    </row>
    <row r="1908" spans="1:8">
      <c r="A1908" s="59" t="s">
        <v>3253</v>
      </c>
      <c r="B1908" s="62">
        <v>17</v>
      </c>
      <c r="C1908" s="60" t="s">
        <v>5059</v>
      </c>
      <c r="D1908" s="64">
        <f>IFERROR(VLOOKUP(C1908,測定点マスタ!$E$2:$F$28,2,FALSE)/VLOOKUP(A1908,'焼鈍条件-3CGL'!$A$2:$B$197,2,FALSE)*60,"")</f>
        <v>133.39686847149557</v>
      </c>
      <c r="E1908" s="66">
        <v>51.9</v>
      </c>
      <c r="F1908" s="64">
        <f t="shared" si="29"/>
        <v>-16.473389112425409</v>
      </c>
      <c r="G1908" s="60" t="s">
        <v>12</v>
      </c>
      <c r="H1908" s="60" t="s">
        <v>5064</v>
      </c>
    </row>
    <row r="1909" spans="1:8">
      <c r="A1909" s="59" t="s">
        <v>3264</v>
      </c>
      <c r="B1909" s="62">
        <v>1</v>
      </c>
      <c r="C1909" s="60" t="s">
        <v>5041</v>
      </c>
      <c r="D1909" s="64">
        <f>IFERROR(VLOOKUP(C1909,測定点マスタ!$E$2:$F$28,2,FALSE)/VLOOKUP(A1909,'焼鈍条件-3CGL'!$A$2:$B$197,2,FALSE)*60,"")</f>
        <v>0</v>
      </c>
      <c r="E1909" s="66">
        <v>25.8</v>
      </c>
      <c r="F1909" s="64" t="str">
        <f t="shared" si="29"/>
        <v/>
      </c>
      <c r="G1909" s="60" t="s">
        <v>9</v>
      </c>
      <c r="H1909" s="60" t="s">
        <v>5064</v>
      </c>
    </row>
    <row r="1910" spans="1:8">
      <c r="A1910" s="59" t="s">
        <v>3264</v>
      </c>
      <c r="B1910" s="62">
        <v>2</v>
      </c>
      <c r="C1910" s="60" t="s">
        <v>5043</v>
      </c>
      <c r="D1910" s="64">
        <f>IFERROR(VLOOKUP(C1910,測定点マスタ!$E$2:$F$28,2,FALSE)/VLOOKUP(A1910,'焼鈍条件-3CGL'!$A$2:$B$197,2,FALSE)*60,"")</f>
        <v>10.7900731327179</v>
      </c>
      <c r="E1910" s="66">
        <v>176.3</v>
      </c>
      <c r="F1910" s="64">
        <f t="shared" si="29"/>
        <v>13.948005555555554</v>
      </c>
      <c r="G1910" s="60" t="s">
        <v>9</v>
      </c>
      <c r="H1910" s="60" t="s">
        <v>5064</v>
      </c>
    </row>
    <row r="1911" spans="1:8">
      <c r="A1911" s="59" t="s">
        <v>3264</v>
      </c>
      <c r="B1911" s="62">
        <v>3</v>
      </c>
      <c r="C1911" s="60" t="s">
        <v>5044</v>
      </c>
      <c r="D1911" s="64">
        <f>IFERROR(VLOOKUP(C1911,測定点マスタ!$E$2:$F$28,2,FALSE)/VLOOKUP(A1911,'焼鈍条件-3CGL'!$A$2:$B$197,2,FALSE)*60,"")</f>
        <v>24.457499100827242</v>
      </c>
      <c r="E1911" s="66">
        <v>699</v>
      </c>
      <c r="F1911" s="64">
        <f t="shared" si="29"/>
        <v>38.244216666666667</v>
      </c>
      <c r="G1911" s="60" t="s">
        <v>9</v>
      </c>
      <c r="H1911" s="60" t="s">
        <v>5064</v>
      </c>
    </row>
    <row r="1912" spans="1:8">
      <c r="A1912" s="59" t="s">
        <v>3264</v>
      </c>
      <c r="B1912" s="62">
        <v>4</v>
      </c>
      <c r="C1912" s="60" t="s">
        <v>5045</v>
      </c>
      <c r="D1912" s="64">
        <f>IFERROR(VLOOKUP(C1912,測定点マスタ!$E$2:$F$28,2,FALSE)/VLOOKUP(A1912,'焼鈍条件-3CGL'!$A$2:$B$197,2,FALSE)*60,"")</f>
        <v>31.650881189305842</v>
      </c>
      <c r="E1912" s="66">
        <v>850.1</v>
      </c>
      <c r="F1912" s="64">
        <f t="shared" si="29"/>
        <v>21.005418333333335</v>
      </c>
      <c r="G1912" s="60" t="s">
        <v>9</v>
      </c>
      <c r="H1912" s="60" t="s">
        <v>5064</v>
      </c>
    </row>
    <row r="1913" spans="1:8">
      <c r="A1913" s="59" t="s">
        <v>3264</v>
      </c>
      <c r="B1913" s="62">
        <v>5</v>
      </c>
      <c r="C1913" s="60" t="s">
        <v>5047</v>
      </c>
      <c r="D1913" s="64">
        <f>IFERROR(VLOOKUP(C1913,測定点マスタ!$E$2:$F$28,2,FALSE)/VLOOKUP(A1913,'焼鈍条件-3CGL'!$A$2:$B$197,2,FALSE)*60,"")</f>
        <v>43.160292530871601</v>
      </c>
      <c r="E1913" s="66">
        <v>774.3</v>
      </c>
      <c r="F1913" s="64">
        <f t="shared" si="29"/>
        <v>-6.5859145833333397</v>
      </c>
      <c r="G1913" s="60" t="s">
        <v>9</v>
      </c>
      <c r="H1913" s="60" t="s">
        <v>5064</v>
      </c>
    </row>
    <row r="1914" spans="1:8">
      <c r="A1914" s="59" t="s">
        <v>3264</v>
      </c>
      <c r="B1914" s="62">
        <v>6</v>
      </c>
      <c r="C1914" s="60" t="s">
        <v>5049</v>
      </c>
      <c r="D1914" s="64">
        <f>IFERROR(VLOOKUP(C1914,測定点マスタ!$E$2:$F$28,2,FALSE)/VLOOKUP(A1914,'焼鈍条件-3CGL'!$A$2:$B$197,2,FALSE)*60,"")</f>
        <v>52.511689245893777</v>
      </c>
      <c r="E1914" s="66">
        <v>615.20000000000005</v>
      </c>
      <c r="F1914" s="64">
        <f t="shared" si="29"/>
        <v>-17.01350128205128</v>
      </c>
      <c r="G1914" s="60" t="s">
        <v>9</v>
      </c>
      <c r="H1914" s="60" t="s">
        <v>5064</v>
      </c>
    </row>
    <row r="1915" spans="1:8">
      <c r="A1915" s="59" t="s">
        <v>3264</v>
      </c>
      <c r="B1915" s="62">
        <v>7</v>
      </c>
      <c r="C1915" s="60" t="s">
        <v>5050</v>
      </c>
      <c r="D1915" s="64">
        <f>IFERROR(VLOOKUP(C1915,測定点マスタ!$E$2:$F$28,2,FALSE)/VLOOKUP(A1915,'焼鈍条件-3CGL'!$A$2:$B$197,2,FALSE)*60,"")</f>
        <v>58.26639491667666</v>
      </c>
      <c r="E1915" s="66">
        <v>535.6</v>
      </c>
      <c r="F1915" s="64">
        <f t="shared" si="29"/>
        <v>-13.832158333333329</v>
      </c>
      <c r="G1915" s="60" t="s">
        <v>9</v>
      </c>
      <c r="H1915" s="60" t="s">
        <v>5064</v>
      </c>
    </row>
    <row r="1916" spans="1:8">
      <c r="A1916" s="59" t="s">
        <v>3264</v>
      </c>
      <c r="B1916" s="62">
        <v>8</v>
      </c>
      <c r="C1916" s="60" t="s">
        <v>5051</v>
      </c>
      <c r="D1916" s="64">
        <f>IFERROR(VLOOKUP(C1916,測定点マスタ!$E$2:$F$28,2,FALSE)/VLOOKUP(A1916,'焼鈍条件-3CGL'!$A$2:$B$197,2,FALSE)*60,"")</f>
        <v>63.301762378611684</v>
      </c>
      <c r="E1916" s="66">
        <v>489.3</v>
      </c>
      <c r="F1916" s="64">
        <f t="shared" si="29"/>
        <v>-9.1949595238095174</v>
      </c>
      <c r="G1916" s="60" t="s">
        <v>9</v>
      </c>
      <c r="H1916" s="60" t="s">
        <v>5064</v>
      </c>
    </row>
    <row r="1917" spans="1:8">
      <c r="A1917" s="59" t="s">
        <v>3264</v>
      </c>
      <c r="B1917" s="62">
        <v>9</v>
      </c>
      <c r="C1917" s="60" t="s">
        <v>5052</v>
      </c>
      <c r="D1917" s="64">
        <f>IFERROR(VLOOKUP(C1917,測定点マスタ!$E$2:$F$28,2,FALSE)/VLOOKUP(A1917,'焼鈍条件-3CGL'!$A$2:$B$197,2,FALSE)*60,"")</f>
        <v>69.775806258242426</v>
      </c>
      <c r="E1917" s="66">
        <v>352.1</v>
      </c>
      <c r="F1917" s="64">
        <f t="shared" si="29"/>
        <v>-21.192318518518512</v>
      </c>
      <c r="G1917" s="60" t="s">
        <v>9</v>
      </c>
      <c r="H1917" s="60" t="s">
        <v>5064</v>
      </c>
    </row>
    <row r="1918" spans="1:8">
      <c r="A1918" s="59" t="s">
        <v>3264</v>
      </c>
      <c r="B1918" s="62">
        <v>10</v>
      </c>
      <c r="C1918" s="60" t="s">
        <v>5053</v>
      </c>
      <c r="D1918" s="64">
        <f>IFERROR(VLOOKUP(C1918,測定点マスタ!$E$2:$F$28,2,FALSE)/VLOOKUP(A1918,'焼鈍条件-3CGL'!$A$2:$B$197,2,FALSE)*60,"")</f>
        <v>78.407864764416743</v>
      </c>
      <c r="E1918" s="66">
        <v>554.29999999999995</v>
      </c>
      <c r="F1918" s="64">
        <f t="shared" si="29"/>
        <v>23.424308333333332</v>
      </c>
      <c r="G1918" s="60" t="s">
        <v>9</v>
      </c>
      <c r="H1918" s="60" t="s">
        <v>5064</v>
      </c>
    </row>
    <row r="1919" spans="1:8">
      <c r="A1919" s="59" t="s">
        <v>3264</v>
      </c>
      <c r="B1919" s="62">
        <v>11</v>
      </c>
      <c r="C1919" s="60" t="s">
        <v>5054</v>
      </c>
      <c r="D1919" s="64">
        <f>IFERROR(VLOOKUP(C1919,測定点マスタ!$E$2:$F$28,2,FALSE)/VLOOKUP(A1919,'焼鈍条件-3CGL'!$A$2:$B$197,2,FALSE)*60,"")</f>
        <v>87.759261479438919</v>
      </c>
      <c r="E1919" s="66">
        <v>536.1</v>
      </c>
      <c r="F1919" s="64">
        <f t="shared" si="29"/>
        <v>-1.9462333333333268</v>
      </c>
      <c r="G1919" s="60" t="s">
        <v>9</v>
      </c>
      <c r="H1919" s="60" t="s">
        <v>5064</v>
      </c>
    </row>
    <row r="1920" spans="1:8">
      <c r="A1920" s="59" t="s">
        <v>3264</v>
      </c>
      <c r="B1920" s="62">
        <v>12</v>
      </c>
      <c r="C1920" s="60" t="s">
        <v>5056</v>
      </c>
      <c r="D1920" s="64">
        <f>IFERROR(VLOOKUP(C1920,測定点マスタ!$E$2:$F$28,2,FALSE)/VLOOKUP(A1920,'焼鈍条件-3CGL'!$A$2:$B$197,2,FALSE)*60,"")</f>
        <v>95.671981776765378</v>
      </c>
      <c r="E1920" s="66">
        <v>299.5</v>
      </c>
      <c r="F1920" s="64">
        <f t="shared" si="29"/>
        <v>-29.901221212121218</v>
      </c>
      <c r="G1920" s="60" t="s">
        <v>9</v>
      </c>
      <c r="H1920" s="60" t="s">
        <v>5064</v>
      </c>
    </row>
    <row r="1921" spans="1:8">
      <c r="A1921" s="59" t="s">
        <v>3264</v>
      </c>
      <c r="B1921" s="62">
        <v>13</v>
      </c>
      <c r="C1921" s="60" t="s">
        <v>5062</v>
      </c>
      <c r="D1921" s="64">
        <f>IFERROR(VLOOKUP(C1921,測定点マスタ!$E$2:$F$28,2,FALSE)/VLOOKUP(A1921,'焼鈍条件-3CGL'!$A$2:$B$197,2,FALSE)*60,"")</f>
        <v>104.3040402829397</v>
      </c>
      <c r="E1921" s="66">
        <v>461.5</v>
      </c>
      <c r="F1921" s="64">
        <f t="shared" si="29"/>
        <v>18.767250000000004</v>
      </c>
      <c r="G1921" s="60" t="s">
        <v>9</v>
      </c>
      <c r="H1921" s="60" t="s">
        <v>5064</v>
      </c>
    </row>
    <row r="1922" spans="1:8">
      <c r="A1922" s="59" t="s">
        <v>3264</v>
      </c>
      <c r="B1922" s="62">
        <v>14</v>
      </c>
      <c r="C1922" s="60" t="s">
        <v>5065</v>
      </c>
      <c r="D1922" s="64">
        <f>IFERROR(VLOOKUP(C1922,測定点マスタ!$E$2:$F$28,2,FALSE)/VLOOKUP(A1922,'焼鈍条件-3CGL'!$A$2:$B$197,2,FALSE)*60,"")</f>
        <v>105.58857279873924</v>
      </c>
      <c r="E1922" s="66">
        <v>548.1</v>
      </c>
      <c r="F1922" s="64">
        <f t="shared" ref="F1922:F1985" si="30">IF(A1922=A1921,IFERROR((E1922-E1921)/(D1922-D1921),""),"")</f>
        <v>67.417522666677684</v>
      </c>
      <c r="G1922" s="60" t="s">
        <v>9</v>
      </c>
      <c r="H1922" s="60" t="s">
        <v>5064</v>
      </c>
    </row>
    <row r="1923" spans="1:8">
      <c r="A1923" s="59" t="s">
        <v>3264</v>
      </c>
      <c r="B1923" s="62">
        <v>15</v>
      </c>
      <c r="C1923" s="60" t="s">
        <v>5066</v>
      </c>
      <c r="D1923" s="64">
        <f>IFERROR(VLOOKUP(C1923,測定点マスタ!$E$2:$F$28,2,FALSE)/VLOOKUP(A1923,'焼鈍条件-3CGL'!$A$2:$B$197,2,FALSE)*60,"")</f>
        <v>109.93029270214292</v>
      </c>
      <c r="E1923" s="66">
        <v>533.9</v>
      </c>
      <c r="F1923" s="64">
        <f t="shared" si="30"/>
        <v>-3.2705932938852125</v>
      </c>
      <c r="G1923" s="60" t="s">
        <v>9</v>
      </c>
      <c r="H1923" s="60" t="s">
        <v>5064</v>
      </c>
    </row>
    <row r="1924" spans="1:8">
      <c r="A1924" s="59" t="s">
        <v>3264</v>
      </c>
      <c r="B1924" s="62">
        <v>16</v>
      </c>
      <c r="C1924" s="60" t="s">
        <v>5057</v>
      </c>
      <c r="D1924" s="64">
        <f>IFERROR(VLOOKUP(C1924,測定点マスタ!$E$2:$F$28,2,FALSE)/VLOOKUP(A1924,'焼鈍条件-3CGL'!$A$2:$B$197,2,FALSE)*60,"")</f>
        <v>118.6137325089488</v>
      </c>
      <c r="E1924" s="66">
        <v>189.7</v>
      </c>
      <c r="F1924" s="64">
        <f t="shared" si="30"/>
        <v>-39.638669428009855</v>
      </c>
      <c r="G1924" s="60" t="s">
        <v>9</v>
      </c>
      <c r="H1924" s="60" t="s">
        <v>5064</v>
      </c>
    </row>
    <row r="1925" spans="1:8">
      <c r="A1925" s="59" t="s">
        <v>3264</v>
      </c>
      <c r="B1925" s="62">
        <v>17</v>
      </c>
      <c r="C1925" s="60" t="s">
        <v>5058</v>
      </c>
      <c r="D1925" s="64">
        <f>IFERROR(VLOOKUP(C1925,測定点マスタ!$E$2:$F$28,2,FALSE)/VLOOKUP(A1925,'焼鈍条件-3CGL'!$A$2:$B$197,2,FALSE)*60,"")</f>
        <v>122.95545241235176</v>
      </c>
      <c r="E1925" s="66">
        <v>125</v>
      </c>
      <c r="F1925" s="64">
        <f t="shared" si="30"/>
        <v>-14.901928599606187</v>
      </c>
      <c r="G1925" s="60" t="s">
        <v>9</v>
      </c>
      <c r="H1925" s="60" t="s">
        <v>5064</v>
      </c>
    </row>
    <row r="1926" spans="1:8">
      <c r="A1926" s="59" t="s">
        <v>3264</v>
      </c>
      <c r="B1926" s="62">
        <v>18</v>
      </c>
      <c r="C1926" s="60" t="s">
        <v>5059</v>
      </c>
      <c r="D1926" s="64">
        <f>IFERROR(VLOOKUP(C1926,測定点マスタ!$E$2:$F$28,2,FALSE)/VLOOKUP(A1926,'焼鈍条件-3CGL'!$A$2:$B$197,2,FALSE)*60,"")</f>
        <v>127.29717231575543</v>
      </c>
      <c r="E1926" s="66">
        <v>72.3</v>
      </c>
      <c r="F1926" s="64">
        <f t="shared" si="30"/>
        <v>-12.138046942799345</v>
      </c>
      <c r="G1926" s="60" t="s">
        <v>9</v>
      </c>
      <c r="H1926" s="60" t="s">
        <v>5064</v>
      </c>
    </row>
    <row r="1927" spans="1:8">
      <c r="A1927" s="59" t="s">
        <v>3269</v>
      </c>
      <c r="B1927" s="62">
        <v>1</v>
      </c>
      <c r="C1927" s="60" t="s">
        <v>5041</v>
      </c>
      <c r="D1927" s="64">
        <f>IFERROR(VLOOKUP(C1927,測定点マスタ!$E$2:$F$28,2,FALSE)/VLOOKUP(A1927,'焼鈍条件-3CGL'!$A$2:$B$197,2,FALSE)*60,"")</f>
        <v>0</v>
      </c>
      <c r="E1927" s="66">
        <v>28</v>
      </c>
      <c r="F1927" s="64" t="str">
        <f t="shared" si="30"/>
        <v/>
      </c>
      <c r="G1927" s="60" t="s">
        <v>12</v>
      </c>
      <c r="H1927" s="60" t="s">
        <v>5061</v>
      </c>
    </row>
    <row r="1928" spans="1:8">
      <c r="A1928" s="59" t="s">
        <v>3269</v>
      </c>
      <c r="B1928" s="62">
        <v>2</v>
      </c>
      <c r="C1928" s="60" t="s">
        <v>5043</v>
      </c>
      <c r="D1928" s="64">
        <f>IFERROR(VLOOKUP(C1928,測定点マスタ!$E$2:$F$28,2,FALSE)/VLOOKUP(A1928,'焼鈍条件-3CGL'!$A$2:$B$197,2,FALSE)*60,"")</f>
        <v>6.8418171866447715</v>
      </c>
      <c r="E1928" s="66">
        <v>158.1</v>
      </c>
      <c r="F1928" s="64">
        <f t="shared" si="30"/>
        <v>19.015416000000002</v>
      </c>
      <c r="G1928" s="60" t="s">
        <v>12</v>
      </c>
      <c r="H1928" s="60" t="s">
        <v>5061</v>
      </c>
    </row>
    <row r="1929" spans="1:8">
      <c r="A1929" s="59" t="s">
        <v>3269</v>
      </c>
      <c r="B1929" s="62">
        <v>3</v>
      </c>
      <c r="C1929" s="60" t="s">
        <v>5067</v>
      </c>
      <c r="D1929" s="64">
        <f>IFERROR(VLOOKUP(C1929,測定点マスタ!$E$2:$F$28,2,FALSE)/VLOOKUP(A1929,'焼鈍条件-3CGL'!$A$2:$B$197,2,FALSE)*60,"")</f>
        <v>11.403028644407954</v>
      </c>
      <c r="E1929" s="66">
        <v>354.7</v>
      </c>
      <c r="F1929" s="64">
        <f t="shared" si="30"/>
        <v>43.102583999999993</v>
      </c>
      <c r="G1929" s="60" t="s">
        <v>12</v>
      </c>
      <c r="H1929" s="60" t="s">
        <v>5061</v>
      </c>
    </row>
    <row r="1930" spans="1:8">
      <c r="A1930" s="59" t="s">
        <v>3269</v>
      </c>
      <c r="B1930" s="62">
        <v>4</v>
      </c>
      <c r="C1930" s="60" t="s">
        <v>5044</v>
      </c>
      <c r="D1930" s="64">
        <f>IFERROR(VLOOKUP(C1930,測定点マスタ!$E$2:$F$28,2,FALSE)/VLOOKUP(A1930,'焼鈍条件-3CGL'!$A$2:$B$197,2,FALSE)*60,"")</f>
        <v>15.508118956394819</v>
      </c>
      <c r="E1930" s="66">
        <v>627.20000000000005</v>
      </c>
      <c r="F1930" s="64">
        <f t="shared" si="30"/>
        <v>66.380999999999986</v>
      </c>
      <c r="G1930" s="60" t="s">
        <v>12</v>
      </c>
      <c r="H1930" s="60" t="s">
        <v>5061</v>
      </c>
    </row>
    <row r="1931" spans="1:8">
      <c r="A1931" s="59" t="s">
        <v>3269</v>
      </c>
      <c r="B1931" s="62">
        <v>5</v>
      </c>
      <c r="C1931" s="60" t="s">
        <v>5045</v>
      </c>
      <c r="D1931" s="64">
        <f>IFERROR(VLOOKUP(C1931,測定点マスタ!$E$2:$F$28,2,FALSE)/VLOOKUP(A1931,'焼鈍条件-3CGL'!$A$2:$B$197,2,FALSE)*60,"")</f>
        <v>20.069330414157999</v>
      </c>
      <c r="E1931" s="66">
        <v>765.3</v>
      </c>
      <c r="F1931" s="64">
        <f t="shared" si="30"/>
        <v>30.277043999999989</v>
      </c>
      <c r="G1931" s="60" t="s">
        <v>12</v>
      </c>
      <c r="H1931" s="60" t="s">
        <v>5061</v>
      </c>
    </row>
    <row r="1932" spans="1:8">
      <c r="A1932" s="59" t="s">
        <v>3269</v>
      </c>
      <c r="B1932" s="62">
        <v>6</v>
      </c>
      <c r="C1932" s="60" t="s">
        <v>5047</v>
      </c>
      <c r="D1932" s="64">
        <f>IFERROR(VLOOKUP(C1932,測定点マスタ!$E$2:$F$28,2,FALSE)/VLOOKUP(A1932,'焼鈍条件-3CGL'!$A$2:$B$197,2,FALSE)*60,"")</f>
        <v>27.367268746579086</v>
      </c>
      <c r="E1932" s="66">
        <v>689.1</v>
      </c>
      <c r="F1932" s="64">
        <f t="shared" si="30"/>
        <v>-10.441304999999998</v>
      </c>
      <c r="G1932" s="60" t="s">
        <v>12</v>
      </c>
      <c r="H1932" s="60" t="s">
        <v>5061</v>
      </c>
    </row>
    <row r="1933" spans="1:8">
      <c r="A1933" s="59" t="s">
        <v>3269</v>
      </c>
      <c r="B1933" s="62">
        <v>7</v>
      </c>
      <c r="C1933" s="60" t="s">
        <v>5048</v>
      </c>
      <c r="D1933" s="64">
        <f>IFERROR(VLOOKUP(C1933,測定点マスタ!$E$2:$F$28,2,FALSE)/VLOOKUP(A1933,'焼鈍条件-3CGL'!$A$2:$B$197,2,FALSE)*60,"")</f>
        <v>30.103995621236997</v>
      </c>
      <c r="E1933" s="66">
        <v>657</v>
      </c>
      <c r="F1933" s="64">
        <f t="shared" si="30"/>
        <v>-11.729339999999999</v>
      </c>
      <c r="G1933" s="60" t="s">
        <v>12</v>
      </c>
      <c r="H1933" s="60" t="s">
        <v>5061</v>
      </c>
    </row>
    <row r="1934" spans="1:8">
      <c r="A1934" s="59" t="s">
        <v>3269</v>
      </c>
      <c r="B1934" s="62">
        <v>8</v>
      </c>
      <c r="C1934" s="60" t="s">
        <v>5049</v>
      </c>
      <c r="D1934" s="64">
        <f>IFERROR(VLOOKUP(C1934,測定点マスタ!$E$2:$F$28,2,FALSE)/VLOOKUP(A1934,'焼鈍条件-3CGL'!$A$2:$B$197,2,FALSE)*60,"")</f>
        <v>33.296843641671224</v>
      </c>
      <c r="E1934" s="66">
        <v>572.70000000000005</v>
      </c>
      <c r="F1934" s="64">
        <f t="shared" si="30"/>
        <v>-26.402759999999994</v>
      </c>
      <c r="G1934" s="60" t="s">
        <v>12</v>
      </c>
      <c r="H1934" s="60" t="s">
        <v>5061</v>
      </c>
    </row>
    <row r="1935" spans="1:8">
      <c r="A1935" s="59" t="s">
        <v>3269</v>
      </c>
      <c r="B1935" s="62">
        <v>9</v>
      </c>
      <c r="C1935" s="60" t="s">
        <v>5050</v>
      </c>
      <c r="D1935" s="64">
        <f>IFERROR(VLOOKUP(C1935,測定点マスタ!$E$2:$F$28,2,FALSE)/VLOOKUP(A1935,'焼鈍条件-3CGL'!$A$2:$B$197,2,FALSE)*60,"")</f>
        <v>36.945812807881765</v>
      </c>
      <c r="E1935" s="66">
        <v>464.8</v>
      </c>
      <c r="F1935" s="64">
        <f t="shared" si="30"/>
        <v>-29.569995000000041</v>
      </c>
      <c r="G1935" s="60" t="s">
        <v>12</v>
      </c>
      <c r="H1935" s="60" t="s">
        <v>5061</v>
      </c>
    </row>
    <row r="1936" spans="1:8">
      <c r="A1936" s="59" t="s">
        <v>3269</v>
      </c>
      <c r="B1936" s="62">
        <v>10</v>
      </c>
      <c r="C1936" s="60" t="s">
        <v>5051</v>
      </c>
      <c r="D1936" s="64">
        <f>IFERROR(VLOOKUP(C1936,測定点マスタ!$E$2:$F$28,2,FALSE)/VLOOKUP(A1936,'焼鈍条件-3CGL'!$A$2:$B$197,2,FALSE)*60,"")</f>
        <v>40.138660828315999</v>
      </c>
      <c r="E1936" s="66">
        <v>444.9</v>
      </c>
      <c r="F1936" s="64">
        <f t="shared" si="30"/>
        <v>-6.2326799999999984</v>
      </c>
      <c r="G1936" s="60" t="s">
        <v>12</v>
      </c>
      <c r="H1936" s="60" t="s">
        <v>5061</v>
      </c>
    </row>
    <row r="1937" spans="1:8">
      <c r="A1937" s="59" t="s">
        <v>3269</v>
      </c>
      <c r="B1937" s="62">
        <v>11</v>
      </c>
      <c r="C1937" s="60" t="s">
        <v>5060</v>
      </c>
      <c r="D1937" s="64">
        <f>IFERROR(VLOOKUP(C1937,測定点マスタ!$E$2:$F$28,2,FALSE)/VLOOKUP(A1937,'焼鈍条件-3CGL'!$A$2:$B$197,2,FALSE)*60,"")</f>
        <v>41.963145411421273</v>
      </c>
      <c r="E1937" s="66">
        <v>368.6</v>
      </c>
      <c r="F1937" s="64">
        <f t="shared" si="30"/>
        <v>-41.820029999999939</v>
      </c>
      <c r="G1937" s="60" t="s">
        <v>12</v>
      </c>
      <c r="H1937" s="60" t="s">
        <v>5061</v>
      </c>
    </row>
    <row r="1938" spans="1:8">
      <c r="A1938" s="59" t="s">
        <v>3269</v>
      </c>
      <c r="B1938" s="62">
        <v>12</v>
      </c>
      <c r="C1938" s="60" t="s">
        <v>5052</v>
      </c>
      <c r="D1938" s="64">
        <f>IFERROR(VLOOKUP(C1938,測定点マスタ!$E$2:$F$28,2,FALSE)/VLOOKUP(A1938,'焼鈍条件-3CGL'!$A$2:$B$197,2,FALSE)*60,"")</f>
        <v>44.243751140302862</v>
      </c>
      <c r="E1938" s="66">
        <v>343</v>
      </c>
      <c r="F1938" s="64">
        <f t="shared" si="30"/>
        <v>-11.225088000000017</v>
      </c>
      <c r="G1938" s="60" t="s">
        <v>12</v>
      </c>
      <c r="H1938" s="60" t="s">
        <v>5061</v>
      </c>
    </row>
    <row r="1939" spans="1:8">
      <c r="A1939" s="59" t="s">
        <v>3269</v>
      </c>
      <c r="B1939" s="62">
        <v>13</v>
      </c>
      <c r="C1939" s="60" t="s">
        <v>5053</v>
      </c>
      <c r="D1939" s="64">
        <f>IFERROR(VLOOKUP(C1939,測定点マスタ!$E$2:$F$28,2,FALSE)/VLOOKUP(A1939,'焼鈍条件-3CGL'!$A$2:$B$197,2,FALSE)*60,"")</f>
        <v>49.717204889618678</v>
      </c>
      <c r="E1939" s="66">
        <v>510.7</v>
      </c>
      <c r="F1939" s="64">
        <f t="shared" si="30"/>
        <v>30.638790000000011</v>
      </c>
      <c r="G1939" s="60" t="s">
        <v>12</v>
      </c>
      <c r="H1939" s="60" t="s">
        <v>5061</v>
      </c>
    </row>
    <row r="1940" spans="1:8">
      <c r="A1940" s="59" t="s">
        <v>3269</v>
      </c>
      <c r="B1940" s="62">
        <v>14</v>
      </c>
      <c r="C1940" s="60" t="s">
        <v>5063</v>
      </c>
      <c r="D1940" s="64">
        <f>IFERROR(VLOOKUP(C1940,測定点マスタ!$E$2:$F$28,2,FALSE)/VLOOKUP(A1940,'焼鈍条件-3CGL'!$A$2:$B$197,2,FALSE)*60,"")</f>
        <v>52.453931764276589</v>
      </c>
      <c r="E1940" s="66">
        <v>516.4</v>
      </c>
      <c r="F1940" s="64">
        <f t="shared" si="30"/>
        <v>2.0827799999999943</v>
      </c>
      <c r="G1940" s="60" t="s">
        <v>12</v>
      </c>
      <c r="H1940" s="60" t="s">
        <v>5061</v>
      </c>
    </row>
    <row r="1941" spans="1:8">
      <c r="A1941" s="59" t="s">
        <v>3269</v>
      </c>
      <c r="B1941" s="62">
        <v>15</v>
      </c>
      <c r="C1941" s="60" t="s">
        <v>5054</v>
      </c>
      <c r="D1941" s="64">
        <f>IFERROR(VLOOKUP(C1941,測定点マスタ!$E$2:$F$28,2,FALSE)/VLOOKUP(A1941,'焼鈍条件-3CGL'!$A$2:$B$197,2,FALSE)*60,"")</f>
        <v>55.646779784710816</v>
      </c>
      <c r="E1941" s="66">
        <v>505</v>
      </c>
      <c r="F1941" s="64">
        <f t="shared" si="30"/>
        <v>-3.5704799999999937</v>
      </c>
      <c r="G1941" s="60" t="s">
        <v>12</v>
      </c>
      <c r="H1941" s="60" t="s">
        <v>5061</v>
      </c>
    </row>
    <row r="1942" spans="1:8">
      <c r="A1942" s="59" t="s">
        <v>3269</v>
      </c>
      <c r="B1942" s="62">
        <v>16</v>
      </c>
      <c r="C1942" s="60" t="s">
        <v>5056</v>
      </c>
      <c r="D1942" s="64">
        <f>IFERROR(VLOOKUP(C1942,測定点マスタ!$E$2:$F$28,2,FALSE)/VLOOKUP(A1942,'焼鈍条件-3CGL'!$A$2:$B$197,2,FALSE)*60,"")</f>
        <v>60.664112388250317</v>
      </c>
      <c r="E1942" s="66">
        <v>275.3</v>
      </c>
      <c r="F1942" s="64">
        <f t="shared" si="30"/>
        <v>-45.781298181818173</v>
      </c>
      <c r="G1942" s="60" t="s">
        <v>12</v>
      </c>
      <c r="H1942" s="60" t="s">
        <v>5061</v>
      </c>
    </row>
    <row r="1943" spans="1:8">
      <c r="A1943" s="59" t="s">
        <v>3269</v>
      </c>
      <c r="B1943" s="62">
        <v>17</v>
      </c>
      <c r="C1943" s="60" t="s">
        <v>5062</v>
      </c>
      <c r="D1943" s="64">
        <f>IFERROR(VLOOKUP(C1943,測定点マスタ!$E$2:$F$28,2,FALSE)/VLOOKUP(A1943,'焼鈍条件-3CGL'!$A$2:$B$197,2,FALSE)*60,"")</f>
        <v>66.137566137566125</v>
      </c>
      <c r="E1943" s="66">
        <v>456.2</v>
      </c>
      <c r="F1943" s="64">
        <f t="shared" si="30"/>
        <v>33.050430000000055</v>
      </c>
      <c r="G1943" s="60" t="s">
        <v>12</v>
      </c>
      <c r="H1943" s="60" t="s">
        <v>5061</v>
      </c>
    </row>
    <row r="1944" spans="1:8">
      <c r="A1944" s="59" t="s">
        <v>3269</v>
      </c>
      <c r="B1944" s="62">
        <v>18</v>
      </c>
      <c r="C1944" s="60" t="s">
        <v>5068</v>
      </c>
      <c r="D1944" s="64">
        <f>IFERROR(VLOOKUP(C1944,測定点マスタ!$E$2:$F$28,2,FALSE)/VLOOKUP(A1944,'焼鈍条件-3CGL'!$A$2:$B$197,2,FALSE)*60,"")</f>
        <v>72.458102014752328</v>
      </c>
      <c r="E1944" s="66">
        <v>394</v>
      </c>
      <c r="F1944" s="64">
        <f t="shared" si="30"/>
        <v>-9.840937731958638</v>
      </c>
      <c r="G1944" s="60" t="s">
        <v>12</v>
      </c>
      <c r="H1944" s="60" t="s">
        <v>5061</v>
      </c>
    </row>
    <row r="1945" spans="1:8">
      <c r="A1945" s="59" t="s">
        <v>3269</v>
      </c>
      <c r="B1945" s="62">
        <v>19</v>
      </c>
      <c r="C1945" s="60" t="s">
        <v>5057</v>
      </c>
      <c r="D1945" s="64">
        <f>IFERROR(VLOOKUP(C1945,測定点マスタ!$E$2:$F$28,2,FALSE)/VLOOKUP(A1945,'焼鈍条件-3CGL'!$A$2:$B$197,2,FALSE)*60,"")</f>
        <v>75.21111893033067</v>
      </c>
      <c r="E1945" s="66">
        <v>215.5</v>
      </c>
      <c r="F1945" s="64">
        <f t="shared" si="30"/>
        <v>-64.83795976331713</v>
      </c>
      <c r="G1945" s="60" t="s">
        <v>12</v>
      </c>
      <c r="H1945" s="60" t="s">
        <v>5061</v>
      </c>
    </row>
    <row r="1946" spans="1:8">
      <c r="A1946" s="59" t="s">
        <v>3269</v>
      </c>
      <c r="B1946" s="62">
        <v>20</v>
      </c>
      <c r="C1946" s="60" t="s">
        <v>5059</v>
      </c>
      <c r="D1946" s="64">
        <f>IFERROR(VLOOKUP(C1946,測定点マスタ!$E$2:$F$28,2,FALSE)/VLOOKUP(A1946,'焼鈍条件-3CGL'!$A$2:$B$197,2,FALSE)*60,"")</f>
        <v>80.717152761487867</v>
      </c>
      <c r="E1946" s="66">
        <v>67.7</v>
      </c>
      <c r="F1946" s="64">
        <f t="shared" si="30"/>
        <v>-26.843278579880621</v>
      </c>
      <c r="G1946" s="60" t="s">
        <v>12</v>
      </c>
      <c r="H1946" s="60" t="s">
        <v>5061</v>
      </c>
    </row>
    <row r="1947" spans="1:8">
      <c r="A1947" s="59" t="s">
        <v>3288</v>
      </c>
      <c r="B1947" s="62">
        <v>1</v>
      </c>
      <c r="C1947" s="60" t="s">
        <v>5041</v>
      </c>
      <c r="D1947" s="64">
        <f>IFERROR(VLOOKUP(C1947,測定点マスタ!$E$2:$F$28,2,FALSE)/VLOOKUP(A1947,'焼鈍条件-3CGL'!$A$2:$B$197,2,FALSE)*60,"")</f>
        <v>0</v>
      </c>
      <c r="E1947" s="66">
        <v>28</v>
      </c>
      <c r="F1947" s="64" t="str">
        <f t="shared" si="30"/>
        <v/>
      </c>
      <c r="G1947" s="60" t="s">
        <v>9</v>
      </c>
      <c r="H1947" s="60" t="s">
        <v>5061</v>
      </c>
    </row>
    <row r="1948" spans="1:8">
      <c r="A1948" s="59" t="s">
        <v>3288</v>
      </c>
      <c r="B1948" s="62">
        <v>2</v>
      </c>
      <c r="C1948" s="60" t="s">
        <v>5043</v>
      </c>
      <c r="D1948" s="64">
        <f>IFERROR(VLOOKUP(C1948,測定点マスタ!$E$2:$F$28,2,FALSE)/VLOOKUP(A1948,'焼鈍条件-3CGL'!$A$2:$B$197,2,FALSE)*60,"")</f>
        <v>6.3530607634967247</v>
      </c>
      <c r="E1948" s="66">
        <v>154.80000000000001</v>
      </c>
      <c r="F1948" s="64">
        <f t="shared" si="30"/>
        <v>19.958883555555559</v>
      </c>
      <c r="G1948" s="60" t="s">
        <v>9</v>
      </c>
      <c r="H1948" s="60" t="s">
        <v>5061</v>
      </c>
    </row>
    <row r="1949" spans="1:8">
      <c r="A1949" s="59" t="s">
        <v>3288</v>
      </c>
      <c r="B1949" s="62">
        <v>3</v>
      </c>
      <c r="C1949" s="60" t="s">
        <v>5044</v>
      </c>
      <c r="D1949" s="64">
        <f>IFERROR(VLOOKUP(C1949,測定点マスタ!$E$2:$F$28,2,FALSE)/VLOOKUP(A1949,'焼鈍条件-3CGL'!$A$2:$B$197,2,FALSE)*60,"")</f>
        <v>14.400271063925912</v>
      </c>
      <c r="E1949" s="66">
        <v>652.6</v>
      </c>
      <c r="F1949" s="64">
        <f t="shared" si="30"/>
        <v>61.859946666666652</v>
      </c>
      <c r="G1949" s="60" t="s">
        <v>9</v>
      </c>
      <c r="H1949" s="60" t="s">
        <v>5061</v>
      </c>
    </row>
    <row r="1950" spans="1:8">
      <c r="A1950" s="59" t="s">
        <v>3288</v>
      </c>
      <c r="B1950" s="62">
        <v>4</v>
      </c>
      <c r="C1950" s="60" t="s">
        <v>5045</v>
      </c>
      <c r="D1950" s="64">
        <f>IFERROR(VLOOKUP(C1950,測定点マスタ!$E$2:$F$28,2,FALSE)/VLOOKUP(A1950,'焼鈍条件-3CGL'!$A$2:$B$197,2,FALSE)*60,"")</f>
        <v>18.63564490625706</v>
      </c>
      <c r="E1950" s="66">
        <v>771.5</v>
      </c>
      <c r="F1950" s="64">
        <f t="shared" si="30"/>
        <v>28.073082666666672</v>
      </c>
      <c r="G1950" s="60" t="s">
        <v>9</v>
      </c>
      <c r="H1950" s="60" t="s">
        <v>5061</v>
      </c>
    </row>
    <row r="1951" spans="1:8">
      <c r="A1951" s="59" t="s">
        <v>3288</v>
      </c>
      <c r="B1951" s="62">
        <v>5</v>
      </c>
      <c r="C1951" s="60" t="s">
        <v>5047</v>
      </c>
      <c r="D1951" s="64">
        <f>IFERROR(VLOOKUP(C1951,測定点マスタ!$E$2:$F$28,2,FALSE)/VLOOKUP(A1951,'焼鈍条件-3CGL'!$A$2:$B$197,2,FALSE)*60,"")</f>
        <v>25.412243053986899</v>
      </c>
      <c r="E1951" s="66">
        <v>711.1</v>
      </c>
      <c r="F1951" s="64">
        <f t="shared" si="30"/>
        <v>-8.9130266666666635</v>
      </c>
      <c r="G1951" s="60" t="s">
        <v>9</v>
      </c>
      <c r="H1951" s="60" t="s">
        <v>5061</v>
      </c>
    </row>
    <row r="1952" spans="1:8">
      <c r="A1952" s="59" t="s">
        <v>3288</v>
      </c>
      <c r="B1952" s="62">
        <v>6</v>
      </c>
      <c r="C1952" s="60" t="s">
        <v>5048</v>
      </c>
      <c r="D1952" s="64">
        <f>IFERROR(VLOOKUP(C1952,測定点マスタ!$E$2:$F$28,2,FALSE)/VLOOKUP(A1952,'焼鈍条件-3CGL'!$A$2:$B$197,2,FALSE)*60,"")</f>
        <v>27.953467359385591</v>
      </c>
      <c r="E1952" s="66">
        <v>690.8</v>
      </c>
      <c r="F1952" s="64">
        <f t="shared" si="30"/>
        <v>-7.9882755555555738</v>
      </c>
      <c r="G1952" s="60" t="s">
        <v>9</v>
      </c>
      <c r="H1952" s="60" t="s">
        <v>5061</v>
      </c>
    </row>
    <row r="1953" spans="1:8">
      <c r="A1953" s="59" t="s">
        <v>3288</v>
      </c>
      <c r="B1953" s="62">
        <v>7</v>
      </c>
      <c r="C1953" s="60" t="s">
        <v>5049</v>
      </c>
      <c r="D1953" s="64">
        <f>IFERROR(VLOOKUP(C1953,測定点マスタ!$E$2:$F$28,2,FALSE)/VLOOKUP(A1953,'焼鈍条件-3CGL'!$A$2:$B$197,2,FALSE)*60,"")</f>
        <v>30.918229049017398</v>
      </c>
      <c r="E1953" s="66">
        <v>559.5</v>
      </c>
      <c r="F1953" s="64">
        <f t="shared" si="30"/>
        <v>-44.286864761904717</v>
      </c>
      <c r="G1953" s="60" t="s">
        <v>9</v>
      </c>
      <c r="H1953" s="60" t="s">
        <v>5061</v>
      </c>
    </row>
    <row r="1954" spans="1:8">
      <c r="A1954" s="59" t="s">
        <v>3288</v>
      </c>
      <c r="B1954" s="62">
        <v>8</v>
      </c>
      <c r="C1954" s="60" t="s">
        <v>5050</v>
      </c>
      <c r="D1954" s="64">
        <f>IFERROR(VLOOKUP(C1954,測定点マスタ!$E$2:$F$28,2,FALSE)/VLOOKUP(A1954,'焼鈍条件-3CGL'!$A$2:$B$197,2,FALSE)*60,"")</f>
        <v>34.30652812288232</v>
      </c>
      <c r="E1954" s="66">
        <v>467.4</v>
      </c>
      <c r="F1954" s="64">
        <f t="shared" si="30"/>
        <v>-27.181779999999996</v>
      </c>
      <c r="G1954" s="60" t="s">
        <v>9</v>
      </c>
      <c r="H1954" s="60" t="s">
        <v>5061</v>
      </c>
    </row>
    <row r="1955" spans="1:8">
      <c r="A1955" s="59" t="s">
        <v>3288</v>
      </c>
      <c r="B1955" s="62">
        <v>9</v>
      </c>
      <c r="C1955" s="60" t="s">
        <v>5051</v>
      </c>
      <c r="D1955" s="64">
        <f>IFERROR(VLOOKUP(C1955,測定点マスタ!$E$2:$F$28,2,FALSE)/VLOOKUP(A1955,'焼鈍条件-3CGL'!$A$2:$B$197,2,FALSE)*60,"")</f>
        <v>37.271289812514119</v>
      </c>
      <c r="E1955" s="66">
        <v>449.6</v>
      </c>
      <c r="F1955" s="64">
        <f t="shared" si="30"/>
        <v>-6.003855238095233</v>
      </c>
      <c r="G1955" s="60" t="s">
        <v>9</v>
      </c>
      <c r="H1955" s="60" t="s">
        <v>5061</v>
      </c>
    </row>
    <row r="1956" spans="1:8">
      <c r="A1956" s="59" t="s">
        <v>3288</v>
      </c>
      <c r="B1956" s="62">
        <v>10</v>
      </c>
      <c r="C1956" s="60" t="s">
        <v>5060</v>
      </c>
      <c r="D1956" s="64">
        <f>IFERROR(VLOOKUP(C1956,測定点マスタ!$E$2:$F$28,2,FALSE)/VLOOKUP(A1956,'焼鈍条件-3CGL'!$A$2:$B$197,2,FALSE)*60,"")</f>
        <v>38.965439349446584</v>
      </c>
      <c r="E1956" s="66">
        <v>380.4</v>
      </c>
      <c r="F1956" s="64">
        <f t="shared" si="30"/>
        <v>-40.846453333333258</v>
      </c>
      <c r="G1956" s="60" t="s">
        <v>9</v>
      </c>
      <c r="H1956" s="60" t="s">
        <v>5061</v>
      </c>
    </row>
    <row r="1957" spans="1:8">
      <c r="A1957" s="59" t="s">
        <v>3288</v>
      </c>
      <c r="B1957" s="62">
        <v>11</v>
      </c>
      <c r="C1957" s="60" t="s">
        <v>5052</v>
      </c>
      <c r="D1957" s="64">
        <f>IFERROR(VLOOKUP(C1957,測定点マスタ!$E$2:$F$28,2,FALSE)/VLOOKUP(A1957,'焼鈍条件-3CGL'!$A$2:$B$197,2,FALSE)*60,"")</f>
        <v>41.083126270612155</v>
      </c>
      <c r="E1957" s="66">
        <v>319.5</v>
      </c>
      <c r="F1957" s="64">
        <f t="shared" si="30"/>
        <v>-28.757792000000038</v>
      </c>
      <c r="G1957" s="60" t="s">
        <v>9</v>
      </c>
      <c r="H1957" s="60" t="s">
        <v>5061</v>
      </c>
    </row>
    <row r="1958" spans="1:8">
      <c r="A1958" s="59" t="s">
        <v>3288</v>
      </c>
      <c r="B1958" s="62">
        <v>12</v>
      </c>
      <c r="C1958" s="60" t="s">
        <v>5069</v>
      </c>
      <c r="D1958" s="64">
        <f>IFERROR(VLOOKUP(C1958,測定点マスタ!$E$2:$F$28,2,FALSE)/VLOOKUP(A1958,'焼鈍条件-3CGL'!$A$2:$B$197,2,FALSE)*60,"")</f>
        <v>44.047887960243962</v>
      </c>
      <c r="E1958" s="66">
        <v>478.3</v>
      </c>
      <c r="F1958" s="64">
        <f t="shared" si="30"/>
        <v>53.562483809523776</v>
      </c>
      <c r="G1958" s="60" t="s">
        <v>9</v>
      </c>
      <c r="H1958" s="60" t="s">
        <v>5061</v>
      </c>
    </row>
    <row r="1959" spans="1:8">
      <c r="A1959" s="59" t="s">
        <v>3288</v>
      </c>
      <c r="B1959" s="62">
        <v>13</v>
      </c>
      <c r="C1959" s="60" t="s">
        <v>5053</v>
      </c>
      <c r="D1959" s="64">
        <f>IFERROR(VLOOKUP(C1959,測定点マスタ!$E$2:$F$28,2,FALSE)/VLOOKUP(A1959,'焼鈍条件-3CGL'!$A$2:$B$197,2,FALSE)*60,"")</f>
        <v>46.165574881409533</v>
      </c>
      <c r="E1959" s="66">
        <v>491.2</v>
      </c>
      <c r="F1959" s="64">
        <f t="shared" si="30"/>
        <v>6.0915519999999992</v>
      </c>
      <c r="G1959" s="60" t="s">
        <v>9</v>
      </c>
      <c r="H1959" s="60" t="s">
        <v>5061</v>
      </c>
    </row>
    <row r="1960" spans="1:8">
      <c r="A1960" s="59" t="s">
        <v>3288</v>
      </c>
      <c r="B1960" s="62">
        <v>14</v>
      </c>
      <c r="C1960" s="60" t="s">
        <v>5054</v>
      </c>
      <c r="D1960" s="64">
        <f>IFERROR(VLOOKUP(C1960,測定点マスタ!$E$2:$F$28,2,FALSE)/VLOOKUP(A1960,'焼鈍条件-3CGL'!$A$2:$B$197,2,FALSE)*60,"")</f>
        <v>51.671560876440033</v>
      </c>
      <c r="E1960" s="66">
        <v>464.7</v>
      </c>
      <c r="F1960" s="64">
        <f t="shared" si="30"/>
        <v>-4.8129435897435853</v>
      </c>
      <c r="G1960" s="60" t="s">
        <v>9</v>
      </c>
      <c r="H1960" s="60" t="s">
        <v>5061</v>
      </c>
    </row>
    <row r="1961" spans="1:8">
      <c r="A1961" s="59" t="s">
        <v>3288</v>
      </c>
      <c r="B1961" s="62">
        <v>15</v>
      </c>
      <c r="C1961" s="60" t="s">
        <v>5056</v>
      </c>
      <c r="D1961" s="64">
        <f>IFERROR(VLOOKUP(C1961,測定点マスタ!$E$2:$F$28,2,FALSE)/VLOOKUP(A1961,'焼鈍条件-3CGL'!$A$2:$B$197,2,FALSE)*60,"")</f>
        <v>56.330472103004297</v>
      </c>
      <c r="E1961" s="66">
        <v>249.2</v>
      </c>
      <c r="F1961" s="64">
        <f t="shared" si="30"/>
        <v>-46.255442424242432</v>
      </c>
      <c r="G1961" s="60" t="s">
        <v>9</v>
      </c>
      <c r="H1961" s="60" t="s">
        <v>5061</v>
      </c>
    </row>
    <row r="1962" spans="1:8">
      <c r="A1962" s="59" t="s">
        <v>3288</v>
      </c>
      <c r="B1962" s="62">
        <v>16</v>
      </c>
      <c r="C1962" s="60" t="s">
        <v>5062</v>
      </c>
      <c r="D1962" s="64">
        <f>IFERROR(VLOOKUP(C1962,測定点マスタ!$E$2:$F$28,2,FALSE)/VLOOKUP(A1962,'焼鈍条件-3CGL'!$A$2:$B$197,2,FALSE)*60,"")</f>
        <v>61.412920713801668</v>
      </c>
      <c r="E1962" s="66">
        <v>460</v>
      </c>
      <c r="F1962" s="64">
        <f t="shared" si="30"/>
        <v>41.476071111111182</v>
      </c>
      <c r="G1962" s="60" t="s">
        <v>9</v>
      </c>
      <c r="H1962" s="60" t="s">
        <v>5061</v>
      </c>
    </row>
    <row r="1963" spans="1:8">
      <c r="A1963" s="59" t="s">
        <v>3288</v>
      </c>
      <c r="B1963" s="62">
        <v>17</v>
      </c>
      <c r="C1963" s="60" t="s">
        <v>5068</v>
      </c>
      <c r="D1963" s="64">
        <f>IFERROR(VLOOKUP(C1963,測定点マスタ!$E$2:$F$28,2,FALSE)/VLOOKUP(A1963,'焼鈍条件-3CGL'!$A$2:$B$197,2,FALSE)*60,"")</f>
        <v>67.281938752460619</v>
      </c>
      <c r="E1963" s="66">
        <v>417.6</v>
      </c>
      <c r="F1963" s="64">
        <f t="shared" si="30"/>
        <v>-7.2243771821304925</v>
      </c>
      <c r="G1963" s="60" t="s">
        <v>9</v>
      </c>
      <c r="H1963" s="60" t="s">
        <v>5061</v>
      </c>
    </row>
    <row r="1964" spans="1:8">
      <c r="A1964" s="59" t="s">
        <v>3288</v>
      </c>
      <c r="B1964" s="62">
        <v>18</v>
      </c>
      <c r="C1964" s="60" t="s">
        <v>5057</v>
      </c>
      <c r="D1964" s="64">
        <f>IFERROR(VLOOKUP(C1964,測定点マスタ!$E$2:$F$28,2,FALSE)/VLOOKUP(A1964,'焼鈍条件-3CGL'!$A$2:$B$197,2,FALSE)*60,"")</f>
        <v>69.838289393010371</v>
      </c>
      <c r="E1964" s="66">
        <v>279</v>
      </c>
      <c r="F1964" s="64">
        <f t="shared" si="30"/>
        <v>-54.217914319529193</v>
      </c>
      <c r="G1964" s="60" t="s">
        <v>9</v>
      </c>
      <c r="H1964" s="60" t="s">
        <v>5061</v>
      </c>
    </row>
    <row r="1965" spans="1:8">
      <c r="A1965" s="59" t="s">
        <v>3288</v>
      </c>
      <c r="B1965" s="62">
        <v>19</v>
      </c>
      <c r="C1965" s="60" t="s">
        <v>5059</v>
      </c>
      <c r="D1965" s="64">
        <f>IFERROR(VLOOKUP(C1965,測定点マスタ!$E$2:$F$28,2,FALSE)/VLOOKUP(A1965,'焼鈍条件-3CGL'!$A$2:$B$197,2,FALSE)*60,"")</f>
        <v>74.950990674110301</v>
      </c>
      <c r="E1965" s="66">
        <v>59.8</v>
      </c>
      <c r="F1965" s="64">
        <f t="shared" si="30"/>
        <v>-42.87361767258227</v>
      </c>
      <c r="G1965" s="60" t="s">
        <v>9</v>
      </c>
      <c r="H1965" s="60" t="s">
        <v>5061</v>
      </c>
    </row>
    <row r="1966" spans="1:8">
      <c r="A1966" s="59" t="s">
        <v>3305</v>
      </c>
      <c r="B1966" s="62">
        <v>1</v>
      </c>
      <c r="C1966" s="60" t="s">
        <v>5041</v>
      </c>
      <c r="D1966" s="64">
        <f>IFERROR(VLOOKUP(C1966,測定点マスタ!$E$2:$F$28,2,FALSE)/VLOOKUP(A1966,'焼鈍条件-3CGL'!$A$2:$B$197,2,FALSE)*60,"")</f>
        <v>0</v>
      </c>
      <c r="E1966" s="66">
        <v>36.200000000000003</v>
      </c>
      <c r="F1966" s="64" t="str">
        <f t="shared" si="30"/>
        <v/>
      </c>
      <c r="G1966" s="60" t="s">
        <v>12</v>
      </c>
      <c r="H1966" s="60" t="s">
        <v>5061</v>
      </c>
    </row>
    <row r="1967" spans="1:8">
      <c r="A1967" s="59" t="s">
        <v>3305</v>
      </c>
      <c r="B1967" s="62">
        <v>2</v>
      </c>
      <c r="C1967" s="60" t="s">
        <v>5043</v>
      </c>
      <c r="D1967" s="64">
        <f>IFERROR(VLOOKUP(C1967,測定点マスタ!$E$2:$F$28,2,FALSE)/VLOOKUP(A1967,'焼鈍条件-3CGL'!$A$2:$B$197,2,FALSE)*60,"")</f>
        <v>7.9162635236168537</v>
      </c>
      <c r="E1967" s="66">
        <v>183.9</v>
      </c>
      <c r="F1967" s="64">
        <f t="shared" si="30"/>
        <v>18.65779222222222</v>
      </c>
      <c r="G1967" s="60" t="s">
        <v>12</v>
      </c>
      <c r="H1967" s="60" t="s">
        <v>5061</v>
      </c>
    </row>
    <row r="1968" spans="1:8">
      <c r="A1968" s="59" t="s">
        <v>3305</v>
      </c>
      <c r="B1968" s="62">
        <v>3</v>
      </c>
      <c r="C1968" s="60" t="s">
        <v>5067</v>
      </c>
      <c r="D1968" s="64">
        <f>IFERROR(VLOOKUP(C1968,測定点マスタ!$E$2:$F$28,2,FALSE)/VLOOKUP(A1968,'焼鈍条件-3CGL'!$A$2:$B$197,2,FALSE)*60,"")</f>
        <v>13.193772539361422</v>
      </c>
      <c r="E1968" s="66">
        <v>380.9</v>
      </c>
      <c r="F1968" s="64">
        <f t="shared" si="30"/>
        <v>37.328216666666663</v>
      </c>
      <c r="G1968" s="60" t="s">
        <v>12</v>
      </c>
      <c r="H1968" s="60" t="s">
        <v>5061</v>
      </c>
    </row>
    <row r="1969" spans="1:8">
      <c r="A1969" s="59" t="s">
        <v>3305</v>
      </c>
      <c r="B1969" s="62">
        <v>4</v>
      </c>
      <c r="C1969" s="60" t="s">
        <v>5044</v>
      </c>
      <c r="D1969" s="64">
        <f>IFERROR(VLOOKUP(C1969,測定点マスタ!$E$2:$F$28,2,FALSE)/VLOOKUP(A1969,'焼鈍条件-3CGL'!$A$2:$B$197,2,FALSE)*60,"")</f>
        <v>17.943530653531532</v>
      </c>
      <c r="E1969" s="66">
        <v>646.4</v>
      </c>
      <c r="F1969" s="64">
        <f t="shared" si="30"/>
        <v>55.897583333333358</v>
      </c>
      <c r="G1969" s="60" t="s">
        <v>12</v>
      </c>
      <c r="H1969" s="60" t="s">
        <v>5061</v>
      </c>
    </row>
    <row r="1970" spans="1:8">
      <c r="A1970" s="59" t="s">
        <v>3305</v>
      </c>
      <c r="B1970" s="62">
        <v>5</v>
      </c>
      <c r="C1970" s="60" t="s">
        <v>5045</v>
      </c>
      <c r="D1970" s="64">
        <f>IFERROR(VLOOKUP(C1970,測定点マスタ!$E$2:$F$28,2,FALSE)/VLOOKUP(A1970,'焼鈍条件-3CGL'!$A$2:$B$197,2,FALSE)*60,"")</f>
        <v>23.221039669276102</v>
      </c>
      <c r="E1970" s="66">
        <v>796.8</v>
      </c>
      <c r="F1970" s="64">
        <f t="shared" si="30"/>
        <v>28.498293333333319</v>
      </c>
      <c r="G1970" s="60" t="s">
        <v>12</v>
      </c>
      <c r="H1970" s="60" t="s">
        <v>5061</v>
      </c>
    </row>
    <row r="1971" spans="1:8">
      <c r="A1971" s="59" t="s">
        <v>3305</v>
      </c>
      <c r="B1971" s="62">
        <v>6</v>
      </c>
      <c r="C1971" s="60" t="s">
        <v>5046</v>
      </c>
      <c r="D1971" s="64">
        <f>IFERROR(VLOOKUP(C1971,測定点マスタ!$E$2:$F$28,2,FALSE)/VLOOKUP(A1971,'焼鈍条件-3CGL'!$A$2:$B$197,2,FALSE)*60,"")</f>
        <v>28.498548685020669</v>
      </c>
      <c r="E1971" s="66">
        <v>770.7</v>
      </c>
      <c r="F1971" s="64">
        <f t="shared" si="30"/>
        <v>-4.9455149999999843</v>
      </c>
      <c r="G1971" s="60" t="s">
        <v>12</v>
      </c>
      <c r="H1971" s="60" t="s">
        <v>5061</v>
      </c>
    </row>
    <row r="1972" spans="1:8">
      <c r="A1972" s="59" t="s">
        <v>3305</v>
      </c>
      <c r="B1972" s="62">
        <v>7</v>
      </c>
      <c r="C1972" s="60" t="s">
        <v>5047</v>
      </c>
      <c r="D1972" s="64">
        <f>IFERROR(VLOOKUP(C1972,測定点マスタ!$E$2:$F$28,2,FALSE)/VLOOKUP(A1972,'焼鈍条件-3CGL'!$A$2:$B$197,2,FALSE)*60,"")</f>
        <v>31.665054094467415</v>
      </c>
      <c r="E1972" s="66">
        <v>716.1</v>
      </c>
      <c r="F1972" s="64">
        <f t="shared" si="30"/>
        <v>-17.242983333333317</v>
      </c>
      <c r="G1972" s="60" t="s">
        <v>12</v>
      </c>
      <c r="H1972" s="60" t="s">
        <v>5061</v>
      </c>
    </row>
    <row r="1973" spans="1:8">
      <c r="A1973" s="59" t="s">
        <v>3305</v>
      </c>
      <c r="B1973" s="62">
        <v>8</v>
      </c>
      <c r="C1973" s="60" t="s">
        <v>5048</v>
      </c>
      <c r="D1973" s="64">
        <f>IFERROR(VLOOKUP(C1973,測定点マスタ!$E$2:$F$28,2,FALSE)/VLOOKUP(A1973,'焼鈍条件-3CGL'!$A$2:$B$197,2,FALSE)*60,"")</f>
        <v>34.83155950391415</v>
      </c>
      <c r="E1973" s="66">
        <v>694.3</v>
      </c>
      <c r="F1973" s="64">
        <f t="shared" si="30"/>
        <v>-6.8845611111111458</v>
      </c>
      <c r="G1973" s="60" t="s">
        <v>12</v>
      </c>
      <c r="H1973" s="60" t="s">
        <v>5061</v>
      </c>
    </row>
    <row r="1974" spans="1:8">
      <c r="A1974" s="59" t="s">
        <v>3305</v>
      </c>
      <c r="B1974" s="62">
        <v>9</v>
      </c>
      <c r="C1974" s="60" t="s">
        <v>5049</v>
      </c>
      <c r="D1974" s="64">
        <f>IFERROR(VLOOKUP(C1974,測定点マスタ!$E$2:$F$28,2,FALSE)/VLOOKUP(A1974,'焼鈍条件-3CGL'!$A$2:$B$197,2,FALSE)*60,"")</f>
        <v>38.525815814935356</v>
      </c>
      <c r="E1974" s="66">
        <v>586.5</v>
      </c>
      <c r="F1974" s="64">
        <f t="shared" si="30"/>
        <v>-29.180433333333255</v>
      </c>
      <c r="G1974" s="60" t="s">
        <v>12</v>
      </c>
      <c r="H1974" s="60" t="s">
        <v>5061</v>
      </c>
    </row>
    <row r="1975" spans="1:8">
      <c r="A1975" s="59" t="s">
        <v>3305</v>
      </c>
      <c r="B1975" s="62">
        <v>10</v>
      </c>
      <c r="C1975" s="60" t="s">
        <v>5050</v>
      </c>
      <c r="D1975" s="64">
        <f>IFERROR(VLOOKUP(C1975,測定点マスタ!$E$2:$F$28,2,FALSE)/VLOOKUP(A1975,'焼鈍条件-3CGL'!$A$2:$B$197,2,FALSE)*60,"")</f>
        <v>42.747823027531012</v>
      </c>
      <c r="E1975" s="66">
        <v>479.5</v>
      </c>
      <c r="F1975" s="64">
        <f t="shared" si="30"/>
        <v>-25.343395833333325</v>
      </c>
      <c r="G1975" s="60" t="s">
        <v>12</v>
      </c>
      <c r="H1975" s="60" t="s">
        <v>5061</v>
      </c>
    </row>
    <row r="1976" spans="1:8">
      <c r="A1976" s="59" t="s">
        <v>3305</v>
      </c>
      <c r="B1976" s="62">
        <v>11</v>
      </c>
      <c r="C1976" s="60" t="s">
        <v>5051</v>
      </c>
      <c r="D1976" s="64">
        <f>IFERROR(VLOOKUP(C1976,測定点マスタ!$E$2:$F$28,2,FALSE)/VLOOKUP(A1976,'焼鈍条件-3CGL'!$A$2:$B$197,2,FALSE)*60,"")</f>
        <v>46.442079338552205</v>
      </c>
      <c r="E1976" s="66">
        <v>434.3</v>
      </c>
      <c r="F1976" s="64">
        <f t="shared" si="30"/>
        <v>-12.235209523809541</v>
      </c>
      <c r="G1976" s="60" t="s">
        <v>12</v>
      </c>
      <c r="H1976" s="60" t="s">
        <v>5061</v>
      </c>
    </row>
    <row r="1977" spans="1:8">
      <c r="A1977" s="59" t="s">
        <v>3305</v>
      </c>
      <c r="B1977" s="62">
        <v>12</v>
      </c>
      <c r="C1977" s="60" t="s">
        <v>5052</v>
      </c>
      <c r="D1977" s="64">
        <f>IFERROR(VLOOKUP(C1977,測定点マスタ!$E$2:$F$28,2,FALSE)/VLOOKUP(A1977,'焼鈍条件-3CGL'!$A$2:$B$197,2,FALSE)*60,"")</f>
        <v>51.191837452722311</v>
      </c>
      <c r="E1977" s="66">
        <v>350.7</v>
      </c>
      <c r="F1977" s="64">
        <f t="shared" si="30"/>
        <v>-17.600896296296323</v>
      </c>
      <c r="G1977" s="60" t="s">
        <v>12</v>
      </c>
      <c r="H1977" s="60" t="s">
        <v>5061</v>
      </c>
    </row>
    <row r="1978" spans="1:8">
      <c r="A1978" s="59" t="s">
        <v>3305</v>
      </c>
      <c r="B1978" s="62">
        <v>13</v>
      </c>
      <c r="C1978" s="60" t="s">
        <v>5053</v>
      </c>
      <c r="D1978" s="64">
        <f>IFERROR(VLOOKUP(C1978,測定点マスタ!$E$2:$F$28,2,FALSE)/VLOOKUP(A1978,'焼鈍条件-3CGL'!$A$2:$B$197,2,FALSE)*60,"")</f>
        <v>57.524848271615795</v>
      </c>
      <c r="E1978" s="66">
        <v>520</v>
      </c>
      <c r="F1978" s="64">
        <f t="shared" si="30"/>
        <v>26.732940277777772</v>
      </c>
      <c r="G1978" s="60" t="s">
        <v>12</v>
      </c>
      <c r="H1978" s="60" t="s">
        <v>5061</v>
      </c>
    </row>
    <row r="1979" spans="1:8">
      <c r="A1979" s="59" t="s">
        <v>3305</v>
      </c>
      <c r="B1979" s="62">
        <v>14</v>
      </c>
      <c r="C1979" s="60" t="s">
        <v>5054</v>
      </c>
      <c r="D1979" s="64">
        <f>IFERROR(VLOOKUP(C1979,測定点マスタ!$E$2:$F$28,2,FALSE)/VLOOKUP(A1979,'焼鈍条件-3CGL'!$A$2:$B$197,2,FALSE)*60,"")</f>
        <v>64.385609992083744</v>
      </c>
      <c r="E1979" s="66">
        <v>511</v>
      </c>
      <c r="F1979" s="64">
        <f t="shared" si="30"/>
        <v>-1.3118076923076905</v>
      </c>
      <c r="G1979" s="60" t="s">
        <v>12</v>
      </c>
      <c r="H1979" s="60" t="s">
        <v>5061</v>
      </c>
    </row>
    <row r="1980" spans="1:8">
      <c r="A1980" s="59" t="s">
        <v>3305</v>
      </c>
      <c r="B1980" s="62">
        <v>15</v>
      </c>
      <c r="C1980" s="60" t="s">
        <v>5056</v>
      </c>
      <c r="D1980" s="64">
        <f>IFERROR(VLOOKUP(C1980,測定点マスタ!$E$2:$F$28,2,FALSE)/VLOOKUP(A1980,'焼鈍条件-3CGL'!$A$2:$B$197,2,FALSE)*60,"")</f>
        <v>70.190869909402764</v>
      </c>
      <c r="E1980" s="66">
        <v>267</v>
      </c>
      <c r="F1980" s="64">
        <f t="shared" si="30"/>
        <v>-42.030848484848519</v>
      </c>
      <c r="G1980" s="60" t="s">
        <v>12</v>
      </c>
      <c r="H1980" s="60" t="s">
        <v>5061</v>
      </c>
    </row>
    <row r="1981" spans="1:8">
      <c r="A1981" s="59" t="s">
        <v>3305</v>
      </c>
      <c r="B1981" s="62">
        <v>16</v>
      </c>
      <c r="C1981" s="60" t="s">
        <v>5062</v>
      </c>
      <c r="D1981" s="64">
        <f>IFERROR(VLOOKUP(C1981,測定点マスタ!$E$2:$F$28,2,FALSE)/VLOOKUP(A1981,'焼鈍条件-3CGL'!$A$2:$B$197,2,FALSE)*60,"")</f>
        <v>76.523880728296248</v>
      </c>
      <c r="E1981" s="66">
        <v>466.3</v>
      </c>
      <c r="F1981" s="64">
        <f t="shared" si="30"/>
        <v>31.470023611111102</v>
      </c>
      <c r="G1981" s="60" t="s">
        <v>12</v>
      </c>
      <c r="H1981" s="60" t="s">
        <v>5061</v>
      </c>
    </row>
    <row r="1982" spans="1:8">
      <c r="A1982" s="59" t="s">
        <v>3305</v>
      </c>
      <c r="B1982" s="62">
        <v>17</v>
      </c>
      <c r="C1982" s="60" t="s">
        <v>5057</v>
      </c>
      <c r="D1982" s="64">
        <f>IFERROR(VLOOKUP(C1982,測定点マスタ!$E$2:$F$28,2,FALSE)/VLOOKUP(A1982,'焼鈍条件-3CGL'!$A$2:$B$197,2,FALSE)*60,"")</f>
        <v>87.022354020330894</v>
      </c>
      <c r="E1982" s="66">
        <v>216</v>
      </c>
      <c r="F1982" s="64">
        <f t="shared" si="30"/>
        <v>-23.841561819270094</v>
      </c>
      <c r="G1982" s="60" t="s">
        <v>12</v>
      </c>
      <c r="H1982" s="60" t="s">
        <v>5061</v>
      </c>
    </row>
    <row r="1983" spans="1:8">
      <c r="A1983" s="59" t="s">
        <v>3305</v>
      </c>
      <c r="B1983" s="62">
        <v>18</v>
      </c>
      <c r="C1983" s="60" t="s">
        <v>5059</v>
      </c>
      <c r="D1983" s="64">
        <f>IFERROR(VLOOKUP(C1983,測定点マスタ!$E$2:$F$28,2,FALSE)/VLOOKUP(A1983,'焼鈍条件-3CGL'!$A$2:$B$197,2,FALSE)*60,"")</f>
        <v>93.393061332194222</v>
      </c>
      <c r="E1983" s="66">
        <v>57.9</v>
      </c>
      <c r="F1983" s="64">
        <f t="shared" si="30"/>
        <v>-24.816710650886634</v>
      </c>
      <c r="G1983" s="60" t="s">
        <v>12</v>
      </c>
      <c r="H1983" s="60" t="s">
        <v>5061</v>
      </c>
    </row>
    <row r="1984" spans="1:8">
      <c r="A1984" s="59" t="s">
        <v>3310</v>
      </c>
      <c r="B1984" s="62">
        <v>1</v>
      </c>
      <c r="C1984" s="60" t="s">
        <v>5041</v>
      </c>
      <c r="D1984" s="64">
        <f>IFERROR(VLOOKUP(C1984,測定点マスタ!$E$2:$F$28,2,FALSE)/VLOOKUP(A1984,'焼鈍条件-3CGL'!$A$2:$B$197,2,FALSE)*60,"")</f>
        <v>0</v>
      </c>
      <c r="E1984" s="66">
        <v>26.7</v>
      </c>
      <c r="F1984" s="64" t="str">
        <f t="shared" si="30"/>
        <v/>
      </c>
      <c r="G1984" s="60" t="s">
        <v>9</v>
      </c>
      <c r="H1984" s="60" t="s">
        <v>5042</v>
      </c>
    </row>
    <row r="1985" spans="1:8">
      <c r="A1985" s="59" t="s">
        <v>3310</v>
      </c>
      <c r="B1985" s="62">
        <v>2</v>
      </c>
      <c r="C1985" s="60" t="s">
        <v>5043</v>
      </c>
      <c r="D1985" s="64">
        <f>IFERROR(VLOOKUP(C1985,測定点マスタ!$E$2:$F$28,2,FALSE)/VLOOKUP(A1985,'焼鈍条件-3CGL'!$A$2:$B$197,2,FALSE)*60,"")</f>
        <v>7.8600560683999552</v>
      </c>
      <c r="E1985" s="66">
        <v>166</v>
      </c>
      <c r="F1985" s="64">
        <f t="shared" si="30"/>
        <v>17.72251988888889</v>
      </c>
      <c r="G1985" s="60" t="s">
        <v>9</v>
      </c>
      <c r="H1985" s="60" t="s">
        <v>5042</v>
      </c>
    </row>
    <row r="1986" spans="1:8">
      <c r="A1986" s="59" t="s">
        <v>3310</v>
      </c>
      <c r="B1986" s="62">
        <v>3</v>
      </c>
      <c r="C1986" s="60" t="s">
        <v>5044</v>
      </c>
      <c r="D1986" s="64">
        <f>IFERROR(VLOOKUP(C1986,測定点マスタ!$E$2:$F$28,2,FALSE)/VLOOKUP(A1986,'焼鈍条件-3CGL'!$A$2:$B$197,2,FALSE)*60,"")</f>
        <v>17.816127088373232</v>
      </c>
      <c r="E1986" s="66">
        <v>677</v>
      </c>
      <c r="F1986" s="64">
        <f t="shared" ref="F1986:F2049" si="31">IF(A1986=A1985,IFERROR((E1986-E1985)/(D1986-D1985),""),"")</f>
        <v>51.325467543859645</v>
      </c>
      <c r="G1986" s="60" t="s">
        <v>9</v>
      </c>
      <c r="H1986" s="60" t="s">
        <v>5042</v>
      </c>
    </row>
    <row r="1987" spans="1:8">
      <c r="A1987" s="59" t="s">
        <v>3310</v>
      </c>
      <c r="B1987" s="62">
        <v>4</v>
      </c>
      <c r="C1987" s="60" t="s">
        <v>5045</v>
      </c>
      <c r="D1987" s="64">
        <f>IFERROR(VLOOKUP(C1987,測定点マスタ!$E$2:$F$28,2,FALSE)/VLOOKUP(A1987,'焼鈍条件-3CGL'!$A$2:$B$197,2,FALSE)*60,"")</f>
        <v>23.056164467306534</v>
      </c>
      <c r="E1987" s="66">
        <v>809.7</v>
      </c>
      <c r="F1987" s="64">
        <f t="shared" si="31"/>
        <v>25.324246833333348</v>
      </c>
      <c r="G1987" s="60" t="s">
        <v>9</v>
      </c>
      <c r="H1987" s="60" t="s">
        <v>5042</v>
      </c>
    </row>
    <row r="1988" spans="1:8">
      <c r="A1988" s="59" t="s">
        <v>3310</v>
      </c>
      <c r="B1988" s="62">
        <v>5</v>
      </c>
      <c r="C1988" s="60" t="s">
        <v>5046</v>
      </c>
      <c r="D1988" s="64">
        <f>IFERROR(VLOOKUP(C1988,測定点マスタ!$E$2:$F$28,2,FALSE)/VLOOKUP(A1988,'焼鈍条件-3CGL'!$A$2:$B$197,2,FALSE)*60,"")</f>
        <v>28.296201846239835</v>
      </c>
      <c r="E1988" s="66">
        <v>773.9</v>
      </c>
      <c r="F1988" s="64">
        <f t="shared" si="31"/>
        <v>-6.8320123333333482</v>
      </c>
      <c r="G1988" s="60" t="s">
        <v>9</v>
      </c>
      <c r="H1988" s="60" t="s">
        <v>5042</v>
      </c>
    </row>
    <row r="1989" spans="1:8">
      <c r="A1989" s="59" t="s">
        <v>3310</v>
      </c>
      <c r="B1989" s="62">
        <v>6</v>
      </c>
      <c r="C1989" s="60" t="s">
        <v>5047</v>
      </c>
      <c r="D1989" s="64">
        <f>IFERROR(VLOOKUP(C1989,測定点マスタ!$E$2:$F$28,2,FALSE)/VLOOKUP(A1989,'焼鈍条件-3CGL'!$A$2:$B$197,2,FALSE)*60,"")</f>
        <v>31.440224273599821</v>
      </c>
      <c r="E1989" s="66">
        <v>724.8</v>
      </c>
      <c r="F1989" s="64">
        <f t="shared" si="31"/>
        <v>-15.616936944444435</v>
      </c>
      <c r="G1989" s="60" t="s">
        <v>9</v>
      </c>
      <c r="H1989" s="60" t="s">
        <v>5042</v>
      </c>
    </row>
    <row r="1990" spans="1:8">
      <c r="A1990" s="59" t="s">
        <v>3310</v>
      </c>
      <c r="B1990" s="62">
        <v>7</v>
      </c>
      <c r="C1990" s="60" t="s">
        <v>5048</v>
      </c>
      <c r="D1990" s="64">
        <f>IFERROR(VLOOKUP(C1990,測定点マスタ!$E$2:$F$28,2,FALSE)/VLOOKUP(A1990,'焼鈍条件-3CGL'!$A$2:$B$197,2,FALSE)*60,"")</f>
        <v>34.584246700959802</v>
      </c>
      <c r="E1990" s="66">
        <v>683.5</v>
      </c>
      <c r="F1990" s="64">
        <f t="shared" si="31"/>
        <v>-13.136038611111097</v>
      </c>
      <c r="G1990" s="60" t="s">
        <v>9</v>
      </c>
      <c r="H1990" s="60" t="s">
        <v>5042</v>
      </c>
    </row>
    <row r="1991" spans="1:8">
      <c r="A1991" s="59" t="s">
        <v>3310</v>
      </c>
      <c r="B1991" s="62">
        <v>8</v>
      </c>
      <c r="C1991" s="60" t="s">
        <v>5049</v>
      </c>
      <c r="D1991" s="64">
        <f>IFERROR(VLOOKUP(C1991,測定点マスタ!$E$2:$F$28,2,FALSE)/VLOOKUP(A1991,'焼鈍条件-3CGL'!$A$2:$B$197,2,FALSE)*60,"")</f>
        <v>38.252272866213119</v>
      </c>
      <c r="E1991" s="66">
        <v>621.29999999999995</v>
      </c>
      <c r="F1991" s="64">
        <f t="shared" si="31"/>
        <v>-16.95734904761904</v>
      </c>
      <c r="G1991" s="60" t="s">
        <v>9</v>
      </c>
      <c r="H1991" s="60" t="s">
        <v>5042</v>
      </c>
    </row>
    <row r="1992" spans="1:8">
      <c r="A1992" s="59" t="s">
        <v>3310</v>
      </c>
      <c r="B1992" s="62">
        <v>9</v>
      </c>
      <c r="C1992" s="60" t="s">
        <v>5050</v>
      </c>
      <c r="D1992" s="64">
        <f>IFERROR(VLOOKUP(C1992,測定点マスタ!$E$2:$F$28,2,FALSE)/VLOOKUP(A1992,'焼鈍条件-3CGL'!$A$2:$B$197,2,FALSE)*60,"")</f>
        <v>42.444302769359751</v>
      </c>
      <c r="E1992" s="66">
        <v>500.9</v>
      </c>
      <c r="F1992" s="64">
        <f t="shared" si="31"/>
        <v>-28.721169166666726</v>
      </c>
      <c r="G1992" s="60" t="s">
        <v>9</v>
      </c>
      <c r="H1992" s="60" t="s">
        <v>5042</v>
      </c>
    </row>
    <row r="1993" spans="1:8">
      <c r="A1993" s="59" t="s">
        <v>3310</v>
      </c>
      <c r="B1993" s="62">
        <v>10</v>
      </c>
      <c r="C1993" s="60" t="s">
        <v>5051</v>
      </c>
      <c r="D1993" s="64">
        <f>IFERROR(VLOOKUP(C1993,測定点マスタ!$E$2:$F$28,2,FALSE)/VLOOKUP(A1993,'焼鈍条件-3CGL'!$A$2:$B$197,2,FALSE)*60,"")</f>
        <v>46.112328934613068</v>
      </c>
      <c r="E1993" s="66">
        <v>441.3</v>
      </c>
      <c r="F1993" s="64">
        <f t="shared" si="31"/>
        <v>-16.248520952380925</v>
      </c>
      <c r="G1993" s="60" t="s">
        <v>9</v>
      </c>
      <c r="H1993" s="60" t="s">
        <v>5042</v>
      </c>
    </row>
    <row r="1994" spans="1:8">
      <c r="A1994" s="59" t="s">
        <v>3310</v>
      </c>
      <c r="B1994" s="62">
        <v>11</v>
      </c>
      <c r="C1994" s="60" t="s">
        <v>5052</v>
      </c>
      <c r="D1994" s="64">
        <f>IFERROR(VLOOKUP(C1994,測定点マスタ!$E$2:$F$28,2,FALSE)/VLOOKUP(A1994,'焼鈍条件-3CGL'!$A$2:$B$197,2,FALSE)*60,"")</f>
        <v>50.828362575653038</v>
      </c>
      <c r="E1994" s="66">
        <v>350</v>
      </c>
      <c r="F1994" s="64">
        <f t="shared" si="31"/>
        <v>-19.359488703703715</v>
      </c>
      <c r="G1994" s="60" t="s">
        <v>9</v>
      </c>
      <c r="H1994" s="60" t="s">
        <v>5042</v>
      </c>
    </row>
    <row r="1995" spans="1:8">
      <c r="A1995" s="59" t="s">
        <v>3310</v>
      </c>
      <c r="B1995" s="62">
        <v>12</v>
      </c>
      <c r="C1995" s="60" t="s">
        <v>5053</v>
      </c>
      <c r="D1995" s="64">
        <f>IFERROR(VLOOKUP(C1995,測定点マスタ!$E$2:$F$28,2,FALSE)/VLOOKUP(A1995,'焼鈍条件-3CGL'!$A$2:$B$197,2,FALSE)*60,"")</f>
        <v>57.116407430373002</v>
      </c>
      <c r="E1995" s="66">
        <v>518.9</v>
      </c>
      <c r="F1995" s="64">
        <f t="shared" si="31"/>
        <v>26.860495416666662</v>
      </c>
      <c r="G1995" s="60" t="s">
        <v>9</v>
      </c>
      <c r="H1995" s="60" t="s">
        <v>5042</v>
      </c>
    </row>
    <row r="1996" spans="1:8">
      <c r="A1996" s="59" t="s">
        <v>3310</v>
      </c>
      <c r="B1996" s="62">
        <v>13</v>
      </c>
      <c r="C1996" s="60" t="s">
        <v>5054</v>
      </c>
      <c r="D1996" s="64">
        <f>IFERROR(VLOOKUP(C1996,測定点マスタ!$E$2:$F$28,2,FALSE)/VLOOKUP(A1996,'焼鈍条件-3CGL'!$A$2:$B$197,2,FALSE)*60,"")</f>
        <v>63.928456022986296</v>
      </c>
      <c r="E1996" s="66">
        <v>488.1</v>
      </c>
      <c r="F1996" s="64">
        <f t="shared" si="31"/>
        <v>-4.5214005128205059</v>
      </c>
      <c r="G1996" s="60" t="s">
        <v>9</v>
      </c>
      <c r="H1996" s="60" t="s">
        <v>5042</v>
      </c>
    </row>
    <row r="1997" spans="1:8">
      <c r="A1997" s="59" t="s">
        <v>3310</v>
      </c>
      <c r="B1997" s="62">
        <v>14</v>
      </c>
      <c r="C1997" s="60" t="s">
        <v>5056</v>
      </c>
      <c r="D1997" s="64">
        <f>IFERROR(VLOOKUP(C1997,測定点マスタ!$E$2:$F$28,2,FALSE)/VLOOKUP(A1997,'焼鈍条件-3CGL'!$A$2:$B$197,2,FALSE)*60,"")</f>
        <v>69.692497139812929</v>
      </c>
      <c r="E1997" s="66">
        <v>281.10000000000002</v>
      </c>
      <c r="F1997" s="64">
        <f t="shared" si="31"/>
        <v>-35.912304545454553</v>
      </c>
      <c r="G1997" s="60" t="s">
        <v>9</v>
      </c>
      <c r="H1997" s="60" t="s">
        <v>5042</v>
      </c>
    </row>
    <row r="1998" spans="1:8">
      <c r="A1998" s="59" t="s">
        <v>3310</v>
      </c>
      <c r="B1998" s="62">
        <v>15</v>
      </c>
      <c r="C1998" s="60" t="s">
        <v>5068</v>
      </c>
      <c r="D1998" s="64">
        <f>IFERROR(VLOOKUP(C1998,測定点マスタ!$E$2:$F$28,2,FALSE)/VLOOKUP(A1998,'焼鈍条件-3CGL'!$A$2:$B$197,2,FALSE)*60,"")</f>
        <v>83.241736648197687</v>
      </c>
      <c r="E1998" s="66">
        <v>412.3</v>
      </c>
      <c r="F1998" s="64">
        <f t="shared" si="31"/>
        <v>9.6832002946592457</v>
      </c>
      <c r="G1998" s="60" t="s">
        <v>9</v>
      </c>
      <c r="H1998" s="60" t="s">
        <v>5042</v>
      </c>
    </row>
    <row r="1999" spans="1:8">
      <c r="A1999" s="59" t="s">
        <v>3310</v>
      </c>
      <c r="B1999" s="62">
        <v>16</v>
      </c>
      <c r="C1999" s="60" t="s">
        <v>5057</v>
      </c>
      <c r="D1999" s="64">
        <f>IFERROR(VLOOKUP(C1999,測定点マスタ!$E$2:$F$28,2,FALSE)/VLOOKUP(A1999,'焼鈍条件-3CGL'!$A$2:$B$197,2,FALSE)*60,"")</f>
        <v>86.404473494767984</v>
      </c>
      <c r="E1999" s="66">
        <v>173.9</v>
      </c>
      <c r="F1999" s="64">
        <f t="shared" si="31"/>
        <v>-75.37775400394861</v>
      </c>
      <c r="G1999" s="60" t="s">
        <v>9</v>
      </c>
      <c r="H1999" s="60" t="s">
        <v>5042</v>
      </c>
    </row>
    <row r="2000" spans="1:8">
      <c r="A2000" s="59" t="s">
        <v>3310</v>
      </c>
      <c r="B2000" s="62">
        <v>17</v>
      </c>
      <c r="C2000" s="60" t="s">
        <v>5059</v>
      </c>
      <c r="D2000" s="64">
        <f>IFERROR(VLOOKUP(C2000,測定点マスタ!$E$2:$F$28,2,FALSE)/VLOOKUP(A2000,'焼鈍条件-3CGL'!$A$2:$B$197,2,FALSE)*60,"")</f>
        <v>92.729947187909147</v>
      </c>
      <c r="E2000" s="66">
        <v>74.099999999999994</v>
      </c>
      <c r="F2000" s="64">
        <f t="shared" si="31"/>
        <v>-15.777474516764672</v>
      </c>
      <c r="G2000" s="60" t="s">
        <v>9</v>
      </c>
      <c r="H2000" s="60" t="s">
        <v>5042</v>
      </c>
    </row>
    <row r="2001" spans="1:8">
      <c r="A2001" s="59" t="s">
        <v>3319</v>
      </c>
      <c r="B2001" s="62">
        <v>1</v>
      </c>
      <c r="C2001" s="60" t="s">
        <v>5041</v>
      </c>
      <c r="D2001" s="64">
        <f>IFERROR(VLOOKUP(C2001,測定点マスタ!$E$2:$F$28,2,FALSE)/VLOOKUP(A2001,'焼鈍条件-3CGL'!$A$2:$B$197,2,FALSE)*60,"")</f>
        <v>0</v>
      </c>
      <c r="E2001" s="66">
        <v>37.4</v>
      </c>
      <c r="F2001" s="64" t="str">
        <f t="shared" si="31"/>
        <v/>
      </c>
      <c r="G2001" s="60" t="s">
        <v>12</v>
      </c>
      <c r="H2001" s="60" t="s">
        <v>5042</v>
      </c>
    </row>
    <row r="2002" spans="1:8">
      <c r="A2002" s="59" t="s">
        <v>3319</v>
      </c>
      <c r="B2002" s="62">
        <v>2</v>
      </c>
      <c r="C2002" s="60" t="s">
        <v>5043</v>
      </c>
      <c r="D2002" s="64">
        <f>IFERROR(VLOOKUP(C2002,測定点マスタ!$E$2:$F$28,2,FALSE)/VLOOKUP(A2002,'焼鈍条件-3CGL'!$A$2:$B$197,2,FALSE)*60,"")</f>
        <v>10.906050434424342</v>
      </c>
      <c r="E2002" s="66">
        <v>174.6</v>
      </c>
      <c r="F2002" s="64">
        <f t="shared" si="31"/>
        <v>12.580172888888887</v>
      </c>
      <c r="G2002" s="60" t="s">
        <v>12</v>
      </c>
      <c r="H2002" s="60" t="s">
        <v>5042</v>
      </c>
    </row>
    <row r="2003" spans="1:8">
      <c r="A2003" s="59" t="s">
        <v>3319</v>
      </c>
      <c r="B2003" s="62">
        <v>3</v>
      </c>
      <c r="C2003" s="60" t="s">
        <v>5067</v>
      </c>
      <c r="D2003" s="64">
        <f>IFERROR(VLOOKUP(C2003,測定点マスタ!$E$2:$F$28,2,FALSE)/VLOOKUP(A2003,'焼鈍条件-3CGL'!$A$2:$B$197,2,FALSE)*60,"")</f>
        <v>18.176750724040573</v>
      </c>
      <c r="E2003" s="66">
        <v>404.6</v>
      </c>
      <c r="F2003" s="64">
        <f t="shared" si="31"/>
        <v>31.633816666666657</v>
      </c>
      <c r="G2003" s="60" t="s">
        <v>12</v>
      </c>
      <c r="H2003" s="60" t="s">
        <v>5042</v>
      </c>
    </row>
    <row r="2004" spans="1:8">
      <c r="A2004" s="59" t="s">
        <v>3319</v>
      </c>
      <c r="B2004" s="62">
        <v>4</v>
      </c>
      <c r="C2004" s="60" t="s">
        <v>5044</v>
      </c>
      <c r="D2004" s="64">
        <f>IFERROR(VLOOKUP(C2004,測定点マスタ!$E$2:$F$28,2,FALSE)/VLOOKUP(A2004,'焼鈍条件-3CGL'!$A$2:$B$197,2,FALSE)*60,"")</f>
        <v>24.720380984695176</v>
      </c>
      <c r="E2004" s="66">
        <v>689.9</v>
      </c>
      <c r="F2004" s="64">
        <f t="shared" si="31"/>
        <v>43.599651666666681</v>
      </c>
      <c r="G2004" s="60" t="s">
        <v>12</v>
      </c>
      <c r="H2004" s="60" t="s">
        <v>5042</v>
      </c>
    </row>
    <row r="2005" spans="1:8">
      <c r="A2005" s="59" t="s">
        <v>3319</v>
      </c>
      <c r="B2005" s="62">
        <v>5</v>
      </c>
      <c r="C2005" s="60" t="s">
        <v>5045</v>
      </c>
      <c r="D2005" s="64">
        <f>IFERROR(VLOOKUP(C2005,測定点マスタ!$E$2:$F$28,2,FALSE)/VLOOKUP(A2005,'焼鈍条件-3CGL'!$A$2:$B$197,2,FALSE)*60,"")</f>
        <v>31.991081274311409</v>
      </c>
      <c r="E2005" s="66">
        <v>828.4</v>
      </c>
      <c r="F2005" s="64">
        <f t="shared" si="31"/>
        <v>19.049059166666655</v>
      </c>
      <c r="G2005" s="60" t="s">
        <v>12</v>
      </c>
      <c r="H2005" s="60" t="s">
        <v>5042</v>
      </c>
    </row>
    <row r="2006" spans="1:8">
      <c r="A2006" s="59" t="s">
        <v>3319</v>
      </c>
      <c r="B2006" s="62">
        <v>6</v>
      </c>
      <c r="C2006" s="60" t="s">
        <v>5047</v>
      </c>
      <c r="D2006" s="64">
        <f>IFERROR(VLOOKUP(C2006,測定点マスタ!$E$2:$F$28,2,FALSE)/VLOOKUP(A2006,'焼鈍条件-3CGL'!$A$2:$B$197,2,FALSE)*60,"")</f>
        <v>43.624201737697369</v>
      </c>
      <c r="E2006" s="66">
        <v>771.4</v>
      </c>
      <c r="F2006" s="64">
        <f t="shared" si="31"/>
        <v>-4.8998031250000018</v>
      </c>
      <c r="G2006" s="60" t="s">
        <v>12</v>
      </c>
      <c r="H2006" s="60" t="s">
        <v>5042</v>
      </c>
    </row>
    <row r="2007" spans="1:8">
      <c r="A2007" s="59" t="s">
        <v>3319</v>
      </c>
      <c r="B2007" s="62">
        <v>7</v>
      </c>
      <c r="C2007" s="60" t="s">
        <v>5048</v>
      </c>
      <c r="D2007" s="64">
        <f>IFERROR(VLOOKUP(C2007,測定点マスタ!$E$2:$F$28,2,FALSE)/VLOOKUP(A2007,'焼鈍条件-3CGL'!$A$2:$B$197,2,FALSE)*60,"")</f>
        <v>47.986621911467111</v>
      </c>
      <c r="E2007" s="66">
        <v>699</v>
      </c>
      <c r="F2007" s="64">
        <f t="shared" si="31"/>
        <v>-16.5962922222222</v>
      </c>
      <c r="G2007" s="60" t="s">
        <v>12</v>
      </c>
      <c r="H2007" s="60" t="s">
        <v>5042</v>
      </c>
    </row>
    <row r="2008" spans="1:8">
      <c r="A2008" s="59" t="s">
        <v>3319</v>
      </c>
      <c r="B2008" s="62">
        <v>8</v>
      </c>
      <c r="C2008" s="60" t="s">
        <v>5049</v>
      </c>
      <c r="D2008" s="64">
        <f>IFERROR(VLOOKUP(C2008,測定点マスタ!$E$2:$F$28,2,FALSE)/VLOOKUP(A2008,'焼鈍条件-3CGL'!$A$2:$B$197,2,FALSE)*60,"")</f>
        <v>53.076112114198466</v>
      </c>
      <c r="E2008" s="66">
        <v>633.29999999999995</v>
      </c>
      <c r="F2008" s="64">
        <f t="shared" si="31"/>
        <v>-12.908955000000022</v>
      </c>
      <c r="G2008" s="60" t="s">
        <v>12</v>
      </c>
      <c r="H2008" s="60" t="s">
        <v>5042</v>
      </c>
    </row>
    <row r="2009" spans="1:8">
      <c r="A2009" s="59" t="s">
        <v>3319</v>
      </c>
      <c r="B2009" s="62">
        <v>9</v>
      </c>
      <c r="C2009" s="60" t="s">
        <v>5050</v>
      </c>
      <c r="D2009" s="64">
        <f>IFERROR(VLOOKUP(C2009,測定点マスタ!$E$2:$F$28,2,FALSE)/VLOOKUP(A2009,'焼鈍条件-3CGL'!$A$2:$B$197,2,FALSE)*60,"")</f>
        <v>58.892672345891448</v>
      </c>
      <c r="E2009" s="66">
        <v>496</v>
      </c>
      <c r="F2009" s="64">
        <f t="shared" si="31"/>
        <v>-23.605016458333328</v>
      </c>
      <c r="G2009" s="60" t="s">
        <v>12</v>
      </c>
      <c r="H2009" s="60" t="s">
        <v>5042</v>
      </c>
    </row>
    <row r="2010" spans="1:8">
      <c r="A2010" s="59" t="s">
        <v>3319</v>
      </c>
      <c r="B2010" s="62">
        <v>10</v>
      </c>
      <c r="C2010" s="60" t="s">
        <v>5051</v>
      </c>
      <c r="D2010" s="64">
        <f>IFERROR(VLOOKUP(C2010,測定点マスタ!$E$2:$F$28,2,FALSE)/VLOOKUP(A2010,'焼鈍条件-3CGL'!$A$2:$B$197,2,FALSE)*60,"")</f>
        <v>63.982162548622817</v>
      </c>
      <c r="E2010" s="66">
        <v>485</v>
      </c>
      <c r="F2010" s="64">
        <f t="shared" si="31"/>
        <v>-2.1613166666666626</v>
      </c>
      <c r="G2010" s="60" t="s">
        <v>12</v>
      </c>
      <c r="H2010" s="60" t="s">
        <v>5042</v>
      </c>
    </row>
    <row r="2011" spans="1:8">
      <c r="A2011" s="59" t="s">
        <v>3319</v>
      </c>
      <c r="B2011" s="62">
        <v>11</v>
      </c>
      <c r="C2011" s="60" t="s">
        <v>5052</v>
      </c>
      <c r="D2011" s="64">
        <f>IFERROR(VLOOKUP(C2011,測定点マスタ!$E$2:$F$28,2,FALSE)/VLOOKUP(A2011,'焼鈍条件-3CGL'!$A$2:$B$197,2,FALSE)*60,"")</f>
        <v>70.525792809277419</v>
      </c>
      <c r="E2011" s="66">
        <v>374.2</v>
      </c>
      <c r="F2011" s="64">
        <f t="shared" si="31"/>
        <v>-16.932497037037049</v>
      </c>
      <c r="G2011" s="60" t="s">
        <v>12</v>
      </c>
      <c r="H2011" s="60" t="s">
        <v>5042</v>
      </c>
    </row>
    <row r="2012" spans="1:8">
      <c r="A2012" s="59" t="s">
        <v>3319</v>
      </c>
      <c r="B2012" s="62">
        <v>12</v>
      </c>
      <c r="C2012" s="60" t="s">
        <v>5053</v>
      </c>
      <c r="D2012" s="64">
        <f>IFERROR(VLOOKUP(C2012,測定点マスタ!$E$2:$F$28,2,FALSE)/VLOOKUP(A2012,'焼鈍条件-3CGL'!$A$2:$B$197,2,FALSE)*60,"")</f>
        <v>79.250633156816889</v>
      </c>
      <c r="E2012" s="66">
        <v>539.6</v>
      </c>
      <c r="F2012" s="64">
        <f t="shared" si="31"/>
        <v>18.957366944444459</v>
      </c>
      <c r="G2012" s="60" t="s">
        <v>12</v>
      </c>
      <c r="H2012" s="60" t="s">
        <v>5042</v>
      </c>
    </row>
    <row r="2013" spans="1:8">
      <c r="A2013" s="59" t="s">
        <v>3319</v>
      </c>
      <c r="B2013" s="62">
        <v>13</v>
      </c>
      <c r="C2013" s="60" t="s">
        <v>5063</v>
      </c>
      <c r="D2013" s="64">
        <f>IFERROR(VLOOKUP(C2013,測定点マスタ!$E$2:$F$28,2,FALSE)/VLOOKUP(A2013,'焼鈍条件-3CGL'!$A$2:$B$197,2,FALSE)*60,"")</f>
        <v>83.613053330586638</v>
      </c>
      <c r="E2013" s="66">
        <v>545.5</v>
      </c>
      <c r="F2013" s="64">
        <f t="shared" si="31"/>
        <v>1.3524602777777688</v>
      </c>
      <c r="G2013" s="60" t="s">
        <v>12</v>
      </c>
      <c r="H2013" s="60" t="s">
        <v>5042</v>
      </c>
    </row>
    <row r="2014" spans="1:8">
      <c r="A2014" s="59" t="s">
        <v>3319</v>
      </c>
      <c r="B2014" s="62">
        <v>14</v>
      </c>
      <c r="C2014" s="60" t="s">
        <v>5054</v>
      </c>
      <c r="D2014" s="64">
        <f>IFERROR(VLOOKUP(C2014,測定点マスタ!$E$2:$F$28,2,FALSE)/VLOOKUP(A2014,'焼鈍条件-3CGL'!$A$2:$B$197,2,FALSE)*60,"")</f>
        <v>88.702543533317993</v>
      </c>
      <c r="E2014" s="66">
        <v>524.79999999999995</v>
      </c>
      <c r="F2014" s="64">
        <f t="shared" si="31"/>
        <v>-4.0672050000000128</v>
      </c>
      <c r="G2014" s="60" t="s">
        <v>12</v>
      </c>
      <c r="H2014" s="60" t="s">
        <v>5042</v>
      </c>
    </row>
    <row r="2015" spans="1:8">
      <c r="A2015" s="59" t="s">
        <v>3319</v>
      </c>
      <c r="B2015" s="62">
        <v>15</v>
      </c>
      <c r="C2015" s="60" t="s">
        <v>5056</v>
      </c>
      <c r="D2015" s="64">
        <f>IFERROR(VLOOKUP(C2015,測定点マスタ!$E$2:$F$28,2,FALSE)/VLOOKUP(A2015,'焼鈍条件-3CGL'!$A$2:$B$197,2,FALSE)*60,"")</f>
        <v>96.700313851895842</v>
      </c>
      <c r="E2015" s="66">
        <v>282.2</v>
      </c>
      <c r="F2015" s="64">
        <f t="shared" si="31"/>
        <v>-30.333454242424246</v>
      </c>
      <c r="G2015" s="60" t="s">
        <v>12</v>
      </c>
      <c r="H2015" s="60" t="s">
        <v>5042</v>
      </c>
    </row>
    <row r="2016" spans="1:8">
      <c r="A2016" s="59" t="s">
        <v>3319</v>
      </c>
      <c r="B2016" s="62">
        <v>16</v>
      </c>
      <c r="C2016" s="60" t="s">
        <v>5068</v>
      </c>
      <c r="D2016" s="64">
        <f>IFERROR(VLOOKUP(C2016,測定点マスタ!$E$2:$F$28,2,FALSE)/VLOOKUP(A2016,'焼鈍条件-3CGL'!$A$2:$B$197,2,FALSE)*60,"")</f>
        <v>115.50026745790363</v>
      </c>
      <c r="E2016" s="66">
        <v>325.2</v>
      </c>
      <c r="F2016" s="64">
        <f t="shared" si="31"/>
        <v>2.2872396869244795</v>
      </c>
      <c r="G2016" s="60" t="s">
        <v>12</v>
      </c>
      <c r="H2016" s="60" t="s">
        <v>5042</v>
      </c>
    </row>
    <row r="2017" spans="1:8">
      <c r="A2017" s="59" t="s">
        <v>3319</v>
      </c>
      <c r="B2017" s="62">
        <v>17</v>
      </c>
      <c r="C2017" s="60" t="s">
        <v>5057</v>
      </c>
      <c r="D2017" s="64">
        <f>IFERROR(VLOOKUP(C2017,測定点マスタ!$E$2:$F$28,2,FALSE)/VLOOKUP(A2017,'焼鈍条件-3CGL'!$A$2:$B$197,2,FALSE)*60,"")</f>
        <v>119.88865441842177</v>
      </c>
      <c r="E2017" s="66">
        <v>189</v>
      </c>
      <c r="F2017" s="64">
        <f t="shared" si="31"/>
        <v>-31.036460828404014</v>
      </c>
      <c r="G2017" s="60" t="s">
        <v>12</v>
      </c>
      <c r="H2017" s="60" t="s">
        <v>5042</v>
      </c>
    </row>
    <row r="2018" spans="1:8">
      <c r="A2018" s="59" t="s">
        <v>3319</v>
      </c>
      <c r="B2018" s="62">
        <v>18</v>
      </c>
      <c r="C2018" s="60" t="s">
        <v>5059</v>
      </c>
      <c r="D2018" s="64">
        <f>IFERROR(VLOOKUP(C2018,測定点マスタ!$E$2:$F$28,2,FALSE)/VLOOKUP(A2018,'焼鈍条件-3CGL'!$A$2:$B$197,2,FALSE)*60,"")</f>
        <v>128.66542833945883</v>
      </c>
      <c r="E2018" s="66">
        <v>53.4</v>
      </c>
      <c r="F2018" s="64">
        <f t="shared" si="31"/>
        <v>-15.449868165679893</v>
      </c>
      <c r="G2018" s="60" t="s">
        <v>12</v>
      </c>
      <c r="H2018" s="60" t="s">
        <v>5042</v>
      </c>
    </row>
    <row r="2019" spans="1:8">
      <c r="A2019" s="59" t="s">
        <v>3328</v>
      </c>
      <c r="B2019" s="62">
        <v>1</v>
      </c>
      <c r="C2019" s="60" t="s">
        <v>5041</v>
      </c>
      <c r="D2019" s="64">
        <f>IFERROR(VLOOKUP(C2019,測定点マスタ!$E$2:$F$28,2,FALSE)/VLOOKUP(A2019,'焼鈍条件-3CGL'!$A$2:$B$197,2,FALSE)*60,"")</f>
        <v>0</v>
      </c>
      <c r="E2019" s="66">
        <v>29.5</v>
      </c>
      <c r="F2019" s="64" t="str">
        <f t="shared" si="31"/>
        <v/>
      </c>
      <c r="G2019" s="60" t="s">
        <v>9</v>
      </c>
      <c r="H2019" s="60" t="s">
        <v>5042</v>
      </c>
    </row>
    <row r="2020" spans="1:8">
      <c r="A2020" s="59" t="s">
        <v>3328</v>
      </c>
      <c r="B2020" s="62">
        <v>2</v>
      </c>
      <c r="C2020" s="60" t="s">
        <v>5043</v>
      </c>
      <c r="D2020" s="64">
        <f>IFERROR(VLOOKUP(C2020,測定点マスタ!$E$2:$F$28,2,FALSE)/VLOOKUP(A2020,'焼鈍条件-3CGL'!$A$2:$B$197,2,FALSE)*60,"")</f>
        <v>9.4271438896395701</v>
      </c>
      <c r="E2020" s="66">
        <v>186.7</v>
      </c>
      <c r="F2020" s="64">
        <f t="shared" si="31"/>
        <v>16.675251999999997</v>
      </c>
      <c r="G2020" s="60" t="s">
        <v>9</v>
      </c>
      <c r="H2020" s="60" t="s">
        <v>5042</v>
      </c>
    </row>
    <row r="2021" spans="1:8">
      <c r="A2021" s="59" t="s">
        <v>3328</v>
      </c>
      <c r="B2021" s="62">
        <v>3</v>
      </c>
      <c r="C2021" s="60" t="s">
        <v>5044</v>
      </c>
      <c r="D2021" s="64">
        <f>IFERROR(VLOOKUP(C2021,測定点マスタ!$E$2:$F$28,2,FALSE)/VLOOKUP(A2021,'焼鈍条件-3CGL'!$A$2:$B$197,2,FALSE)*60,"")</f>
        <v>21.368192816516359</v>
      </c>
      <c r="E2021" s="66">
        <v>679.4</v>
      </c>
      <c r="F2021" s="64">
        <f t="shared" si="31"/>
        <v>41.261031842105254</v>
      </c>
      <c r="G2021" s="60" t="s">
        <v>9</v>
      </c>
      <c r="H2021" s="60" t="s">
        <v>5042</v>
      </c>
    </row>
    <row r="2022" spans="1:8">
      <c r="A2022" s="59" t="s">
        <v>3328</v>
      </c>
      <c r="B2022" s="62">
        <v>4</v>
      </c>
      <c r="C2022" s="60" t="s">
        <v>5045</v>
      </c>
      <c r="D2022" s="64">
        <f>IFERROR(VLOOKUP(C2022,測定点マスタ!$E$2:$F$28,2,FALSE)/VLOOKUP(A2022,'焼鈍条件-3CGL'!$A$2:$B$197,2,FALSE)*60,"")</f>
        <v>27.652955409609401</v>
      </c>
      <c r="E2022" s="66">
        <v>827.4</v>
      </c>
      <c r="F2022" s="64">
        <f t="shared" si="31"/>
        <v>23.549020000000016</v>
      </c>
      <c r="G2022" s="60" t="s">
        <v>9</v>
      </c>
      <c r="H2022" s="60" t="s">
        <v>5042</v>
      </c>
    </row>
    <row r="2023" spans="1:8">
      <c r="A2023" s="59" t="s">
        <v>3328</v>
      </c>
      <c r="B2023" s="62">
        <v>5</v>
      </c>
      <c r="C2023" s="60" t="s">
        <v>5047</v>
      </c>
      <c r="D2023" s="64">
        <f>IFERROR(VLOOKUP(C2023,測定点マスタ!$E$2:$F$28,2,FALSE)/VLOOKUP(A2023,'焼鈍条件-3CGL'!$A$2:$B$197,2,FALSE)*60,"")</f>
        <v>37.70857555855828</v>
      </c>
      <c r="E2023" s="66">
        <v>750.3</v>
      </c>
      <c r="F2023" s="64">
        <f t="shared" si="31"/>
        <v>-7.6673540624999976</v>
      </c>
      <c r="G2023" s="60" t="s">
        <v>9</v>
      </c>
      <c r="H2023" s="60" t="s">
        <v>5042</v>
      </c>
    </row>
    <row r="2024" spans="1:8">
      <c r="A2024" s="59" t="s">
        <v>3328</v>
      </c>
      <c r="B2024" s="62">
        <v>6</v>
      </c>
      <c r="C2024" s="60" t="s">
        <v>5048</v>
      </c>
      <c r="D2024" s="64">
        <f>IFERROR(VLOOKUP(C2024,測定点マスタ!$E$2:$F$28,2,FALSE)/VLOOKUP(A2024,'焼鈍条件-3CGL'!$A$2:$B$197,2,FALSE)*60,"")</f>
        <v>41.479433114414107</v>
      </c>
      <c r="E2024" s="66">
        <v>713.8</v>
      </c>
      <c r="F2024" s="64">
        <f t="shared" si="31"/>
        <v>-9.6794958333333359</v>
      </c>
      <c r="G2024" s="60" t="s">
        <v>9</v>
      </c>
      <c r="H2024" s="60" t="s">
        <v>5042</v>
      </c>
    </row>
    <row r="2025" spans="1:8">
      <c r="A2025" s="59" t="s">
        <v>3328</v>
      </c>
      <c r="B2025" s="62">
        <v>7</v>
      </c>
      <c r="C2025" s="60" t="s">
        <v>5049</v>
      </c>
      <c r="D2025" s="64">
        <f>IFERROR(VLOOKUP(C2025,測定点マスタ!$E$2:$F$28,2,FALSE)/VLOOKUP(A2025,'焼鈍条件-3CGL'!$A$2:$B$197,2,FALSE)*60,"")</f>
        <v>45.878766929579243</v>
      </c>
      <c r="E2025" s="66">
        <v>631.6</v>
      </c>
      <c r="F2025" s="64">
        <f t="shared" si="31"/>
        <v>-18.684647142857113</v>
      </c>
      <c r="G2025" s="60" t="s">
        <v>9</v>
      </c>
      <c r="H2025" s="60" t="s">
        <v>5042</v>
      </c>
    </row>
    <row r="2026" spans="1:8">
      <c r="A2026" s="59" t="s">
        <v>3328</v>
      </c>
      <c r="B2026" s="62">
        <v>8</v>
      </c>
      <c r="C2026" s="60" t="s">
        <v>5050</v>
      </c>
      <c r="D2026" s="64">
        <f>IFERROR(VLOOKUP(C2026,測定点マスタ!$E$2:$F$28,2,FALSE)/VLOOKUP(A2026,'焼鈍条件-3CGL'!$A$2:$B$197,2,FALSE)*60,"")</f>
        <v>50.906577004053673</v>
      </c>
      <c r="E2026" s="66">
        <v>483</v>
      </c>
      <c r="F2026" s="64">
        <f t="shared" si="31"/>
        <v>-29.555611250000041</v>
      </c>
      <c r="G2026" s="60" t="s">
        <v>9</v>
      </c>
      <c r="H2026" s="60" t="s">
        <v>5042</v>
      </c>
    </row>
    <row r="2027" spans="1:8">
      <c r="A2027" s="59" t="s">
        <v>3328</v>
      </c>
      <c r="B2027" s="62">
        <v>9</v>
      </c>
      <c r="C2027" s="60" t="s">
        <v>5051</v>
      </c>
      <c r="D2027" s="64">
        <f>IFERROR(VLOOKUP(C2027,測定点マスタ!$E$2:$F$28,2,FALSE)/VLOOKUP(A2027,'焼鈍条件-3CGL'!$A$2:$B$197,2,FALSE)*60,"")</f>
        <v>55.305910819218802</v>
      </c>
      <c r="E2027" s="66">
        <v>446.4</v>
      </c>
      <c r="F2027" s="64">
        <f t="shared" si="31"/>
        <v>-8.3194414285714409</v>
      </c>
      <c r="G2027" s="60" t="s">
        <v>9</v>
      </c>
      <c r="H2027" s="60" t="s">
        <v>5042</v>
      </c>
    </row>
    <row r="2028" spans="1:8">
      <c r="A2028" s="59" t="s">
        <v>3328</v>
      </c>
      <c r="B2028" s="62">
        <v>10</v>
      </c>
      <c r="C2028" s="60" t="s">
        <v>5060</v>
      </c>
      <c r="D2028" s="64">
        <f>IFERROR(VLOOKUP(C2028,測定点マスタ!$E$2:$F$28,2,FALSE)/VLOOKUP(A2028,'焼鈍条件-3CGL'!$A$2:$B$197,2,FALSE)*60,"")</f>
        <v>57.819815856456025</v>
      </c>
      <c r="E2028" s="66">
        <v>402.5</v>
      </c>
      <c r="F2028" s="64">
        <f t="shared" si="31"/>
        <v>-17.462871249999964</v>
      </c>
      <c r="G2028" s="60" t="s">
        <v>9</v>
      </c>
      <c r="H2028" s="60" t="s">
        <v>5042</v>
      </c>
    </row>
    <row r="2029" spans="1:8">
      <c r="A2029" s="59" t="s">
        <v>3328</v>
      </c>
      <c r="B2029" s="62">
        <v>11</v>
      </c>
      <c r="C2029" s="60" t="s">
        <v>5052</v>
      </c>
      <c r="D2029" s="64">
        <f>IFERROR(VLOOKUP(C2029,測定点マスタ!$E$2:$F$28,2,FALSE)/VLOOKUP(A2029,'焼鈍条件-3CGL'!$A$2:$B$197,2,FALSE)*60,"")</f>
        <v>60.962197153002549</v>
      </c>
      <c r="E2029" s="66">
        <v>346.4</v>
      </c>
      <c r="F2029" s="64">
        <f t="shared" si="31"/>
        <v>-17.852702999999998</v>
      </c>
      <c r="G2029" s="60" t="s">
        <v>9</v>
      </c>
      <c r="H2029" s="60" t="s">
        <v>5042</v>
      </c>
    </row>
    <row r="2030" spans="1:8">
      <c r="A2030" s="59" t="s">
        <v>3328</v>
      </c>
      <c r="B2030" s="62">
        <v>12</v>
      </c>
      <c r="C2030" s="60" t="s">
        <v>5069</v>
      </c>
      <c r="D2030" s="64">
        <f>IFERROR(VLOOKUP(C2030,測定点マスタ!$E$2:$F$28,2,FALSE)/VLOOKUP(A2030,'焼鈍条件-3CGL'!$A$2:$B$197,2,FALSE)*60,"")</f>
        <v>65.361530968167671</v>
      </c>
      <c r="E2030" s="66">
        <v>527.20000000000005</v>
      </c>
      <c r="F2030" s="64">
        <f t="shared" si="31"/>
        <v>41.097131428571544</v>
      </c>
      <c r="G2030" s="60" t="s">
        <v>9</v>
      </c>
      <c r="H2030" s="60" t="s">
        <v>5042</v>
      </c>
    </row>
    <row r="2031" spans="1:8">
      <c r="A2031" s="59" t="s">
        <v>3328</v>
      </c>
      <c r="B2031" s="62">
        <v>13</v>
      </c>
      <c r="C2031" s="60" t="s">
        <v>5053</v>
      </c>
      <c r="D2031" s="64">
        <f>IFERROR(VLOOKUP(C2031,測定点マスタ!$E$2:$F$28,2,FALSE)/VLOOKUP(A2031,'焼鈍条件-3CGL'!$A$2:$B$197,2,FALSE)*60,"")</f>
        <v>68.503912264714202</v>
      </c>
      <c r="E2031" s="66">
        <v>535.4</v>
      </c>
      <c r="F2031" s="64">
        <f t="shared" si="31"/>
        <v>2.6094859999999711</v>
      </c>
      <c r="G2031" s="60" t="s">
        <v>9</v>
      </c>
      <c r="H2031" s="60" t="s">
        <v>5042</v>
      </c>
    </row>
    <row r="2032" spans="1:8">
      <c r="A2032" s="59" t="s">
        <v>3328</v>
      </c>
      <c r="B2032" s="62">
        <v>14</v>
      </c>
      <c r="C2032" s="60" t="s">
        <v>5054</v>
      </c>
      <c r="D2032" s="64">
        <f>IFERROR(VLOOKUP(C2032,測定点マスタ!$E$2:$F$28,2,FALSE)/VLOOKUP(A2032,'焼鈍条件-3CGL'!$A$2:$B$197,2,FALSE)*60,"")</f>
        <v>76.674103635735165</v>
      </c>
      <c r="E2032" s="66">
        <v>520</v>
      </c>
      <c r="F2032" s="64">
        <f t="shared" si="31"/>
        <v>-1.8849007692307658</v>
      </c>
      <c r="G2032" s="60" t="s">
        <v>9</v>
      </c>
      <c r="H2032" s="60" t="s">
        <v>5042</v>
      </c>
    </row>
    <row r="2033" spans="1:8">
      <c r="A2033" s="59" t="s">
        <v>3328</v>
      </c>
      <c r="B2033" s="62">
        <v>15</v>
      </c>
      <c r="C2033" s="60" t="s">
        <v>5056</v>
      </c>
      <c r="D2033" s="64">
        <f>IFERROR(VLOOKUP(C2033,測定点マスタ!$E$2:$F$28,2,FALSE)/VLOOKUP(A2033,'焼鈍条件-3CGL'!$A$2:$B$197,2,FALSE)*60,"")</f>
        <v>83.587342488137509</v>
      </c>
      <c r="E2033" s="66">
        <v>261.7</v>
      </c>
      <c r="F2033" s="64">
        <f t="shared" si="31"/>
        <v>-37.363095000000037</v>
      </c>
      <c r="G2033" s="60" t="s">
        <v>9</v>
      </c>
      <c r="H2033" s="60" t="s">
        <v>5042</v>
      </c>
    </row>
    <row r="2034" spans="1:8">
      <c r="A2034" s="59" t="s">
        <v>3328</v>
      </c>
      <c r="B2034" s="62">
        <v>16</v>
      </c>
      <c r="C2034" s="60" t="s">
        <v>5068</v>
      </c>
      <c r="D2034" s="64">
        <f>IFERROR(VLOOKUP(C2034,測定点マスタ!$E$2:$F$28,2,FALSE)/VLOOKUP(A2034,'焼鈍条件-3CGL'!$A$2:$B$197,2,FALSE)*60,"")</f>
        <v>99.837942907421052</v>
      </c>
      <c r="E2034" s="66">
        <v>409.5</v>
      </c>
      <c r="F2034" s="64">
        <f t="shared" si="31"/>
        <v>9.0950485635358582</v>
      </c>
      <c r="G2034" s="60" t="s">
        <v>9</v>
      </c>
      <c r="H2034" s="60" t="s">
        <v>5042</v>
      </c>
    </row>
    <row r="2035" spans="1:8">
      <c r="A2035" s="59" t="s">
        <v>3328</v>
      </c>
      <c r="B2035" s="62">
        <v>17</v>
      </c>
      <c r="C2035" s="60" t="s">
        <v>5057</v>
      </c>
      <c r="D2035" s="64">
        <f>IFERROR(VLOOKUP(C2035,測定点マスタ!$E$2:$F$28,2,FALSE)/VLOOKUP(A2035,'焼鈍条件-3CGL'!$A$2:$B$197,2,FALSE)*60,"")</f>
        <v>103.63124604396631</v>
      </c>
      <c r="E2035" s="66">
        <v>256.39999999999998</v>
      </c>
      <c r="F2035" s="64">
        <f t="shared" si="31"/>
        <v>-40.360602485209057</v>
      </c>
      <c r="G2035" s="60" t="s">
        <v>9</v>
      </c>
      <c r="H2035" s="60" t="s">
        <v>5042</v>
      </c>
    </row>
    <row r="2036" spans="1:8">
      <c r="A2036" s="59" t="s">
        <v>3328</v>
      </c>
      <c r="B2036" s="62">
        <v>18</v>
      </c>
      <c r="C2036" s="60" t="s">
        <v>5058</v>
      </c>
      <c r="D2036" s="64">
        <f>IFERROR(VLOOKUP(C2036,測定点マスタ!$E$2:$F$28,2,FALSE)/VLOOKUP(A2036,'焼鈍条件-3CGL'!$A$2:$B$197,2,FALSE)*60,"")</f>
        <v>107.42454918051159</v>
      </c>
      <c r="E2036" s="66">
        <v>130.9</v>
      </c>
      <c r="F2036" s="64">
        <f t="shared" si="31"/>
        <v>-33.084621893492596</v>
      </c>
      <c r="G2036" s="60" t="s">
        <v>9</v>
      </c>
      <c r="H2036" s="60" t="s">
        <v>5042</v>
      </c>
    </row>
    <row r="2037" spans="1:8">
      <c r="A2037" s="59" t="s">
        <v>3328</v>
      </c>
      <c r="B2037" s="62">
        <v>19</v>
      </c>
      <c r="C2037" s="60" t="s">
        <v>5059</v>
      </c>
      <c r="D2037" s="64">
        <f>IFERROR(VLOOKUP(C2037,測定点マスタ!$E$2:$F$28,2,FALSE)/VLOOKUP(A2037,'焼鈍条件-3CGL'!$A$2:$B$197,2,FALSE)*60,"")</f>
        <v>111.21785231705748</v>
      </c>
      <c r="E2037" s="66">
        <v>42.5</v>
      </c>
      <c r="F2037" s="64">
        <f t="shared" si="31"/>
        <v>-23.30422769230498</v>
      </c>
      <c r="G2037" s="60" t="s">
        <v>9</v>
      </c>
      <c r="H2037" s="60" t="s">
        <v>5042</v>
      </c>
    </row>
    <row r="2038" spans="1:8">
      <c r="A2038" s="59" t="s">
        <v>3340</v>
      </c>
      <c r="B2038" s="62">
        <v>1</v>
      </c>
      <c r="C2038" s="60" t="s">
        <v>5041</v>
      </c>
      <c r="D2038" s="64">
        <f>IFERROR(VLOOKUP(C2038,測定点マスタ!$E$2:$F$28,2,FALSE)/VLOOKUP(A2038,'焼鈍条件-3CGL'!$A$2:$B$197,2,FALSE)*60,"")</f>
        <v>0</v>
      </c>
      <c r="E2038" s="66">
        <v>25.6</v>
      </c>
      <c r="F2038" s="64" t="str">
        <f t="shared" si="31"/>
        <v/>
      </c>
      <c r="G2038" s="60" t="s">
        <v>9</v>
      </c>
      <c r="H2038" s="60" t="s">
        <v>5042</v>
      </c>
    </row>
    <row r="2039" spans="1:8">
      <c r="A2039" s="59" t="s">
        <v>3340</v>
      </c>
      <c r="B2039" s="62">
        <v>2</v>
      </c>
      <c r="C2039" s="60" t="s">
        <v>5043</v>
      </c>
      <c r="D2039" s="64">
        <f>IFERROR(VLOOKUP(C2039,測定点マスタ!$E$2:$F$28,2,FALSE)/VLOOKUP(A2039,'焼鈍条件-3CGL'!$A$2:$B$197,2,FALSE)*60,"")</f>
        <v>10.410280730570367</v>
      </c>
      <c r="E2039" s="66">
        <v>175.7</v>
      </c>
      <c r="F2039" s="64">
        <f t="shared" si="31"/>
        <v>14.418439222222222</v>
      </c>
      <c r="G2039" s="60" t="s">
        <v>9</v>
      </c>
      <c r="H2039" s="60" t="s">
        <v>5042</v>
      </c>
    </row>
    <row r="2040" spans="1:8">
      <c r="A2040" s="59" t="s">
        <v>3340</v>
      </c>
      <c r="B2040" s="62">
        <v>3</v>
      </c>
      <c r="C2040" s="60" t="s">
        <v>5067</v>
      </c>
      <c r="D2040" s="64">
        <f>IFERROR(VLOOKUP(C2040,測定点マスタ!$E$2:$F$28,2,FALSE)/VLOOKUP(A2040,'焼鈍条件-3CGL'!$A$2:$B$197,2,FALSE)*60,"")</f>
        <v>17.350467884283944</v>
      </c>
      <c r="E2040" s="66">
        <v>398.5</v>
      </c>
      <c r="F2040" s="64">
        <f t="shared" si="31"/>
        <v>32.102880666666678</v>
      </c>
      <c r="G2040" s="60" t="s">
        <v>9</v>
      </c>
      <c r="H2040" s="60" t="s">
        <v>5042</v>
      </c>
    </row>
    <row r="2041" spans="1:8">
      <c r="A2041" s="59" t="s">
        <v>3340</v>
      </c>
      <c r="B2041" s="62">
        <v>4</v>
      </c>
      <c r="C2041" s="60" t="s">
        <v>5044</v>
      </c>
      <c r="D2041" s="64">
        <f>IFERROR(VLOOKUP(C2041,測定点マスタ!$E$2:$F$28,2,FALSE)/VLOOKUP(A2041,'焼鈍条件-3CGL'!$A$2:$B$197,2,FALSE)*60,"")</f>
        <v>23.596636322626168</v>
      </c>
      <c r="E2041" s="66">
        <v>695.2</v>
      </c>
      <c r="F2041" s="64">
        <f t="shared" si="31"/>
        <v>47.501120555555538</v>
      </c>
      <c r="G2041" s="60" t="s">
        <v>9</v>
      </c>
      <c r="H2041" s="60" t="s">
        <v>5042</v>
      </c>
    </row>
    <row r="2042" spans="1:8">
      <c r="A2042" s="59" t="s">
        <v>3340</v>
      </c>
      <c r="B2042" s="62">
        <v>5</v>
      </c>
      <c r="C2042" s="60" t="s">
        <v>5045</v>
      </c>
      <c r="D2042" s="64">
        <f>IFERROR(VLOOKUP(C2042,測定点マスタ!$E$2:$F$28,2,FALSE)/VLOOKUP(A2042,'焼鈍条件-3CGL'!$A$2:$B$197,2,FALSE)*60,"")</f>
        <v>30.536823476339745</v>
      </c>
      <c r="E2042" s="66">
        <v>858.6</v>
      </c>
      <c r="F2042" s="64">
        <f t="shared" si="31"/>
        <v>23.544033666666667</v>
      </c>
      <c r="G2042" s="60" t="s">
        <v>9</v>
      </c>
      <c r="H2042" s="60" t="s">
        <v>5042</v>
      </c>
    </row>
    <row r="2043" spans="1:8">
      <c r="A2043" s="59" t="s">
        <v>3340</v>
      </c>
      <c r="B2043" s="62">
        <v>6</v>
      </c>
      <c r="C2043" s="60" t="s">
        <v>5047</v>
      </c>
      <c r="D2043" s="64">
        <f>IFERROR(VLOOKUP(C2043,測定点マスタ!$E$2:$F$28,2,FALSE)/VLOOKUP(A2043,'焼鈍条件-3CGL'!$A$2:$B$197,2,FALSE)*60,"")</f>
        <v>41.641122922281468</v>
      </c>
      <c r="E2043" s="66">
        <v>789.7</v>
      </c>
      <c r="F2043" s="64">
        <f t="shared" si="31"/>
        <v>-6.2048038541666655</v>
      </c>
      <c r="G2043" s="60" t="s">
        <v>9</v>
      </c>
      <c r="H2043" s="60" t="s">
        <v>5042</v>
      </c>
    </row>
    <row r="2044" spans="1:8">
      <c r="A2044" s="59" t="s">
        <v>3340</v>
      </c>
      <c r="B2044" s="62">
        <v>7</v>
      </c>
      <c r="C2044" s="60" t="s">
        <v>5049</v>
      </c>
      <c r="D2044" s="64">
        <f>IFERROR(VLOOKUP(C2044,測定点マスタ!$E$2:$F$28,2,FALSE)/VLOOKUP(A2044,'焼鈍条件-3CGL'!$A$2:$B$197,2,FALSE)*60,"")</f>
        <v>50.663366222109119</v>
      </c>
      <c r="E2044" s="66">
        <v>634.6</v>
      </c>
      <c r="F2044" s="64">
        <f t="shared" si="31"/>
        <v>-17.190846538461543</v>
      </c>
      <c r="G2044" s="60" t="s">
        <v>9</v>
      </c>
      <c r="H2044" s="60" t="s">
        <v>5042</v>
      </c>
    </row>
    <row r="2045" spans="1:8">
      <c r="A2045" s="59" t="s">
        <v>3340</v>
      </c>
      <c r="B2045" s="62">
        <v>8</v>
      </c>
      <c r="C2045" s="60" t="s">
        <v>5050</v>
      </c>
      <c r="D2045" s="64">
        <f>IFERROR(VLOOKUP(C2045,測定点マスタ!$E$2:$F$28,2,FALSE)/VLOOKUP(A2045,'焼鈍条件-3CGL'!$A$2:$B$197,2,FALSE)*60,"")</f>
        <v>56.215515945079986</v>
      </c>
      <c r="E2045" s="66">
        <v>524.79999999999995</v>
      </c>
      <c r="F2045" s="64">
        <f t="shared" si="31"/>
        <v>-19.776123749999996</v>
      </c>
      <c r="G2045" s="60" t="s">
        <v>9</v>
      </c>
      <c r="H2045" s="60" t="s">
        <v>5042</v>
      </c>
    </row>
    <row r="2046" spans="1:8">
      <c r="A2046" s="59" t="s">
        <v>3340</v>
      </c>
      <c r="B2046" s="62">
        <v>9</v>
      </c>
      <c r="C2046" s="60" t="s">
        <v>5051</v>
      </c>
      <c r="D2046" s="64">
        <f>IFERROR(VLOOKUP(C2046,測定点マスタ!$E$2:$F$28,2,FALSE)/VLOOKUP(A2046,'焼鈍条件-3CGL'!$A$2:$B$197,2,FALSE)*60,"")</f>
        <v>61.073646952679489</v>
      </c>
      <c r="E2046" s="66">
        <v>498.7</v>
      </c>
      <c r="F2046" s="64">
        <f t="shared" si="31"/>
        <v>-5.3724364285714232</v>
      </c>
      <c r="G2046" s="60" t="s">
        <v>9</v>
      </c>
      <c r="H2046" s="60" t="s">
        <v>5042</v>
      </c>
    </row>
    <row r="2047" spans="1:8">
      <c r="A2047" s="59" t="s">
        <v>3340</v>
      </c>
      <c r="B2047" s="62">
        <v>10</v>
      </c>
      <c r="C2047" s="60" t="s">
        <v>5052</v>
      </c>
      <c r="D2047" s="64">
        <f>IFERROR(VLOOKUP(C2047,測定点マスタ!$E$2:$F$28,2,FALSE)/VLOOKUP(A2047,'焼鈍条件-3CGL'!$A$2:$B$197,2,FALSE)*60,"")</f>
        <v>67.319815391021706</v>
      </c>
      <c r="E2047" s="66">
        <v>383.1</v>
      </c>
      <c r="F2047" s="64">
        <f t="shared" si="31"/>
        <v>-18.507345925925932</v>
      </c>
      <c r="G2047" s="60" t="s">
        <v>9</v>
      </c>
      <c r="H2047" s="60" t="s">
        <v>5042</v>
      </c>
    </row>
    <row r="2048" spans="1:8">
      <c r="A2048" s="59" t="s">
        <v>3340</v>
      </c>
      <c r="B2048" s="62">
        <v>11</v>
      </c>
      <c r="C2048" s="60" t="s">
        <v>5053</v>
      </c>
      <c r="D2048" s="64">
        <f>IFERROR(VLOOKUP(C2048,測定点マスタ!$E$2:$F$28,2,FALSE)/VLOOKUP(A2048,'焼鈍条件-3CGL'!$A$2:$B$197,2,FALSE)*60,"")</f>
        <v>75.648039975478</v>
      </c>
      <c r="E2048" s="66">
        <v>576.5</v>
      </c>
      <c r="F2048" s="64">
        <f t="shared" si="31"/>
        <v>23.222236388888888</v>
      </c>
      <c r="G2048" s="60" t="s">
        <v>9</v>
      </c>
      <c r="H2048" s="60" t="s">
        <v>5042</v>
      </c>
    </row>
    <row r="2049" spans="1:8">
      <c r="A2049" s="59" t="s">
        <v>3340</v>
      </c>
      <c r="B2049" s="62">
        <v>12</v>
      </c>
      <c r="C2049" s="60" t="s">
        <v>5054</v>
      </c>
      <c r="D2049" s="64">
        <f>IFERROR(VLOOKUP(C2049,測定点マスタ!$E$2:$F$28,2,FALSE)/VLOOKUP(A2049,'焼鈍条件-3CGL'!$A$2:$B$197,2,FALSE)*60,"")</f>
        <v>84.67028327530565</v>
      </c>
      <c r="E2049" s="66">
        <v>570</v>
      </c>
      <c r="F2049" s="64">
        <f t="shared" si="31"/>
        <v>-0.72044166666666676</v>
      </c>
      <c r="G2049" s="60" t="s">
        <v>9</v>
      </c>
      <c r="H2049" s="60" t="s">
        <v>5042</v>
      </c>
    </row>
    <row r="2050" spans="1:8">
      <c r="A2050" s="59" t="s">
        <v>3340</v>
      </c>
      <c r="B2050" s="62">
        <v>13</v>
      </c>
      <c r="C2050" s="60" t="s">
        <v>5056</v>
      </c>
      <c r="D2050" s="64">
        <f>IFERROR(VLOOKUP(C2050,測定点マスタ!$E$2:$F$28,2,FALSE)/VLOOKUP(A2050,'焼鈍条件-3CGL'!$A$2:$B$197,2,FALSE)*60,"")</f>
        <v>92.304489144390587</v>
      </c>
      <c r="E2050" s="66">
        <v>282.89999999999998</v>
      </c>
      <c r="F2050" s="64">
        <f t="shared" ref="F2050:F2113" si="32">IF(A2050=A2049,IFERROR((E2050-E2049)/(D2050-D2049),""),"")</f>
        <v>-37.607055000000003</v>
      </c>
      <c r="G2050" s="60" t="s">
        <v>9</v>
      </c>
      <c r="H2050" s="60" t="s">
        <v>5042</v>
      </c>
    </row>
    <row r="2051" spans="1:8">
      <c r="A2051" s="59" t="s">
        <v>3340</v>
      </c>
      <c r="B2051" s="62">
        <v>14</v>
      </c>
      <c r="C2051" s="60" t="s">
        <v>5057</v>
      </c>
      <c r="D2051" s="64">
        <f>IFERROR(VLOOKUP(C2051,測定点マスタ!$E$2:$F$28,2,FALSE)/VLOOKUP(A2051,'焼鈍条件-3CGL'!$A$2:$B$197,2,FALSE)*60,"")</f>
        <v>114.43872888819844</v>
      </c>
      <c r="E2051" s="66">
        <v>288.7</v>
      </c>
      <c r="F2051" s="64">
        <f t="shared" si="32"/>
        <v>0.26203746173945663</v>
      </c>
      <c r="G2051" s="60" t="s">
        <v>9</v>
      </c>
      <c r="H2051" s="60" t="s">
        <v>5042</v>
      </c>
    </row>
    <row r="2052" spans="1:8">
      <c r="A2052" s="59" t="s">
        <v>3340</v>
      </c>
      <c r="B2052" s="62">
        <v>15</v>
      </c>
      <c r="C2052" s="60" t="s">
        <v>5059</v>
      </c>
      <c r="D2052" s="64">
        <f>IFERROR(VLOOKUP(C2052,測定点マスタ!$E$2:$F$28,2,FALSE)/VLOOKUP(A2052,'焼鈍条件-3CGL'!$A$2:$B$197,2,FALSE)*60,"")</f>
        <v>122.8165262380387</v>
      </c>
      <c r="E2052" s="66">
        <v>36.299999999999997</v>
      </c>
      <c r="F2052" s="64">
        <f t="shared" si="32"/>
        <v>-30.127250571991024</v>
      </c>
      <c r="G2052" s="60" t="s">
        <v>9</v>
      </c>
      <c r="H2052" s="60" t="s">
        <v>5042</v>
      </c>
    </row>
    <row r="2053" spans="1:8">
      <c r="A2053" s="59" t="s">
        <v>3362</v>
      </c>
      <c r="B2053" s="62">
        <v>1</v>
      </c>
      <c r="C2053" s="60" t="s">
        <v>5041</v>
      </c>
      <c r="D2053" s="64">
        <f>IFERROR(VLOOKUP(C2053,測定点マスタ!$E$2:$F$28,2,FALSE)/VLOOKUP(A2053,'焼鈍条件-3CGL'!$A$2:$B$197,2,FALSE)*60,"")</f>
        <v>0</v>
      </c>
      <c r="E2053" s="66">
        <v>30.2</v>
      </c>
      <c r="F2053" s="64" t="str">
        <f t="shared" si="32"/>
        <v/>
      </c>
      <c r="G2053" s="60" t="s">
        <v>12</v>
      </c>
      <c r="H2053" s="60" t="s">
        <v>5042</v>
      </c>
    </row>
    <row r="2054" spans="1:8">
      <c r="A2054" s="59" t="s">
        <v>3362</v>
      </c>
      <c r="B2054" s="62">
        <v>2</v>
      </c>
      <c r="C2054" s="60" t="s">
        <v>5043</v>
      </c>
      <c r="D2054" s="64">
        <f>IFERROR(VLOOKUP(C2054,測定点マスタ!$E$2:$F$28,2,FALSE)/VLOOKUP(A2054,'焼鈍条件-3CGL'!$A$2:$B$197,2,FALSE)*60,"")</f>
        <v>10.577284693493795</v>
      </c>
      <c r="E2054" s="66">
        <v>182.4</v>
      </c>
      <c r="F2054" s="64">
        <f t="shared" si="32"/>
        <v>14.389326222222223</v>
      </c>
      <c r="G2054" s="60" t="s">
        <v>12</v>
      </c>
      <c r="H2054" s="60" t="s">
        <v>5042</v>
      </c>
    </row>
    <row r="2055" spans="1:8">
      <c r="A2055" s="59" t="s">
        <v>3362</v>
      </c>
      <c r="B2055" s="62">
        <v>3</v>
      </c>
      <c r="C2055" s="60" t="s">
        <v>5044</v>
      </c>
      <c r="D2055" s="64">
        <f>IFERROR(VLOOKUP(C2055,測定点マスタ!$E$2:$F$28,2,FALSE)/VLOOKUP(A2055,'焼鈍条件-3CGL'!$A$2:$B$197,2,FALSE)*60,"")</f>
        <v>23.975178638585938</v>
      </c>
      <c r="E2055" s="66">
        <v>673.4</v>
      </c>
      <c r="F2055" s="64">
        <f t="shared" si="32"/>
        <v>36.647550877192977</v>
      </c>
      <c r="G2055" s="60" t="s">
        <v>12</v>
      </c>
      <c r="H2055" s="60" t="s">
        <v>5042</v>
      </c>
    </row>
    <row r="2056" spans="1:8">
      <c r="A2056" s="59" t="s">
        <v>3362</v>
      </c>
      <c r="B2056" s="62">
        <v>4</v>
      </c>
      <c r="C2056" s="60" t="s">
        <v>5045</v>
      </c>
      <c r="D2056" s="64">
        <f>IFERROR(VLOOKUP(C2056,測定点マスタ!$E$2:$F$28,2,FALSE)/VLOOKUP(A2056,'焼鈍条件-3CGL'!$A$2:$B$197,2,FALSE)*60,"")</f>
        <v>31.026701767581798</v>
      </c>
      <c r="E2056" s="66">
        <v>825.7</v>
      </c>
      <c r="F2056" s="64">
        <f t="shared" si="32"/>
        <v>21.598170666666682</v>
      </c>
      <c r="G2056" s="60" t="s">
        <v>12</v>
      </c>
      <c r="H2056" s="60" t="s">
        <v>5042</v>
      </c>
    </row>
    <row r="2057" spans="1:8">
      <c r="A2057" s="59" t="s">
        <v>3362</v>
      </c>
      <c r="B2057" s="62">
        <v>5</v>
      </c>
      <c r="C2057" s="60" t="s">
        <v>5047</v>
      </c>
      <c r="D2057" s="64">
        <f>IFERROR(VLOOKUP(C2057,測定点マスタ!$E$2:$F$28,2,FALSE)/VLOOKUP(A2057,'焼鈍条件-3CGL'!$A$2:$B$197,2,FALSE)*60,"")</f>
        <v>42.309138773975178</v>
      </c>
      <c r="E2057" s="66">
        <v>774.9</v>
      </c>
      <c r="F2057" s="64">
        <f t="shared" si="32"/>
        <v>-4.5025733333333395</v>
      </c>
      <c r="G2057" s="60" t="s">
        <v>12</v>
      </c>
      <c r="H2057" s="60" t="s">
        <v>5042</v>
      </c>
    </row>
    <row r="2058" spans="1:8">
      <c r="A2058" s="59" t="s">
        <v>3362</v>
      </c>
      <c r="B2058" s="62">
        <v>6</v>
      </c>
      <c r="C2058" s="60" t="s">
        <v>5048</v>
      </c>
      <c r="D2058" s="64">
        <f>IFERROR(VLOOKUP(C2058,測定点マスタ!$E$2:$F$28,2,FALSE)/VLOOKUP(A2058,'焼鈍条件-3CGL'!$A$2:$B$197,2,FALSE)*60,"")</f>
        <v>46.540052651372697</v>
      </c>
      <c r="E2058" s="66">
        <v>695.2</v>
      </c>
      <c r="F2058" s="64">
        <f t="shared" si="32"/>
        <v>-18.837537777777754</v>
      </c>
      <c r="G2058" s="60" t="s">
        <v>12</v>
      </c>
      <c r="H2058" s="60" t="s">
        <v>5042</v>
      </c>
    </row>
    <row r="2059" spans="1:8">
      <c r="A2059" s="59" t="s">
        <v>3362</v>
      </c>
      <c r="B2059" s="62">
        <v>7</v>
      </c>
      <c r="C2059" s="60" t="s">
        <v>5049</v>
      </c>
      <c r="D2059" s="64">
        <f>IFERROR(VLOOKUP(C2059,測定点マスタ!$E$2:$F$28,2,FALSE)/VLOOKUP(A2059,'焼鈍条件-3CGL'!$A$2:$B$197,2,FALSE)*60,"")</f>
        <v>51.476118841669802</v>
      </c>
      <c r="E2059" s="66">
        <v>599.4</v>
      </c>
      <c r="F2059" s="64">
        <f t="shared" si="32"/>
        <v>-19.408167619047632</v>
      </c>
      <c r="G2059" s="60" t="s">
        <v>12</v>
      </c>
      <c r="H2059" s="60" t="s">
        <v>5042</v>
      </c>
    </row>
    <row r="2060" spans="1:8">
      <c r="A2060" s="59" t="s">
        <v>3362</v>
      </c>
      <c r="B2060" s="62">
        <v>8</v>
      </c>
      <c r="C2060" s="60" t="s">
        <v>5050</v>
      </c>
      <c r="D2060" s="64">
        <f>IFERROR(VLOOKUP(C2060,測定点マスタ!$E$2:$F$28,2,FALSE)/VLOOKUP(A2060,'焼鈍条件-3CGL'!$A$2:$B$197,2,FALSE)*60,"")</f>
        <v>57.117337344866492</v>
      </c>
      <c r="E2060" s="66">
        <v>487.9</v>
      </c>
      <c r="F2060" s="64">
        <f t="shared" si="32"/>
        <v>-19.765233333333335</v>
      </c>
      <c r="G2060" s="60" t="s">
        <v>12</v>
      </c>
      <c r="H2060" s="60" t="s">
        <v>5042</v>
      </c>
    </row>
    <row r="2061" spans="1:8">
      <c r="A2061" s="59" t="s">
        <v>3362</v>
      </c>
      <c r="B2061" s="62">
        <v>9</v>
      </c>
      <c r="C2061" s="60" t="s">
        <v>5051</v>
      </c>
      <c r="D2061" s="64">
        <f>IFERROR(VLOOKUP(C2061,測定点マスタ!$E$2:$F$28,2,FALSE)/VLOOKUP(A2061,'焼鈍条件-3CGL'!$A$2:$B$197,2,FALSE)*60,"")</f>
        <v>62.053403535163596</v>
      </c>
      <c r="E2061" s="66">
        <v>446.7</v>
      </c>
      <c r="F2061" s="64">
        <f t="shared" si="32"/>
        <v>-8.3467276190476163</v>
      </c>
      <c r="G2061" s="60" t="s">
        <v>12</v>
      </c>
      <c r="H2061" s="60" t="s">
        <v>5042</v>
      </c>
    </row>
    <row r="2062" spans="1:8">
      <c r="A2062" s="59" t="s">
        <v>3362</v>
      </c>
      <c r="B2062" s="62">
        <v>10</v>
      </c>
      <c r="C2062" s="60" t="s">
        <v>5052</v>
      </c>
      <c r="D2062" s="64">
        <f>IFERROR(VLOOKUP(C2062,測定点マスタ!$E$2:$F$28,2,FALSE)/VLOOKUP(A2062,'焼鈍条件-3CGL'!$A$2:$B$197,2,FALSE)*60,"")</f>
        <v>68.399774351259879</v>
      </c>
      <c r="E2062" s="66">
        <v>336.2</v>
      </c>
      <c r="F2062" s="64">
        <f t="shared" si="32"/>
        <v>-17.411525925925911</v>
      </c>
      <c r="G2062" s="60" t="s">
        <v>12</v>
      </c>
      <c r="H2062" s="60" t="s">
        <v>5042</v>
      </c>
    </row>
    <row r="2063" spans="1:8">
      <c r="A2063" s="59" t="s">
        <v>3362</v>
      </c>
      <c r="B2063" s="62">
        <v>11</v>
      </c>
      <c r="C2063" s="60" t="s">
        <v>5069</v>
      </c>
      <c r="D2063" s="64">
        <f>IFERROR(VLOOKUP(C2063,測定点マスタ!$E$2:$F$28,2,FALSE)/VLOOKUP(A2063,'焼鈍条件-3CGL'!$A$2:$B$197,2,FALSE)*60,"")</f>
        <v>73.335840541556991</v>
      </c>
      <c r="E2063" s="66">
        <v>532.9</v>
      </c>
      <c r="F2063" s="64">
        <f t="shared" si="32"/>
        <v>39.849546666666605</v>
      </c>
      <c r="G2063" s="60" t="s">
        <v>12</v>
      </c>
      <c r="H2063" s="60" t="s">
        <v>5042</v>
      </c>
    </row>
    <row r="2064" spans="1:8">
      <c r="A2064" s="59" t="s">
        <v>3362</v>
      </c>
      <c r="B2064" s="62">
        <v>12</v>
      </c>
      <c r="C2064" s="60" t="s">
        <v>5053</v>
      </c>
      <c r="D2064" s="64">
        <f>IFERROR(VLOOKUP(C2064,測定点マスタ!$E$2:$F$28,2,FALSE)/VLOOKUP(A2064,'焼鈍条件-3CGL'!$A$2:$B$197,2,FALSE)*60,"")</f>
        <v>76.861602106054903</v>
      </c>
      <c r="E2064" s="66">
        <v>527.79999999999995</v>
      </c>
      <c r="F2064" s="64">
        <f t="shared" si="32"/>
        <v>-1.4464960000000142</v>
      </c>
      <c r="G2064" s="60" t="s">
        <v>12</v>
      </c>
      <c r="H2064" s="60" t="s">
        <v>5042</v>
      </c>
    </row>
    <row r="2065" spans="1:8">
      <c r="A2065" s="59" t="s">
        <v>3362</v>
      </c>
      <c r="B2065" s="62">
        <v>13</v>
      </c>
      <c r="C2065" s="60" t="s">
        <v>5054</v>
      </c>
      <c r="D2065" s="64">
        <f>IFERROR(VLOOKUP(C2065,測定点マスタ!$E$2:$F$28,2,FALSE)/VLOOKUP(A2065,'焼鈍条件-3CGL'!$A$2:$B$197,2,FALSE)*60,"")</f>
        <v>86.028582173749541</v>
      </c>
      <c r="E2065" s="66">
        <v>513.79999999999995</v>
      </c>
      <c r="F2065" s="64">
        <f t="shared" si="32"/>
        <v>-1.5272205128205101</v>
      </c>
      <c r="G2065" s="60" t="s">
        <v>12</v>
      </c>
      <c r="H2065" s="60" t="s">
        <v>5042</v>
      </c>
    </row>
    <row r="2066" spans="1:8">
      <c r="A2066" s="59" t="s">
        <v>3362</v>
      </c>
      <c r="B2066" s="62">
        <v>14</v>
      </c>
      <c r="C2066" s="60" t="s">
        <v>5055</v>
      </c>
      <c r="D2066" s="64">
        <f>IFERROR(VLOOKUP(C2066,測定点マスタ!$E$2:$F$28,2,FALSE)/VLOOKUP(A2066,'焼鈍条件-3CGL'!$A$2:$B$197,2,FALSE)*60,"")</f>
        <v>89.554343738247468</v>
      </c>
      <c r="E2066" s="66">
        <v>558.9</v>
      </c>
      <c r="F2066" s="64">
        <f t="shared" si="32"/>
        <v>12.791562666666691</v>
      </c>
      <c r="G2066" s="60" t="s">
        <v>12</v>
      </c>
      <c r="H2066" s="60" t="s">
        <v>5042</v>
      </c>
    </row>
    <row r="2067" spans="1:8">
      <c r="A2067" s="59" t="s">
        <v>3362</v>
      </c>
      <c r="B2067" s="62">
        <v>15</v>
      </c>
      <c r="C2067" s="60" t="s">
        <v>5056</v>
      </c>
      <c r="D2067" s="64">
        <f>IFERROR(VLOOKUP(C2067,測定点マスタ!$E$2:$F$28,2,FALSE)/VLOOKUP(A2067,'焼鈍条件-3CGL'!$A$2:$B$197,2,FALSE)*60,"")</f>
        <v>93.785257615644994</v>
      </c>
      <c r="E2067" s="66">
        <v>288.39999999999998</v>
      </c>
      <c r="F2067" s="64">
        <f t="shared" si="32"/>
        <v>-63.934177777777649</v>
      </c>
      <c r="G2067" s="60" t="s">
        <v>12</v>
      </c>
      <c r="H2067" s="60" t="s">
        <v>5042</v>
      </c>
    </row>
    <row r="2068" spans="1:8">
      <c r="A2068" s="59" t="s">
        <v>3362</v>
      </c>
      <c r="B2068" s="62">
        <v>16</v>
      </c>
      <c r="C2068" s="60" t="s">
        <v>5068</v>
      </c>
      <c r="D2068" s="64">
        <f>IFERROR(VLOOKUP(C2068,測定点マスタ!$E$2:$F$28,2,FALSE)/VLOOKUP(A2068,'焼鈍条件-3CGL'!$A$2:$B$197,2,FALSE)*60,"")</f>
        <v>112.0184817063344</v>
      </c>
      <c r="E2068" s="66">
        <v>324.39999999999998</v>
      </c>
      <c r="F2068" s="64">
        <f t="shared" si="32"/>
        <v>1.9744176795580002</v>
      </c>
      <c r="G2068" s="60" t="s">
        <v>12</v>
      </c>
      <c r="H2068" s="60" t="s">
        <v>5042</v>
      </c>
    </row>
    <row r="2069" spans="1:8">
      <c r="A2069" s="59" t="s">
        <v>3362</v>
      </c>
      <c r="B2069" s="62">
        <v>17</v>
      </c>
      <c r="C2069" s="60" t="s">
        <v>5057</v>
      </c>
      <c r="D2069" s="64">
        <f>IFERROR(VLOOKUP(C2069,測定点マスタ!$E$2:$F$28,2,FALSE)/VLOOKUP(A2069,'焼鈍条件-3CGL'!$A$2:$B$197,2,FALSE)*60,"")</f>
        <v>116.2745795949067</v>
      </c>
      <c r="E2069" s="66">
        <v>205</v>
      </c>
      <c r="F2069" s="64">
        <f t="shared" si="32"/>
        <v>-28.053866035504299</v>
      </c>
      <c r="G2069" s="60" t="s">
        <v>12</v>
      </c>
      <c r="H2069" s="60" t="s">
        <v>5042</v>
      </c>
    </row>
    <row r="2070" spans="1:8">
      <c r="A2070" s="59" t="s">
        <v>3362</v>
      </c>
      <c r="B2070" s="62">
        <v>18</v>
      </c>
      <c r="C2070" s="60" t="s">
        <v>5058</v>
      </c>
      <c r="D2070" s="64">
        <f>IFERROR(VLOOKUP(C2070,測定点マスタ!$E$2:$F$28,2,FALSE)/VLOOKUP(A2070,'焼鈍条件-3CGL'!$A$2:$B$197,2,FALSE)*60,"")</f>
        <v>120.53067748347898</v>
      </c>
      <c r="E2070" s="66">
        <v>143.5</v>
      </c>
      <c r="F2070" s="64">
        <f t="shared" si="32"/>
        <v>-14.449855621302516</v>
      </c>
      <c r="G2070" s="60" t="s">
        <v>12</v>
      </c>
      <c r="H2070" s="60" t="s">
        <v>5042</v>
      </c>
    </row>
    <row r="2071" spans="1:8">
      <c r="A2071" s="59" t="s">
        <v>3362</v>
      </c>
      <c r="B2071" s="62">
        <v>19</v>
      </c>
      <c r="C2071" s="60" t="s">
        <v>5059</v>
      </c>
      <c r="D2071" s="64">
        <f>IFERROR(VLOOKUP(C2071,測定点マスタ!$E$2:$F$28,2,FALSE)/VLOOKUP(A2071,'焼鈍条件-3CGL'!$A$2:$B$197,2,FALSE)*60,"")</f>
        <v>124.78677537205199</v>
      </c>
      <c r="E2071" s="66">
        <v>51.9</v>
      </c>
      <c r="F2071" s="64">
        <f t="shared" si="32"/>
        <v>-21.522061380668049</v>
      </c>
      <c r="G2071" s="60" t="s">
        <v>12</v>
      </c>
      <c r="H2071" s="60" t="s">
        <v>5042</v>
      </c>
    </row>
    <row r="2072" spans="1:8">
      <c r="A2072" s="59" t="s">
        <v>3377</v>
      </c>
      <c r="B2072" s="62">
        <v>1</v>
      </c>
      <c r="C2072" s="60" t="s">
        <v>5041</v>
      </c>
      <c r="D2072" s="64">
        <f>IFERROR(VLOOKUP(C2072,測定点マスタ!$E$2:$F$28,2,FALSE)/VLOOKUP(A2072,'焼鈍条件-3CGL'!$A$2:$B$197,2,FALSE)*60,"")</f>
        <v>0</v>
      </c>
      <c r="E2072" s="66">
        <v>26.8</v>
      </c>
      <c r="F2072" s="64" t="str">
        <f t="shared" si="32"/>
        <v/>
      </c>
      <c r="G2072" s="60" t="s">
        <v>9</v>
      </c>
      <c r="H2072" s="60" t="s">
        <v>5064</v>
      </c>
    </row>
    <row r="2073" spans="1:8">
      <c r="A2073" s="59" t="s">
        <v>3377</v>
      </c>
      <c r="B2073" s="62">
        <v>2</v>
      </c>
      <c r="C2073" s="60" t="s">
        <v>5043</v>
      </c>
      <c r="D2073" s="64">
        <f>IFERROR(VLOOKUP(C2073,測定点マスタ!$E$2:$F$28,2,FALSE)/VLOOKUP(A2073,'焼鈍条件-3CGL'!$A$2:$B$197,2,FALSE)*60,"")</f>
        <v>10.290300819793966</v>
      </c>
      <c r="E2073" s="66">
        <v>194.8</v>
      </c>
      <c r="F2073" s="64">
        <f t="shared" si="32"/>
        <v>16.326053333333331</v>
      </c>
      <c r="G2073" s="60" t="s">
        <v>9</v>
      </c>
      <c r="H2073" s="60" t="s">
        <v>5064</v>
      </c>
    </row>
    <row r="2074" spans="1:8">
      <c r="A2074" s="59" t="s">
        <v>3377</v>
      </c>
      <c r="B2074" s="62">
        <v>3</v>
      </c>
      <c r="C2074" s="60" t="s">
        <v>5044</v>
      </c>
      <c r="D2074" s="64">
        <f>IFERROR(VLOOKUP(C2074,測定点マスタ!$E$2:$F$28,2,FALSE)/VLOOKUP(A2074,'焼鈍条件-3CGL'!$A$2:$B$197,2,FALSE)*60,"")</f>
        <v>23.324681858199654</v>
      </c>
      <c r="E2074" s="66">
        <v>663.5</v>
      </c>
      <c r="F2074" s="64">
        <f t="shared" si="32"/>
        <v>35.958746228070183</v>
      </c>
      <c r="G2074" s="60" t="s">
        <v>9</v>
      </c>
      <c r="H2074" s="60" t="s">
        <v>5064</v>
      </c>
    </row>
    <row r="2075" spans="1:8">
      <c r="A2075" s="59" t="s">
        <v>3377</v>
      </c>
      <c r="B2075" s="62">
        <v>4</v>
      </c>
      <c r="C2075" s="60" t="s">
        <v>5045</v>
      </c>
      <c r="D2075" s="64">
        <f>IFERROR(VLOOKUP(C2075,測定点マスタ!$E$2:$F$28,2,FALSE)/VLOOKUP(A2075,'焼鈍条件-3CGL'!$A$2:$B$197,2,FALSE)*60,"")</f>
        <v>30.184882404728967</v>
      </c>
      <c r="E2075" s="66">
        <v>812.9</v>
      </c>
      <c r="F2075" s="64">
        <f t="shared" si="32"/>
        <v>21.777788999999988</v>
      </c>
      <c r="G2075" s="60" t="s">
        <v>9</v>
      </c>
      <c r="H2075" s="60" t="s">
        <v>5064</v>
      </c>
    </row>
    <row r="2076" spans="1:8">
      <c r="A2076" s="59" t="s">
        <v>3377</v>
      </c>
      <c r="B2076" s="62">
        <v>5</v>
      </c>
      <c r="C2076" s="60" t="s">
        <v>5047</v>
      </c>
      <c r="D2076" s="64">
        <f>IFERROR(VLOOKUP(C2076,測定点マスタ!$E$2:$F$28,2,FALSE)/VLOOKUP(A2076,'焼鈍条件-3CGL'!$A$2:$B$197,2,FALSE)*60,"")</f>
        <v>41.161203279175865</v>
      </c>
      <c r="E2076" s="66">
        <v>735.1</v>
      </c>
      <c r="F2076" s="64">
        <f t="shared" si="32"/>
        <v>-7.0879852083333281</v>
      </c>
      <c r="G2076" s="60" t="s">
        <v>9</v>
      </c>
      <c r="H2076" s="60" t="s">
        <v>5064</v>
      </c>
    </row>
    <row r="2077" spans="1:8">
      <c r="A2077" s="59" t="s">
        <v>3377</v>
      </c>
      <c r="B2077" s="62">
        <v>6</v>
      </c>
      <c r="C2077" s="60" t="s">
        <v>5048</v>
      </c>
      <c r="D2077" s="64">
        <f>IFERROR(VLOOKUP(C2077,測定点マスタ!$E$2:$F$28,2,FALSE)/VLOOKUP(A2077,'焼鈍条件-3CGL'!$A$2:$B$197,2,FALSE)*60,"")</f>
        <v>45.277323607093443</v>
      </c>
      <c r="E2077" s="66">
        <v>715.1</v>
      </c>
      <c r="F2077" s="64">
        <f t="shared" si="32"/>
        <v>-4.8589444444444538</v>
      </c>
      <c r="G2077" s="60" t="s">
        <v>9</v>
      </c>
      <c r="H2077" s="60" t="s">
        <v>5064</v>
      </c>
    </row>
    <row r="2078" spans="1:8">
      <c r="A2078" s="59" t="s">
        <v>3377</v>
      </c>
      <c r="B2078" s="62">
        <v>7</v>
      </c>
      <c r="C2078" s="60" t="s">
        <v>5049</v>
      </c>
      <c r="D2078" s="64">
        <f>IFERROR(VLOOKUP(C2078,測定点マスタ!$E$2:$F$28,2,FALSE)/VLOOKUP(A2078,'焼鈍条件-3CGL'!$A$2:$B$197,2,FALSE)*60,"")</f>
        <v>50.079463989663964</v>
      </c>
      <c r="E2078" s="66">
        <v>620.9</v>
      </c>
      <c r="F2078" s="64">
        <f t="shared" si="32"/>
        <v>-19.616252857142854</v>
      </c>
      <c r="G2078" s="60" t="s">
        <v>9</v>
      </c>
      <c r="H2078" s="60" t="s">
        <v>5064</v>
      </c>
    </row>
    <row r="2079" spans="1:8">
      <c r="A2079" s="59" t="s">
        <v>3377</v>
      </c>
      <c r="B2079" s="62">
        <v>8</v>
      </c>
      <c r="C2079" s="60" t="s">
        <v>5050</v>
      </c>
      <c r="D2079" s="64">
        <f>IFERROR(VLOOKUP(C2079,測定点マスタ!$E$2:$F$28,2,FALSE)/VLOOKUP(A2079,'焼鈍条件-3CGL'!$A$2:$B$197,2,FALSE)*60,"")</f>
        <v>55.567624426887413</v>
      </c>
      <c r="E2079" s="66">
        <v>515.9</v>
      </c>
      <c r="F2079" s="64">
        <f t="shared" si="32"/>
        <v>-19.132093749999996</v>
      </c>
      <c r="G2079" s="60" t="s">
        <v>9</v>
      </c>
      <c r="H2079" s="60" t="s">
        <v>5064</v>
      </c>
    </row>
    <row r="2080" spans="1:8">
      <c r="A2080" s="59" t="s">
        <v>3377</v>
      </c>
      <c r="B2080" s="62">
        <v>9</v>
      </c>
      <c r="C2080" s="60" t="s">
        <v>5051</v>
      </c>
      <c r="D2080" s="64">
        <f>IFERROR(VLOOKUP(C2080,測定点マスタ!$E$2:$F$28,2,FALSE)/VLOOKUP(A2080,'焼鈍条件-3CGL'!$A$2:$B$197,2,FALSE)*60,"")</f>
        <v>60.369764809457934</v>
      </c>
      <c r="E2080" s="66">
        <v>449.7</v>
      </c>
      <c r="F2080" s="64">
        <f t="shared" si="32"/>
        <v>-13.785519523809512</v>
      </c>
      <c r="G2080" s="60" t="s">
        <v>9</v>
      </c>
      <c r="H2080" s="60" t="s">
        <v>5064</v>
      </c>
    </row>
    <row r="2081" spans="1:8">
      <c r="A2081" s="59" t="s">
        <v>3377</v>
      </c>
      <c r="B2081" s="62">
        <v>10</v>
      </c>
      <c r="C2081" s="60" t="s">
        <v>5052</v>
      </c>
      <c r="D2081" s="64">
        <f>IFERROR(VLOOKUP(C2081,測定点マスタ!$E$2:$F$28,2,FALSE)/VLOOKUP(A2081,'焼鈍条件-3CGL'!$A$2:$B$197,2,FALSE)*60,"")</f>
        <v>66.543945301334304</v>
      </c>
      <c r="E2081" s="66">
        <v>354.7</v>
      </c>
      <c r="F2081" s="64">
        <f t="shared" si="32"/>
        <v>-15.386657407407428</v>
      </c>
      <c r="G2081" s="60" t="s">
        <v>9</v>
      </c>
      <c r="H2081" s="60" t="s">
        <v>5064</v>
      </c>
    </row>
    <row r="2082" spans="1:8">
      <c r="A2082" s="59" t="s">
        <v>3377</v>
      </c>
      <c r="B2082" s="62">
        <v>11</v>
      </c>
      <c r="C2082" s="60" t="s">
        <v>5053</v>
      </c>
      <c r="D2082" s="64">
        <f>IFERROR(VLOOKUP(C2082,測定点マスタ!$E$2:$F$28,2,FALSE)/VLOOKUP(A2082,'焼鈍条件-3CGL'!$A$2:$B$197,2,FALSE)*60,"")</f>
        <v>74.776185957169488</v>
      </c>
      <c r="E2082" s="66">
        <v>541.6</v>
      </c>
      <c r="F2082" s="64">
        <f t="shared" si="32"/>
        <v>22.703417916666638</v>
      </c>
      <c r="G2082" s="60" t="s">
        <v>9</v>
      </c>
      <c r="H2082" s="60" t="s">
        <v>5064</v>
      </c>
    </row>
    <row r="2083" spans="1:8">
      <c r="A2083" s="59" t="s">
        <v>3377</v>
      </c>
      <c r="B2083" s="62">
        <v>12</v>
      </c>
      <c r="C2083" s="60" t="s">
        <v>5054</v>
      </c>
      <c r="D2083" s="64">
        <f>IFERROR(VLOOKUP(C2083,測定点マスタ!$E$2:$F$28,2,FALSE)/VLOOKUP(A2083,'焼鈍条件-3CGL'!$A$2:$B$197,2,FALSE)*60,"")</f>
        <v>83.694446667657587</v>
      </c>
      <c r="E2083" s="66">
        <v>540.29999999999995</v>
      </c>
      <c r="F2083" s="64">
        <f t="shared" si="32"/>
        <v>-0.14576833333334105</v>
      </c>
      <c r="G2083" s="60" t="s">
        <v>9</v>
      </c>
      <c r="H2083" s="60" t="s">
        <v>5064</v>
      </c>
    </row>
    <row r="2084" spans="1:8">
      <c r="A2084" s="59" t="s">
        <v>3377</v>
      </c>
      <c r="B2084" s="62">
        <v>13</v>
      </c>
      <c r="C2084" s="60" t="s">
        <v>5056</v>
      </c>
      <c r="D2084" s="64">
        <f>IFERROR(VLOOKUP(C2084,測定点マスタ!$E$2:$F$28,2,FALSE)/VLOOKUP(A2084,'焼鈍条件-3CGL'!$A$2:$B$197,2,FALSE)*60,"")</f>
        <v>91.240667268839829</v>
      </c>
      <c r="E2084" s="66">
        <v>283.39999999999998</v>
      </c>
      <c r="F2084" s="64">
        <f t="shared" si="32"/>
        <v>-34.043531666666659</v>
      </c>
      <c r="G2084" s="60" t="s">
        <v>9</v>
      </c>
      <c r="H2084" s="60" t="s">
        <v>5064</v>
      </c>
    </row>
    <row r="2085" spans="1:8">
      <c r="A2085" s="59" t="s">
        <v>3377</v>
      </c>
      <c r="B2085" s="62">
        <v>14</v>
      </c>
      <c r="C2085" s="60" t="s">
        <v>5062</v>
      </c>
      <c r="D2085" s="64">
        <f>IFERROR(VLOOKUP(C2085,測定点マスタ!$E$2:$F$28,2,FALSE)/VLOOKUP(A2085,'焼鈍条件-3CGL'!$A$2:$B$197,2,FALSE)*60,"")</f>
        <v>99.472907924674999</v>
      </c>
      <c r="E2085" s="66">
        <v>462.1</v>
      </c>
      <c r="F2085" s="64">
        <f t="shared" si="32"/>
        <v>21.707334305555566</v>
      </c>
      <c r="G2085" s="60" t="s">
        <v>9</v>
      </c>
      <c r="H2085" s="60" t="s">
        <v>5064</v>
      </c>
    </row>
    <row r="2086" spans="1:8">
      <c r="A2086" s="59" t="s">
        <v>3377</v>
      </c>
      <c r="B2086" s="62">
        <v>15</v>
      </c>
      <c r="C2086" s="60" t="s">
        <v>5065</v>
      </c>
      <c r="D2086" s="64">
        <f>IFERROR(VLOOKUP(C2086,測定点マスタ!$E$2:$F$28,2,FALSE)/VLOOKUP(A2086,'焼鈍条件-3CGL'!$A$2:$B$197,2,FALSE)*60,"")</f>
        <v>100.69794373655503</v>
      </c>
      <c r="E2086" s="66">
        <v>523.29999999999995</v>
      </c>
      <c r="F2086" s="64">
        <f t="shared" si="32"/>
        <v>49.957723200008118</v>
      </c>
      <c r="G2086" s="60" t="s">
        <v>9</v>
      </c>
      <c r="H2086" s="60" t="s">
        <v>5064</v>
      </c>
    </row>
    <row r="2087" spans="1:8">
      <c r="A2087" s="59" t="s">
        <v>3377</v>
      </c>
      <c r="B2087" s="62">
        <v>16</v>
      </c>
      <c r="C2087" s="60" t="s">
        <v>5066</v>
      </c>
      <c r="D2087" s="64">
        <f>IFERROR(VLOOKUP(C2087,測定点マスタ!$E$2:$F$28,2,FALSE)/VLOOKUP(A2087,'焼鈍条件-3CGL'!$A$2:$B$197,2,FALSE)*60,"")</f>
        <v>104.83856478071073</v>
      </c>
      <c r="E2087" s="66">
        <v>501.1</v>
      </c>
      <c r="F2087" s="64">
        <f t="shared" si="32"/>
        <v>-5.3615145562123505</v>
      </c>
      <c r="G2087" s="60" t="s">
        <v>9</v>
      </c>
      <c r="H2087" s="60" t="s">
        <v>5064</v>
      </c>
    </row>
    <row r="2088" spans="1:8">
      <c r="A2088" s="59" t="s">
        <v>3377</v>
      </c>
      <c r="B2088" s="62">
        <v>17</v>
      </c>
      <c r="C2088" s="60" t="s">
        <v>5068</v>
      </c>
      <c r="D2088" s="64">
        <f>IFERROR(VLOOKUP(C2088,測定点マスタ!$E$2:$F$28,2,FALSE)/VLOOKUP(A2088,'焼鈍条件-3CGL'!$A$2:$B$197,2,FALSE)*60,"")</f>
        <v>108.97918582486571</v>
      </c>
      <c r="E2088" s="66">
        <v>403.4</v>
      </c>
      <c r="F2088" s="64">
        <f t="shared" si="32"/>
        <v>-23.595494240632359</v>
      </c>
      <c r="G2088" s="60" t="s">
        <v>9</v>
      </c>
      <c r="H2088" s="60" t="s">
        <v>5064</v>
      </c>
    </row>
    <row r="2089" spans="1:8">
      <c r="A2089" s="59" t="s">
        <v>3377</v>
      </c>
      <c r="B2089" s="62">
        <v>18</v>
      </c>
      <c r="C2089" s="60" t="s">
        <v>5057</v>
      </c>
      <c r="D2089" s="64">
        <f>IFERROR(VLOOKUP(C2089,測定点マスタ!$E$2:$F$28,2,FALSE)/VLOOKUP(A2089,'焼鈍条件-3CGL'!$A$2:$B$197,2,FALSE)*60,"")</f>
        <v>113.11980686902071</v>
      </c>
      <c r="E2089" s="66">
        <v>199.2</v>
      </c>
      <c r="F2089" s="64">
        <f t="shared" si="32"/>
        <v>-49.316273530574293</v>
      </c>
      <c r="G2089" s="60" t="s">
        <v>9</v>
      </c>
      <c r="H2089" s="60" t="s">
        <v>5064</v>
      </c>
    </row>
    <row r="2090" spans="1:8">
      <c r="A2090" s="59" t="s">
        <v>3377</v>
      </c>
      <c r="B2090" s="62">
        <v>19</v>
      </c>
      <c r="C2090" s="60" t="s">
        <v>5059</v>
      </c>
      <c r="D2090" s="64">
        <f>IFERROR(VLOOKUP(C2090,測定点マスタ!$E$2:$F$28,2,FALSE)/VLOOKUP(A2090,'焼鈍条件-3CGL'!$A$2:$B$197,2,FALSE)*60,"")</f>
        <v>121.4010489573314</v>
      </c>
      <c r="E2090" s="66">
        <v>65.5</v>
      </c>
      <c r="F2090" s="64">
        <f t="shared" si="32"/>
        <v>-16.144921084812019</v>
      </c>
      <c r="G2090" s="60" t="s">
        <v>9</v>
      </c>
      <c r="H2090" s="60" t="s">
        <v>5064</v>
      </c>
    </row>
    <row r="2091" spans="1:8">
      <c r="A2091" s="59" t="s">
        <v>3386</v>
      </c>
      <c r="B2091" s="62">
        <v>1</v>
      </c>
      <c r="C2091" s="60" t="s">
        <v>5041</v>
      </c>
      <c r="D2091" s="64">
        <f>IFERROR(VLOOKUP(C2091,測定点マスタ!$E$2:$F$28,2,FALSE)/VLOOKUP(A2091,'焼鈍条件-3CGL'!$A$2:$B$197,2,FALSE)*60,"")</f>
        <v>0</v>
      </c>
      <c r="E2091" s="66">
        <v>30.6</v>
      </c>
      <c r="F2091" s="64" t="str">
        <f t="shared" si="32"/>
        <v/>
      </c>
      <c r="G2091" s="60" t="s">
        <v>12</v>
      </c>
      <c r="H2091" s="60" t="s">
        <v>5042</v>
      </c>
    </row>
    <row r="2092" spans="1:8">
      <c r="A2092" s="59" t="s">
        <v>3386</v>
      </c>
      <c r="B2092" s="62">
        <v>2</v>
      </c>
      <c r="C2092" s="60" t="s">
        <v>5043</v>
      </c>
      <c r="D2092" s="64">
        <f>IFERROR(VLOOKUP(C2092,測定点マスタ!$E$2:$F$28,2,FALSE)/VLOOKUP(A2092,'焼鈍条件-3CGL'!$A$2:$B$197,2,FALSE)*60,"")</f>
        <v>11.671940654666182</v>
      </c>
      <c r="E2092" s="66">
        <v>166.3</v>
      </c>
      <c r="F2092" s="64">
        <f t="shared" si="32"/>
        <v>11.626172888888892</v>
      </c>
      <c r="G2092" s="60" t="s">
        <v>12</v>
      </c>
      <c r="H2092" s="60" t="s">
        <v>5042</v>
      </c>
    </row>
    <row r="2093" spans="1:8">
      <c r="A2093" s="59" t="s">
        <v>3386</v>
      </c>
      <c r="B2093" s="62">
        <v>3</v>
      </c>
      <c r="C2093" s="60" t="s">
        <v>5067</v>
      </c>
      <c r="D2093" s="64">
        <f>IFERROR(VLOOKUP(C2093,測定点マスタ!$E$2:$F$28,2,FALSE)/VLOOKUP(A2093,'焼鈍条件-3CGL'!$A$2:$B$197,2,FALSE)*60,"")</f>
        <v>19.453234424443636</v>
      </c>
      <c r="E2093" s="66">
        <v>357.4</v>
      </c>
      <c r="F2093" s="64">
        <f t="shared" si="32"/>
        <v>24.558897999999999</v>
      </c>
      <c r="G2093" s="60" t="s">
        <v>12</v>
      </c>
      <c r="H2093" s="60" t="s">
        <v>5042</v>
      </c>
    </row>
    <row r="2094" spans="1:8">
      <c r="A2094" s="59" t="s">
        <v>3386</v>
      </c>
      <c r="B2094" s="62">
        <v>4</v>
      </c>
      <c r="C2094" s="60" t="s">
        <v>5044</v>
      </c>
      <c r="D2094" s="64">
        <f>IFERROR(VLOOKUP(C2094,測定点マスタ!$E$2:$F$28,2,FALSE)/VLOOKUP(A2094,'焼鈍条件-3CGL'!$A$2:$B$197,2,FALSE)*60,"")</f>
        <v>26.456398817243343</v>
      </c>
      <c r="E2094" s="66">
        <v>684.7</v>
      </c>
      <c r="F2094" s="64">
        <f t="shared" si="32"/>
        <v>46.736015555555582</v>
      </c>
      <c r="G2094" s="60" t="s">
        <v>12</v>
      </c>
      <c r="H2094" s="60" t="s">
        <v>5042</v>
      </c>
    </row>
    <row r="2095" spans="1:8">
      <c r="A2095" s="59" t="s">
        <v>3386</v>
      </c>
      <c r="B2095" s="62">
        <v>5</v>
      </c>
      <c r="C2095" s="60" t="s">
        <v>5045</v>
      </c>
      <c r="D2095" s="64">
        <f>IFERROR(VLOOKUP(C2095,測定点マスタ!$E$2:$F$28,2,FALSE)/VLOOKUP(A2095,'焼鈍条件-3CGL'!$A$2:$B$197,2,FALSE)*60,"")</f>
        <v>34.237692587020803</v>
      </c>
      <c r="E2095" s="66">
        <v>822.2</v>
      </c>
      <c r="F2095" s="64">
        <f t="shared" si="32"/>
        <v>17.670583333333322</v>
      </c>
      <c r="G2095" s="60" t="s">
        <v>12</v>
      </c>
      <c r="H2095" s="60" t="s">
        <v>5042</v>
      </c>
    </row>
    <row r="2096" spans="1:8">
      <c r="A2096" s="59" t="s">
        <v>3386</v>
      </c>
      <c r="B2096" s="62">
        <v>6</v>
      </c>
      <c r="C2096" s="60" t="s">
        <v>5046</v>
      </c>
      <c r="D2096" s="64">
        <f>IFERROR(VLOOKUP(C2096,測定点マスタ!$E$2:$F$28,2,FALSE)/VLOOKUP(A2096,'焼鈍条件-3CGL'!$A$2:$B$197,2,FALSE)*60,"")</f>
        <v>42.018986356798251</v>
      </c>
      <c r="E2096" s="66">
        <v>775.2</v>
      </c>
      <c r="F2096" s="64">
        <f t="shared" si="32"/>
        <v>-6.040126666666672</v>
      </c>
      <c r="G2096" s="60" t="s">
        <v>12</v>
      </c>
      <c r="H2096" s="60" t="s">
        <v>5042</v>
      </c>
    </row>
    <row r="2097" spans="1:8">
      <c r="A2097" s="59" t="s">
        <v>3386</v>
      </c>
      <c r="B2097" s="62">
        <v>7</v>
      </c>
      <c r="C2097" s="60" t="s">
        <v>5047</v>
      </c>
      <c r="D2097" s="64">
        <f>IFERROR(VLOOKUP(C2097,測定点マスタ!$E$2:$F$28,2,FALSE)/VLOOKUP(A2097,'焼鈍条件-3CGL'!$A$2:$B$197,2,FALSE)*60,"")</f>
        <v>46.687762618664728</v>
      </c>
      <c r="E2097" s="66">
        <v>777.7</v>
      </c>
      <c r="F2097" s="64">
        <f t="shared" si="32"/>
        <v>0.53547222222222179</v>
      </c>
      <c r="G2097" s="60" t="s">
        <v>12</v>
      </c>
      <c r="H2097" s="60" t="s">
        <v>5042</v>
      </c>
    </row>
    <row r="2098" spans="1:8">
      <c r="A2098" s="59" t="s">
        <v>3386</v>
      </c>
      <c r="B2098" s="62">
        <v>8</v>
      </c>
      <c r="C2098" s="60" t="s">
        <v>5049</v>
      </c>
      <c r="D2098" s="64">
        <f>IFERROR(VLOOKUP(C2098,測定点マスタ!$E$2:$F$28,2,FALSE)/VLOOKUP(A2098,'焼鈍条件-3CGL'!$A$2:$B$197,2,FALSE)*60,"")</f>
        <v>56.803444519375418</v>
      </c>
      <c r="E2098" s="66">
        <v>627.5</v>
      </c>
      <c r="F2098" s="64">
        <f t="shared" si="32"/>
        <v>-14.848232820512827</v>
      </c>
      <c r="G2098" s="60" t="s">
        <v>12</v>
      </c>
      <c r="H2098" s="60" t="s">
        <v>5042</v>
      </c>
    </row>
    <row r="2099" spans="1:8">
      <c r="A2099" s="59" t="s">
        <v>3386</v>
      </c>
      <c r="B2099" s="62">
        <v>9</v>
      </c>
      <c r="C2099" s="60" t="s">
        <v>5050</v>
      </c>
      <c r="D2099" s="64">
        <f>IFERROR(VLOOKUP(C2099,測定点マスタ!$E$2:$F$28,2,FALSE)/VLOOKUP(A2099,'焼鈍条件-3CGL'!$A$2:$B$197,2,FALSE)*60,"")</f>
        <v>63.028479535197377</v>
      </c>
      <c r="E2099" s="66">
        <v>514.4</v>
      </c>
      <c r="F2099" s="64">
        <f t="shared" si="32"/>
        <v>-18.168572500000018</v>
      </c>
      <c r="G2099" s="60" t="s">
        <v>12</v>
      </c>
      <c r="H2099" s="60" t="s">
        <v>5042</v>
      </c>
    </row>
    <row r="2100" spans="1:8">
      <c r="A2100" s="59" t="s">
        <v>3386</v>
      </c>
      <c r="B2100" s="62">
        <v>10</v>
      </c>
      <c r="C2100" s="60" t="s">
        <v>5051</v>
      </c>
      <c r="D2100" s="64">
        <f>IFERROR(VLOOKUP(C2100,測定点マスタ!$E$2:$F$28,2,FALSE)/VLOOKUP(A2100,'焼鈍条件-3CGL'!$A$2:$B$197,2,FALSE)*60,"")</f>
        <v>68.475385174041605</v>
      </c>
      <c r="E2100" s="66">
        <v>487.2</v>
      </c>
      <c r="F2100" s="64">
        <f t="shared" si="32"/>
        <v>-4.9936609523809414</v>
      </c>
      <c r="G2100" s="60" t="s">
        <v>12</v>
      </c>
      <c r="H2100" s="60" t="s">
        <v>5042</v>
      </c>
    </row>
    <row r="2101" spans="1:8">
      <c r="A2101" s="59" t="s">
        <v>3386</v>
      </c>
      <c r="B2101" s="62">
        <v>11</v>
      </c>
      <c r="C2101" s="60" t="s">
        <v>5052</v>
      </c>
      <c r="D2101" s="64">
        <f>IFERROR(VLOOKUP(C2101,測定点マスタ!$E$2:$F$28,2,FALSE)/VLOOKUP(A2101,'焼鈍条件-3CGL'!$A$2:$B$197,2,FALSE)*60,"")</f>
        <v>75.478549566841309</v>
      </c>
      <c r="E2101" s="66">
        <v>336.9</v>
      </c>
      <c r="F2101" s="64">
        <f t="shared" si="32"/>
        <v>-21.461726666666685</v>
      </c>
      <c r="G2101" s="60" t="s">
        <v>12</v>
      </c>
      <c r="H2101" s="60" t="s">
        <v>5042</v>
      </c>
    </row>
    <row r="2102" spans="1:8">
      <c r="A2102" s="59" t="s">
        <v>3386</v>
      </c>
      <c r="B2102" s="62">
        <v>12</v>
      </c>
      <c r="C2102" s="60" t="s">
        <v>5053</v>
      </c>
      <c r="D2102" s="64">
        <f>IFERROR(VLOOKUP(C2102,測定点マスタ!$E$2:$F$28,2,FALSE)/VLOOKUP(A2102,'焼鈍条件-3CGL'!$A$2:$B$197,2,FALSE)*60,"")</f>
        <v>84.816102090574262</v>
      </c>
      <c r="E2102" s="66">
        <v>548</v>
      </c>
      <c r="F2102" s="64">
        <f t="shared" si="32"/>
        <v>22.607637222222209</v>
      </c>
      <c r="G2102" s="60" t="s">
        <v>12</v>
      </c>
      <c r="H2102" s="60" t="s">
        <v>5042</v>
      </c>
    </row>
    <row r="2103" spans="1:8">
      <c r="A2103" s="59" t="s">
        <v>3386</v>
      </c>
      <c r="B2103" s="62">
        <v>13</v>
      </c>
      <c r="C2103" s="60" t="s">
        <v>5054</v>
      </c>
      <c r="D2103" s="64">
        <f>IFERROR(VLOOKUP(C2103,測定点マスタ!$E$2:$F$28,2,FALSE)/VLOOKUP(A2103,'焼鈍条件-3CGL'!$A$2:$B$197,2,FALSE)*60,"")</f>
        <v>94.931783991284945</v>
      </c>
      <c r="E2103" s="66">
        <v>525.79999999999995</v>
      </c>
      <c r="F2103" s="64">
        <f t="shared" si="32"/>
        <v>-2.1946123076923141</v>
      </c>
      <c r="G2103" s="60" t="s">
        <v>12</v>
      </c>
      <c r="H2103" s="60" t="s">
        <v>5042</v>
      </c>
    </row>
    <row r="2104" spans="1:8">
      <c r="A2104" s="59" t="s">
        <v>3386</v>
      </c>
      <c r="B2104" s="62">
        <v>14</v>
      </c>
      <c r="C2104" s="60" t="s">
        <v>5055</v>
      </c>
      <c r="D2104" s="64">
        <f>IFERROR(VLOOKUP(C2104,測定点マスタ!$E$2:$F$28,2,FALSE)/VLOOKUP(A2104,'焼鈍条件-3CGL'!$A$2:$B$197,2,FALSE)*60,"")</f>
        <v>98.822430876173669</v>
      </c>
      <c r="E2104" s="66">
        <v>561.5</v>
      </c>
      <c r="F2104" s="64">
        <f t="shared" si="32"/>
        <v>9.1758520000000185</v>
      </c>
      <c r="G2104" s="60" t="s">
        <v>12</v>
      </c>
      <c r="H2104" s="60" t="s">
        <v>5042</v>
      </c>
    </row>
    <row r="2105" spans="1:8">
      <c r="A2105" s="59" t="s">
        <v>3386</v>
      </c>
      <c r="B2105" s="62">
        <v>15</v>
      </c>
      <c r="C2105" s="60" t="s">
        <v>5056</v>
      </c>
      <c r="D2105" s="64">
        <f>IFERROR(VLOOKUP(C2105,測定点マスタ!$E$2:$F$28,2,FALSE)/VLOOKUP(A2105,'焼鈍条件-3CGL'!$A$2:$B$197,2,FALSE)*60,"")</f>
        <v>103.49120713804015</v>
      </c>
      <c r="E2105" s="66">
        <v>288.7</v>
      </c>
      <c r="F2105" s="64">
        <f t="shared" si="32"/>
        <v>-58.430728888888758</v>
      </c>
      <c r="G2105" s="60" t="s">
        <v>12</v>
      </c>
      <c r="H2105" s="60" t="s">
        <v>5042</v>
      </c>
    </row>
    <row r="2106" spans="1:8">
      <c r="A2106" s="59" t="s">
        <v>3386</v>
      </c>
      <c r="B2106" s="62">
        <v>16</v>
      </c>
      <c r="C2106" s="60" t="s">
        <v>5057</v>
      </c>
      <c r="D2106" s="64">
        <f>IFERROR(VLOOKUP(C2106,測定点マスタ!$E$2:$F$28,2,FALSE)/VLOOKUP(A2106,'焼鈍条件-3CGL'!$A$2:$B$197,2,FALSE)*60,"")</f>
        <v>128.30797619665171</v>
      </c>
      <c r="E2106" s="66">
        <v>183</v>
      </c>
      <c r="F2106" s="64">
        <f t="shared" si="32"/>
        <v>-4.2592168122433938</v>
      </c>
      <c r="G2106" s="60" t="s">
        <v>12</v>
      </c>
      <c r="H2106" s="60" t="s">
        <v>5042</v>
      </c>
    </row>
    <row r="2107" spans="1:8">
      <c r="A2107" s="59" t="s">
        <v>3386</v>
      </c>
      <c r="B2107" s="62">
        <v>17</v>
      </c>
      <c r="C2107" s="60" t="s">
        <v>5059</v>
      </c>
      <c r="D2107" s="64">
        <f>IFERROR(VLOOKUP(C2107,測定点マスタ!$E$2:$F$28,2,FALSE)/VLOOKUP(A2107,'焼鈍条件-3CGL'!$A$2:$B$197,2,FALSE)*60,"")</f>
        <v>137.70110939016911</v>
      </c>
      <c r="E2107" s="66">
        <v>41</v>
      </c>
      <c r="F2107" s="64">
        <f t="shared" si="32"/>
        <v>-15.117426429979746</v>
      </c>
      <c r="G2107" s="60" t="s">
        <v>12</v>
      </c>
      <c r="H2107" s="60" t="s">
        <v>5042</v>
      </c>
    </row>
    <row r="2108" spans="1:8">
      <c r="A2108" s="59" t="s">
        <v>3400</v>
      </c>
      <c r="B2108" s="62">
        <v>1</v>
      </c>
      <c r="C2108" s="60" t="s">
        <v>5041</v>
      </c>
      <c r="D2108" s="64">
        <f>IFERROR(VLOOKUP(C2108,測定点マスタ!$E$2:$F$28,2,FALSE)/VLOOKUP(A2108,'焼鈍条件-3CGL'!$A$2:$B$197,2,FALSE)*60,"")</f>
        <v>0</v>
      </c>
      <c r="E2108" s="66">
        <v>39.1</v>
      </c>
      <c r="F2108" s="64" t="str">
        <f t="shared" si="32"/>
        <v/>
      </c>
      <c r="G2108" s="60" t="s">
        <v>9</v>
      </c>
      <c r="H2108" s="60" t="s">
        <v>5042</v>
      </c>
    </row>
    <row r="2109" spans="1:8">
      <c r="A2109" s="59" t="s">
        <v>3400</v>
      </c>
      <c r="B2109" s="62">
        <v>2</v>
      </c>
      <c r="C2109" s="60" t="s">
        <v>5043</v>
      </c>
      <c r="D2109" s="64">
        <f>IFERROR(VLOOKUP(C2109,測定点マスタ!$E$2:$F$28,2,FALSE)/VLOOKUP(A2109,'焼鈍条件-3CGL'!$A$2:$B$197,2,FALSE)*60,"")</f>
        <v>13.095861707700367</v>
      </c>
      <c r="E2109" s="66">
        <v>181.6</v>
      </c>
      <c r="F2109" s="64">
        <f t="shared" si="32"/>
        <v>10.8813</v>
      </c>
      <c r="G2109" s="60" t="s">
        <v>9</v>
      </c>
      <c r="H2109" s="60" t="s">
        <v>5042</v>
      </c>
    </row>
    <row r="2110" spans="1:8">
      <c r="A2110" s="59" t="s">
        <v>3400</v>
      </c>
      <c r="B2110" s="62">
        <v>3</v>
      </c>
      <c r="C2110" s="60" t="s">
        <v>5067</v>
      </c>
      <c r="D2110" s="64">
        <f>IFERROR(VLOOKUP(C2110,測定点マスタ!$E$2:$F$28,2,FALSE)/VLOOKUP(A2110,'焼鈍条件-3CGL'!$A$2:$B$197,2,FALSE)*60,"")</f>
        <v>21.826436179500607</v>
      </c>
      <c r="E2110" s="66">
        <v>403.8</v>
      </c>
      <c r="F2110" s="64">
        <f t="shared" si="32"/>
        <v>25.450788000000014</v>
      </c>
      <c r="G2110" s="60" t="s">
        <v>9</v>
      </c>
      <c r="H2110" s="60" t="s">
        <v>5042</v>
      </c>
    </row>
    <row r="2111" spans="1:8">
      <c r="A2111" s="59" t="s">
        <v>3400</v>
      </c>
      <c r="B2111" s="62">
        <v>4</v>
      </c>
      <c r="C2111" s="60" t="s">
        <v>5044</v>
      </c>
      <c r="D2111" s="64">
        <f>IFERROR(VLOOKUP(C2111,測定点マスタ!$E$2:$F$28,2,FALSE)/VLOOKUP(A2111,'焼鈍条件-3CGL'!$A$2:$B$197,2,FALSE)*60,"")</f>
        <v>29.683953204120829</v>
      </c>
      <c r="E2111" s="66">
        <v>682.1</v>
      </c>
      <c r="F2111" s="64">
        <f t="shared" si="32"/>
        <v>35.418313333333323</v>
      </c>
      <c r="G2111" s="60" t="s">
        <v>9</v>
      </c>
      <c r="H2111" s="60" t="s">
        <v>5042</v>
      </c>
    </row>
    <row r="2112" spans="1:8">
      <c r="A2112" s="59" t="s">
        <v>3400</v>
      </c>
      <c r="B2112" s="62">
        <v>5</v>
      </c>
      <c r="C2112" s="60" t="s">
        <v>5045</v>
      </c>
      <c r="D2112" s="64">
        <f>IFERROR(VLOOKUP(C2112,測定点マスタ!$E$2:$F$28,2,FALSE)/VLOOKUP(A2112,'焼鈍条件-3CGL'!$A$2:$B$197,2,FALSE)*60,"")</f>
        <v>38.414527675921072</v>
      </c>
      <c r="E2112" s="66">
        <v>837</v>
      </c>
      <c r="F2112" s="64">
        <f t="shared" si="32"/>
        <v>17.742246000000002</v>
      </c>
      <c r="G2112" s="60" t="s">
        <v>9</v>
      </c>
      <c r="H2112" s="60" t="s">
        <v>5042</v>
      </c>
    </row>
    <row r="2113" spans="1:8">
      <c r="A2113" s="59" t="s">
        <v>3400</v>
      </c>
      <c r="B2113" s="62">
        <v>6</v>
      </c>
      <c r="C2113" s="60" t="s">
        <v>5046</v>
      </c>
      <c r="D2113" s="64">
        <f>IFERROR(VLOOKUP(C2113,測定点マスタ!$E$2:$F$28,2,FALSE)/VLOOKUP(A2113,'焼鈍条件-3CGL'!$A$2:$B$197,2,FALSE)*60,"")</f>
        <v>47.145102147721317</v>
      </c>
      <c r="E2113" s="66">
        <v>798.7</v>
      </c>
      <c r="F2113" s="64">
        <f t="shared" si="32"/>
        <v>-4.3868819999999937</v>
      </c>
      <c r="G2113" s="60" t="s">
        <v>9</v>
      </c>
      <c r="H2113" s="60" t="s">
        <v>5042</v>
      </c>
    </row>
    <row r="2114" spans="1:8">
      <c r="A2114" s="59" t="s">
        <v>3400</v>
      </c>
      <c r="B2114" s="62">
        <v>7</v>
      </c>
      <c r="C2114" s="60" t="s">
        <v>5047</v>
      </c>
      <c r="D2114" s="64">
        <f>IFERROR(VLOOKUP(C2114,測定点マスタ!$E$2:$F$28,2,FALSE)/VLOOKUP(A2114,'焼鈍条件-3CGL'!$A$2:$B$197,2,FALSE)*60,"")</f>
        <v>52.383446830801468</v>
      </c>
      <c r="E2114" s="66">
        <v>767.5</v>
      </c>
      <c r="F2114" s="64">
        <f t="shared" ref="F2114:F2177" si="33">IF(A2114=A2113,IFERROR((E2114-E2113)/(D2114-D2113),""),"")</f>
        <v>-5.9560800000000045</v>
      </c>
      <c r="G2114" s="60" t="s">
        <v>9</v>
      </c>
      <c r="H2114" s="60" t="s">
        <v>5042</v>
      </c>
    </row>
    <row r="2115" spans="1:8">
      <c r="A2115" s="59" t="s">
        <v>3400</v>
      </c>
      <c r="B2115" s="62">
        <v>8</v>
      </c>
      <c r="C2115" s="60" t="s">
        <v>5048</v>
      </c>
      <c r="D2115" s="64">
        <f>IFERROR(VLOOKUP(C2115,測定点マスタ!$E$2:$F$28,2,FALSE)/VLOOKUP(A2115,'焼鈍条件-3CGL'!$A$2:$B$197,2,FALSE)*60,"")</f>
        <v>57.621791513881611</v>
      </c>
      <c r="E2115" s="66">
        <v>719.1</v>
      </c>
      <c r="F2115" s="64">
        <f t="shared" si="33"/>
        <v>-9.2395600000000009</v>
      </c>
      <c r="G2115" s="60" t="s">
        <v>9</v>
      </c>
      <c r="H2115" s="60" t="s">
        <v>5042</v>
      </c>
    </row>
    <row r="2116" spans="1:8">
      <c r="A2116" s="59" t="s">
        <v>3400</v>
      </c>
      <c r="B2116" s="62">
        <v>9</v>
      </c>
      <c r="C2116" s="60" t="s">
        <v>5049</v>
      </c>
      <c r="D2116" s="64">
        <f>IFERROR(VLOOKUP(C2116,測定点マスタ!$E$2:$F$28,2,FALSE)/VLOOKUP(A2116,'焼鈍条件-3CGL'!$A$2:$B$197,2,FALSE)*60,"")</f>
        <v>63.733193644141785</v>
      </c>
      <c r="E2116" s="66">
        <v>633.1</v>
      </c>
      <c r="F2116" s="64">
        <f t="shared" si="33"/>
        <v>-14.072057142857135</v>
      </c>
      <c r="G2116" s="60" t="s">
        <v>9</v>
      </c>
      <c r="H2116" s="60" t="s">
        <v>5042</v>
      </c>
    </row>
    <row r="2117" spans="1:8">
      <c r="A2117" s="59" t="s">
        <v>3400</v>
      </c>
      <c r="B2117" s="62">
        <v>10</v>
      </c>
      <c r="C2117" s="60" t="s">
        <v>5050</v>
      </c>
      <c r="D2117" s="64">
        <f>IFERROR(VLOOKUP(C2117,測定点マスタ!$E$2:$F$28,2,FALSE)/VLOOKUP(A2117,'焼鈍条件-3CGL'!$A$2:$B$197,2,FALSE)*60,"")</f>
        <v>70.717653221581969</v>
      </c>
      <c r="E2117" s="66">
        <v>489</v>
      </c>
      <c r="F2117" s="64">
        <f t="shared" si="33"/>
        <v>-20.631517500000037</v>
      </c>
      <c r="G2117" s="60" t="s">
        <v>9</v>
      </c>
      <c r="H2117" s="60" t="s">
        <v>5042</v>
      </c>
    </row>
    <row r="2118" spans="1:8">
      <c r="A2118" s="59" t="s">
        <v>3400</v>
      </c>
      <c r="B2118" s="62">
        <v>11</v>
      </c>
      <c r="C2118" s="60" t="s">
        <v>5051</v>
      </c>
      <c r="D2118" s="64">
        <f>IFERROR(VLOOKUP(C2118,測定点マスタ!$E$2:$F$28,2,FALSE)/VLOOKUP(A2118,'焼鈍条件-3CGL'!$A$2:$B$197,2,FALSE)*60,"")</f>
        <v>76.829055351842143</v>
      </c>
      <c r="E2118" s="66">
        <v>451.2</v>
      </c>
      <c r="F2118" s="64">
        <f t="shared" si="33"/>
        <v>-6.1851599999999989</v>
      </c>
      <c r="G2118" s="60" t="s">
        <v>9</v>
      </c>
      <c r="H2118" s="60" t="s">
        <v>5042</v>
      </c>
    </row>
    <row r="2119" spans="1:8">
      <c r="A2119" s="59" t="s">
        <v>3400</v>
      </c>
      <c r="B2119" s="62">
        <v>12</v>
      </c>
      <c r="C2119" s="60" t="s">
        <v>5052</v>
      </c>
      <c r="D2119" s="64">
        <f>IFERROR(VLOOKUP(C2119,測定点マスタ!$E$2:$F$28,2,FALSE)/VLOOKUP(A2119,'焼鈍条件-3CGL'!$A$2:$B$197,2,FALSE)*60,"")</f>
        <v>84.686572376462379</v>
      </c>
      <c r="E2119" s="66">
        <v>350.9</v>
      </c>
      <c r="F2119" s="64">
        <f t="shared" si="33"/>
        <v>-12.764846666666642</v>
      </c>
      <c r="G2119" s="60" t="s">
        <v>9</v>
      </c>
      <c r="H2119" s="60" t="s">
        <v>5042</v>
      </c>
    </row>
    <row r="2120" spans="1:8">
      <c r="A2120" s="59" t="s">
        <v>3400</v>
      </c>
      <c r="B2120" s="62">
        <v>13</v>
      </c>
      <c r="C2120" s="60" t="s">
        <v>5053</v>
      </c>
      <c r="D2120" s="64">
        <f>IFERROR(VLOOKUP(C2120,測定点マスタ!$E$2:$F$28,2,FALSE)/VLOOKUP(A2120,'焼鈍条件-3CGL'!$A$2:$B$197,2,FALSE)*60,"")</f>
        <v>95.163261742622652</v>
      </c>
      <c r="E2120" s="66">
        <v>560.5</v>
      </c>
      <c r="F2120" s="64">
        <f t="shared" si="33"/>
        <v>20.006320000000041</v>
      </c>
      <c r="G2120" s="60" t="s">
        <v>9</v>
      </c>
      <c r="H2120" s="60" t="s">
        <v>5042</v>
      </c>
    </row>
    <row r="2121" spans="1:8">
      <c r="A2121" s="59" t="s">
        <v>3400</v>
      </c>
      <c r="B2121" s="62">
        <v>14</v>
      </c>
      <c r="C2121" s="60" t="s">
        <v>5054</v>
      </c>
      <c r="D2121" s="64">
        <f>IFERROR(VLOOKUP(C2121,測定点マスタ!$E$2:$F$28,2,FALSE)/VLOOKUP(A2121,'焼鈍条件-3CGL'!$A$2:$B$197,2,FALSE)*60,"")</f>
        <v>106.51300855596298</v>
      </c>
      <c r="E2121" s="66">
        <v>534.6</v>
      </c>
      <c r="F2121" s="64">
        <f t="shared" si="33"/>
        <v>-2.2819892307692258</v>
      </c>
      <c r="G2121" s="60" t="s">
        <v>9</v>
      </c>
      <c r="H2121" s="60" t="s">
        <v>5042</v>
      </c>
    </row>
    <row r="2122" spans="1:8">
      <c r="A2122" s="59" t="s">
        <v>3400</v>
      </c>
      <c r="B2122" s="62">
        <v>15</v>
      </c>
      <c r="C2122" s="60" t="s">
        <v>5055</v>
      </c>
      <c r="D2122" s="64">
        <f>IFERROR(VLOOKUP(C2122,測定点マスタ!$E$2:$F$28,2,FALSE)/VLOOKUP(A2122,'焼鈍条件-3CGL'!$A$2:$B$197,2,FALSE)*60,"")</f>
        <v>110.8782957918631</v>
      </c>
      <c r="E2122" s="66">
        <v>550.5</v>
      </c>
      <c r="F2122" s="64">
        <f t="shared" si="33"/>
        <v>3.6423720000000031</v>
      </c>
      <c r="G2122" s="60" t="s">
        <v>9</v>
      </c>
      <c r="H2122" s="60" t="s">
        <v>5042</v>
      </c>
    </row>
    <row r="2123" spans="1:8">
      <c r="A2123" s="59" t="s">
        <v>3400</v>
      </c>
      <c r="B2123" s="62">
        <v>16</v>
      </c>
      <c r="C2123" s="60" t="s">
        <v>5056</v>
      </c>
      <c r="D2123" s="64">
        <f>IFERROR(VLOOKUP(C2123,測定点マスタ!$E$2:$F$28,2,FALSE)/VLOOKUP(A2123,'焼鈍条件-3CGL'!$A$2:$B$197,2,FALSE)*60,"")</f>
        <v>116.11664047494324</v>
      </c>
      <c r="E2123" s="66">
        <v>283.39999999999998</v>
      </c>
      <c r="F2123" s="64">
        <f t="shared" si="33"/>
        <v>-50.989390000000036</v>
      </c>
      <c r="G2123" s="60" t="s">
        <v>9</v>
      </c>
      <c r="H2123" s="60" t="s">
        <v>5042</v>
      </c>
    </row>
    <row r="2124" spans="1:8">
      <c r="A2124" s="59" t="s">
        <v>3400</v>
      </c>
      <c r="B2124" s="62">
        <v>17</v>
      </c>
      <c r="C2124" s="60" t="s">
        <v>5068</v>
      </c>
      <c r="D2124" s="64">
        <f>IFERROR(VLOOKUP(C2124,測定点マスタ!$E$2:$F$28,2,FALSE)/VLOOKUP(A2124,'焼鈍条件-3CGL'!$A$2:$B$197,2,FALSE)*60,"")</f>
        <v>138.69141160916973</v>
      </c>
      <c r="E2124" s="66">
        <v>322.60000000000002</v>
      </c>
      <c r="F2124" s="64">
        <f t="shared" si="33"/>
        <v>1.7364517127071728</v>
      </c>
      <c r="G2124" s="60" t="s">
        <v>9</v>
      </c>
      <c r="H2124" s="60" t="s">
        <v>5042</v>
      </c>
    </row>
    <row r="2125" spans="1:8">
      <c r="A2125" s="59" t="s">
        <v>3400</v>
      </c>
      <c r="B2125" s="62">
        <v>18</v>
      </c>
      <c r="C2125" s="60" t="s">
        <v>5057</v>
      </c>
      <c r="D2125" s="64">
        <f>IFERROR(VLOOKUP(C2125,測定点マスタ!$E$2:$F$28,2,FALSE)/VLOOKUP(A2125,'焼鈍条件-3CGL'!$A$2:$B$197,2,FALSE)*60,"")</f>
        <v>143.96093691536319</v>
      </c>
      <c r="E2125" s="66">
        <v>283.2</v>
      </c>
      <c r="F2125" s="64">
        <f t="shared" si="33"/>
        <v>-7.4769543195270041</v>
      </c>
      <c r="G2125" s="60" t="s">
        <v>9</v>
      </c>
      <c r="H2125" s="60" t="s">
        <v>5042</v>
      </c>
    </row>
    <row r="2126" spans="1:8">
      <c r="A2126" s="59" t="s">
        <v>3400</v>
      </c>
      <c r="B2126" s="62">
        <v>19</v>
      </c>
      <c r="C2126" s="60" t="s">
        <v>5058</v>
      </c>
      <c r="D2126" s="64">
        <f>IFERROR(VLOOKUP(C2126,測定点マスタ!$E$2:$F$28,2,FALSE)/VLOOKUP(A2126,'焼鈍条件-3CGL'!$A$2:$B$197,2,FALSE)*60,"")</f>
        <v>149.23046222155665</v>
      </c>
      <c r="E2126" s="66">
        <v>129.19999999999999</v>
      </c>
      <c r="F2126" s="64">
        <f t="shared" si="33"/>
        <v>-29.224643786983695</v>
      </c>
      <c r="G2126" s="60" t="s">
        <v>9</v>
      </c>
      <c r="H2126" s="60" t="s">
        <v>5042</v>
      </c>
    </row>
    <row r="2127" spans="1:8">
      <c r="A2127" s="59" t="s">
        <v>3400</v>
      </c>
      <c r="B2127" s="62">
        <v>20</v>
      </c>
      <c r="C2127" s="60" t="s">
        <v>5059</v>
      </c>
      <c r="D2127" s="64">
        <f>IFERROR(VLOOKUP(C2127,測定点マスタ!$E$2:$F$28,2,FALSE)/VLOOKUP(A2127,'焼鈍条件-3CGL'!$A$2:$B$197,2,FALSE)*60,"")</f>
        <v>154.49998752775099</v>
      </c>
      <c r="E2127" s="66">
        <v>44.9</v>
      </c>
      <c r="F2127" s="64">
        <f t="shared" si="33"/>
        <v>-15.997645917157877</v>
      </c>
      <c r="G2127" s="60" t="s">
        <v>9</v>
      </c>
      <c r="H2127" s="60" t="s">
        <v>5042</v>
      </c>
    </row>
    <row r="2128" spans="1:8">
      <c r="A2128" s="59" t="s">
        <v>3411</v>
      </c>
      <c r="B2128" s="62">
        <v>1</v>
      </c>
      <c r="C2128" s="60" t="s">
        <v>5041</v>
      </c>
      <c r="D2128" s="64">
        <f>IFERROR(VLOOKUP(C2128,測定点マスタ!$E$2:$F$28,2,FALSE)/VLOOKUP(A2128,'焼鈍条件-3CGL'!$A$2:$B$197,2,FALSE)*60,"")</f>
        <v>0</v>
      </c>
      <c r="E2128" s="66">
        <v>33.5</v>
      </c>
      <c r="F2128" s="64" t="str">
        <f t="shared" si="33"/>
        <v/>
      </c>
      <c r="G2128" s="60" t="s">
        <v>12</v>
      </c>
      <c r="H2128" s="60" t="s">
        <v>5042</v>
      </c>
    </row>
    <row r="2129" spans="1:8">
      <c r="A2129" s="59" t="s">
        <v>3411</v>
      </c>
      <c r="B2129" s="62">
        <v>2</v>
      </c>
      <c r="C2129" s="60" t="s">
        <v>5043</v>
      </c>
      <c r="D2129" s="64">
        <f>IFERROR(VLOOKUP(C2129,測定点マスタ!$E$2:$F$28,2,FALSE)/VLOOKUP(A2129,'焼鈍条件-3CGL'!$A$2:$B$197,2,FALSE)*60,"")</f>
        <v>7.1165935238998932</v>
      </c>
      <c r="E2129" s="66">
        <v>178.1</v>
      </c>
      <c r="F2129" s="64">
        <f t="shared" si="33"/>
        <v>20.318709999999999</v>
      </c>
      <c r="G2129" s="60" t="s">
        <v>12</v>
      </c>
      <c r="H2129" s="60" t="s">
        <v>5042</v>
      </c>
    </row>
    <row r="2130" spans="1:8">
      <c r="A2130" s="59" t="s">
        <v>3411</v>
      </c>
      <c r="B2130" s="62">
        <v>3</v>
      </c>
      <c r="C2130" s="60" t="s">
        <v>5044</v>
      </c>
      <c r="D2130" s="64">
        <f>IFERROR(VLOOKUP(C2130,測定点マスタ!$E$2:$F$28,2,FALSE)/VLOOKUP(A2130,'焼鈍条件-3CGL'!$A$2:$B$197,2,FALSE)*60,"")</f>
        <v>16.130945320839761</v>
      </c>
      <c r="E2130" s="66">
        <v>658.9</v>
      </c>
      <c r="F2130" s="64">
        <f t="shared" si="33"/>
        <v>53.337168421052617</v>
      </c>
      <c r="G2130" s="60" t="s">
        <v>12</v>
      </c>
      <c r="H2130" s="60" t="s">
        <v>5042</v>
      </c>
    </row>
    <row r="2131" spans="1:8">
      <c r="A2131" s="59" t="s">
        <v>3411</v>
      </c>
      <c r="B2131" s="62">
        <v>4</v>
      </c>
      <c r="C2131" s="60" t="s">
        <v>5045</v>
      </c>
      <c r="D2131" s="64">
        <f>IFERROR(VLOOKUP(C2131,測定点マスタ!$E$2:$F$28,2,FALSE)/VLOOKUP(A2131,'焼鈍条件-3CGL'!$A$2:$B$197,2,FALSE)*60,"")</f>
        <v>20.875341003439686</v>
      </c>
      <c r="E2131" s="66">
        <v>788.2</v>
      </c>
      <c r="F2131" s="64">
        <f t="shared" si="33"/>
        <v>27.25320750000003</v>
      </c>
      <c r="G2131" s="60" t="s">
        <v>12</v>
      </c>
      <c r="H2131" s="60" t="s">
        <v>5042</v>
      </c>
    </row>
    <row r="2132" spans="1:8">
      <c r="A2132" s="59" t="s">
        <v>3411</v>
      </c>
      <c r="B2132" s="62">
        <v>5</v>
      </c>
      <c r="C2132" s="60" t="s">
        <v>5047</v>
      </c>
      <c r="D2132" s="64">
        <f>IFERROR(VLOOKUP(C2132,測定点マスタ!$E$2:$F$28,2,FALSE)/VLOOKUP(A2132,'焼鈍条件-3CGL'!$A$2:$B$197,2,FALSE)*60,"")</f>
        <v>28.466374095599573</v>
      </c>
      <c r="E2132" s="66">
        <v>738.2</v>
      </c>
      <c r="F2132" s="64">
        <f t="shared" si="33"/>
        <v>-6.5867187500000002</v>
      </c>
      <c r="G2132" s="60" t="s">
        <v>12</v>
      </c>
      <c r="H2132" s="60" t="s">
        <v>5042</v>
      </c>
    </row>
    <row r="2133" spans="1:8">
      <c r="A2133" s="59" t="s">
        <v>3411</v>
      </c>
      <c r="B2133" s="62">
        <v>6</v>
      </c>
      <c r="C2133" s="60" t="s">
        <v>5048</v>
      </c>
      <c r="D2133" s="64">
        <f>IFERROR(VLOOKUP(C2133,測定点マスタ!$E$2:$F$28,2,FALSE)/VLOOKUP(A2133,'焼鈍条件-3CGL'!$A$2:$B$197,2,FALSE)*60,"")</f>
        <v>31.313011505159526</v>
      </c>
      <c r="E2133" s="66">
        <v>661.3</v>
      </c>
      <c r="F2133" s="64">
        <f t="shared" si="33"/>
        <v>-27.014329166666737</v>
      </c>
      <c r="G2133" s="60" t="s">
        <v>12</v>
      </c>
      <c r="H2133" s="60" t="s">
        <v>5042</v>
      </c>
    </row>
    <row r="2134" spans="1:8">
      <c r="A2134" s="59" t="s">
        <v>3411</v>
      </c>
      <c r="B2134" s="62">
        <v>7</v>
      </c>
      <c r="C2134" s="60" t="s">
        <v>5049</v>
      </c>
      <c r="D2134" s="64">
        <f>IFERROR(VLOOKUP(C2134,測定点マスタ!$E$2:$F$28,2,FALSE)/VLOOKUP(A2134,'焼鈍条件-3CGL'!$A$2:$B$197,2,FALSE)*60,"")</f>
        <v>34.634088482979479</v>
      </c>
      <c r="E2134" s="66">
        <v>562.1</v>
      </c>
      <c r="F2134" s="64">
        <f t="shared" si="33"/>
        <v>-29.869828571428528</v>
      </c>
      <c r="G2134" s="60" t="s">
        <v>12</v>
      </c>
      <c r="H2134" s="60" t="s">
        <v>5042</v>
      </c>
    </row>
    <row r="2135" spans="1:8">
      <c r="A2135" s="59" t="s">
        <v>3411</v>
      </c>
      <c r="B2135" s="62">
        <v>8</v>
      </c>
      <c r="C2135" s="60" t="s">
        <v>5050</v>
      </c>
      <c r="D2135" s="64">
        <f>IFERROR(VLOOKUP(C2135,測定点マスタ!$E$2:$F$28,2,FALSE)/VLOOKUP(A2135,'焼鈍条件-3CGL'!$A$2:$B$197,2,FALSE)*60,"")</f>
        <v>38.429605029059424</v>
      </c>
      <c r="E2135" s="66">
        <v>478.2</v>
      </c>
      <c r="F2135" s="64">
        <f t="shared" si="33"/>
        <v>-22.105028124999997</v>
      </c>
      <c r="G2135" s="60" t="s">
        <v>12</v>
      </c>
      <c r="H2135" s="60" t="s">
        <v>5042</v>
      </c>
    </row>
    <row r="2136" spans="1:8">
      <c r="A2136" s="59" t="s">
        <v>3411</v>
      </c>
      <c r="B2136" s="62">
        <v>9</v>
      </c>
      <c r="C2136" s="60" t="s">
        <v>5051</v>
      </c>
      <c r="D2136" s="64">
        <f>IFERROR(VLOOKUP(C2136,測定点マスタ!$E$2:$F$28,2,FALSE)/VLOOKUP(A2136,'焼鈍条件-3CGL'!$A$2:$B$197,2,FALSE)*60,"")</f>
        <v>41.750682006879373</v>
      </c>
      <c r="E2136" s="66">
        <v>443.3</v>
      </c>
      <c r="F2136" s="64">
        <f t="shared" si="33"/>
        <v>-10.508639285714283</v>
      </c>
      <c r="G2136" s="60" t="s">
        <v>12</v>
      </c>
      <c r="H2136" s="60" t="s">
        <v>5042</v>
      </c>
    </row>
    <row r="2137" spans="1:8">
      <c r="A2137" s="59" t="s">
        <v>3411</v>
      </c>
      <c r="B2137" s="62">
        <v>10</v>
      </c>
      <c r="C2137" s="60" t="s">
        <v>5060</v>
      </c>
      <c r="D2137" s="64">
        <f>IFERROR(VLOOKUP(C2137,測定点マスタ!$E$2:$F$28,2,FALSE)/VLOOKUP(A2137,'焼鈍条件-3CGL'!$A$2:$B$197,2,FALSE)*60,"")</f>
        <v>43.648440279919342</v>
      </c>
      <c r="E2137" s="66">
        <v>378.8</v>
      </c>
      <c r="F2137" s="64">
        <f t="shared" si="33"/>
        <v>-33.987468750000048</v>
      </c>
      <c r="G2137" s="60" t="s">
        <v>12</v>
      </c>
      <c r="H2137" s="60" t="s">
        <v>5042</v>
      </c>
    </row>
    <row r="2138" spans="1:8">
      <c r="A2138" s="59" t="s">
        <v>3411</v>
      </c>
      <c r="B2138" s="62">
        <v>11</v>
      </c>
      <c r="C2138" s="60" t="s">
        <v>5052</v>
      </c>
      <c r="D2138" s="64">
        <f>IFERROR(VLOOKUP(C2138,測定点マスタ!$E$2:$F$28,2,FALSE)/VLOOKUP(A2138,'焼鈍条件-3CGL'!$A$2:$B$197,2,FALSE)*60,"")</f>
        <v>46.020638121219307</v>
      </c>
      <c r="E2138" s="66">
        <v>351.4</v>
      </c>
      <c r="F2138" s="64">
        <f t="shared" si="33"/>
        <v>-11.550470000000013</v>
      </c>
      <c r="G2138" s="60" t="s">
        <v>12</v>
      </c>
      <c r="H2138" s="60" t="s">
        <v>5042</v>
      </c>
    </row>
    <row r="2139" spans="1:8">
      <c r="A2139" s="59" t="s">
        <v>3411</v>
      </c>
      <c r="B2139" s="62">
        <v>12</v>
      </c>
      <c r="C2139" s="60" t="s">
        <v>5053</v>
      </c>
      <c r="D2139" s="64">
        <f>IFERROR(VLOOKUP(C2139,測定点マスタ!$E$2:$F$28,2,FALSE)/VLOOKUP(A2139,'焼鈍条件-3CGL'!$A$2:$B$197,2,FALSE)*60,"")</f>
        <v>51.713912940339227</v>
      </c>
      <c r="E2139" s="66">
        <v>507.2</v>
      </c>
      <c r="F2139" s="64">
        <f t="shared" si="33"/>
        <v>27.365620833333306</v>
      </c>
      <c r="G2139" s="60" t="s">
        <v>12</v>
      </c>
      <c r="H2139" s="60" t="s">
        <v>5042</v>
      </c>
    </row>
    <row r="2140" spans="1:8">
      <c r="A2140" s="59" t="s">
        <v>3411</v>
      </c>
      <c r="B2140" s="62">
        <v>13</v>
      </c>
      <c r="C2140" s="60" t="s">
        <v>5054</v>
      </c>
      <c r="D2140" s="64">
        <f>IFERROR(VLOOKUP(C2140,測定点マスタ!$E$2:$F$28,2,FALSE)/VLOOKUP(A2140,'焼鈍条件-3CGL'!$A$2:$B$197,2,FALSE)*60,"")</f>
        <v>57.88162732771913</v>
      </c>
      <c r="E2140" s="66">
        <v>498.5</v>
      </c>
      <c r="F2140" s="64">
        <f t="shared" si="33"/>
        <v>-1.4105711538461532</v>
      </c>
      <c r="G2140" s="60" t="s">
        <v>12</v>
      </c>
      <c r="H2140" s="60" t="s">
        <v>5042</v>
      </c>
    </row>
    <row r="2141" spans="1:8">
      <c r="A2141" s="59" t="s">
        <v>3411</v>
      </c>
      <c r="B2141" s="62">
        <v>14</v>
      </c>
      <c r="C2141" s="60" t="s">
        <v>5056</v>
      </c>
      <c r="D2141" s="64">
        <f>IFERROR(VLOOKUP(C2141,測定点マスタ!$E$2:$F$28,2,FALSE)/VLOOKUP(A2141,'焼鈍条件-3CGL'!$A$2:$B$197,2,FALSE)*60,"")</f>
        <v>63.100462578579048</v>
      </c>
      <c r="E2141" s="66">
        <v>248.7</v>
      </c>
      <c r="F2141" s="64">
        <f t="shared" si="33"/>
        <v>-47.865086363636401</v>
      </c>
      <c r="G2141" s="60" t="s">
        <v>12</v>
      </c>
      <c r="H2141" s="60" t="s">
        <v>5042</v>
      </c>
    </row>
    <row r="2142" spans="1:8">
      <c r="A2142" s="59" t="s">
        <v>3411</v>
      </c>
      <c r="B2142" s="62">
        <v>15</v>
      </c>
      <c r="C2142" s="60" t="s">
        <v>5068</v>
      </c>
      <c r="D2142" s="64">
        <f>IFERROR(VLOOKUP(C2142,測定点マスタ!$E$2:$F$28,2,FALSE)/VLOOKUP(A2142,'焼鈍条件-3CGL'!$A$2:$B$197,2,FALSE)*60,"")</f>
        <v>75.368114272158934</v>
      </c>
      <c r="E2142" s="66">
        <v>389</v>
      </c>
      <c r="F2142" s="64">
        <f t="shared" si="33"/>
        <v>11.43658162983419</v>
      </c>
      <c r="G2142" s="60" t="s">
        <v>12</v>
      </c>
      <c r="H2142" s="60" t="s">
        <v>5042</v>
      </c>
    </row>
    <row r="2143" spans="1:8">
      <c r="A2143" s="59" t="s">
        <v>3411</v>
      </c>
      <c r="B2143" s="62">
        <v>16</v>
      </c>
      <c r="C2143" s="60" t="s">
        <v>5057</v>
      </c>
      <c r="D2143" s="64">
        <f>IFERROR(VLOOKUP(C2143,測定点マスタ!$E$2:$F$28,2,FALSE)/VLOOKUP(A2143,'焼鈍条件-3CGL'!$A$2:$B$197,2,FALSE)*60,"")</f>
        <v>78.231695952013752</v>
      </c>
      <c r="E2143" s="66">
        <v>191.4</v>
      </c>
      <c r="F2143" s="64">
        <f t="shared" si="33"/>
        <v>-69.004492307695656</v>
      </c>
      <c r="G2143" s="60" t="s">
        <v>12</v>
      </c>
      <c r="H2143" s="60" t="s">
        <v>5042</v>
      </c>
    </row>
    <row r="2144" spans="1:8">
      <c r="A2144" s="59" t="s">
        <v>3411</v>
      </c>
      <c r="B2144" s="62">
        <v>17</v>
      </c>
      <c r="C2144" s="60" t="s">
        <v>5059</v>
      </c>
      <c r="D2144" s="64">
        <f>IFERROR(VLOOKUP(C2144,測定点マスタ!$E$2:$F$28,2,FALSE)/VLOOKUP(A2144,'焼鈍条件-3CGL'!$A$2:$B$197,2,FALSE)*60,"")</f>
        <v>83.958859311723884</v>
      </c>
      <c r="E2144" s="66">
        <v>71</v>
      </c>
      <c r="F2144" s="64">
        <f t="shared" si="33"/>
        <v>-21.02262366863825</v>
      </c>
      <c r="G2144" s="60" t="s">
        <v>12</v>
      </c>
      <c r="H2144" s="60" t="s">
        <v>5042</v>
      </c>
    </row>
    <row r="2145" spans="1:8">
      <c r="A2145" s="59" t="s">
        <v>3416</v>
      </c>
      <c r="B2145" s="62">
        <v>1</v>
      </c>
      <c r="C2145" s="60" t="s">
        <v>5041</v>
      </c>
      <c r="D2145" s="64">
        <f>IFERROR(VLOOKUP(C2145,測定点マスタ!$E$2:$F$28,2,FALSE)/VLOOKUP(A2145,'焼鈍条件-3CGL'!$A$2:$B$197,2,FALSE)*60,"")</f>
        <v>0</v>
      </c>
      <c r="E2145" s="66">
        <v>28.9</v>
      </c>
      <c r="F2145" s="64" t="str">
        <f t="shared" si="33"/>
        <v/>
      </c>
      <c r="G2145" s="60" t="s">
        <v>9</v>
      </c>
      <c r="H2145" s="60" t="s">
        <v>5061</v>
      </c>
    </row>
    <row r="2146" spans="1:8">
      <c r="A2146" s="59" t="s">
        <v>3416</v>
      </c>
      <c r="B2146" s="62">
        <v>2</v>
      </c>
      <c r="C2146" s="60" t="s">
        <v>5043</v>
      </c>
      <c r="D2146" s="64">
        <f>IFERROR(VLOOKUP(C2146,測定点マスタ!$E$2:$F$28,2,FALSE)/VLOOKUP(A2146,'焼鈍条件-3CGL'!$A$2:$B$197,2,FALSE)*60,"")</f>
        <v>7.7046219170811465</v>
      </c>
      <c r="E2146" s="66">
        <v>178</v>
      </c>
      <c r="F2146" s="64">
        <f t="shared" si="33"/>
        <v>19.352020333333332</v>
      </c>
      <c r="G2146" s="60" t="s">
        <v>9</v>
      </c>
      <c r="H2146" s="60" t="s">
        <v>5061</v>
      </c>
    </row>
    <row r="2147" spans="1:8">
      <c r="A2147" s="59" t="s">
        <v>3416</v>
      </c>
      <c r="B2147" s="62">
        <v>3</v>
      </c>
      <c r="C2147" s="60" t="s">
        <v>5067</v>
      </c>
      <c r="D2147" s="64">
        <f>IFERROR(VLOOKUP(C2147,測定点マスタ!$E$2:$F$28,2,FALSE)/VLOOKUP(A2147,'焼鈍条件-3CGL'!$A$2:$B$197,2,FALSE)*60,"")</f>
        <v>12.841036528468578</v>
      </c>
      <c r="E2147" s="66">
        <v>337.7</v>
      </c>
      <c r="F2147" s="64">
        <f t="shared" si="33"/>
        <v>31.091726833333329</v>
      </c>
      <c r="G2147" s="60" t="s">
        <v>9</v>
      </c>
      <c r="H2147" s="60" t="s">
        <v>5061</v>
      </c>
    </row>
    <row r="2148" spans="1:8">
      <c r="A2148" s="59" t="s">
        <v>3416</v>
      </c>
      <c r="B2148" s="62">
        <v>4</v>
      </c>
      <c r="C2148" s="60" t="s">
        <v>5044</v>
      </c>
      <c r="D2148" s="64">
        <f>IFERROR(VLOOKUP(C2148,測定点マスタ!$E$2:$F$28,2,FALSE)/VLOOKUP(A2148,'焼鈍条件-3CGL'!$A$2:$B$197,2,FALSE)*60,"")</f>
        <v>17.463809678717265</v>
      </c>
      <c r="E2148" s="66">
        <v>616.4</v>
      </c>
      <c r="F2148" s="64">
        <f t="shared" si="33"/>
        <v>60.288487222222237</v>
      </c>
      <c r="G2148" s="60" t="s">
        <v>9</v>
      </c>
      <c r="H2148" s="60" t="s">
        <v>5061</v>
      </c>
    </row>
    <row r="2149" spans="1:8">
      <c r="A2149" s="59" t="s">
        <v>3416</v>
      </c>
      <c r="B2149" s="62">
        <v>5</v>
      </c>
      <c r="C2149" s="60" t="s">
        <v>5045</v>
      </c>
      <c r="D2149" s="64">
        <f>IFERROR(VLOOKUP(C2149,測定点マスタ!$E$2:$F$28,2,FALSE)/VLOOKUP(A2149,'焼鈍条件-3CGL'!$A$2:$B$197,2,FALSE)*60,"")</f>
        <v>22.600224290104698</v>
      </c>
      <c r="E2149" s="66">
        <v>775.1</v>
      </c>
      <c r="F2149" s="64">
        <f t="shared" si="33"/>
        <v>30.897038499999997</v>
      </c>
      <c r="G2149" s="60" t="s">
        <v>9</v>
      </c>
      <c r="H2149" s="60" t="s">
        <v>5061</v>
      </c>
    </row>
    <row r="2150" spans="1:8">
      <c r="A2150" s="59" t="s">
        <v>3416</v>
      </c>
      <c r="B2150" s="62">
        <v>6</v>
      </c>
      <c r="C2150" s="60" t="s">
        <v>5047</v>
      </c>
      <c r="D2150" s="64">
        <f>IFERROR(VLOOKUP(C2150,測定点マスタ!$E$2:$F$28,2,FALSE)/VLOOKUP(A2150,'焼鈍条件-3CGL'!$A$2:$B$197,2,FALSE)*60,"")</f>
        <v>30.818487668324586</v>
      </c>
      <c r="E2150" s="66">
        <v>711.3</v>
      </c>
      <c r="F2150" s="64">
        <f t="shared" si="33"/>
        <v>-7.7631972916666774</v>
      </c>
      <c r="G2150" s="60" t="s">
        <v>9</v>
      </c>
      <c r="H2150" s="60" t="s">
        <v>5061</v>
      </c>
    </row>
    <row r="2151" spans="1:8">
      <c r="A2151" s="59" t="s">
        <v>3416</v>
      </c>
      <c r="B2151" s="62">
        <v>7</v>
      </c>
      <c r="C2151" s="60" t="s">
        <v>5048</v>
      </c>
      <c r="D2151" s="64">
        <f>IFERROR(VLOOKUP(C2151,測定点マスタ!$E$2:$F$28,2,FALSE)/VLOOKUP(A2151,'焼鈍条件-3CGL'!$A$2:$B$197,2,FALSE)*60,"")</f>
        <v>33.900336435157044</v>
      </c>
      <c r="E2151" s="66">
        <v>670.8</v>
      </c>
      <c r="F2151" s="64">
        <f t="shared" si="33"/>
        <v>-13.141462500000003</v>
      </c>
      <c r="G2151" s="60" t="s">
        <v>9</v>
      </c>
      <c r="H2151" s="60" t="s">
        <v>5061</v>
      </c>
    </row>
    <row r="2152" spans="1:8">
      <c r="A2152" s="59" t="s">
        <v>3416</v>
      </c>
      <c r="B2152" s="62">
        <v>8</v>
      </c>
      <c r="C2152" s="60" t="s">
        <v>5049</v>
      </c>
      <c r="D2152" s="64">
        <f>IFERROR(VLOOKUP(C2152,測定点マスタ!$E$2:$F$28,2,FALSE)/VLOOKUP(A2152,'焼鈍条件-3CGL'!$A$2:$B$197,2,FALSE)*60,"")</f>
        <v>37.495826663128241</v>
      </c>
      <c r="E2152" s="66">
        <v>565.1</v>
      </c>
      <c r="F2152" s="64">
        <f t="shared" si="33"/>
        <v>-29.39793833333335</v>
      </c>
      <c r="G2152" s="60" t="s">
        <v>9</v>
      </c>
      <c r="H2152" s="60" t="s">
        <v>5061</v>
      </c>
    </row>
    <row r="2153" spans="1:8">
      <c r="A2153" s="59" t="s">
        <v>3416</v>
      </c>
      <c r="B2153" s="62">
        <v>9</v>
      </c>
      <c r="C2153" s="60" t="s">
        <v>5050</v>
      </c>
      <c r="D2153" s="64">
        <f>IFERROR(VLOOKUP(C2153,測定点マスタ!$E$2:$F$28,2,FALSE)/VLOOKUP(A2153,'焼鈍条件-3CGL'!$A$2:$B$197,2,FALSE)*60,"")</f>
        <v>41.604958352238192</v>
      </c>
      <c r="E2153" s="66">
        <v>489.8</v>
      </c>
      <c r="F2153" s="64">
        <f t="shared" si="33"/>
        <v>-18.325039374999974</v>
      </c>
      <c r="G2153" s="60" t="s">
        <v>9</v>
      </c>
      <c r="H2153" s="60" t="s">
        <v>5061</v>
      </c>
    </row>
    <row r="2154" spans="1:8">
      <c r="A2154" s="59" t="s">
        <v>3416</v>
      </c>
      <c r="B2154" s="62">
        <v>10</v>
      </c>
      <c r="C2154" s="60" t="s">
        <v>5051</v>
      </c>
      <c r="D2154" s="64">
        <f>IFERROR(VLOOKUP(C2154,測定点マスタ!$E$2:$F$28,2,FALSE)/VLOOKUP(A2154,'焼鈍条件-3CGL'!$A$2:$B$197,2,FALSE)*60,"")</f>
        <v>45.200448580209397</v>
      </c>
      <c r="E2154" s="66">
        <v>413.4</v>
      </c>
      <c r="F2154" s="64">
        <f t="shared" si="33"/>
        <v>-21.248840952380945</v>
      </c>
      <c r="G2154" s="60" t="s">
        <v>9</v>
      </c>
      <c r="H2154" s="60" t="s">
        <v>5061</v>
      </c>
    </row>
    <row r="2155" spans="1:8">
      <c r="A2155" s="59" t="s">
        <v>3416</v>
      </c>
      <c r="B2155" s="62">
        <v>11</v>
      </c>
      <c r="C2155" s="60" t="s">
        <v>5060</v>
      </c>
      <c r="D2155" s="64">
        <f>IFERROR(VLOOKUP(C2155,測定点マスタ!$E$2:$F$28,2,FALSE)/VLOOKUP(A2155,'焼鈍条件-3CGL'!$A$2:$B$197,2,FALSE)*60,"")</f>
        <v>47.255014424764369</v>
      </c>
      <c r="E2155" s="66">
        <v>382.4</v>
      </c>
      <c r="F2155" s="64">
        <f t="shared" si="33"/>
        <v>-15.088345833333337</v>
      </c>
      <c r="G2155" s="60" t="s">
        <v>9</v>
      </c>
      <c r="H2155" s="60" t="s">
        <v>5061</v>
      </c>
    </row>
    <row r="2156" spans="1:8">
      <c r="A2156" s="59" t="s">
        <v>3416</v>
      </c>
      <c r="B2156" s="62">
        <v>12</v>
      </c>
      <c r="C2156" s="60" t="s">
        <v>5052</v>
      </c>
      <c r="D2156" s="64">
        <f>IFERROR(VLOOKUP(C2156,測定点マスタ!$E$2:$F$28,2,FALSE)/VLOOKUP(A2156,'焼鈍条件-3CGL'!$A$2:$B$197,2,FALSE)*60,"")</f>
        <v>49.82322173045808</v>
      </c>
      <c r="E2156" s="66">
        <v>330.1</v>
      </c>
      <c r="F2156" s="64">
        <f t="shared" si="33"/>
        <v>-20.364399666666682</v>
      </c>
      <c r="G2156" s="60" t="s">
        <v>9</v>
      </c>
      <c r="H2156" s="60" t="s">
        <v>5061</v>
      </c>
    </row>
    <row r="2157" spans="1:8">
      <c r="A2157" s="59" t="s">
        <v>3416</v>
      </c>
      <c r="B2157" s="62">
        <v>13</v>
      </c>
      <c r="C2157" s="60" t="s">
        <v>5053</v>
      </c>
      <c r="D2157" s="64">
        <f>IFERROR(VLOOKUP(C2157,測定点マスタ!$E$2:$F$28,2,FALSE)/VLOOKUP(A2157,'焼鈍条件-3CGL'!$A$2:$B$197,2,FALSE)*60,"")</f>
        <v>55.986919264122996</v>
      </c>
      <c r="E2157" s="66">
        <v>498.5</v>
      </c>
      <c r="F2157" s="64">
        <f t="shared" si="33"/>
        <v>27.321262777777783</v>
      </c>
      <c r="G2157" s="60" t="s">
        <v>9</v>
      </c>
      <c r="H2157" s="60" t="s">
        <v>5061</v>
      </c>
    </row>
    <row r="2158" spans="1:8">
      <c r="A2158" s="59" t="s">
        <v>3416</v>
      </c>
      <c r="B2158" s="62">
        <v>14</v>
      </c>
      <c r="C2158" s="60" t="s">
        <v>5054</v>
      </c>
      <c r="D2158" s="64">
        <f>IFERROR(VLOOKUP(C2158,測定点マスタ!$E$2:$F$28,2,FALSE)/VLOOKUP(A2158,'焼鈍条件-3CGL'!$A$2:$B$197,2,FALSE)*60,"")</f>
        <v>62.664258258926658</v>
      </c>
      <c r="E2158" s="66">
        <v>469.5</v>
      </c>
      <c r="F2158" s="64">
        <f t="shared" si="33"/>
        <v>-4.3430474358974349</v>
      </c>
      <c r="G2158" s="60" t="s">
        <v>9</v>
      </c>
      <c r="H2158" s="60" t="s">
        <v>5061</v>
      </c>
    </row>
    <row r="2159" spans="1:8">
      <c r="A2159" s="59" t="s">
        <v>3416</v>
      </c>
      <c r="B2159" s="62">
        <v>15</v>
      </c>
      <c r="C2159" s="60" t="s">
        <v>5056</v>
      </c>
      <c r="D2159" s="64">
        <f>IFERROR(VLOOKUP(C2159,測定点マスタ!$E$2:$F$28,2,FALSE)/VLOOKUP(A2159,'焼鈍条件-3CGL'!$A$2:$B$197,2,FALSE)*60,"")</f>
        <v>68.314314331452834</v>
      </c>
      <c r="E2159" s="66">
        <v>274.39999999999998</v>
      </c>
      <c r="F2159" s="64">
        <f t="shared" si="33"/>
        <v>-34.53063075757575</v>
      </c>
      <c r="G2159" s="60" t="s">
        <v>9</v>
      </c>
      <c r="H2159" s="60" t="s">
        <v>5061</v>
      </c>
    </row>
    <row r="2160" spans="1:8">
      <c r="A2160" s="59" t="s">
        <v>3416</v>
      </c>
      <c r="B2160" s="62">
        <v>16</v>
      </c>
      <c r="C2160" s="60" t="s">
        <v>5062</v>
      </c>
      <c r="D2160" s="64">
        <f>IFERROR(VLOOKUP(C2160,測定点マスタ!$E$2:$F$28,2,FALSE)/VLOOKUP(A2160,'焼鈍条件-3CGL'!$A$2:$B$197,2,FALSE)*60,"")</f>
        <v>74.47801186511775</v>
      </c>
      <c r="E2160" s="66">
        <v>464.2</v>
      </c>
      <c r="F2160" s="64">
        <f t="shared" si="33"/>
        <v>30.793204722222232</v>
      </c>
      <c r="G2160" s="60" t="s">
        <v>9</v>
      </c>
      <c r="H2160" s="60" t="s">
        <v>5061</v>
      </c>
    </row>
    <row r="2161" spans="1:8">
      <c r="A2161" s="59" t="s">
        <v>3416</v>
      </c>
      <c r="B2161" s="62">
        <v>17</v>
      </c>
      <c r="C2161" s="60" t="s">
        <v>5068</v>
      </c>
      <c r="D2161" s="64">
        <f>IFERROR(VLOOKUP(C2161,測定点マスタ!$E$2:$F$28,2,FALSE)/VLOOKUP(A2161,'焼鈍条件-3CGL'!$A$2:$B$197,2,FALSE)*60,"")</f>
        <v>81.595614969468969</v>
      </c>
      <c r="E2161" s="66">
        <v>347</v>
      </c>
      <c r="F2161" s="64">
        <f t="shared" si="33"/>
        <v>-16.466217388316004</v>
      </c>
      <c r="G2161" s="60" t="s">
        <v>9</v>
      </c>
      <c r="H2161" s="60" t="s">
        <v>5061</v>
      </c>
    </row>
    <row r="2162" spans="1:8">
      <c r="A2162" s="59" t="s">
        <v>3416</v>
      </c>
      <c r="B2162" s="62">
        <v>18</v>
      </c>
      <c r="C2162" s="60" t="s">
        <v>5057</v>
      </c>
      <c r="D2162" s="64">
        <f>IFERROR(VLOOKUP(C2162,測定点マスタ!$E$2:$F$28,2,FALSE)/VLOOKUP(A2162,'焼鈍条件-3CGL'!$A$2:$B$197,2,FALSE)*60,"")</f>
        <v>84.695808074199107</v>
      </c>
      <c r="E2162" s="66">
        <v>192.8</v>
      </c>
      <c r="F2162" s="64">
        <f t="shared" si="33"/>
        <v>-49.738837159765438</v>
      </c>
      <c r="G2162" s="60" t="s">
        <v>9</v>
      </c>
      <c r="H2162" s="60" t="s">
        <v>5061</v>
      </c>
    </row>
    <row r="2163" spans="1:8">
      <c r="A2163" s="59" t="s">
        <v>3416</v>
      </c>
      <c r="B2163" s="62">
        <v>19</v>
      </c>
      <c r="C2163" s="60" t="s">
        <v>5058</v>
      </c>
      <c r="D2163" s="64">
        <f>IFERROR(VLOOKUP(C2163,測定点マスタ!$E$2:$F$28,2,FALSE)/VLOOKUP(A2163,'焼鈍条件-3CGL'!$A$2:$B$197,2,FALSE)*60,"")</f>
        <v>87.796001178929231</v>
      </c>
      <c r="E2163" s="66">
        <v>126</v>
      </c>
      <c r="F2163" s="64">
        <f t="shared" si="33"/>
        <v>-21.547044891519761</v>
      </c>
      <c r="G2163" s="60" t="s">
        <v>9</v>
      </c>
      <c r="H2163" s="60" t="s">
        <v>5061</v>
      </c>
    </row>
    <row r="2164" spans="1:8">
      <c r="A2164" s="59" t="s">
        <v>3416</v>
      </c>
      <c r="B2164" s="62">
        <v>20</v>
      </c>
      <c r="C2164" s="60" t="s">
        <v>5059</v>
      </c>
      <c r="D2164" s="64">
        <f>IFERROR(VLOOKUP(C2164,測定点マスタ!$E$2:$F$28,2,FALSE)/VLOOKUP(A2164,'焼鈍条件-3CGL'!$A$2:$B$197,2,FALSE)*60,"")</f>
        <v>90.896194283659881</v>
      </c>
      <c r="E2164" s="66">
        <v>40</v>
      </c>
      <c r="F2164" s="64">
        <f t="shared" si="33"/>
        <v>-27.740207495065643</v>
      </c>
      <c r="G2164" s="60" t="s">
        <v>9</v>
      </c>
      <c r="H2164" s="60" t="s">
        <v>5061</v>
      </c>
    </row>
    <row r="2165" spans="1:8">
      <c r="A2165" s="59" t="s">
        <v>3442</v>
      </c>
      <c r="B2165" s="62">
        <v>1</v>
      </c>
      <c r="C2165" s="60" t="s">
        <v>5041</v>
      </c>
      <c r="D2165" s="64">
        <f>IFERROR(VLOOKUP(C2165,測定点マスタ!$E$2:$F$28,2,FALSE)/VLOOKUP(A2165,'焼鈍条件-3CGL'!$A$2:$B$197,2,FALSE)*60,"")</f>
        <v>0</v>
      </c>
      <c r="E2165" s="66">
        <v>36.6</v>
      </c>
      <c r="F2165" s="64" t="str">
        <f t="shared" si="33"/>
        <v/>
      </c>
      <c r="G2165" s="60" t="s">
        <v>12</v>
      </c>
      <c r="H2165" s="60" t="s">
        <v>5042</v>
      </c>
    </row>
    <row r="2166" spans="1:8">
      <c r="A2166" s="59" t="s">
        <v>3442</v>
      </c>
      <c r="B2166" s="62">
        <v>2</v>
      </c>
      <c r="C2166" s="60" t="s">
        <v>5043</v>
      </c>
      <c r="D2166" s="64">
        <f>IFERROR(VLOOKUP(C2166,測定点マスタ!$E$2:$F$28,2,FALSE)/VLOOKUP(A2166,'焼鈍条件-3CGL'!$A$2:$B$197,2,FALSE)*60,"")</f>
        <v>6.4250835260858397</v>
      </c>
      <c r="E2166" s="66">
        <v>159.30000000000001</v>
      </c>
      <c r="F2166" s="64">
        <f t="shared" si="33"/>
        <v>19.097028000000002</v>
      </c>
      <c r="G2166" s="60" t="s">
        <v>12</v>
      </c>
      <c r="H2166" s="60" t="s">
        <v>5042</v>
      </c>
    </row>
    <row r="2167" spans="1:8">
      <c r="A2167" s="59" t="s">
        <v>3442</v>
      </c>
      <c r="B2167" s="62">
        <v>3</v>
      </c>
      <c r="C2167" s="60" t="s">
        <v>5044</v>
      </c>
      <c r="D2167" s="64">
        <f>IFERROR(VLOOKUP(C2167,測定点マスタ!$E$2:$F$28,2,FALSE)/VLOOKUP(A2167,'焼鈍条件-3CGL'!$A$2:$B$197,2,FALSE)*60,"")</f>
        <v>14.563522659127901</v>
      </c>
      <c r="E2167" s="66">
        <v>623.4</v>
      </c>
      <c r="F2167" s="64">
        <f t="shared" si="33"/>
        <v>57.025676842105263</v>
      </c>
      <c r="G2167" s="60" t="s">
        <v>12</v>
      </c>
      <c r="H2167" s="60" t="s">
        <v>5042</v>
      </c>
    </row>
    <row r="2168" spans="1:8">
      <c r="A2168" s="59" t="s">
        <v>3442</v>
      </c>
      <c r="B2168" s="62">
        <v>4</v>
      </c>
      <c r="C2168" s="60" t="s">
        <v>5045</v>
      </c>
      <c r="D2168" s="64">
        <f>IFERROR(VLOOKUP(C2168,測定点マスタ!$E$2:$F$28,2,FALSE)/VLOOKUP(A2168,'焼鈍条件-3CGL'!$A$2:$B$197,2,FALSE)*60,"")</f>
        <v>18.846911676518459</v>
      </c>
      <c r="E2168" s="66">
        <v>754.7</v>
      </c>
      <c r="F2168" s="64">
        <f t="shared" si="33"/>
        <v>30.653298000000024</v>
      </c>
      <c r="G2168" s="60" t="s">
        <v>12</v>
      </c>
      <c r="H2168" s="60" t="s">
        <v>5042</v>
      </c>
    </row>
    <row r="2169" spans="1:8">
      <c r="A2169" s="59" t="s">
        <v>3442</v>
      </c>
      <c r="B2169" s="62">
        <v>5</v>
      </c>
      <c r="C2169" s="60" t="s">
        <v>5046</v>
      </c>
      <c r="D2169" s="64">
        <f>IFERROR(VLOOKUP(C2169,測定点マスタ!$E$2:$F$28,2,FALSE)/VLOOKUP(A2169,'焼鈍条件-3CGL'!$A$2:$B$197,2,FALSE)*60,"")</f>
        <v>23.130300693909021</v>
      </c>
      <c r="E2169" s="66">
        <v>700.7</v>
      </c>
      <c r="F2169" s="64">
        <f t="shared" si="33"/>
        <v>-12.606839999999993</v>
      </c>
      <c r="G2169" s="60" t="s">
        <v>12</v>
      </c>
      <c r="H2169" s="60" t="s">
        <v>5042</v>
      </c>
    </row>
    <row r="2170" spans="1:8">
      <c r="A2170" s="59" t="s">
        <v>3442</v>
      </c>
      <c r="B2170" s="62">
        <v>6</v>
      </c>
      <c r="C2170" s="60" t="s">
        <v>5047</v>
      </c>
      <c r="D2170" s="64">
        <f>IFERROR(VLOOKUP(C2170,測定点マスタ!$E$2:$F$28,2,FALSE)/VLOOKUP(A2170,'焼鈍条件-3CGL'!$A$2:$B$197,2,FALSE)*60,"")</f>
        <v>25.700334104343359</v>
      </c>
      <c r="E2170" s="66">
        <v>690</v>
      </c>
      <c r="F2170" s="64">
        <f t="shared" si="33"/>
        <v>-4.1633700000000147</v>
      </c>
      <c r="G2170" s="60" t="s">
        <v>12</v>
      </c>
      <c r="H2170" s="60" t="s">
        <v>5042</v>
      </c>
    </row>
    <row r="2171" spans="1:8">
      <c r="A2171" s="59" t="s">
        <v>3442</v>
      </c>
      <c r="B2171" s="62">
        <v>7</v>
      </c>
      <c r="C2171" s="60" t="s">
        <v>5049</v>
      </c>
      <c r="D2171" s="64">
        <f>IFERROR(VLOOKUP(C2171,測定点マスタ!$E$2:$F$28,2,FALSE)/VLOOKUP(A2171,'焼鈍条件-3CGL'!$A$2:$B$197,2,FALSE)*60,"")</f>
        <v>31.268739826951084</v>
      </c>
      <c r="E2171" s="66">
        <v>577.6</v>
      </c>
      <c r="F2171" s="64">
        <f t="shared" si="33"/>
        <v>-20.185310769230774</v>
      </c>
      <c r="G2171" s="60" t="s">
        <v>12</v>
      </c>
      <c r="H2171" s="60" t="s">
        <v>5042</v>
      </c>
    </row>
    <row r="2172" spans="1:8">
      <c r="A2172" s="59" t="s">
        <v>3442</v>
      </c>
      <c r="B2172" s="62">
        <v>8</v>
      </c>
      <c r="C2172" s="60" t="s">
        <v>5050</v>
      </c>
      <c r="D2172" s="64">
        <f>IFERROR(VLOOKUP(C2172,測定点マスタ!$E$2:$F$28,2,FALSE)/VLOOKUP(A2172,'焼鈍条件-3CGL'!$A$2:$B$197,2,FALSE)*60,"")</f>
        <v>34.695451040863531</v>
      </c>
      <c r="E2172" s="66">
        <v>483.8</v>
      </c>
      <c r="F2172" s="64">
        <f t="shared" si="33"/>
        <v>-27.373184999999999</v>
      </c>
      <c r="G2172" s="60" t="s">
        <v>12</v>
      </c>
      <c r="H2172" s="60" t="s">
        <v>5042</v>
      </c>
    </row>
    <row r="2173" spans="1:8">
      <c r="A2173" s="59" t="s">
        <v>3442</v>
      </c>
      <c r="B2173" s="62">
        <v>9</v>
      </c>
      <c r="C2173" s="60" t="s">
        <v>5051</v>
      </c>
      <c r="D2173" s="64">
        <f>IFERROR(VLOOKUP(C2173,測定点マスタ!$E$2:$F$28,2,FALSE)/VLOOKUP(A2173,'焼鈍条件-3CGL'!$A$2:$B$197,2,FALSE)*60,"")</f>
        <v>37.693823353036919</v>
      </c>
      <c r="E2173" s="66">
        <v>404.2</v>
      </c>
      <c r="F2173" s="64">
        <f t="shared" si="33"/>
        <v>-26.547737142857187</v>
      </c>
      <c r="G2173" s="60" t="s">
        <v>12</v>
      </c>
      <c r="H2173" s="60" t="s">
        <v>5042</v>
      </c>
    </row>
    <row r="2174" spans="1:8">
      <c r="A2174" s="59" t="s">
        <v>3442</v>
      </c>
      <c r="B2174" s="62">
        <v>10</v>
      </c>
      <c r="C2174" s="60" t="s">
        <v>5052</v>
      </c>
      <c r="D2174" s="64">
        <f>IFERROR(VLOOKUP(C2174,測定点マスタ!$E$2:$F$28,2,FALSE)/VLOOKUP(A2174,'焼鈍条件-3CGL'!$A$2:$B$197,2,FALSE)*60,"")</f>
        <v>41.548873468688427</v>
      </c>
      <c r="E2174" s="66">
        <v>309.89999999999998</v>
      </c>
      <c r="F2174" s="64">
        <f t="shared" si="33"/>
        <v>-24.461419999999972</v>
      </c>
      <c r="G2174" s="60" t="s">
        <v>12</v>
      </c>
      <c r="H2174" s="60" t="s">
        <v>5042</v>
      </c>
    </row>
    <row r="2175" spans="1:8">
      <c r="A2175" s="59" t="s">
        <v>3442</v>
      </c>
      <c r="B2175" s="62">
        <v>11</v>
      </c>
      <c r="C2175" s="60" t="s">
        <v>5069</v>
      </c>
      <c r="D2175" s="64">
        <f>IFERROR(VLOOKUP(C2175,測定点マスタ!$E$2:$F$28,2,FALSE)/VLOOKUP(A2175,'焼鈍条件-3CGL'!$A$2:$B$197,2,FALSE)*60,"")</f>
        <v>44.547245780861822</v>
      </c>
      <c r="E2175" s="66">
        <v>470.4</v>
      </c>
      <c r="F2175" s="64">
        <f t="shared" si="33"/>
        <v>53.529042857142805</v>
      </c>
      <c r="G2175" s="60" t="s">
        <v>12</v>
      </c>
      <c r="H2175" s="60" t="s">
        <v>5042</v>
      </c>
    </row>
    <row r="2176" spans="1:8">
      <c r="A2176" s="59" t="s">
        <v>3442</v>
      </c>
      <c r="B2176" s="62">
        <v>12</v>
      </c>
      <c r="C2176" s="60" t="s">
        <v>5053</v>
      </c>
      <c r="D2176" s="64">
        <f>IFERROR(VLOOKUP(C2176,測定点マスタ!$E$2:$F$28,2,FALSE)/VLOOKUP(A2176,'焼鈍条件-3CGL'!$A$2:$B$197,2,FALSE)*60,"")</f>
        <v>46.688940289557095</v>
      </c>
      <c r="E2176" s="66">
        <v>481.1</v>
      </c>
      <c r="F2176" s="64">
        <f t="shared" si="33"/>
        <v>4.996044000000035</v>
      </c>
      <c r="G2176" s="60" t="s">
        <v>12</v>
      </c>
      <c r="H2176" s="60" t="s">
        <v>5042</v>
      </c>
    </row>
    <row r="2177" spans="1:8">
      <c r="A2177" s="59" t="s">
        <v>3442</v>
      </c>
      <c r="B2177" s="62">
        <v>13</v>
      </c>
      <c r="C2177" s="60" t="s">
        <v>5054</v>
      </c>
      <c r="D2177" s="64">
        <f>IFERROR(VLOOKUP(C2177,測定点マスタ!$E$2:$F$28,2,FALSE)/VLOOKUP(A2177,'焼鈍条件-3CGL'!$A$2:$B$197,2,FALSE)*60,"")</f>
        <v>52.257346012164824</v>
      </c>
      <c r="E2177" s="66">
        <v>452.3</v>
      </c>
      <c r="F2177" s="64">
        <f t="shared" si="33"/>
        <v>-5.1720369230769236</v>
      </c>
      <c r="G2177" s="60" t="s">
        <v>12</v>
      </c>
      <c r="H2177" s="60" t="s">
        <v>5042</v>
      </c>
    </row>
    <row r="2178" spans="1:8">
      <c r="A2178" s="59" t="s">
        <v>3442</v>
      </c>
      <c r="B2178" s="62">
        <v>14</v>
      </c>
      <c r="C2178" s="60" t="s">
        <v>5056</v>
      </c>
      <c r="D2178" s="64">
        <f>IFERROR(VLOOKUP(C2178,測定点マスタ!$E$2:$F$28,2,FALSE)/VLOOKUP(A2178,'焼鈍条件-3CGL'!$A$2:$B$197,2,FALSE)*60,"")</f>
        <v>56.969073931294439</v>
      </c>
      <c r="E2178" s="66">
        <v>262.3</v>
      </c>
      <c r="F2178" s="64">
        <f t="shared" ref="F2178:F2241" si="34">IF(A2178=A2177,IFERROR((E2178-E2177)/(D2178-D2177),""),"")</f>
        <v>-40.324909090909095</v>
      </c>
      <c r="G2178" s="60" t="s">
        <v>12</v>
      </c>
      <c r="H2178" s="60" t="s">
        <v>5042</v>
      </c>
    </row>
    <row r="2179" spans="1:8">
      <c r="A2179" s="59" t="s">
        <v>3442</v>
      </c>
      <c r="B2179" s="62">
        <v>15</v>
      </c>
      <c r="C2179" s="60" t="s">
        <v>5057</v>
      </c>
      <c r="D2179" s="64">
        <f>IFERROR(VLOOKUP(C2179,測定点マスタ!$E$2:$F$28,2,FALSE)/VLOOKUP(A2179,'焼鈍条件-3CGL'!$A$2:$B$197,2,FALSE)*60,"")</f>
        <v>70.63002533318641</v>
      </c>
      <c r="E2179" s="66">
        <v>268.5</v>
      </c>
      <c r="F2179" s="64">
        <f t="shared" si="34"/>
        <v>0.45384833146696657</v>
      </c>
      <c r="G2179" s="60" t="s">
        <v>12</v>
      </c>
      <c r="H2179" s="60" t="s">
        <v>5042</v>
      </c>
    </row>
    <row r="2180" spans="1:8">
      <c r="A2180" s="59" t="s">
        <v>3442</v>
      </c>
      <c r="B2180" s="62">
        <v>16</v>
      </c>
      <c r="C2180" s="60" t="s">
        <v>5058</v>
      </c>
      <c r="D2180" s="64">
        <f>IFERROR(VLOOKUP(C2180,測定点マスタ!$E$2:$F$28,2,FALSE)/VLOOKUP(A2180,'焼鈍条件-3CGL'!$A$2:$B$197,2,FALSE)*60,"")</f>
        <v>73.215356561539878</v>
      </c>
      <c r="E2180" s="66">
        <v>114.2</v>
      </c>
      <c r="F2180" s="64">
        <f t="shared" si="34"/>
        <v>-59.682874792902183</v>
      </c>
      <c r="G2180" s="60" t="s">
        <v>12</v>
      </c>
      <c r="H2180" s="60" t="s">
        <v>5042</v>
      </c>
    </row>
    <row r="2181" spans="1:8">
      <c r="A2181" s="59" t="s">
        <v>3442</v>
      </c>
      <c r="B2181" s="62">
        <v>17</v>
      </c>
      <c r="C2181" s="60" t="s">
        <v>5059</v>
      </c>
      <c r="D2181" s="64">
        <f>IFERROR(VLOOKUP(C2181,測定点マスタ!$E$2:$F$28,2,FALSE)/VLOOKUP(A2181,'焼鈍条件-3CGL'!$A$2:$B$197,2,FALSE)*60,"")</f>
        <v>75.800687789893772</v>
      </c>
      <c r="E2181" s="66">
        <v>39</v>
      </c>
      <c r="F2181" s="64">
        <f t="shared" si="34"/>
        <v>-29.087182011830873</v>
      </c>
      <c r="G2181" s="60" t="s">
        <v>12</v>
      </c>
      <c r="H2181" s="60" t="s">
        <v>5042</v>
      </c>
    </row>
    <row r="2182" spans="1:8">
      <c r="A2182" s="59" t="s">
        <v>3449</v>
      </c>
      <c r="B2182" s="62">
        <v>1</v>
      </c>
      <c r="C2182" s="60" t="s">
        <v>5041</v>
      </c>
      <c r="D2182" s="64">
        <f>IFERROR(VLOOKUP(C2182,測定点マスタ!$E$2:$F$28,2,FALSE)/VLOOKUP(A2182,'焼鈍条件-3CGL'!$A$2:$B$197,2,FALSE)*60,"")</f>
        <v>0</v>
      </c>
      <c r="E2182" s="66">
        <v>35.9</v>
      </c>
      <c r="F2182" s="64" t="str">
        <f t="shared" si="34"/>
        <v/>
      </c>
      <c r="G2182" s="60" t="s">
        <v>9</v>
      </c>
      <c r="H2182" s="60" t="s">
        <v>5061</v>
      </c>
    </row>
    <row r="2183" spans="1:8">
      <c r="A2183" s="59" t="s">
        <v>3449</v>
      </c>
      <c r="B2183" s="62">
        <v>2</v>
      </c>
      <c r="C2183" s="60" t="s">
        <v>5043</v>
      </c>
      <c r="D2183" s="64">
        <f>IFERROR(VLOOKUP(C2183,測定点マスタ!$E$2:$F$28,2,FALSE)/VLOOKUP(A2183,'焼鈍条件-3CGL'!$A$2:$B$197,2,FALSE)*60,"")</f>
        <v>5.9664288934263219</v>
      </c>
      <c r="E2183" s="66">
        <v>154.5</v>
      </c>
      <c r="F2183" s="64">
        <f t="shared" si="34"/>
        <v>19.877887111111107</v>
      </c>
      <c r="G2183" s="60" t="s">
        <v>9</v>
      </c>
      <c r="H2183" s="60" t="s">
        <v>5061</v>
      </c>
    </row>
    <row r="2184" spans="1:8">
      <c r="A2184" s="59" t="s">
        <v>3449</v>
      </c>
      <c r="B2184" s="62">
        <v>3</v>
      </c>
      <c r="C2184" s="60" t="s">
        <v>5044</v>
      </c>
      <c r="D2184" s="64">
        <f>IFERROR(VLOOKUP(C2184,測定点マスタ!$E$2:$F$28,2,FALSE)/VLOOKUP(A2184,'焼鈍条件-3CGL'!$A$2:$B$197,2,FALSE)*60,"")</f>
        <v>13.523905491766328</v>
      </c>
      <c r="E2184" s="66">
        <v>615.29999999999995</v>
      </c>
      <c r="F2184" s="64">
        <f t="shared" si="34"/>
        <v>60.97273263157895</v>
      </c>
      <c r="G2184" s="60" t="s">
        <v>9</v>
      </c>
      <c r="H2184" s="60" t="s">
        <v>5061</v>
      </c>
    </row>
    <row r="2185" spans="1:8">
      <c r="A2185" s="59" t="s">
        <v>3449</v>
      </c>
      <c r="B2185" s="62">
        <v>4</v>
      </c>
      <c r="C2185" s="60" t="s">
        <v>5045</v>
      </c>
      <c r="D2185" s="64">
        <f>IFERROR(VLOOKUP(C2185,測定点マスタ!$E$2:$F$28,2,FALSE)/VLOOKUP(A2185,'焼鈍条件-3CGL'!$A$2:$B$197,2,FALSE)*60,"")</f>
        <v>17.501524754050543</v>
      </c>
      <c r="E2185" s="66">
        <v>768.3</v>
      </c>
      <c r="F2185" s="64">
        <f t="shared" si="34"/>
        <v>38.465219999999995</v>
      </c>
      <c r="G2185" s="60" t="s">
        <v>9</v>
      </c>
      <c r="H2185" s="60" t="s">
        <v>5061</v>
      </c>
    </row>
    <row r="2186" spans="1:8">
      <c r="A2186" s="59" t="s">
        <v>3449</v>
      </c>
      <c r="B2186" s="62">
        <v>5</v>
      </c>
      <c r="C2186" s="60" t="s">
        <v>5047</v>
      </c>
      <c r="D2186" s="64">
        <f>IFERROR(VLOOKUP(C2186,測定点マスタ!$E$2:$F$28,2,FALSE)/VLOOKUP(A2186,'焼鈍条件-3CGL'!$A$2:$B$197,2,FALSE)*60,"")</f>
        <v>23.865715573705288</v>
      </c>
      <c r="E2186" s="66">
        <v>709.9</v>
      </c>
      <c r="F2186" s="64">
        <f t="shared" si="34"/>
        <v>-9.1763433333333264</v>
      </c>
      <c r="G2186" s="60" t="s">
        <v>9</v>
      </c>
      <c r="H2186" s="60" t="s">
        <v>5061</v>
      </c>
    </row>
    <row r="2187" spans="1:8">
      <c r="A2187" s="59" t="s">
        <v>3449</v>
      </c>
      <c r="B2187" s="62">
        <v>6</v>
      </c>
      <c r="C2187" s="60" t="s">
        <v>5049</v>
      </c>
      <c r="D2187" s="64">
        <f>IFERROR(VLOOKUP(C2187,測定点マスタ!$E$2:$F$28,2,FALSE)/VLOOKUP(A2187,'焼鈍条件-3CGL'!$A$2:$B$197,2,FALSE)*60,"")</f>
        <v>29.036620614674764</v>
      </c>
      <c r="E2187" s="66">
        <v>566.79999999999995</v>
      </c>
      <c r="F2187" s="64">
        <f t="shared" si="34"/>
        <v>-27.674072307692324</v>
      </c>
      <c r="G2187" s="60" t="s">
        <v>9</v>
      </c>
      <c r="H2187" s="60" t="s">
        <v>5061</v>
      </c>
    </row>
    <row r="2188" spans="1:8">
      <c r="A2188" s="59" t="s">
        <v>3449</v>
      </c>
      <c r="B2188" s="62">
        <v>7</v>
      </c>
      <c r="C2188" s="60" t="s">
        <v>5050</v>
      </c>
      <c r="D2188" s="64">
        <f>IFERROR(VLOOKUP(C2188,測定点マスタ!$E$2:$F$28,2,FALSE)/VLOOKUP(A2188,'焼鈍条件-3CGL'!$A$2:$B$197,2,FALSE)*60,"")</f>
        <v>32.218716024502136</v>
      </c>
      <c r="E2188" s="66">
        <v>470.4</v>
      </c>
      <c r="F2188" s="64">
        <f t="shared" si="34"/>
        <v>-30.294503333333317</v>
      </c>
      <c r="G2188" s="60" t="s">
        <v>9</v>
      </c>
      <c r="H2188" s="60" t="s">
        <v>5061</v>
      </c>
    </row>
    <row r="2189" spans="1:8">
      <c r="A2189" s="59" t="s">
        <v>3449</v>
      </c>
      <c r="B2189" s="62">
        <v>8</v>
      </c>
      <c r="C2189" s="60" t="s">
        <v>5051</v>
      </c>
      <c r="D2189" s="64">
        <f>IFERROR(VLOOKUP(C2189,測定点マスタ!$E$2:$F$28,2,FALSE)/VLOOKUP(A2189,'焼鈍条件-3CGL'!$A$2:$B$197,2,FALSE)*60,"")</f>
        <v>35.003049508101086</v>
      </c>
      <c r="E2189" s="66">
        <v>413.3</v>
      </c>
      <c r="F2189" s="64">
        <f t="shared" si="34"/>
        <v>-20.507600952380944</v>
      </c>
      <c r="G2189" s="60" t="s">
        <v>9</v>
      </c>
      <c r="H2189" s="60" t="s">
        <v>5061</v>
      </c>
    </row>
    <row r="2190" spans="1:8">
      <c r="A2190" s="59" t="s">
        <v>3449</v>
      </c>
      <c r="B2190" s="62">
        <v>9</v>
      </c>
      <c r="C2190" s="60" t="s">
        <v>5060</v>
      </c>
      <c r="D2190" s="64">
        <f>IFERROR(VLOOKUP(C2190,測定点マスタ!$E$2:$F$28,2,FALSE)/VLOOKUP(A2190,'焼鈍条件-3CGL'!$A$2:$B$197,2,FALSE)*60,"")</f>
        <v>36.59409721301477</v>
      </c>
      <c r="E2190" s="66">
        <v>389.7</v>
      </c>
      <c r="F2190" s="64">
        <f t="shared" si="34"/>
        <v>-14.832993333333359</v>
      </c>
      <c r="G2190" s="60" t="s">
        <v>9</v>
      </c>
      <c r="H2190" s="60" t="s">
        <v>5061</v>
      </c>
    </row>
    <row r="2191" spans="1:8">
      <c r="A2191" s="59" t="s">
        <v>3449</v>
      </c>
      <c r="B2191" s="62">
        <v>10</v>
      </c>
      <c r="C2191" s="60" t="s">
        <v>5052</v>
      </c>
      <c r="D2191" s="64">
        <f>IFERROR(VLOOKUP(C2191,測定点マスタ!$E$2:$F$28,2,FALSE)/VLOOKUP(A2191,'焼鈍条件-3CGL'!$A$2:$B$197,2,FALSE)*60,"")</f>
        <v>38.582906844156881</v>
      </c>
      <c r="E2191" s="66">
        <v>340.1</v>
      </c>
      <c r="F2191" s="64">
        <f t="shared" si="34"/>
        <v>-24.939541333333271</v>
      </c>
      <c r="G2191" s="60" t="s">
        <v>9</v>
      </c>
      <c r="H2191" s="60" t="s">
        <v>5061</v>
      </c>
    </row>
    <row r="2192" spans="1:8">
      <c r="A2192" s="59" t="s">
        <v>3449</v>
      </c>
      <c r="B2192" s="62">
        <v>11</v>
      </c>
      <c r="C2192" s="60" t="s">
        <v>5053</v>
      </c>
      <c r="D2192" s="64">
        <f>IFERROR(VLOOKUP(C2192,測定点マスタ!$E$2:$F$28,2,FALSE)/VLOOKUP(A2192,'焼鈍条件-3CGL'!$A$2:$B$197,2,FALSE)*60,"")</f>
        <v>43.356049958897934</v>
      </c>
      <c r="E2192" s="66">
        <v>502.8</v>
      </c>
      <c r="F2192" s="64">
        <f t="shared" si="34"/>
        <v>34.086553888888915</v>
      </c>
      <c r="G2192" s="60" t="s">
        <v>9</v>
      </c>
      <c r="H2192" s="60" t="s">
        <v>5061</v>
      </c>
    </row>
    <row r="2193" spans="1:8">
      <c r="A2193" s="59" t="s">
        <v>3449</v>
      </c>
      <c r="B2193" s="62">
        <v>12</v>
      </c>
      <c r="C2193" s="60" t="s">
        <v>5054</v>
      </c>
      <c r="D2193" s="64">
        <f>IFERROR(VLOOKUP(C2193,測定点マスタ!$E$2:$F$28,2,FALSE)/VLOOKUP(A2193,'焼鈍条件-3CGL'!$A$2:$B$197,2,FALSE)*60,"")</f>
        <v>48.526954999867421</v>
      </c>
      <c r="E2193" s="66">
        <v>491</v>
      </c>
      <c r="F2193" s="64">
        <f t="shared" si="34"/>
        <v>-2.2819989743589728</v>
      </c>
      <c r="G2193" s="60" t="s">
        <v>9</v>
      </c>
      <c r="H2193" s="60" t="s">
        <v>5061</v>
      </c>
    </row>
    <row r="2194" spans="1:8">
      <c r="A2194" s="59" t="s">
        <v>3449</v>
      </c>
      <c r="B2194" s="62">
        <v>13</v>
      </c>
      <c r="C2194" s="60" t="s">
        <v>5056</v>
      </c>
      <c r="D2194" s="64">
        <f>IFERROR(VLOOKUP(C2194,測定点マスタ!$E$2:$F$28,2,FALSE)/VLOOKUP(A2194,'焼鈍条件-3CGL'!$A$2:$B$197,2,FALSE)*60,"")</f>
        <v>52.902336188380048</v>
      </c>
      <c r="E2194" s="66">
        <v>250.8</v>
      </c>
      <c r="F2194" s="64">
        <f t="shared" si="34"/>
        <v>-54.898073939394045</v>
      </c>
      <c r="G2194" s="60" t="s">
        <v>9</v>
      </c>
      <c r="H2194" s="60" t="s">
        <v>5061</v>
      </c>
    </row>
    <row r="2195" spans="1:8">
      <c r="A2195" s="59" t="s">
        <v>3449</v>
      </c>
      <c r="B2195" s="62">
        <v>14</v>
      </c>
      <c r="C2195" s="60" t="s">
        <v>5062</v>
      </c>
      <c r="D2195" s="64">
        <f>IFERROR(VLOOKUP(C2195,測定点マスタ!$E$2:$F$28,2,FALSE)/VLOOKUP(A2195,'焼鈍条件-3CGL'!$A$2:$B$197,2,FALSE)*60,"")</f>
        <v>57.675479303121108</v>
      </c>
      <c r="E2195" s="66">
        <v>463.4</v>
      </c>
      <c r="F2195" s="64">
        <f t="shared" si="34"/>
        <v>44.540881111111069</v>
      </c>
      <c r="G2195" s="60" t="s">
        <v>9</v>
      </c>
      <c r="H2195" s="60" t="s">
        <v>5061</v>
      </c>
    </row>
    <row r="2196" spans="1:8">
      <c r="A2196" s="59" t="s">
        <v>3449</v>
      </c>
      <c r="B2196" s="62">
        <v>15</v>
      </c>
      <c r="C2196" s="60" t="s">
        <v>5057</v>
      </c>
      <c r="D2196" s="64">
        <f>IFERROR(VLOOKUP(C2196,測定点マスタ!$E$2:$F$28,2,FALSE)/VLOOKUP(A2196,'焼鈍条件-3CGL'!$A$2:$B$197,2,FALSE)*60,"")</f>
        <v>65.588100478450713</v>
      </c>
      <c r="E2196" s="66">
        <v>257.2</v>
      </c>
      <c r="F2196" s="64">
        <f t="shared" si="34"/>
        <v>-26.05963250748076</v>
      </c>
      <c r="G2196" s="60" t="s">
        <v>9</v>
      </c>
      <c r="H2196" s="60" t="s">
        <v>5061</v>
      </c>
    </row>
    <row r="2197" spans="1:8">
      <c r="A2197" s="59" t="s">
        <v>3449</v>
      </c>
      <c r="B2197" s="62">
        <v>16</v>
      </c>
      <c r="C2197" s="60" t="s">
        <v>5059</v>
      </c>
      <c r="D2197" s="64">
        <f>IFERROR(VLOOKUP(C2197,測定点マスタ!$E$2:$F$28,2,FALSE)/VLOOKUP(A2197,'焼鈍条件-3CGL'!$A$2:$B$197,2,FALSE)*60,"")</f>
        <v>70.389655159351122</v>
      </c>
      <c r="E2197" s="66">
        <v>39</v>
      </c>
      <c r="F2197" s="64">
        <f t="shared" si="34"/>
        <v>-45.443614516763589</v>
      </c>
      <c r="G2197" s="60" t="s">
        <v>9</v>
      </c>
      <c r="H2197" s="60" t="s">
        <v>5061</v>
      </c>
    </row>
    <row r="2198" spans="1:8">
      <c r="A2198" s="59" t="s">
        <v>3468</v>
      </c>
      <c r="B2198" s="62">
        <v>1</v>
      </c>
      <c r="C2198" s="60" t="s">
        <v>5041</v>
      </c>
      <c r="D2198" s="64">
        <f>IFERROR(VLOOKUP(C2198,測定点マスタ!$E$2:$F$28,2,FALSE)/VLOOKUP(A2198,'焼鈍条件-3CGL'!$A$2:$B$197,2,FALSE)*60,"")</f>
        <v>0</v>
      </c>
      <c r="E2198" s="66">
        <v>38.299999999999997</v>
      </c>
      <c r="F2198" s="64" t="str">
        <f t="shared" si="34"/>
        <v/>
      </c>
      <c r="G2198" s="60" t="s">
        <v>12</v>
      </c>
      <c r="H2198" s="60" t="s">
        <v>5061</v>
      </c>
    </row>
    <row r="2199" spans="1:8">
      <c r="A2199" s="59" t="s">
        <v>3468</v>
      </c>
      <c r="B2199" s="62">
        <v>2</v>
      </c>
      <c r="C2199" s="60" t="s">
        <v>5043</v>
      </c>
      <c r="D2199" s="64">
        <f>IFERROR(VLOOKUP(C2199,測定点マスタ!$E$2:$F$28,2,FALSE)/VLOOKUP(A2199,'焼鈍条件-3CGL'!$A$2:$B$197,2,FALSE)*60,"")</f>
        <v>10.385653950010385</v>
      </c>
      <c r="E2199" s="66">
        <v>168.4</v>
      </c>
      <c r="F2199" s="64">
        <f t="shared" si="34"/>
        <v>12.526895333333337</v>
      </c>
      <c r="G2199" s="60" t="s">
        <v>12</v>
      </c>
      <c r="H2199" s="60" t="s">
        <v>5061</v>
      </c>
    </row>
    <row r="2200" spans="1:8">
      <c r="A2200" s="59" t="s">
        <v>3468</v>
      </c>
      <c r="B2200" s="62">
        <v>3</v>
      </c>
      <c r="C2200" s="60" t="s">
        <v>5044</v>
      </c>
      <c r="D2200" s="64">
        <f>IFERROR(VLOOKUP(C2200,測定点マスタ!$E$2:$F$28,2,FALSE)/VLOOKUP(A2200,'焼鈍条件-3CGL'!$A$2:$B$197,2,FALSE)*60,"")</f>
        <v>23.54081562002354</v>
      </c>
      <c r="E2200" s="66">
        <v>669.8</v>
      </c>
      <c r="F2200" s="64">
        <f t="shared" si="34"/>
        <v>38.114316842105261</v>
      </c>
      <c r="G2200" s="60" t="s">
        <v>12</v>
      </c>
      <c r="H2200" s="60" t="s">
        <v>5061</v>
      </c>
    </row>
    <row r="2201" spans="1:8">
      <c r="A2201" s="59" t="s">
        <v>3468</v>
      </c>
      <c r="B2201" s="62">
        <v>4</v>
      </c>
      <c r="C2201" s="60" t="s">
        <v>5045</v>
      </c>
      <c r="D2201" s="64">
        <f>IFERROR(VLOOKUP(C2201,測定点マスタ!$E$2:$F$28,2,FALSE)/VLOOKUP(A2201,'焼鈍条件-3CGL'!$A$2:$B$197,2,FALSE)*60,"")</f>
        <v>30.464584920030468</v>
      </c>
      <c r="E2201" s="66">
        <v>838.3</v>
      </c>
      <c r="F2201" s="64">
        <f t="shared" si="34"/>
        <v>24.336454999999987</v>
      </c>
      <c r="G2201" s="60" t="s">
        <v>12</v>
      </c>
      <c r="H2201" s="60" t="s">
        <v>5061</v>
      </c>
    </row>
    <row r="2202" spans="1:8">
      <c r="A2202" s="59" t="s">
        <v>3468</v>
      </c>
      <c r="B2202" s="62">
        <v>5</v>
      </c>
      <c r="C2202" s="60" t="s">
        <v>5047</v>
      </c>
      <c r="D2202" s="64">
        <f>IFERROR(VLOOKUP(C2202,測定点マスタ!$E$2:$F$28,2,FALSE)/VLOOKUP(A2202,'焼鈍条件-3CGL'!$A$2:$B$197,2,FALSE)*60,"")</f>
        <v>41.542615800041538</v>
      </c>
      <c r="E2202" s="66">
        <v>774.6</v>
      </c>
      <c r="F2202" s="64">
        <f t="shared" si="34"/>
        <v>-5.7501193749999979</v>
      </c>
      <c r="G2202" s="60" t="s">
        <v>12</v>
      </c>
      <c r="H2202" s="60" t="s">
        <v>5061</v>
      </c>
    </row>
    <row r="2203" spans="1:8">
      <c r="A2203" s="59" t="s">
        <v>3468</v>
      </c>
      <c r="B2203" s="62">
        <v>6</v>
      </c>
      <c r="C2203" s="60" t="s">
        <v>5049</v>
      </c>
      <c r="D2203" s="64">
        <f>IFERROR(VLOOKUP(C2203,測定点マスタ!$E$2:$F$28,2,FALSE)/VLOOKUP(A2203,'焼鈍条件-3CGL'!$A$2:$B$197,2,FALSE)*60,"")</f>
        <v>50.543515890050543</v>
      </c>
      <c r="E2203" s="66">
        <v>639.29999999999995</v>
      </c>
      <c r="F2203" s="64">
        <f t="shared" si="34"/>
        <v>-15.031830000000001</v>
      </c>
      <c r="G2203" s="60" t="s">
        <v>12</v>
      </c>
      <c r="H2203" s="60" t="s">
        <v>5061</v>
      </c>
    </row>
    <row r="2204" spans="1:8">
      <c r="A2204" s="59" t="s">
        <v>3468</v>
      </c>
      <c r="B2204" s="62">
        <v>7</v>
      </c>
      <c r="C2204" s="60" t="s">
        <v>5050</v>
      </c>
      <c r="D2204" s="64">
        <f>IFERROR(VLOOKUP(C2204,測定点マスタ!$E$2:$F$28,2,FALSE)/VLOOKUP(A2204,'焼鈍条件-3CGL'!$A$2:$B$197,2,FALSE)*60,"")</f>
        <v>56.082531330056085</v>
      </c>
      <c r="E2204" s="66">
        <v>520</v>
      </c>
      <c r="F2204" s="64">
        <f t="shared" si="34"/>
        <v>-21.538123749999979</v>
      </c>
      <c r="G2204" s="60" t="s">
        <v>12</v>
      </c>
      <c r="H2204" s="60" t="s">
        <v>5061</v>
      </c>
    </row>
    <row r="2205" spans="1:8">
      <c r="A2205" s="59" t="s">
        <v>3468</v>
      </c>
      <c r="B2205" s="62">
        <v>8</v>
      </c>
      <c r="C2205" s="60" t="s">
        <v>5051</v>
      </c>
      <c r="D2205" s="64">
        <f>IFERROR(VLOOKUP(C2205,測定点マスタ!$E$2:$F$28,2,FALSE)/VLOOKUP(A2205,'焼鈍条件-3CGL'!$A$2:$B$197,2,FALSE)*60,"")</f>
        <v>60.929169840060936</v>
      </c>
      <c r="E2205" s="66">
        <v>486</v>
      </c>
      <c r="F2205" s="64">
        <f t="shared" si="34"/>
        <v>-7.0151714285714215</v>
      </c>
      <c r="G2205" s="60" t="s">
        <v>12</v>
      </c>
      <c r="H2205" s="60" t="s">
        <v>5061</v>
      </c>
    </row>
    <row r="2206" spans="1:8">
      <c r="A2206" s="59" t="s">
        <v>3468</v>
      </c>
      <c r="B2206" s="62">
        <v>9</v>
      </c>
      <c r="C2206" s="60" t="s">
        <v>5060</v>
      </c>
      <c r="D2206" s="64">
        <f>IFERROR(VLOOKUP(C2206,測定点マスタ!$E$2:$F$28,2,FALSE)/VLOOKUP(A2206,'焼鈍条件-3CGL'!$A$2:$B$197,2,FALSE)*60,"")</f>
        <v>63.6986775600637</v>
      </c>
      <c r="E2206" s="66">
        <v>426.7</v>
      </c>
      <c r="F2206" s="64">
        <f t="shared" si="34"/>
        <v>-21.411747500000047</v>
      </c>
      <c r="G2206" s="60" t="s">
        <v>12</v>
      </c>
      <c r="H2206" s="60" t="s">
        <v>5061</v>
      </c>
    </row>
    <row r="2207" spans="1:8">
      <c r="A2207" s="59" t="s">
        <v>3468</v>
      </c>
      <c r="B2207" s="62">
        <v>10</v>
      </c>
      <c r="C2207" s="60" t="s">
        <v>5052</v>
      </c>
      <c r="D2207" s="64">
        <f>IFERROR(VLOOKUP(C2207,測定点マスタ!$E$2:$F$28,2,FALSE)/VLOOKUP(A2207,'焼鈍条件-3CGL'!$A$2:$B$197,2,FALSE)*60,"")</f>
        <v>67.16056221006717</v>
      </c>
      <c r="E2207" s="66">
        <v>368.3</v>
      </c>
      <c r="F2207" s="64">
        <f t="shared" si="34"/>
        <v>-16.869423999999956</v>
      </c>
      <c r="G2207" s="60" t="s">
        <v>12</v>
      </c>
      <c r="H2207" s="60" t="s">
        <v>5061</v>
      </c>
    </row>
    <row r="2208" spans="1:8">
      <c r="A2208" s="59" t="s">
        <v>3468</v>
      </c>
      <c r="B2208" s="62">
        <v>11</v>
      </c>
      <c r="C2208" s="60" t="s">
        <v>5053</v>
      </c>
      <c r="D2208" s="64">
        <f>IFERROR(VLOOKUP(C2208,測定点マスタ!$E$2:$F$28,2,FALSE)/VLOOKUP(A2208,'焼鈍条件-3CGL'!$A$2:$B$197,2,FALSE)*60,"")</f>
        <v>75.469085370075476</v>
      </c>
      <c r="E2208" s="66">
        <v>555.9</v>
      </c>
      <c r="F2208" s="64">
        <f t="shared" si="34"/>
        <v>22.579223333333335</v>
      </c>
      <c r="G2208" s="60" t="s">
        <v>12</v>
      </c>
      <c r="H2208" s="60" t="s">
        <v>5061</v>
      </c>
    </row>
    <row r="2209" spans="1:8">
      <c r="A2209" s="59" t="s">
        <v>3468</v>
      </c>
      <c r="B2209" s="62">
        <v>12</v>
      </c>
      <c r="C2209" s="60" t="s">
        <v>5063</v>
      </c>
      <c r="D2209" s="64">
        <f>IFERROR(VLOOKUP(C2209,測定点マスタ!$E$2:$F$28,2,FALSE)/VLOOKUP(A2209,'焼鈍条件-3CGL'!$A$2:$B$197,2,FALSE)*60,"")</f>
        <v>79.623346950079622</v>
      </c>
      <c r="E2209" s="66">
        <v>562</v>
      </c>
      <c r="F2209" s="64">
        <f t="shared" si="34"/>
        <v>1.4683716666666751</v>
      </c>
      <c r="G2209" s="60" t="s">
        <v>12</v>
      </c>
      <c r="H2209" s="60" t="s">
        <v>5061</v>
      </c>
    </row>
    <row r="2210" spans="1:8">
      <c r="A2210" s="59" t="s">
        <v>3468</v>
      </c>
      <c r="B2210" s="62">
        <v>13</v>
      </c>
      <c r="C2210" s="60" t="s">
        <v>5054</v>
      </c>
      <c r="D2210" s="64">
        <f>IFERROR(VLOOKUP(C2210,測定点マスタ!$E$2:$F$28,2,FALSE)/VLOOKUP(A2210,'焼鈍条件-3CGL'!$A$2:$B$197,2,FALSE)*60,"")</f>
        <v>84.469985460084473</v>
      </c>
      <c r="E2210" s="66">
        <v>545.6</v>
      </c>
      <c r="F2210" s="64">
        <f t="shared" si="34"/>
        <v>-3.3837885714285636</v>
      </c>
      <c r="G2210" s="60" t="s">
        <v>12</v>
      </c>
      <c r="H2210" s="60" t="s">
        <v>5061</v>
      </c>
    </row>
    <row r="2211" spans="1:8">
      <c r="A2211" s="59" t="s">
        <v>3468</v>
      </c>
      <c r="B2211" s="62">
        <v>14</v>
      </c>
      <c r="C2211" s="60" t="s">
        <v>5056</v>
      </c>
      <c r="D2211" s="64">
        <f>IFERROR(VLOOKUP(C2211,測定点マスタ!$E$2:$F$28,2,FALSE)/VLOOKUP(A2211,'焼鈍条件-3CGL'!$A$2:$B$197,2,FALSE)*60,"")</f>
        <v>92.086131690092088</v>
      </c>
      <c r="E2211" s="66">
        <v>259.60000000000002</v>
      </c>
      <c r="F2211" s="64">
        <f t="shared" si="34"/>
        <v>-37.551800000000007</v>
      </c>
      <c r="G2211" s="60" t="s">
        <v>12</v>
      </c>
      <c r="H2211" s="60" t="s">
        <v>5061</v>
      </c>
    </row>
    <row r="2212" spans="1:8">
      <c r="A2212" s="59" t="s">
        <v>3468</v>
      </c>
      <c r="B2212" s="62">
        <v>15</v>
      </c>
      <c r="C2212" s="60" t="s">
        <v>5062</v>
      </c>
      <c r="D2212" s="64">
        <f>IFERROR(VLOOKUP(C2212,測定点マスタ!$E$2:$F$28,2,FALSE)/VLOOKUP(A2212,'焼鈍条件-3CGL'!$A$2:$B$197,2,FALSE)*60,"")</f>
        <v>100.39465485010038</v>
      </c>
      <c r="E2212" s="66">
        <v>454</v>
      </c>
      <c r="F2212" s="64">
        <f t="shared" si="34"/>
        <v>23.397660000000045</v>
      </c>
      <c r="G2212" s="60" t="s">
        <v>12</v>
      </c>
      <c r="H2212" s="60" t="s">
        <v>5061</v>
      </c>
    </row>
    <row r="2213" spans="1:8">
      <c r="A2213" s="59" t="s">
        <v>3468</v>
      </c>
      <c r="B2213" s="62">
        <v>16</v>
      </c>
      <c r="C2213" s="60" t="s">
        <v>5068</v>
      </c>
      <c r="D2213" s="64">
        <f>IFERROR(VLOOKUP(C2213,測定点マスタ!$E$2:$F$28,2,FALSE)/VLOOKUP(A2213,'焼鈍条件-3CGL'!$A$2:$B$197,2,FALSE)*60,"")</f>
        <v>109.98902088011009</v>
      </c>
      <c r="E2213" s="66">
        <v>399.7</v>
      </c>
      <c r="F2213" s="64">
        <f t="shared" si="34"/>
        <v>-5.6595714432989022</v>
      </c>
      <c r="G2213" s="60" t="s">
        <v>12</v>
      </c>
      <c r="H2213" s="60" t="s">
        <v>5061</v>
      </c>
    </row>
    <row r="2214" spans="1:8">
      <c r="A2214" s="59" t="s">
        <v>3468</v>
      </c>
      <c r="B2214" s="62">
        <v>17</v>
      </c>
      <c r="C2214" s="60" t="s">
        <v>5057</v>
      </c>
      <c r="D2214" s="64">
        <f>IFERROR(VLOOKUP(C2214,測定点マスタ!$E$2:$F$28,2,FALSE)/VLOOKUP(A2214,'焼鈍条件-3CGL'!$A$2:$B$197,2,FALSE)*60,"")</f>
        <v>114.16801020761406</v>
      </c>
      <c r="E2214" s="66">
        <v>193.2</v>
      </c>
      <c r="F2214" s="64">
        <f t="shared" si="34"/>
        <v>-49.413861538464005</v>
      </c>
      <c r="G2214" s="60" t="s">
        <v>12</v>
      </c>
      <c r="H2214" s="60" t="s">
        <v>5061</v>
      </c>
    </row>
    <row r="2215" spans="1:8">
      <c r="A2215" s="59" t="s">
        <v>3468</v>
      </c>
      <c r="B2215" s="62">
        <v>18</v>
      </c>
      <c r="C2215" s="60" t="s">
        <v>5059</v>
      </c>
      <c r="D2215" s="64">
        <f>IFERROR(VLOOKUP(C2215,測定点マスタ!$E$2:$F$28,2,FALSE)/VLOOKUP(A2215,'焼鈍条件-3CGL'!$A$2:$B$197,2,FALSE)*60,"")</f>
        <v>122.52598886262271</v>
      </c>
      <c r="E2215" s="66">
        <v>58.5</v>
      </c>
      <c r="F2215" s="64">
        <f t="shared" si="34"/>
        <v>-16.116336923076357</v>
      </c>
      <c r="G2215" s="60" t="s">
        <v>12</v>
      </c>
      <c r="H2215" s="60" t="s">
        <v>5061</v>
      </c>
    </row>
    <row r="2216" spans="1:8">
      <c r="A2216" s="59" t="s">
        <v>3480</v>
      </c>
      <c r="B2216" s="62">
        <v>1</v>
      </c>
      <c r="C2216" s="60" t="s">
        <v>5041</v>
      </c>
      <c r="D2216" s="64">
        <f>IFERROR(VLOOKUP(C2216,測定点マスタ!$E$2:$F$28,2,FALSE)/VLOOKUP(A2216,'焼鈍条件-3CGL'!$A$2:$B$197,2,FALSE)*60,"")</f>
        <v>0</v>
      </c>
      <c r="E2216" s="66">
        <v>36.9</v>
      </c>
      <c r="F2216" s="64" t="str">
        <f t="shared" si="34"/>
        <v/>
      </c>
      <c r="G2216" s="60" t="s">
        <v>9</v>
      </c>
      <c r="H2216" s="60" t="s">
        <v>5061</v>
      </c>
    </row>
    <row r="2217" spans="1:8">
      <c r="A2217" s="59" t="s">
        <v>3480</v>
      </c>
      <c r="B2217" s="62">
        <v>2</v>
      </c>
      <c r="C2217" s="60" t="s">
        <v>5043</v>
      </c>
      <c r="D2217" s="64">
        <f>IFERROR(VLOOKUP(C2217,測定点マスタ!$E$2:$F$28,2,FALSE)/VLOOKUP(A2217,'焼鈍条件-3CGL'!$A$2:$B$197,2,FALSE)*60,"")</f>
        <v>7.4825407382773523</v>
      </c>
      <c r="E2217" s="66">
        <v>180.3</v>
      </c>
      <c r="F2217" s="64">
        <f t="shared" si="34"/>
        <v>19.164613333333335</v>
      </c>
      <c r="G2217" s="60" t="s">
        <v>9</v>
      </c>
      <c r="H2217" s="60" t="s">
        <v>5061</v>
      </c>
    </row>
    <row r="2218" spans="1:8">
      <c r="A2218" s="59" t="s">
        <v>3480</v>
      </c>
      <c r="B2218" s="62">
        <v>3</v>
      </c>
      <c r="C2218" s="60" t="s">
        <v>5067</v>
      </c>
      <c r="D2218" s="64">
        <f>IFERROR(VLOOKUP(C2218,測定点マスタ!$E$2:$F$28,2,FALSE)/VLOOKUP(A2218,'焼鈍条件-3CGL'!$A$2:$B$197,2,FALSE)*60,"")</f>
        <v>12.470901230462255</v>
      </c>
      <c r="E2218" s="66">
        <v>366.6</v>
      </c>
      <c r="F2218" s="64">
        <f t="shared" si="34"/>
        <v>37.346939999999996</v>
      </c>
      <c r="G2218" s="60" t="s">
        <v>9</v>
      </c>
      <c r="H2218" s="60" t="s">
        <v>5061</v>
      </c>
    </row>
    <row r="2219" spans="1:8">
      <c r="A2219" s="59" t="s">
        <v>3480</v>
      </c>
      <c r="B2219" s="62">
        <v>4</v>
      </c>
      <c r="C2219" s="60" t="s">
        <v>5044</v>
      </c>
      <c r="D2219" s="64">
        <f>IFERROR(VLOOKUP(C2219,測定点マスタ!$E$2:$F$28,2,FALSE)/VLOOKUP(A2219,'焼鈍条件-3CGL'!$A$2:$B$197,2,FALSE)*60,"")</f>
        <v>16.960425673428666</v>
      </c>
      <c r="E2219" s="66">
        <v>659.9</v>
      </c>
      <c r="F2219" s="64">
        <f t="shared" si="34"/>
        <v>65.329859259259251</v>
      </c>
      <c r="G2219" s="60" t="s">
        <v>9</v>
      </c>
      <c r="H2219" s="60" t="s">
        <v>5061</v>
      </c>
    </row>
    <row r="2220" spans="1:8">
      <c r="A2220" s="59" t="s">
        <v>3480</v>
      </c>
      <c r="B2220" s="62">
        <v>5</v>
      </c>
      <c r="C2220" s="60" t="s">
        <v>5045</v>
      </c>
      <c r="D2220" s="64">
        <f>IFERROR(VLOOKUP(C2220,測定点マスタ!$E$2:$F$28,2,FALSE)/VLOOKUP(A2220,'焼鈍条件-3CGL'!$A$2:$B$197,2,FALSE)*60,"")</f>
        <v>21.948786165613569</v>
      </c>
      <c r="E2220" s="66">
        <v>816</v>
      </c>
      <c r="F2220" s="64">
        <f t="shared" si="34"/>
        <v>31.292846666666666</v>
      </c>
      <c r="G2220" s="60" t="s">
        <v>9</v>
      </c>
      <c r="H2220" s="60" t="s">
        <v>5061</v>
      </c>
    </row>
    <row r="2221" spans="1:8">
      <c r="A2221" s="59" t="s">
        <v>3480</v>
      </c>
      <c r="B2221" s="62">
        <v>6</v>
      </c>
      <c r="C2221" s="60" t="s">
        <v>5047</v>
      </c>
      <c r="D2221" s="64">
        <f>IFERROR(VLOOKUP(C2221,測定点マスタ!$E$2:$F$28,2,FALSE)/VLOOKUP(A2221,'焼鈍条件-3CGL'!$A$2:$B$197,2,FALSE)*60,"")</f>
        <v>29.930162953109409</v>
      </c>
      <c r="E2221" s="66">
        <v>724.6</v>
      </c>
      <c r="F2221" s="64">
        <f t="shared" si="34"/>
        <v>-11.451658333333334</v>
      </c>
      <c r="G2221" s="60" t="s">
        <v>9</v>
      </c>
      <c r="H2221" s="60" t="s">
        <v>5061</v>
      </c>
    </row>
    <row r="2222" spans="1:8">
      <c r="A2222" s="59" t="s">
        <v>3480</v>
      </c>
      <c r="B2222" s="62">
        <v>7</v>
      </c>
      <c r="C2222" s="60" t="s">
        <v>5049</v>
      </c>
      <c r="D2222" s="64">
        <f>IFERROR(VLOOKUP(C2222,測定点マスタ!$E$2:$F$28,2,FALSE)/VLOOKUP(A2222,'焼鈍条件-3CGL'!$A$2:$B$197,2,FALSE)*60,"")</f>
        <v>36.415031592949781</v>
      </c>
      <c r="E2222" s="66">
        <v>587.9</v>
      </c>
      <c r="F2222" s="64">
        <f t="shared" si="34"/>
        <v>-21.079841025641038</v>
      </c>
      <c r="G2222" s="60" t="s">
        <v>9</v>
      </c>
      <c r="H2222" s="60" t="s">
        <v>5061</v>
      </c>
    </row>
    <row r="2223" spans="1:8">
      <c r="A2223" s="59" t="s">
        <v>3480</v>
      </c>
      <c r="B2223" s="62">
        <v>8</v>
      </c>
      <c r="C2223" s="60" t="s">
        <v>5050</v>
      </c>
      <c r="D2223" s="64">
        <f>IFERROR(VLOOKUP(C2223,測定点マスタ!$E$2:$F$28,2,FALSE)/VLOOKUP(A2223,'焼鈍条件-3CGL'!$A$2:$B$197,2,FALSE)*60,"")</f>
        <v>40.405719986697704</v>
      </c>
      <c r="E2223" s="66">
        <v>512.9</v>
      </c>
      <c r="F2223" s="64">
        <f t="shared" si="34"/>
        <v>-18.793749999999989</v>
      </c>
      <c r="G2223" s="60" t="s">
        <v>9</v>
      </c>
      <c r="H2223" s="60" t="s">
        <v>5061</v>
      </c>
    </row>
    <row r="2224" spans="1:8">
      <c r="A2224" s="59" t="s">
        <v>3480</v>
      </c>
      <c r="B2224" s="62">
        <v>9</v>
      </c>
      <c r="C2224" s="60" t="s">
        <v>5051</v>
      </c>
      <c r="D2224" s="64">
        <f>IFERROR(VLOOKUP(C2224,測定点マスタ!$E$2:$F$28,2,FALSE)/VLOOKUP(A2224,'焼鈍条件-3CGL'!$A$2:$B$197,2,FALSE)*60,"")</f>
        <v>43.897572331227138</v>
      </c>
      <c r="E2224" s="66">
        <v>462.5</v>
      </c>
      <c r="F2224" s="64">
        <f t="shared" si="34"/>
        <v>-14.433599999999982</v>
      </c>
      <c r="G2224" s="60" t="s">
        <v>9</v>
      </c>
      <c r="H2224" s="60" t="s">
        <v>5061</v>
      </c>
    </row>
    <row r="2225" spans="1:8">
      <c r="A2225" s="59" t="s">
        <v>3480</v>
      </c>
      <c r="B2225" s="62">
        <v>10</v>
      </c>
      <c r="C2225" s="60" t="s">
        <v>5052</v>
      </c>
      <c r="D2225" s="64">
        <f>IFERROR(VLOOKUP(C2225,測定点マスタ!$E$2:$F$28,2,FALSE)/VLOOKUP(A2225,'焼鈍条件-3CGL'!$A$2:$B$197,2,FALSE)*60,"")</f>
        <v>48.387096774193544</v>
      </c>
      <c r="E2225" s="66">
        <v>359.4</v>
      </c>
      <c r="F2225" s="64">
        <f t="shared" si="34"/>
        <v>-22.964570370370403</v>
      </c>
      <c r="G2225" s="60" t="s">
        <v>9</v>
      </c>
      <c r="H2225" s="60" t="s">
        <v>5061</v>
      </c>
    </row>
    <row r="2226" spans="1:8">
      <c r="A2226" s="59" t="s">
        <v>3480</v>
      </c>
      <c r="B2226" s="62">
        <v>11</v>
      </c>
      <c r="C2226" s="60" t="s">
        <v>5053</v>
      </c>
      <c r="D2226" s="64">
        <f>IFERROR(VLOOKUP(C2226,測定点マスタ!$E$2:$F$28,2,FALSE)/VLOOKUP(A2226,'焼鈍条件-3CGL'!$A$2:$B$197,2,FALSE)*60,"")</f>
        <v>54.373129364815433</v>
      </c>
      <c r="E2226" s="66">
        <v>544.29999999999995</v>
      </c>
      <c r="F2226" s="64">
        <f t="shared" si="34"/>
        <v>30.888572222222184</v>
      </c>
      <c r="G2226" s="60" t="s">
        <v>9</v>
      </c>
      <c r="H2226" s="60" t="s">
        <v>5061</v>
      </c>
    </row>
    <row r="2227" spans="1:8">
      <c r="A2227" s="59" t="s">
        <v>3480</v>
      </c>
      <c r="B2227" s="62">
        <v>12</v>
      </c>
      <c r="C2227" s="60" t="s">
        <v>5054</v>
      </c>
      <c r="D2227" s="64">
        <f>IFERROR(VLOOKUP(C2227,測定点マスタ!$E$2:$F$28,2,FALSE)/VLOOKUP(A2227,'焼鈍条件-3CGL'!$A$2:$B$197,2,FALSE)*60,"")</f>
        <v>60.857998004655805</v>
      </c>
      <c r="E2227" s="66">
        <v>530.79999999999995</v>
      </c>
      <c r="F2227" s="64">
        <f t="shared" si="34"/>
        <v>-2.0817692307692313</v>
      </c>
      <c r="G2227" s="60" t="s">
        <v>9</v>
      </c>
      <c r="H2227" s="60" t="s">
        <v>5061</v>
      </c>
    </row>
    <row r="2228" spans="1:8">
      <c r="A2228" s="59" t="s">
        <v>3480</v>
      </c>
      <c r="B2228" s="62">
        <v>13</v>
      </c>
      <c r="C2228" s="60" t="s">
        <v>5056</v>
      </c>
      <c r="D2228" s="64">
        <f>IFERROR(VLOOKUP(C2228,測定点マスタ!$E$2:$F$28,2,FALSE)/VLOOKUP(A2228,'焼鈍条件-3CGL'!$A$2:$B$197,2,FALSE)*60,"")</f>
        <v>66.34519454605919</v>
      </c>
      <c r="E2228" s="66">
        <v>262</v>
      </c>
      <c r="F2228" s="64">
        <f t="shared" si="34"/>
        <v>-48.98676363636369</v>
      </c>
      <c r="G2228" s="60" t="s">
        <v>9</v>
      </c>
      <c r="H2228" s="60" t="s">
        <v>5061</v>
      </c>
    </row>
    <row r="2229" spans="1:8">
      <c r="A2229" s="59" t="s">
        <v>3480</v>
      </c>
      <c r="B2229" s="62">
        <v>14</v>
      </c>
      <c r="C2229" s="60" t="s">
        <v>5062</v>
      </c>
      <c r="D2229" s="64">
        <f>IFERROR(VLOOKUP(C2229,測定点マスタ!$E$2:$F$28,2,FALSE)/VLOOKUP(A2229,'焼鈍条件-3CGL'!$A$2:$B$197,2,FALSE)*60,"")</f>
        <v>72.331227136681065</v>
      </c>
      <c r="E2229" s="66">
        <v>464.2</v>
      </c>
      <c r="F2229" s="64">
        <f t="shared" si="34"/>
        <v>33.778633333333374</v>
      </c>
      <c r="G2229" s="60" t="s">
        <v>9</v>
      </c>
      <c r="H2229" s="60" t="s">
        <v>5061</v>
      </c>
    </row>
    <row r="2230" spans="1:8">
      <c r="A2230" s="59" t="s">
        <v>3480</v>
      </c>
      <c r="B2230" s="62">
        <v>15</v>
      </c>
      <c r="C2230" s="60" t="s">
        <v>5057</v>
      </c>
      <c r="D2230" s="64">
        <f>IFERROR(VLOOKUP(C2230,測定点マスタ!$E$2:$F$28,2,FALSE)/VLOOKUP(A2230,'焼鈍条件-3CGL'!$A$2:$B$197,2,FALSE)*60,"")</f>
        <v>82.25450140149168</v>
      </c>
      <c r="E2230" s="66">
        <v>270.3</v>
      </c>
      <c r="F2230" s="64">
        <f t="shared" si="34"/>
        <v>-19.539921484141356</v>
      </c>
      <c r="G2230" s="60" t="s">
        <v>9</v>
      </c>
      <c r="H2230" s="60" t="s">
        <v>5061</v>
      </c>
    </row>
    <row r="2231" spans="1:8">
      <c r="A2231" s="59" t="s">
        <v>3480</v>
      </c>
      <c r="B2231" s="62">
        <v>16</v>
      </c>
      <c r="C2231" s="60" t="s">
        <v>5058</v>
      </c>
      <c r="D2231" s="64">
        <f>IFERROR(VLOOKUP(C2231,測定点マスタ!$E$2:$F$28,2,FALSE)/VLOOKUP(A2231,'焼鈍条件-3CGL'!$A$2:$B$197,2,FALSE)*60,"")</f>
        <v>85.265333269988858</v>
      </c>
      <c r="E2231" s="66">
        <v>140.9</v>
      </c>
      <c r="F2231" s="64">
        <f t="shared" si="34"/>
        <v>-42.978155424065086</v>
      </c>
      <c r="G2231" s="60" t="s">
        <v>9</v>
      </c>
      <c r="H2231" s="60" t="s">
        <v>5061</v>
      </c>
    </row>
    <row r="2232" spans="1:8">
      <c r="A2232" s="59" t="s">
        <v>3480</v>
      </c>
      <c r="B2232" s="62">
        <v>17</v>
      </c>
      <c r="C2232" s="60" t="s">
        <v>5059</v>
      </c>
      <c r="D2232" s="64">
        <f>IFERROR(VLOOKUP(C2232,測定点マスタ!$E$2:$F$28,2,FALSE)/VLOOKUP(A2232,'焼鈍条件-3CGL'!$A$2:$B$197,2,FALSE)*60,"")</f>
        <v>88.276165138486533</v>
      </c>
      <c r="E2232" s="66">
        <v>49.1</v>
      </c>
      <c r="F2232" s="64">
        <f t="shared" si="34"/>
        <v>-30.489912426031868</v>
      </c>
      <c r="G2232" s="60" t="s">
        <v>9</v>
      </c>
      <c r="H2232" s="60" t="s">
        <v>5061</v>
      </c>
    </row>
    <row r="2233" spans="1:8">
      <c r="A2233" s="59" t="s">
        <v>3496</v>
      </c>
      <c r="B2233" s="62">
        <v>1</v>
      </c>
      <c r="C2233" s="60" t="s">
        <v>5041</v>
      </c>
      <c r="D2233" s="64">
        <f>IFERROR(VLOOKUP(C2233,測定点マスタ!$E$2:$F$28,2,FALSE)/VLOOKUP(A2233,'焼鈍条件-3CGL'!$A$2:$B$197,2,FALSE)*60,"")</f>
        <v>0</v>
      </c>
      <c r="E2233" s="66">
        <v>36.799999999999997</v>
      </c>
      <c r="F2233" s="64" t="str">
        <f t="shared" si="34"/>
        <v/>
      </c>
      <c r="G2233" s="60" t="s">
        <v>9</v>
      </c>
      <c r="H2233" s="60" t="s">
        <v>5061</v>
      </c>
    </row>
    <row r="2234" spans="1:8">
      <c r="A2234" s="59" t="s">
        <v>3496</v>
      </c>
      <c r="B2234" s="62">
        <v>2</v>
      </c>
      <c r="C2234" s="60" t="s">
        <v>5043</v>
      </c>
      <c r="D2234" s="64">
        <f>IFERROR(VLOOKUP(C2234,測定点マスタ!$E$2:$F$28,2,FALSE)/VLOOKUP(A2234,'焼鈍条件-3CGL'!$A$2:$B$197,2,FALSE)*60,"")</f>
        <v>6.8332460196341929</v>
      </c>
      <c r="E2234" s="66">
        <v>165.8</v>
      </c>
      <c r="F2234" s="64">
        <f t="shared" si="34"/>
        <v>18.878290000000003</v>
      </c>
      <c r="G2234" s="60" t="s">
        <v>9</v>
      </c>
      <c r="H2234" s="60" t="s">
        <v>5061</v>
      </c>
    </row>
    <row r="2235" spans="1:8">
      <c r="A2235" s="59" t="s">
        <v>3496</v>
      </c>
      <c r="B2235" s="62">
        <v>3</v>
      </c>
      <c r="C2235" s="60" t="s">
        <v>5044</v>
      </c>
      <c r="D2235" s="64">
        <f>IFERROR(VLOOKUP(C2235,測定点マスタ!$E$2:$F$28,2,FALSE)/VLOOKUP(A2235,'焼鈍条件-3CGL'!$A$2:$B$197,2,FALSE)*60,"")</f>
        <v>15.488690977837503</v>
      </c>
      <c r="E2235" s="66">
        <v>658.9</v>
      </c>
      <c r="F2235" s="64">
        <f t="shared" si="34"/>
        <v>56.969919210526314</v>
      </c>
      <c r="G2235" s="60" t="s">
        <v>9</v>
      </c>
      <c r="H2235" s="60" t="s">
        <v>5061</v>
      </c>
    </row>
    <row r="2236" spans="1:8">
      <c r="A2236" s="59" t="s">
        <v>3496</v>
      </c>
      <c r="B2236" s="62">
        <v>4</v>
      </c>
      <c r="C2236" s="60" t="s">
        <v>5045</v>
      </c>
      <c r="D2236" s="64">
        <f>IFERROR(VLOOKUP(C2236,測定点マスタ!$E$2:$F$28,2,FALSE)/VLOOKUP(A2236,'焼鈍条件-3CGL'!$A$2:$B$197,2,FALSE)*60,"")</f>
        <v>20.044188324260301</v>
      </c>
      <c r="E2236" s="66">
        <v>798.5</v>
      </c>
      <c r="F2236" s="64">
        <f t="shared" si="34"/>
        <v>30.644293999999995</v>
      </c>
      <c r="G2236" s="60" t="s">
        <v>9</v>
      </c>
      <c r="H2236" s="60" t="s">
        <v>5061</v>
      </c>
    </row>
    <row r="2237" spans="1:8">
      <c r="A2237" s="59" t="s">
        <v>3496</v>
      </c>
      <c r="B2237" s="62">
        <v>5</v>
      </c>
      <c r="C2237" s="60" t="s">
        <v>5046</v>
      </c>
      <c r="D2237" s="64">
        <f>IFERROR(VLOOKUP(C2237,測定点マスタ!$E$2:$F$28,2,FALSE)/VLOOKUP(A2237,'焼鈍条件-3CGL'!$A$2:$B$197,2,FALSE)*60,"")</f>
        <v>24.599685670683098</v>
      </c>
      <c r="E2237" s="66">
        <v>775.8</v>
      </c>
      <c r="F2237" s="64">
        <f t="shared" si="34"/>
        <v>-4.9829905000000085</v>
      </c>
      <c r="G2237" s="60" t="s">
        <v>9</v>
      </c>
      <c r="H2237" s="60" t="s">
        <v>5061</v>
      </c>
    </row>
    <row r="2238" spans="1:8">
      <c r="A2238" s="59" t="s">
        <v>3496</v>
      </c>
      <c r="B2238" s="62">
        <v>6</v>
      </c>
      <c r="C2238" s="60" t="s">
        <v>5047</v>
      </c>
      <c r="D2238" s="64">
        <f>IFERROR(VLOOKUP(C2238,測定点マスタ!$E$2:$F$28,2,FALSE)/VLOOKUP(A2238,'焼鈍条件-3CGL'!$A$2:$B$197,2,FALSE)*60,"")</f>
        <v>27.332984078536771</v>
      </c>
      <c r="E2238" s="66">
        <v>736.1</v>
      </c>
      <c r="F2238" s="64">
        <f t="shared" si="34"/>
        <v>-14.524575833333326</v>
      </c>
      <c r="G2238" s="60" t="s">
        <v>9</v>
      </c>
      <c r="H2238" s="60" t="s">
        <v>5061</v>
      </c>
    </row>
    <row r="2239" spans="1:8">
      <c r="A2239" s="59" t="s">
        <v>3496</v>
      </c>
      <c r="B2239" s="62">
        <v>7</v>
      </c>
      <c r="C2239" s="60" t="s">
        <v>5049</v>
      </c>
      <c r="D2239" s="64">
        <f>IFERROR(VLOOKUP(C2239,測定点マスタ!$E$2:$F$28,2,FALSE)/VLOOKUP(A2239,'焼鈍条件-3CGL'!$A$2:$B$197,2,FALSE)*60,"")</f>
        <v>33.255130628886405</v>
      </c>
      <c r="E2239" s="66">
        <v>581.70000000000005</v>
      </c>
      <c r="F2239" s="64">
        <f t="shared" si="34"/>
        <v>-26.07162769230769</v>
      </c>
      <c r="G2239" s="60" t="s">
        <v>9</v>
      </c>
      <c r="H2239" s="60" t="s">
        <v>5061</v>
      </c>
    </row>
    <row r="2240" spans="1:8">
      <c r="A2240" s="59" t="s">
        <v>3496</v>
      </c>
      <c r="B2240" s="62">
        <v>8</v>
      </c>
      <c r="C2240" s="60" t="s">
        <v>5050</v>
      </c>
      <c r="D2240" s="64">
        <f>IFERROR(VLOOKUP(C2240,測定点マスタ!$E$2:$F$28,2,FALSE)/VLOOKUP(A2240,'焼鈍条件-3CGL'!$A$2:$B$197,2,FALSE)*60,"")</f>
        <v>36.899528506024645</v>
      </c>
      <c r="E2240" s="66">
        <v>465.4</v>
      </c>
      <c r="F2240" s="64">
        <f t="shared" si="34"/>
        <v>-31.911993124999999</v>
      </c>
      <c r="G2240" s="60" t="s">
        <v>9</v>
      </c>
      <c r="H2240" s="60" t="s">
        <v>5061</v>
      </c>
    </row>
    <row r="2241" spans="1:8">
      <c r="A2241" s="59" t="s">
        <v>3496</v>
      </c>
      <c r="B2241" s="62">
        <v>9</v>
      </c>
      <c r="C2241" s="60" t="s">
        <v>5051</v>
      </c>
      <c r="D2241" s="64">
        <f>IFERROR(VLOOKUP(C2241,測定点マスタ!$E$2:$F$28,2,FALSE)/VLOOKUP(A2241,'焼鈍条件-3CGL'!$A$2:$B$197,2,FALSE)*60,"")</f>
        <v>40.088376648520601</v>
      </c>
      <c r="E2241" s="66">
        <v>450</v>
      </c>
      <c r="F2241" s="64">
        <f t="shared" si="34"/>
        <v>-4.8293299999999935</v>
      </c>
      <c r="G2241" s="60" t="s">
        <v>9</v>
      </c>
      <c r="H2241" s="60" t="s">
        <v>5061</v>
      </c>
    </row>
    <row r="2242" spans="1:8">
      <c r="A2242" s="59" t="s">
        <v>3496</v>
      </c>
      <c r="B2242" s="62">
        <v>10</v>
      </c>
      <c r="C2242" s="60" t="s">
        <v>5060</v>
      </c>
      <c r="D2242" s="64">
        <f>IFERROR(VLOOKUP(C2242,測定点マスタ!$E$2:$F$28,2,FALSE)/VLOOKUP(A2242,'焼鈍条件-3CGL'!$A$2:$B$197,2,FALSE)*60,"")</f>
        <v>41.910575587089717</v>
      </c>
      <c r="E2242" s="66">
        <v>423.3</v>
      </c>
      <c r="F2242" s="64">
        <f t="shared" ref="F2242:F2305" si="35">IF(A2242=A2241,IFERROR((E2242-E2241)/(D2242-D2241),""),"")</f>
        <v>-14.652626250000012</v>
      </c>
      <c r="G2242" s="60" t="s">
        <v>9</v>
      </c>
      <c r="H2242" s="60" t="s">
        <v>5061</v>
      </c>
    </row>
    <row r="2243" spans="1:8">
      <c r="A2243" s="59" t="s">
        <v>3496</v>
      </c>
      <c r="B2243" s="62">
        <v>11</v>
      </c>
      <c r="C2243" s="60" t="s">
        <v>5052</v>
      </c>
      <c r="D2243" s="64">
        <f>IFERROR(VLOOKUP(C2243,測定点マスタ!$E$2:$F$28,2,FALSE)/VLOOKUP(A2243,'焼鈍条件-3CGL'!$A$2:$B$197,2,FALSE)*60,"")</f>
        <v>44.188324260301123</v>
      </c>
      <c r="E2243" s="66">
        <v>339.7</v>
      </c>
      <c r="F2243" s="64">
        <f t="shared" si="35"/>
        <v>-36.702907999999887</v>
      </c>
      <c r="G2243" s="60" t="s">
        <v>9</v>
      </c>
      <c r="H2243" s="60" t="s">
        <v>5061</v>
      </c>
    </row>
    <row r="2244" spans="1:8">
      <c r="A2244" s="59" t="s">
        <v>3496</v>
      </c>
      <c r="B2244" s="62">
        <v>12</v>
      </c>
      <c r="C2244" s="60" t="s">
        <v>5053</v>
      </c>
      <c r="D2244" s="64">
        <f>IFERROR(VLOOKUP(C2244,測定点マスタ!$E$2:$F$28,2,FALSE)/VLOOKUP(A2244,'焼鈍条件-3CGL'!$A$2:$B$197,2,FALSE)*60,"")</f>
        <v>49.65492107600847</v>
      </c>
      <c r="E2244" s="66">
        <v>514.70000000000005</v>
      </c>
      <c r="F2244" s="64">
        <f t="shared" si="35"/>
        <v>32.012604166666719</v>
      </c>
      <c r="G2244" s="60" t="s">
        <v>9</v>
      </c>
      <c r="H2244" s="60" t="s">
        <v>5061</v>
      </c>
    </row>
    <row r="2245" spans="1:8">
      <c r="A2245" s="59" t="s">
        <v>3496</v>
      </c>
      <c r="B2245" s="62">
        <v>13</v>
      </c>
      <c r="C2245" s="60" t="s">
        <v>5063</v>
      </c>
      <c r="D2245" s="64">
        <f>IFERROR(VLOOKUP(C2245,測定点マスタ!$E$2:$F$28,2,FALSE)/VLOOKUP(A2245,'焼鈍条件-3CGL'!$A$2:$B$197,2,FALSE)*60,"")</f>
        <v>52.388219483862152</v>
      </c>
      <c r="E2245" s="66">
        <v>510.3</v>
      </c>
      <c r="F2245" s="64">
        <f t="shared" si="35"/>
        <v>-1.6097766666666771</v>
      </c>
      <c r="G2245" s="60" t="s">
        <v>9</v>
      </c>
      <c r="H2245" s="60" t="s">
        <v>5061</v>
      </c>
    </row>
    <row r="2246" spans="1:8">
      <c r="A2246" s="59" t="s">
        <v>3496</v>
      </c>
      <c r="B2246" s="62">
        <v>14</v>
      </c>
      <c r="C2246" s="60" t="s">
        <v>5054</v>
      </c>
      <c r="D2246" s="64">
        <f>IFERROR(VLOOKUP(C2246,測定点マスタ!$E$2:$F$28,2,FALSE)/VLOOKUP(A2246,'焼鈍条件-3CGL'!$A$2:$B$197,2,FALSE)*60,"")</f>
        <v>55.577067626358108</v>
      </c>
      <c r="E2246" s="66">
        <v>488</v>
      </c>
      <c r="F2246" s="64">
        <f t="shared" si="35"/>
        <v>-6.9931207142857188</v>
      </c>
      <c r="G2246" s="60" t="s">
        <v>9</v>
      </c>
      <c r="H2246" s="60" t="s">
        <v>5061</v>
      </c>
    </row>
    <row r="2247" spans="1:8">
      <c r="A2247" s="59" t="s">
        <v>3496</v>
      </c>
      <c r="B2247" s="62">
        <v>15</v>
      </c>
      <c r="C2247" s="60" t="s">
        <v>5055</v>
      </c>
      <c r="D2247" s="64">
        <f>IFERROR(VLOOKUP(C2247,測定点マスタ!$E$2:$F$28,2,FALSE)/VLOOKUP(A2247,'焼鈍条件-3CGL'!$A$2:$B$197,2,FALSE)*60,"")</f>
        <v>57.854816299569499</v>
      </c>
      <c r="E2247" s="66">
        <v>553.20000000000005</v>
      </c>
      <c r="F2247" s="64">
        <f t="shared" si="35"/>
        <v>28.624756000000101</v>
      </c>
      <c r="G2247" s="60" t="s">
        <v>9</v>
      </c>
      <c r="H2247" s="60" t="s">
        <v>5061</v>
      </c>
    </row>
    <row r="2248" spans="1:8">
      <c r="A2248" s="59" t="s">
        <v>3496</v>
      </c>
      <c r="B2248" s="62">
        <v>16</v>
      </c>
      <c r="C2248" s="60" t="s">
        <v>5056</v>
      </c>
      <c r="D2248" s="64">
        <f>IFERROR(VLOOKUP(C2248,測定点マスタ!$E$2:$F$28,2,FALSE)/VLOOKUP(A2248,'焼鈍条件-3CGL'!$A$2:$B$197,2,FALSE)*60,"")</f>
        <v>60.588114707423173</v>
      </c>
      <c r="E2248" s="66">
        <v>272.60000000000002</v>
      </c>
      <c r="F2248" s="64">
        <f t="shared" si="35"/>
        <v>-102.65984833333347</v>
      </c>
      <c r="G2248" s="60" t="s">
        <v>9</v>
      </c>
      <c r="H2248" s="60" t="s">
        <v>5061</v>
      </c>
    </row>
    <row r="2249" spans="1:8">
      <c r="A2249" s="59" t="s">
        <v>3496</v>
      </c>
      <c r="B2249" s="62">
        <v>17</v>
      </c>
      <c r="C2249" s="60" t="s">
        <v>5062</v>
      </c>
      <c r="D2249" s="64">
        <f>IFERROR(VLOOKUP(C2249,測定点マスタ!$E$2:$F$28,2,FALSE)/VLOOKUP(A2249,'焼鈍条件-3CGL'!$A$2:$B$197,2,FALSE)*60,"")</f>
        <v>66.054711523130536</v>
      </c>
      <c r="E2249" s="66">
        <v>454.1</v>
      </c>
      <c r="F2249" s="64">
        <f t="shared" si="35"/>
        <v>33.201643749999953</v>
      </c>
      <c r="G2249" s="60" t="s">
        <v>9</v>
      </c>
      <c r="H2249" s="60" t="s">
        <v>5061</v>
      </c>
    </row>
    <row r="2250" spans="1:8">
      <c r="A2250" s="59" t="s">
        <v>3496</v>
      </c>
      <c r="B2250" s="62">
        <v>18</v>
      </c>
      <c r="C2250" s="60" t="s">
        <v>5057</v>
      </c>
      <c r="D2250" s="64">
        <f>IFERROR(VLOOKUP(C2250,測定点マスタ!$E$2:$F$28,2,FALSE)/VLOOKUP(A2250,'焼鈍条件-3CGL'!$A$2:$B$197,2,FALSE)*60,"")</f>
        <v>75.116897315835828</v>
      </c>
      <c r="E2250" s="66">
        <v>180.3</v>
      </c>
      <c r="F2250" s="64">
        <f t="shared" si="35"/>
        <v>-30.213461328545964</v>
      </c>
      <c r="G2250" s="60" t="s">
        <v>9</v>
      </c>
      <c r="H2250" s="60" t="s">
        <v>5061</v>
      </c>
    </row>
    <row r="2251" spans="1:8">
      <c r="A2251" s="59" t="s">
        <v>3496</v>
      </c>
      <c r="B2251" s="62">
        <v>19</v>
      </c>
      <c r="C2251" s="60" t="s">
        <v>5058</v>
      </c>
      <c r="D2251" s="64">
        <f>IFERROR(VLOOKUP(C2251,測定点マスタ!$E$2:$F$28,2,FALSE)/VLOOKUP(A2251,'焼鈍条件-3CGL'!$A$2:$B$197,2,FALSE)*60,"")</f>
        <v>77.866465357069444</v>
      </c>
      <c r="E2251" s="66">
        <v>129.19999999999999</v>
      </c>
      <c r="F2251" s="64">
        <f t="shared" si="35"/>
        <v>-18.584737396450681</v>
      </c>
      <c r="G2251" s="60" t="s">
        <v>9</v>
      </c>
      <c r="H2251" s="60" t="s">
        <v>5061</v>
      </c>
    </row>
    <row r="2252" spans="1:8">
      <c r="A2252" s="59" t="s">
        <v>3496</v>
      </c>
      <c r="B2252" s="62">
        <v>20</v>
      </c>
      <c r="C2252" s="60" t="s">
        <v>5059</v>
      </c>
      <c r="D2252" s="64">
        <f>IFERROR(VLOOKUP(C2252,測定点マスタ!$E$2:$F$28,2,FALSE)/VLOOKUP(A2252,'焼鈍条件-3CGL'!$A$2:$B$197,2,FALSE)*60,"")</f>
        <v>80.616033398303529</v>
      </c>
      <c r="E2252" s="66">
        <v>60.5</v>
      </c>
      <c r="F2252" s="64">
        <f t="shared" si="35"/>
        <v>-24.985742840233723</v>
      </c>
      <c r="G2252" s="60" t="s">
        <v>9</v>
      </c>
      <c r="H2252" s="60" t="s">
        <v>5061</v>
      </c>
    </row>
    <row r="2253" spans="1:8">
      <c r="A2253" s="59" t="s">
        <v>3498</v>
      </c>
      <c r="B2253" s="62">
        <v>1</v>
      </c>
      <c r="C2253" s="60" t="s">
        <v>5041</v>
      </c>
      <c r="D2253" s="64">
        <f>IFERROR(VLOOKUP(C2253,測定点マスタ!$E$2:$F$28,2,FALSE)/VLOOKUP(A2253,'焼鈍条件-3CGL'!$A$2:$B$197,2,FALSE)*60,"")</f>
        <v>0</v>
      </c>
      <c r="E2253" s="66">
        <v>35.9</v>
      </c>
      <c r="F2253" s="64" t="str">
        <f t="shared" si="35"/>
        <v/>
      </c>
      <c r="G2253" s="60" t="s">
        <v>12</v>
      </c>
      <c r="H2253" s="60" t="s">
        <v>5061</v>
      </c>
    </row>
    <row r="2254" spans="1:8">
      <c r="A2254" s="59" t="s">
        <v>3498</v>
      </c>
      <c r="B2254" s="62">
        <v>2</v>
      </c>
      <c r="C2254" s="60" t="s">
        <v>5043</v>
      </c>
      <c r="D2254" s="64">
        <f>IFERROR(VLOOKUP(C2254,測定点マスタ!$E$2:$F$28,2,FALSE)/VLOOKUP(A2254,'焼鈍条件-3CGL'!$A$2:$B$197,2,FALSE)*60,"")</f>
        <v>7.0291632171699021</v>
      </c>
      <c r="E2254" s="66">
        <v>196.1</v>
      </c>
      <c r="F2254" s="64">
        <f t="shared" si="35"/>
        <v>22.790763999999999</v>
      </c>
      <c r="G2254" s="60" t="s">
        <v>12</v>
      </c>
      <c r="H2254" s="60" t="s">
        <v>5061</v>
      </c>
    </row>
    <row r="2255" spans="1:8">
      <c r="A2255" s="59" t="s">
        <v>3498</v>
      </c>
      <c r="B2255" s="62">
        <v>3</v>
      </c>
      <c r="C2255" s="60" t="s">
        <v>5044</v>
      </c>
      <c r="D2255" s="64">
        <f>IFERROR(VLOOKUP(C2255,測定点マスタ!$E$2:$F$28,2,FALSE)/VLOOKUP(A2255,'焼鈍条件-3CGL'!$A$2:$B$197,2,FALSE)*60,"")</f>
        <v>15.932769958918444</v>
      </c>
      <c r="E2255" s="66">
        <v>683.4</v>
      </c>
      <c r="F2255" s="64">
        <f t="shared" si="35"/>
        <v>54.730629298245617</v>
      </c>
      <c r="G2255" s="60" t="s">
        <v>12</v>
      </c>
      <c r="H2255" s="60" t="s">
        <v>5061</v>
      </c>
    </row>
    <row r="2256" spans="1:8">
      <c r="A2256" s="59" t="s">
        <v>3498</v>
      </c>
      <c r="B2256" s="62">
        <v>4</v>
      </c>
      <c r="C2256" s="60" t="s">
        <v>5045</v>
      </c>
      <c r="D2256" s="64">
        <f>IFERROR(VLOOKUP(C2256,測定点マスタ!$E$2:$F$28,2,FALSE)/VLOOKUP(A2256,'焼鈍条件-3CGL'!$A$2:$B$197,2,FALSE)*60,"")</f>
        <v>20.618878770365047</v>
      </c>
      <c r="E2256" s="66">
        <v>825</v>
      </c>
      <c r="F2256" s="64">
        <f t="shared" si="35"/>
        <v>30.216967999999994</v>
      </c>
      <c r="G2256" s="60" t="s">
        <v>12</v>
      </c>
      <c r="H2256" s="60" t="s">
        <v>5061</v>
      </c>
    </row>
    <row r="2257" spans="1:8">
      <c r="A2257" s="59" t="s">
        <v>3498</v>
      </c>
      <c r="B2257" s="62">
        <v>5</v>
      </c>
      <c r="C2257" s="60" t="s">
        <v>5047</v>
      </c>
      <c r="D2257" s="64">
        <f>IFERROR(VLOOKUP(C2257,測定点マスタ!$E$2:$F$28,2,FALSE)/VLOOKUP(A2257,'焼鈍条件-3CGL'!$A$2:$B$197,2,FALSE)*60,"")</f>
        <v>28.116652868679608</v>
      </c>
      <c r="E2257" s="66">
        <v>748.7</v>
      </c>
      <c r="F2257" s="64">
        <f t="shared" si="35"/>
        <v>-10.176353541666662</v>
      </c>
      <c r="G2257" s="60" t="s">
        <v>12</v>
      </c>
      <c r="H2257" s="60" t="s">
        <v>5061</v>
      </c>
    </row>
    <row r="2258" spans="1:8">
      <c r="A2258" s="59" t="s">
        <v>3498</v>
      </c>
      <c r="B2258" s="62">
        <v>6</v>
      </c>
      <c r="C2258" s="60" t="s">
        <v>5049</v>
      </c>
      <c r="D2258" s="64">
        <f>IFERROR(VLOOKUP(C2258,測定点マスタ!$E$2:$F$28,2,FALSE)/VLOOKUP(A2258,'焼鈍条件-3CGL'!$A$2:$B$197,2,FALSE)*60,"")</f>
        <v>34.208594323560192</v>
      </c>
      <c r="E2258" s="66">
        <v>607.29999999999995</v>
      </c>
      <c r="F2258" s="64">
        <f t="shared" si="35"/>
        <v>-23.210991282051292</v>
      </c>
      <c r="G2258" s="60" t="s">
        <v>12</v>
      </c>
      <c r="H2258" s="60" t="s">
        <v>5061</v>
      </c>
    </row>
    <row r="2259" spans="1:8">
      <c r="A2259" s="59" t="s">
        <v>3498</v>
      </c>
      <c r="B2259" s="62">
        <v>7</v>
      </c>
      <c r="C2259" s="60" t="s">
        <v>5050</v>
      </c>
      <c r="D2259" s="64">
        <f>IFERROR(VLOOKUP(C2259,測定点マスタ!$E$2:$F$28,2,FALSE)/VLOOKUP(A2259,'焼鈍条件-3CGL'!$A$2:$B$197,2,FALSE)*60,"")</f>
        <v>37.957481372717467</v>
      </c>
      <c r="E2259" s="66">
        <v>509.5</v>
      </c>
      <c r="F2259" s="64">
        <f t="shared" si="35"/>
        <v>-26.087742500000029</v>
      </c>
      <c r="G2259" s="60" t="s">
        <v>12</v>
      </c>
      <c r="H2259" s="60" t="s">
        <v>5061</v>
      </c>
    </row>
    <row r="2260" spans="1:8">
      <c r="A2260" s="59" t="s">
        <v>3498</v>
      </c>
      <c r="B2260" s="62">
        <v>8</v>
      </c>
      <c r="C2260" s="60" t="s">
        <v>5051</v>
      </c>
      <c r="D2260" s="64">
        <f>IFERROR(VLOOKUP(C2260,測定点マスタ!$E$2:$F$28,2,FALSE)/VLOOKUP(A2260,'焼鈍条件-3CGL'!$A$2:$B$197,2,FALSE)*60,"")</f>
        <v>41.237757540730094</v>
      </c>
      <c r="E2260" s="66">
        <v>454.5</v>
      </c>
      <c r="F2260" s="64">
        <f t="shared" si="35"/>
        <v>-16.766880952380923</v>
      </c>
      <c r="G2260" s="60" t="s">
        <v>12</v>
      </c>
      <c r="H2260" s="60" t="s">
        <v>5061</v>
      </c>
    </row>
    <row r="2261" spans="1:8">
      <c r="A2261" s="59" t="s">
        <v>3498</v>
      </c>
      <c r="B2261" s="62">
        <v>9</v>
      </c>
      <c r="C2261" s="60" t="s">
        <v>5052</v>
      </c>
      <c r="D2261" s="64">
        <f>IFERROR(VLOOKUP(C2261,測定点マスタ!$E$2:$F$28,2,FALSE)/VLOOKUP(A2261,'焼鈍条件-3CGL'!$A$2:$B$197,2,FALSE)*60,"")</f>
        <v>45.455255471032032</v>
      </c>
      <c r="E2261" s="66">
        <v>343.9</v>
      </c>
      <c r="F2261" s="64">
        <f t="shared" si="35"/>
        <v>-26.224079259259284</v>
      </c>
      <c r="G2261" s="60" t="s">
        <v>12</v>
      </c>
      <c r="H2261" s="60" t="s">
        <v>5061</v>
      </c>
    </row>
    <row r="2262" spans="1:8">
      <c r="A2262" s="59" t="s">
        <v>3498</v>
      </c>
      <c r="B2262" s="62">
        <v>10</v>
      </c>
      <c r="C2262" s="60" t="s">
        <v>5069</v>
      </c>
      <c r="D2262" s="64">
        <f>IFERROR(VLOOKUP(C2262,測定点マスタ!$E$2:$F$28,2,FALSE)/VLOOKUP(A2262,'焼鈍条件-3CGL'!$A$2:$B$197,2,FALSE)*60,"")</f>
        <v>48.735531639044659</v>
      </c>
      <c r="E2262" s="66">
        <v>525.6</v>
      </c>
      <c r="F2262" s="64">
        <f t="shared" si="35"/>
        <v>55.391677619047542</v>
      </c>
      <c r="G2262" s="60" t="s">
        <v>12</v>
      </c>
      <c r="H2262" s="60" t="s">
        <v>5061</v>
      </c>
    </row>
    <row r="2263" spans="1:8">
      <c r="A2263" s="59" t="s">
        <v>3498</v>
      </c>
      <c r="B2263" s="62">
        <v>11</v>
      </c>
      <c r="C2263" s="60" t="s">
        <v>5053</v>
      </c>
      <c r="D2263" s="64">
        <f>IFERROR(VLOOKUP(C2263,測定点マスタ!$E$2:$F$28,2,FALSE)/VLOOKUP(A2263,'焼鈍条件-3CGL'!$A$2:$B$197,2,FALSE)*60,"")</f>
        <v>51.07858604476796</v>
      </c>
      <c r="E2263" s="66">
        <v>548.9</v>
      </c>
      <c r="F2263" s="64">
        <f t="shared" si="35"/>
        <v>9.9442846666666487</v>
      </c>
      <c r="G2263" s="60" t="s">
        <v>12</v>
      </c>
      <c r="H2263" s="60" t="s">
        <v>5061</v>
      </c>
    </row>
    <row r="2264" spans="1:8">
      <c r="A2264" s="59" t="s">
        <v>3498</v>
      </c>
      <c r="B2264" s="62">
        <v>12</v>
      </c>
      <c r="C2264" s="60" t="s">
        <v>5054</v>
      </c>
      <c r="D2264" s="64">
        <f>IFERROR(VLOOKUP(C2264,測定点マスタ!$E$2:$F$28,2,FALSE)/VLOOKUP(A2264,'焼鈍条件-3CGL'!$A$2:$B$197,2,FALSE)*60,"")</f>
        <v>57.170527499648543</v>
      </c>
      <c r="E2264" s="66">
        <v>533.20000000000005</v>
      </c>
      <c r="F2264" s="64">
        <f t="shared" si="35"/>
        <v>-2.5771751282051167</v>
      </c>
      <c r="G2264" s="60" t="s">
        <v>12</v>
      </c>
      <c r="H2264" s="60" t="s">
        <v>5061</v>
      </c>
    </row>
    <row r="2265" spans="1:8">
      <c r="A2265" s="59" t="s">
        <v>3498</v>
      </c>
      <c r="B2265" s="62">
        <v>13</v>
      </c>
      <c r="C2265" s="60" t="s">
        <v>5056</v>
      </c>
      <c r="D2265" s="64">
        <f>IFERROR(VLOOKUP(C2265,測定点マスタ!$E$2:$F$28,2,FALSE)/VLOOKUP(A2265,'焼鈍条件-3CGL'!$A$2:$B$197,2,FALSE)*60,"")</f>
        <v>62.3252471922398</v>
      </c>
      <c r="E2265" s="66">
        <v>267.5</v>
      </c>
      <c r="F2265" s="64">
        <f t="shared" si="35"/>
        <v>-51.544994848484905</v>
      </c>
      <c r="G2265" s="60" t="s">
        <v>12</v>
      </c>
      <c r="H2265" s="60" t="s">
        <v>5061</v>
      </c>
    </row>
    <row r="2266" spans="1:8">
      <c r="A2266" s="59" t="s">
        <v>3498</v>
      </c>
      <c r="B2266" s="62">
        <v>14</v>
      </c>
      <c r="C2266" s="60" t="s">
        <v>5062</v>
      </c>
      <c r="D2266" s="64">
        <f>IFERROR(VLOOKUP(C2266,測定点マスタ!$E$2:$F$28,2,FALSE)/VLOOKUP(A2266,'焼鈍条件-3CGL'!$A$2:$B$197,2,FALSE)*60,"")</f>
        <v>67.948577765975713</v>
      </c>
      <c r="E2266" s="66">
        <v>464.5</v>
      </c>
      <c r="F2266" s="64">
        <f t="shared" si="35"/>
        <v>35.032619444444499</v>
      </c>
      <c r="G2266" s="60" t="s">
        <v>12</v>
      </c>
      <c r="H2266" s="60" t="s">
        <v>5061</v>
      </c>
    </row>
    <row r="2267" spans="1:8">
      <c r="A2267" s="59" t="s">
        <v>3498</v>
      </c>
      <c r="B2267" s="62">
        <v>15</v>
      </c>
      <c r="C2267" s="60" t="s">
        <v>5057</v>
      </c>
      <c r="D2267" s="64">
        <f>IFERROR(VLOOKUP(C2267,測定点マスタ!$E$2:$F$28,2,FALSE)/VLOOKUP(A2267,'焼鈍条件-3CGL'!$A$2:$B$197,2,FALSE)*60,"")</f>
        <v>77.270587080174778</v>
      </c>
      <c r="E2267" s="66">
        <v>251.9</v>
      </c>
      <c r="F2267" s="64">
        <f t="shared" si="35"/>
        <v>-22.806241962896635</v>
      </c>
      <c r="G2267" s="60" t="s">
        <v>12</v>
      </c>
      <c r="H2267" s="60" t="s">
        <v>5061</v>
      </c>
    </row>
    <row r="2268" spans="1:8">
      <c r="A2268" s="59" t="s">
        <v>3498</v>
      </c>
      <c r="B2268" s="62">
        <v>16</v>
      </c>
      <c r="C2268" s="60" t="s">
        <v>5058</v>
      </c>
      <c r="D2268" s="64">
        <f>IFERROR(VLOOKUP(C2268,測定点マスタ!$E$2:$F$28,2,FALSE)/VLOOKUP(A2268,'焼鈍条件-3CGL'!$A$2:$B$197,2,FALSE)*60,"")</f>
        <v>80.098988469940636</v>
      </c>
      <c r="E2268" s="66">
        <v>122</v>
      </c>
      <c r="F2268" s="64">
        <f t="shared" si="35"/>
        <v>-45.927003313611522</v>
      </c>
      <c r="G2268" s="60" t="s">
        <v>12</v>
      </c>
      <c r="H2268" s="60" t="s">
        <v>5061</v>
      </c>
    </row>
    <row r="2269" spans="1:8">
      <c r="A2269" s="59" t="s">
        <v>3498</v>
      </c>
      <c r="B2269" s="62">
        <v>17</v>
      </c>
      <c r="C2269" s="60" t="s">
        <v>5059</v>
      </c>
      <c r="D2269" s="64">
        <f>IFERROR(VLOOKUP(C2269,測定点マスタ!$E$2:$F$28,2,FALSE)/VLOOKUP(A2269,'焼鈍条件-3CGL'!$A$2:$B$197,2,FALSE)*60,"")</f>
        <v>82.927389859706963</v>
      </c>
      <c r="E2269" s="66">
        <v>53</v>
      </c>
      <c r="F2269" s="64">
        <f t="shared" si="35"/>
        <v>-24.395405917156808</v>
      </c>
      <c r="G2269" s="60" t="s">
        <v>12</v>
      </c>
      <c r="H2269" s="60" t="s">
        <v>5061</v>
      </c>
    </row>
    <row r="2270" spans="1:8">
      <c r="A2270" s="59" t="s">
        <v>3503</v>
      </c>
      <c r="B2270" s="62">
        <v>1</v>
      </c>
      <c r="C2270" s="60" t="s">
        <v>5041</v>
      </c>
      <c r="D2270" s="64">
        <f>IFERROR(VLOOKUP(C2270,測定点マスタ!$E$2:$F$28,2,FALSE)/VLOOKUP(A2270,'焼鈍条件-3CGL'!$A$2:$B$197,2,FALSE)*60,"")</f>
        <v>0</v>
      </c>
      <c r="E2270" s="66">
        <v>25</v>
      </c>
      <c r="F2270" s="64" t="str">
        <f t="shared" si="35"/>
        <v/>
      </c>
      <c r="G2270" s="60" t="s">
        <v>9</v>
      </c>
      <c r="H2270" s="60" t="s">
        <v>5064</v>
      </c>
    </row>
    <row r="2271" spans="1:8">
      <c r="A2271" s="59" t="s">
        <v>3503</v>
      </c>
      <c r="B2271" s="62">
        <v>2</v>
      </c>
      <c r="C2271" s="60" t="s">
        <v>5043</v>
      </c>
      <c r="D2271" s="64">
        <f>IFERROR(VLOOKUP(C2271,測定点マスタ!$E$2:$F$28,2,FALSE)/VLOOKUP(A2271,'焼鈍条件-3CGL'!$A$2:$B$197,2,FALSE)*60,"")</f>
        <v>8.441272193511475</v>
      </c>
      <c r="E2271" s="66">
        <v>194</v>
      </c>
      <c r="F2271" s="64">
        <f t="shared" si="35"/>
        <v>20.020678888888892</v>
      </c>
      <c r="G2271" s="60" t="s">
        <v>9</v>
      </c>
      <c r="H2271" s="60" t="s">
        <v>5064</v>
      </c>
    </row>
    <row r="2272" spans="1:8">
      <c r="A2272" s="59" t="s">
        <v>3503</v>
      </c>
      <c r="B2272" s="62">
        <v>3</v>
      </c>
      <c r="C2272" s="60" t="s">
        <v>5044</v>
      </c>
      <c r="D2272" s="64">
        <f>IFERROR(VLOOKUP(C2272,測定点マスタ!$E$2:$F$28,2,FALSE)/VLOOKUP(A2272,'焼鈍条件-3CGL'!$A$2:$B$197,2,FALSE)*60,"")</f>
        <v>19.13355030529268</v>
      </c>
      <c r="E2272" s="66">
        <v>667.1</v>
      </c>
      <c r="F2272" s="64">
        <f t="shared" si="35"/>
        <v>44.246884999999992</v>
      </c>
      <c r="G2272" s="60" t="s">
        <v>9</v>
      </c>
      <c r="H2272" s="60" t="s">
        <v>5064</v>
      </c>
    </row>
    <row r="2273" spans="1:8">
      <c r="A2273" s="59" t="s">
        <v>3503</v>
      </c>
      <c r="B2273" s="62">
        <v>4</v>
      </c>
      <c r="C2273" s="60" t="s">
        <v>5045</v>
      </c>
      <c r="D2273" s="64">
        <f>IFERROR(VLOOKUP(C2273,測定点マスタ!$E$2:$F$28,2,FALSE)/VLOOKUP(A2273,'焼鈍条件-3CGL'!$A$2:$B$197,2,FALSE)*60,"")</f>
        <v>24.761065100966995</v>
      </c>
      <c r="E2273" s="66">
        <v>812.8</v>
      </c>
      <c r="F2273" s="64">
        <f t="shared" si="35"/>
        <v>25.89064716666666</v>
      </c>
      <c r="G2273" s="60" t="s">
        <v>9</v>
      </c>
      <c r="H2273" s="60" t="s">
        <v>5064</v>
      </c>
    </row>
    <row r="2274" spans="1:8">
      <c r="A2274" s="59" t="s">
        <v>3503</v>
      </c>
      <c r="B2274" s="62">
        <v>5</v>
      </c>
      <c r="C2274" s="60" t="s">
        <v>5047</v>
      </c>
      <c r="D2274" s="64">
        <f>IFERROR(VLOOKUP(C2274,測定点マスタ!$E$2:$F$28,2,FALSE)/VLOOKUP(A2274,'焼鈍条件-3CGL'!$A$2:$B$197,2,FALSE)*60,"")</f>
        <v>33.7650887740459</v>
      </c>
      <c r="E2274" s="66">
        <v>748</v>
      </c>
      <c r="F2274" s="64">
        <f t="shared" si="35"/>
        <v>-7.1967824999999968</v>
      </c>
      <c r="G2274" s="60" t="s">
        <v>9</v>
      </c>
      <c r="H2274" s="60" t="s">
        <v>5064</v>
      </c>
    </row>
    <row r="2275" spans="1:8">
      <c r="A2275" s="59" t="s">
        <v>3503</v>
      </c>
      <c r="B2275" s="62">
        <v>6</v>
      </c>
      <c r="C2275" s="60" t="s">
        <v>5049</v>
      </c>
      <c r="D2275" s="64">
        <f>IFERROR(VLOOKUP(C2275,測定点マスタ!$E$2:$F$28,2,FALSE)/VLOOKUP(A2275,'焼鈍条件-3CGL'!$A$2:$B$197,2,FALSE)*60,"")</f>
        <v>41.080858008422517</v>
      </c>
      <c r="E2275" s="66">
        <v>574.5</v>
      </c>
      <c r="F2275" s="64">
        <f t="shared" si="35"/>
        <v>-23.715892948717933</v>
      </c>
      <c r="G2275" s="60" t="s">
        <v>9</v>
      </c>
      <c r="H2275" s="60" t="s">
        <v>5064</v>
      </c>
    </row>
    <row r="2276" spans="1:8">
      <c r="A2276" s="59" t="s">
        <v>3503</v>
      </c>
      <c r="B2276" s="62">
        <v>7</v>
      </c>
      <c r="C2276" s="60" t="s">
        <v>5050</v>
      </c>
      <c r="D2276" s="64">
        <f>IFERROR(VLOOKUP(C2276,測定点マスタ!$E$2:$F$28,2,FALSE)/VLOOKUP(A2276,'焼鈍条件-3CGL'!$A$2:$B$197,2,FALSE)*60,"")</f>
        <v>45.582869844961969</v>
      </c>
      <c r="E2276" s="66">
        <v>501.9</v>
      </c>
      <c r="F2276" s="64">
        <f t="shared" si="35"/>
        <v>-16.126123750000009</v>
      </c>
      <c r="G2276" s="60" t="s">
        <v>9</v>
      </c>
      <c r="H2276" s="60" t="s">
        <v>5064</v>
      </c>
    </row>
    <row r="2277" spans="1:8">
      <c r="A2277" s="59" t="s">
        <v>3503</v>
      </c>
      <c r="B2277" s="62">
        <v>8</v>
      </c>
      <c r="C2277" s="60" t="s">
        <v>5051</v>
      </c>
      <c r="D2277" s="64">
        <f>IFERROR(VLOOKUP(C2277,測定点マスタ!$E$2:$F$28,2,FALSE)/VLOOKUP(A2277,'焼鈍条件-3CGL'!$A$2:$B$197,2,FALSE)*60,"")</f>
        <v>49.52213020193399</v>
      </c>
      <c r="E2277" s="66">
        <v>454.5</v>
      </c>
      <c r="F2277" s="64">
        <f t="shared" si="35"/>
        <v>-12.032715714285711</v>
      </c>
      <c r="G2277" s="60" t="s">
        <v>9</v>
      </c>
      <c r="H2277" s="60" t="s">
        <v>5064</v>
      </c>
    </row>
    <row r="2278" spans="1:8">
      <c r="A2278" s="59" t="s">
        <v>3503</v>
      </c>
      <c r="B2278" s="62">
        <v>9</v>
      </c>
      <c r="C2278" s="60" t="s">
        <v>5052</v>
      </c>
      <c r="D2278" s="64">
        <f>IFERROR(VLOOKUP(C2278,測定点マスタ!$E$2:$F$28,2,FALSE)/VLOOKUP(A2278,'焼鈍条件-3CGL'!$A$2:$B$197,2,FALSE)*60,"")</f>
        <v>54.586893518040874</v>
      </c>
      <c r="E2278" s="66">
        <v>332.4</v>
      </c>
      <c r="F2278" s="64">
        <f t="shared" si="35"/>
        <v>-24.107740555555566</v>
      </c>
      <c r="G2278" s="60" t="s">
        <v>9</v>
      </c>
      <c r="H2278" s="60" t="s">
        <v>5064</v>
      </c>
    </row>
    <row r="2279" spans="1:8">
      <c r="A2279" s="59" t="s">
        <v>3503</v>
      </c>
      <c r="B2279" s="62">
        <v>10</v>
      </c>
      <c r="C2279" s="60" t="s">
        <v>5053</v>
      </c>
      <c r="D2279" s="64">
        <f>IFERROR(VLOOKUP(C2279,測定点マスタ!$E$2:$F$28,2,FALSE)/VLOOKUP(A2279,'焼鈍条件-3CGL'!$A$2:$B$197,2,FALSE)*60,"")</f>
        <v>61.339911272850053</v>
      </c>
      <c r="E2279" s="66">
        <v>517.5</v>
      </c>
      <c r="F2279" s="64">
        <f t="shared" si="35"/>
        <v>27.409967916666677</v>
      </c>
      <c r="G2279" s="60" t="s">
        <v>9</v>
      </c>
      <c r="H2279" s="60" t="s">
        <v>5064</v>
      </c>
    </row>
    <row r="2280" spans="1:8">
      <c r="A2280" s="59" t="s">
        <v>3503</v>
      </c>
      <c r="B2280" s="62">
        <v>11</v>
      </c>
      <c r="C2280" s="60" t="s">
        <v>5054</v>
      </c>
      <c r="D2280" s="64">
        <f>IFERROR(VLOOKUP(C2280,測定点マスタ!$E$2:$F$28,2,FALSE)/VLOOKUP(A2280,'焼鈍条件-3CGL'!$A$2:$B$197,2,FALSE)*60,"")</f>
        <v>68.655680507226663</v>
      </c>
      <c r="E2280" s="66">
        <v>502.6</v>
      </c>
      <c r="F2280" s="64">
        <f t="shared" si="35"/>
        <v>-2.0366962820512793</v>
      </c>
      <c r="G2280" s="60" t="s">
        <v>9</v>
      </c>
      <c r="H2280" s="60" t="s">
        <v>5064</v>
      </c>
    </row>
    <row r="2281" spans="1:8">
      <c r="A2281" s="59" t="s">
        <v>3503</v>
      </c>
      <c r="B2281" s="62">
        <v>12</v>
      </c>
      <c r="C2281" s="60" t="s">
        <v>5056</v>
      </c>
      <c r="D2281" s="64">
        <f>IFERROR(VLOOKUP(C2281,測定点マスタ!$E$2:$F$28,2,FALSE)/VLOOKUP(A2281,'焼鈍条件-3CGL'!$A$2:$B$197,2,FALSE)*60,"")</f>
        <v>74.845946782468417</v>
      </c>
      <c r="E2281" s="66">
        <v>259.10000000000002</v>
      </c>
      <c r="F2281" s="64">
        <f t="shared" si="35"/>
        <v>-39.335949242424206</v>
      </c>
      <c r="G2281" s="60" t="s">
        <v>9</v>
      </c>
      <c r="H2281" s="60" t="s">
        <v>5064</v>
      </c>
    </row>
    <row r="2282" spans="1:8">
      <c r="A2282" s="59" t="s">
        <v>3503</v>
      </c>
      <c r="B2282" s="62">
        <v>13</v>
      </c>
      <c r="C2282" s="60" t="s">
        <v>5062</v>
      </c>
      <c r="D2282" s="64">
        <f>IFERROR(VLOOKUP(C2282,測定点マスタ!$E$2:$F$28,2,FALSE)/VLOOKUP(A2282,'焼鈍条件-3CGL'!$A$2:$B$197,2,FALSE)*60,"")</f>
        <v>81.598964537277595</v>
      </c>
      <c r="E2282" s="66">
        <v>460.1</v>
      </c>
      <c r="F2282" s="64">
        <f t="shared" si="35"/>
        <v>29.764470833333341</v>
      </c>
      <c r="G2282" s="60" t="s">
        <v>9</v>
      </c>
      <c r="H2282" s="60" t="s">
        <v>5064</v>
      </c>
    </row>
    <row r="2283" spans="1:8">
      <c r="A2283" s="59" t="s">
        <v>3503</v>
      </c>
      <c r="B2283" s="62">
        <v>14</v>
      </c>
      <c r="C2283" s="60" t="s">
        <v>5065</v>
      </c>
      <c r="D2283" s="64">
        <f>IFERROR(VLOOKUP(C2283,測定点マスタ!$E$2:$F$28,2,FALSE)/VLOOKUP(A2283,'焼鈍条件-3CGL'!$A$2:$B$197,2,FALSE)*60,"")</f>
        <v>82.603877893647834</v>
      </c>
      <c r="E2283" s="66">
        <v>547.4</v>
      </c>
      <c r="F2283" s="64">
        <f t="shared" si="35"/>
        <v>86.873161200015119</v>
      </c>
      <c r="G2283" s="60" t="s">
        <v>9</v>
      </c>
      <c r="H2283" s="60" t="s">
        <v>5064</v>
      </c>
    </row>
    <row r="2284" spans="1:8">
      <c r="A2284" s="59" t="s">
        <v>3503</v>
      </c>
      <c r="B2284" s="62">
        <v>15</v>
      </c>
      <c r="C2284" s="60" t="s">
        <v>5066</v>
      </c>
      <c r="D2284" s="64">
        <f>IFERROR(VLOOKUP(C2284,測定点マスタ!$E$2:$F$28,2,FALSE)/VLOOKUP(A2284,'焼鈍条件-3CGL'!$A$2:$B$197,2,FALSE)*60,"")</f>
        <v>86.000485038180258</v>
      </c>
      <c r="E2284" s="66">
        <v>523.6</v>
      </c>
      <c r="F2284" s="64">
        <f t="shared" si="35"/>
        <v>-7.0069922682436836</v>
      </c>
      <c r="G2284" s="60" t="s">
        <v>9</v>
      </c>
      <c r="H2284" s="60" t="s">
        <v>5064</v>
      </c>
    </row>
    <row r="2285" spans="1:8">
      <c r="A2285" s="59" t="s">
        <v>3503</v>
      </c>
      <c r="B2285" s="62">
        <v>16</v>
      </c>
      <c r="C2285" s="60" t="s">
        <v>5068</v>
      </c>
      <c r="D2285" s="64">
        <f>IFERROR(VLOOKUP(C2285,測定点マスタ!$E$2:$F$28,2,FALSE)/VLOOKUP(A2285,'焼鈍条件-3CGL'!$A$2:$B$197,2,FALSE)*60,"")</f>
        <v>89.397092182712086</v>
      </c>
      <c r="E2285" s="66">
        <v>366</v>
      </c>
      <c r="F2285" s="64">
        <f t="shared" si="35"/>
        <v>-46.399242919134487</v>
      </c>
      <c r="G2285" s="60" t="s">
        <v>9</v>
      </c>
      <c r="H2285" s="60" t="s">
        <v>5064</v>
      </c>
    </row>
    <row r="2286" spans="1:8">
      <c r="A2286" s="59" t="s">
        <v>3503</v>
      </c>
      <c r="B2286" s="62">
        <v>17</v>
      </c>
      <c r="C2286" s="60" t="s">
        <v>5057</v>
      </c>
      <c r="D2286" s="64">
        <f>IFERROR(VLOOKUP(C2286,測定点マスタ!$E$2:$F$28,2,FALSE)/VLOOKUP(A2286,'焼鈍条件-3CGL'!$A$2:$B$197,2,FALSE)*60,"")</f>
        <v>92.793699327243914</v>
      </c>
      <c r="E2286" s="66">
        <v>268.10000000000002</v>
      </c>
      <c r="F2286" s="64">
        <f t="shared" si="35"/>
        <v>-28.82287996055371</v>
      </c>
      <c r="G2286" s="60" t="s">
        <v>9</v>
      </c>
      <c r="H2286" s="60" t="s">
        <v>5064</v>
      </c>
    </row>
    <row r="2287" spans="1:8">
      <c r="A2287" s="59" t="s">
        <v>3503</v>
      </c>
      <c r="B2287" s="62">
        <v>18</v>
      </c>
      <c r="C2287" s="60" t="s">
        <v>5059</v>
      </c>
      <c r="D2287" s="64">
        <f>IFERROR(VLOOKUP(C2287,測定点マスタ!$E$2:$F$28,2,FALSE)/VLOOKUP(A2287,'焼鈍条件-3CGL'!$A$2:$B$197,2,FALSE)*60,"")</f>
        <v>99.586913616308166</v>
      </c>
      <c r="E2287" s="66">
        <v>50.4</v>
      </c>
      <c r="F2287" s="64">
        <f t="shared" si="35"/>
        <v>-32.046685226823257</v>
      </c>
      <c r="G2287" s="60" t="s">
        <v>9</v>
      </c>
      <c r="H2287" s="60" t="s">
        <v>5064</v>
      </c>
    </row>
    <row r="2288" spans="1:8">
      <c r="A2288" s="59" t="s">
        <v>3506</v>
      </c>
      <c r="B2288" s="62">
        <v>1</v>
      </c>
      <c r="C2288" s="60" t="s">
        <v>5041</v>
      </c>
      <c r="D2288" s="64">
        <f>IFERROR(VLOOKUP(C2288,測定点マスタ!$E$2:$F$28,2,FALSE)/VLOOKUP(A2288,'焼鈍条件-3CGL'!$A$2:$B$197,2,FALSE)*60,"")</f>
        <v>0</v>
      </c>
      <c r="E2288" s="66">
        <v>33</v>
      </c>
      <c r="F2288" s="64" t="str">
        <f t="shared" si="35"/>
        <v/>
      </c>
      <c r="G2288" s="60" t="s">
        <v>12</v>
      </c>
      <c r="H2288" s="60" t="s">
        <v>5061</v>
      </c>
    </row>
    <row r="2289" spans="1:8">
      <c r="A2289" s="59" t="s">
        <v>3506</v>
      </c>
      <c r="B2289" s="62">
        <v>2</v>
      </c>
      <c r="C2289" s="60" t="s">
        <v>5043</v>
      </c>
      <c r="D2289" s="64">
        <f>IFERROR(VLOOKUP(C2289,測定点マスタ!$E$2:$F$28,2,FALSE)/VLOOKUP(A2289,'焼鈍条件-3CGL'!$A$2:$B$197,2,FALSE)*60,"")</f>
        <v>8.5802539755176763</v>
      </c>
      <c r="E2289" s="66">
        <v>188.3</v>
      </c>
      <c r="F2289" s="64">
        <f t="shared" si="35"/>
        <v>18.099697333333332</v>
      </c>
      <c r="G2289" s="60" t="s">
        <v>12</v>
      </c>
      <c r="H2289" s="60" t="s">
        <v>5061</v>
      </c>
    </row>
    <row r="2290" spans="1:8">
      <c r="A2290" s="59" t="s">
        <v>3506</v>
      </c>
      <c r="B2290" s="62">
        <v>3</v>
      </c>
      <c r="C2290" s="60" t="s">
        <v>5044</v>
      </c>
      <c r="D2290" s="64">
        <f>IFERROR(VLOOKUP(C2290,測定点マスタ!$E$2:$F$28,2,FALSE)/VLOOKUP(A2290,'焼鈍条件-3CGL'!$A$2:$B$197,2,FALSE)*60,"")</f>
        <v>19.448575677840065</v>
      </c>
      <c r="E2290" s="66">
        <v>668.5</v>
      </c>
      <c r="F2290" s="64">
        <f t="shared" si="35"/>
        <v>44.183454736842101</v>
      </c>
      <c r="G2290" s="60" t="s">
        <v>12</v>
      </c>
      <c r="H2290" s="60" t="s">
        <v>5061</v>
      </c>
    </row>
    <row r="2291" spans="1:8">
      <c r="A2291" s="59" t="s">
        <v>3506</v>
      </c>
      <c r="B2291" s="62">
        <v>4</v>
      </c>
      <c r="C2291" s="60" t="s">
        <v>5045</v>
      </c>
      <c r="D2291" s="64">
        <f>IFERROR(VLOOKUP(C2291,測定点マスタ!$E$2:$F$28,2,FALSE)/VLOOKUP(A2291,'焼鈍条件-3CGL'!$A$2:$B$197,2,FALSE)*60,"")</f>
        <v>25.168744994851849</v>
      </c>
      <c r="E2291" s="66">
        <v>799.2</v>
      </c>
      <c r="F2291" s="64">
        <f t="shared" si="35"/>
        <v>22.848974000000005</v>
      </c>
      <c r="G2291" s="60" t="s">
        <v>12</v>
      </c>
      <c r="H2291" s="60" t="s">
        <v>5061</v>
      </c>
    </row>
    <row r="2292" spans="1:8">
      <c r="A2292" s="59" t="s">
        <v>3506</v>
      </c>
      <c r="B2292" s="62">
        <v>5</v>
      </c>
      <c r="C2292" s="60" t="s">
        <v>5046</v>
      </c>
      <c r="D2292" s="64">
        <f>IFERROR(VLOOKUP(C2292,測定点マスタ!$E$2:$F$28,2,FALSE)/VLOOKUP(A2292,'焼鈍条件-3CGL'!$A$2:$B$197,2,FALSE)*60,"")</f>
        <v>30.888914311863637</v>
      </c>
      <c r="E2292" s="66">
        <v>776.5</v>
      </c>
      <c r="F2292" s="64">
        <f t="shared" si="35"/>
        <v>-3.968414000000005</v>
      </c>
      <c r="G2292" s="60" t="s">
        <v>12</v>
      </c>
      <c r="H2292" s="60" t="s">
        <v>5061</v>
      </c>
    </row>
    <row r="2293" spans="1:8">
      <c r="A2293" s="59" t="s">
        <v>3506</v>
      </c>
      <c r="B2293" s="62">
        <v>6</v>
      </c>
      <c r="C2293" s="60" t="s">
        <v>5047</v>
      </c>
      <c r="D2293" s="64">
        <f>IFERROR(VLOOKUP(C2293,測定点マスタ!$E$2:$F$28,2,FALSE)/VLOOKUP(A2293,'焼鈍条件-3CGL'!$A$2:$B$197,2,FALSE)*60,"")</f>
        <v>34.321015902070705</v>
      </c>
      <c r="E2293" s="66">
        <v>708.9</v>
      </c>
      <c r="F2293" s="64">
        <f t="shared" si="35"/>
        <v>-19.696386666666683</v>
      </c>
      <c r="G2293" s="60" t="s">
        <v>12</v>
      </c>
      <c r="H2293" s="60" t="s">
        <v>5061</v>
      </c>
    </row>
    <row r="2294" spans="1:8">
      <c r="A2294" s="59" t="s">
        <v>3506</v>
      </c>
      <c r="B2294" s="62">
        <v>7</v>
      </c>
      <c r="C2294" s="60" t="s">
        <v>5048</v>
      </c>
      <c r="D2294" s="64">
        <f>IFERROR(VLOOKUP(C2294,測定点マスタ!$E$2:$F$28,2,FALSE)/VLOOKUP(A2294,'焼鈍条件-3CGL'!$A$2:$B$197,2,FALSE)*60,"")</f>
        <v>37.753117492277774</v>
      </c>
      <c r="E2294" s="66">
        <v>709.5</v>
      </c>
      <c r="F2294" s="64">
        <f t="shared" si="35"/>
        <v>0.17482000000000672</v>
      </c>
      <c r="G2294" s="60" t="s">
        <v>12</v>
      </c>
      <c r="H2294" s="60" t="s">
        <v>5061</v>
      </c>
    </row>
    <row r="2295" spans="1:8">
      <c r="A2295" s="59" t="s">
        <v>3506</v>
      </c>
      <c r="B2295" s="62">
        <v>8</v>
      </c>
      <c r="C2295" s="60" t="s">
        <v>5049</v>
      </c>
      <c r="D2295" s="64">
        <f>IFERROR(VLOOKUP(C2295,測定点マスタ!$E$2:$F$28,2,FALSE)/VLOOKUP(A2295,'焼鈍条件-3CGL'!$A$2:$B$197,2,FALSE)*60,"")</f>
        <v>41.75723601418602</v>
      </c>
      <c r="E2295" s="66">
        <v>569.4</v>
      </c>
      <c r="F2295" s="64">
        <f t="shared" si="35"/>
        <v>-34.988974285714306</v>
      </c>
      <c r="G2295" s="60" t="s">
        <v>12</v>
      </c>
      <c r="H2295" s="60" t="s">
        <v>5061</v>
      </c>
    </row>
    <row r="2296" spans="1:8">
      <c r="A2296" s="59" t="s">
        <v>3506</v>
      </c>
      <c r="B2296" s="62">
        <v>9</v>
      </c>
      <c r="C2296" s="60" t="s">
        <v>5050</v>
      </c>
      <c r="D2296" s="64">
        <f>IFERROR(VLOOKUP(C2296,測定点マスタ!$E$2:$F$28,2,FALSE)/VLOOKUP(A2296,'焼鈍条件-3CGL'!$A$2:$B$197,2,FALSE)*60,"")</f>
        <v>46.333371467795452</v>
      </c>
      <c r="E2296" s="66">
        <v>504.8</v>
      </c>
      <c r="F2296" s="64">
        <f t="shared" si="35"/>
        <v>-14.116714999999978</v>
      </c>
      <c r="G2296" s="60" t="s">
        <v>12</v>
      </c>
      <c r="H2296" s="60" t="s">
        <v>5061</v>
      </c>
    </row>
    <row r="2297" spans="1:8">
      <c r="A2297" s="59" t="s">
        <v>3506</v>
      </c>
      <c r="B2297" s="62">
        <v>10</v>
      </c>
      <c r="C2297" s="60" t="s">
        <v>5051</v>
      </c>
      <c r="D2297" s="64">
        <f>IFERROR(VLOOKUP(C2297,測定点マスタ!$E$2:$F$28,2,FALSE)/VLOOKUP(A2297,'焼鈍条件-3CGL'!$A$2:$B$197,2,FALSE)*60,"")</f>
        <v>50.337489989703698</v>
      </c>
      <c r="E2297" s="66">
        <v>464.2</v>
      </c>
      <c r="F2297" s="64">
        <f t="shared" si="35"/>
        <v>-10.13956000000001</v>
      </c>
      <c r="G2297" s="60" t="s">
        <v>12</v>
      </c>
      <c r="H2297" s="60" t="s">
        <v>5061</v>
      </c>
    </row>
    <row r="2298" spans="1:8">
      <c r="A2298" s="59" t="s">
        <v>3506</v>
      </c>
      <c r="B2298" s="62">
        <v>11</v>
      </c>
      <c r="C2298" s="60" t="s">
        <v>5052</v>
      </c>
      <c r="D2298" s="64">
        <f>IFERROR(VLOOKUP(C2298,測定点マスタ!$E$2:$F$28,2,FALSE)/VLOOKUP(A2298,'焼鈍条件-3CGL'!$A$2:$B$197,2,FALSE)*60,"")</f>
        <v>55.485642375014308</v>
      </c>
      <c r="E2298" s="66">
        <v>328.2</v>
      </c>
      <c r="F2298" s="64">
        <f t="shared" si="35"/>
        <v>-26.417244444444421</v>
      </c>
      <c r="G2298" s="60" t="s">
        <v>12</v>
      </c>
      <c r="H2298" s="60" t="s">
        <v>5061</v>
      </c>
    </row>
    <row r="2299" spans="1:8">
      <c r="A2299" s="59" t="s">
        <v>3506</v>
      </c>
      <c r="B2299" s="62">
        <v>12</v>
      </c>
      <c r="C2299" s="60" t="s">
        <v>5069</v>
      </c>
      <c r="D2299" s="64">
        <f>IFERROR(VLOOKUP(C2299,測定点マスタ!$E$2:$F$28,2,FALSE)/VLOOKUP(A2299,'焼鈍条件-3CGL'!$A$2:$B$197,2,FALSE)*60,"")</f>
        <v>59.489760896922554</v>
      </c>
      <c r="E2299" s="66">
        <v>519.5</v>
      </c>
      <c r="F2299" s="64">
        <f t="shared" si="35"/>
        <v>47.775808571428598</v>
      </c>
      <c r="G2299" s="60" t="s">
        <v>12</v>
      </c>
      <c r="H2299" s="60" t="s">
        <v>5061</v>
      </c>
    </row>
    <row r="2300" spans="1:8">
      <c r="A2300" s="59" t="s">
        <v>3506</v>
      </c>
      <c r="B2300" s="62">
        <v>13</v>
      </c>
      <c r="C2300" s="60" t="s">
        <v>5053</v>
      </c>
      <c r="D2300" s="64">
        <f>IFERROR(VLOOKUP(C2300,測定点マスタ!$E$2:$F$28,2,FALSE)/VLOOKUP(A2300,'焼鈍条件-3CGL'!$A$2:$B$197,2,FALSE)*60,"")</f>
        <v>62.349845555428452</v>
      </c>
      <c r="E2300" s="66">
        <v>518.70000000000005</v>
      </c>
      <c r="F2300" s="64">
        <f t="shared" si="35"/>
        <v>-0.27971199999998353</v>
      </c>
      <c r="G2300" s="60" t="s">
        <v>12</v>
      </c>
      <c r="H2300" s="60" t="s">
        <v>5061</v>
      </c>
    </row>
    <row r="2301" spans="1:8">
      <c r="A2301" s="59" t="s">
        <v>3506</v>
      </c>
      <c r="B2301" s="62">
        <v>14</v>
      </c>
      <c r="C2301" s="60" t="s">
        <v>5054</v>
      </c>
      <c r="D2301" s="64">
        <f>IFERROR(VLOOKUP(C2301,測定点マスタ!$E$2:$F$28,2,FALSE)/VLOOKUP(A2301,'焼鈍条件-3CGL'!$A$2:$B$197,2,FALSE)*60,"")</f>
        <v>69.786065667543767</v>
      </c>
      <c r="E2301" s="66">
        <v>510.4</v>
      </c>
      <c r="F2301" s="64">
        <f t="shared" si="35"/>
        <v>-1.1161584615384712</v>
      </c>
      <c r="G2301" s="60" t="s">
        <v>12</v>
      </c>
      <c r="H2301" s="60" t="s">
        <v>5061</v>
      </c>
    </row>
    <row r="2302" spans="1:8">
      <c r="A2302" s="59" t="s">
        <v>3506</v>
      </c>
      <c r="B2302" s="62">
        <v>15</v>
      </c>
      <c r="C2302" s="60" t="s">
        <v>5056</v>
      </c>
      <c r="D2302" s="64">
        <f>IFERROR(VLOOKUP(C2302,測定点マスタ!$E$2:$F$28,2,FALSE)/VLOOKUP(A2302,'焼鈍条件-3CGL'!$A$2:$B$197,2,FALSE)*60,"")</f>
        <v>76.078251916256718</v>
      </c>
      <c r="E2302" s="66">
        <v>274.2</v>
      </c>
      <c r="F2302" s="64">
        <f t="shared" si="35"/>
        <v>-37.53862181818188</v>
      </c>
      <c r="G2302" s="60" t="s">
        <v>12</v>
      </c>
      <c r="H2302" s="60" t="s">
        <v>5061</v>
      </c>
    </row>
    <row r="2303" spans="1:8">
      <c r="A2303" s="59" t="s">
        <v>3506</v>
      </c>
      <c r="B2303" s="62">
        <v>16</v>
      </c>
      <c r="C2303" s="60" t="s">
        <v>5062</v>
      </c>
      <c r="D2303" s="64">
        <f>IFERROR(VLOOKUP(C2303,測定点マスタ!$E$2:$F$28,2,FALSE)/VLOOKUP(A2303,'焼鈍条件-3CGL'!$A$2:$B$197,2,FALSE)*60,"")</f>
        <v>82.942455096670855</v>
      </c>
      <c r="E2303" s="66">
        <v>459.6</v>
      </c>
      <c r="F2303" s="64">
        <f t="shared" si="35"/>
        <v>27.009690000000017</v>
      </c>
      <c r="G2303" s="60" t="s">
        <v>12</v>
      </c>
      <c r="H2303" s="60" t="s">
        <v>5061</v>
      </c>
    </row>
    <row r="2304" spans="1:8">
      <c r="A2304" s="59" t="s">
        <v>3506</v>
      </c>
      <c r="B2304" s="62">
        <v>17</v>
      </c>
      <c r="C2304" s="60" t="s">
        <v>5068</v>
      </c>
      <c r="D2304" s="64">
        <f>IFERROR(VLOOKUP(C2304,測定点マスタ!$E$2:$F$28,2,FALSE)/VLOOKUP(A2304,'焼鈍条件-3CGL'!$A$2:$B$197,2,FALSE)*60,"")</f>
        <v>90.868975435958703</v>
      </c>
      <c r="E2304" s="66">
        <v>386.7</v>
      </c>
      <c r="F2304" s="64">
        <f t="shared" si="35"/>
        <v>-9.196973814432889</v>
      </c>
      <c r="G2304" s="60" t="s">
        <v>12</v>
      </c>
      <c r="H2304" s="60" t="s">
        <v>5061</v>
      </c>
    </row>
    <row r="2305" spans="1:8">
      <c r="A2305" s="59" t="s">
        <v>3506</v>
      </c>
      <c r="B2305" s="62">
        <v>18</v>
      </c>
      <c r="C2305" s="60" t="s">
        <v>5057</v>
      </c>
      <c r="D2305" s="64">
        <f>IFERROR(VLOOKUP(C2305,測定点マスタ!$E$2:$F$28,2,FALSE)/VLOOKUP(A2305,'焼鈍条件-3CGL'!$A$2:$B$197,2,FALSE)*60,"")</f>
        <v>94.321506202297797</v>
      </c>
      <c r="E2305" s="66">
        <v>179.7</v>
      </c>
      <c r="F2305" s="64">
        <f t="shared" si="35"/>
        <v>-59.956018934914027</v>
      </c>
      <c r="G2305" s="60" t="s">
        <v>12</v>
      </c>
      <c r="H2305" s="60" t="s">
        <v>5061</v>
      </c>
    </row>
    <row r="2306" spans="1:8">
      <c r="A2306" s="59" t="s">
        <v>3506</v>
      </c>
      <c r="B2306" s="62">
        <v>19</v>
      </c>
      <c r="C2306" s="60" t="s">
        <v>5058</v>
      </c>
      <c r="D2306" s="64">
        <f>IFERROR(VLOOKUP(C2306,測定点マスタ!$E$2:$F$28,2,FALSE)/VLOOKUP(A2306,'焼鈍条件-3CGL'!$A$2:$B$197,2,FALSE)*60,"")</f>
        <v>97.774036968636878</v>
      </c>
      <c r="E2306" s="66">
        <v>125.1</v>
      </c>
      <c r="F2306" s="64">
        <f t="shared" ref="F2306:F2369" si="36">IF(A2306=A2305,IFERROR((E2306-E2305)/(D2306-D2305),""),"")</f>
        <v>-15.814486153846952</v>
      </c>
      <c r="G2306" s="60" t="s">
        <v>12</v>
      </c>
      <c r="H2306" s="60" t="s">
        <v>5061</v>
      </c>
    </row>
    <row r="2307" spans="1:8">
      <c r="A2307" s="59" t="s">
        <v>3506</v>
      </c>
      <c r="B2307" s="62">
        <v>20</v>
      </c>
      <c r="C2307" s="60" t="s">
        <v>5059</v>
      </c>
      <c r="D2307" s="64">
        <f>IFERROR(VLOOKUP(C2307,測定点マスタ!$E$2:$F$28,2,FALSE)/VLOOKUP(A2307,'焼鈍条件-3CGL'!$A$2:$B$197,2,FALSE)*60,"")</f>
        <v>101.22656773497656</v>
      </c>
      <c r="E2307" s="66">
        <v>68.099999999999994</v>
      </c>
      <c r="F2307" s="64">
        <f t="shared" si="36"/>
        <v>-16.509628402364843</v>
      </c>
      <c r="G2307" s="60" t="s">
        <v>12</v>
      </c>
      <c r="H2307" s="60" t="s">
        <v>5061</v>
      </c>
    </row>
    <row r="2308" spans="1:8">
      <c r="A2308" s="59" t="s">
        <v>3513</v>
      </c>
      <c r="B2308" s="62">
        <v>1</v>
      </c>
      <c r="C2308" s="60" t="s">
        <v>5041</v>
      </c>
      <c r="D2308" s="64">
        <f>IFERROR(VLOOKUP(C2308,測定点マスタ!$E$2:$F$28,2,FALSE)/VLOOKUP(A2308,'焼鈍条件-3CGL'!$A$2:$B$197,2,FALSE)*60,"")</f>
        <v>0</v>
      </c>
      <c r="E2308" s="66">
        <v>33.9</v>
      </c>
      <c r="F2308" s="64" t="str">
        <f t="shared" si="36"/>
        <v/>
      </c>
      <c r="G2308" s="60" t="s">
        <v>9</v>
      </c>
      <c r="H2308" s="60" t="s">
        <v>5064</v>
      </c>
    </row>
    <row r="2309" spans="1:8">
      <c r="A2309" s="59" t="s">
        <v>3513</v>
      </c>
      <c r="B2309" s="62">
        <v>2</v>
      </c>
      <c r="C2309" s="60" t="s">
        <v>5043</v>
      </c>
      <c r="D2309" s="64">
        <f>IFERROR(VLOOKUP(C2309,測定点マスタ!$E$2:$F$28,2,FALSE)/VLOOKUP(A2309,'焼鈍条件-3CGL'!$A$2:$B$197,2,FALSE)*60,"")</f>
        <v>9.9017526102120073</v>
      </c>
      <c r="E2309" s="66">
        <v>167</v>
      </c>
      <c r="F2309" s="64">
        <f t="shared" si="36"/>
        <v>13.442064777777778</v>
      </c>
      <c r="G2309" s="60" t="s">
        <v>9</v>
      </c>
      <c r="H2309" s="60" t="s">
        <v>5064</v>
      </c>
    </row>
    <row r="2310" spans="1:8">
      <c r="A2310" s="59" t="s">
        <v>3513</v>
      </c>
      <c r="B2310" s="62">
        <v>3</v>
      </c>
      <c r="C2310" s="60" t="s">
        <v>5067</v>
      </c>
      <c r="D2310" s="64">
        <f>IFERROR(VLOOKUP(C2310,測定点マスタ!$E$2:$F$28,2,FALSE)/VLOOKUP(A2310,'焼鈍条件-3CGL'!$A$2:$B$197,2,FALSE)*60,"")</f>
        <v>16.502921017020011</v>
      </c>
      <c r="E2310" s="66">
        <v>385.8</v>
      </c>
      <c r="F2310" s="64">
        <f t="shared" si="36"/>
        <v>33.145647333333343</v>
      </c>
      <c r="G2310" s="60" t="s">
        <v>9</v>
      </c>
      <c r="H2310" s="60" t="s">
        <v>5064</v>
      </c>
    </row>
    <row r="2311" spans="1:8">
      <c r="A2311" s="59" t="s">
        <v>3513</v>
      </c>
      <c r="B2311" s="62">
        <v>4</v>
      </c>
      <c r="C2311" s="60" t="s">
        <v>5044</v>
      </c>
      <c r="D2311" s="64">
        <f>IFERROR(VLOOKUP(C2311,測定点マスタ!$E$2:$F$28,2,FALSE)/VLOOKUP(A2311,'焼鈍条件-3CGL'!$A$2:$B$197,2,FALSE)*60,"")</f>
        <v>22.443972583147218</v>
      </c>
      <c r="E2311" s="66">
        <v>640.4</v>
      </c>
      <c r="F2311" s="64">
        <f t="shared" si="36"/>
        <v>42.85436629629627</v>
      </c>
      <c r="G2311" s="60" t="s">
        <v>9</v>
      </c>
      <c r="H2311" s="60" t="s">
        <v>5064</v>
      </c>
    </row>
    <row r="2312" spans="1:8">
      <c r="A2312" s="59" t="s">
        <v>3513</v>
      </c>
      <c r="B2312" s="62">
        <v>5</v>
      </c>
      <c r="C2312" s="60" t="s">
        <v>5045</v>
      </c>
      <c r="D2312" s="64">
        <f>IFERROR(VLOOKUP(C2312,測定点マスタ!$E$2:$F$28,2,FALSE)/VLOOKUP(A2312,'焼鈍条件-3CGL'!$A$2:$B$197,2,FALSE)*60,"")</f>
        <v>29.045140989955222</v>
      </c>
      <c r="E2312" s="66">
        <v>807.3</v>
      </c>
      <c r="F2312" s="64">
        <f t="shared" si="36"/>
        <v>25.283402833333334</v>
      </c>
      <c r="G2312" s="60" t="s">
        <v>9</v>
      </c>
      <c r="H2312" s="60" t="s">
        <v>5064</v>
      </c>
    </row>
    <row r="2313" spans="1:8">
      <c r="A2313" s="59" t="s">
        <v>3513</v>
      </c>
      <c r="B2313" s="62">
        <v>6</v>
      </c>
      <c r="C2313" s="60" t="s">
        <v>5047</v>
      </c>
      <c r="D2313" s="64">
        <f>IFERROR(VLOOKUP(C2313,測定点マスタ!$E$2:$F$28,2,FALSE)/VLOOKUP(A2313,'焼鈍条件-3CGL'!$A$2:$B$197,2,FALSE)*60,"")</f>
        <v>39.607010440848029</v>
      </c>
      <c r="E2313" s="66">
        <v>753.5</v>
      </c>
      <c r="F2313" s="64">
        <f t="shared" si="36"/>
        <v>-5.0937952083333293</v>
      </c>
      <c r="G2313" s="60" t="s">
        <v>9</v>
      </c>
      <c r="H2313" s="60" t="s">
        <v>5064</v>
      </c>
    </row>
    <row r="2314" spans="1:8">
      <c r="A2314" s="59" t="s">
        <v>3513</v>
      </c>
      <c r="B2314" s="62">
        <v>7</v>
      </c>
      <c r="C2314" s="60" t="s">
        <v>5049</v>
      </c>
      <c r="D2314" s="64">
        <f>IFERROR(VLOOKUP(C2314,測定点マスタ!$E$2:$F$28,2,FALSE)/VLOOKUP(A2314,'焼鈍条件-3CGL'!$A$2:$B$197,2,FALSE)*60,"")</f>
        <v>48.188529369698436</v>
      </c>
      <c r="E2314" s="66">
        <v>585</v>
      </c>
      <c r="F2314" s="64">
        <f t="shared" si="36"/>
        <v>-19.635218589743587</v>
      </c>
      <c r="G2314" s="60" t="s">
        <v>9</v>
      </c>
      <c r="H2314" s="60" t="s">
        <v>5064</v>
      </c>
    </row>
    <row r="2315" spans="1:8">
      <c r="A2315" s="59" t="s">
        <v>3513</v>
      </c>
      <c r="B2315" s="62">
        <v>8</v>
      </c>
      <c r="C2315" s="60" t="s">
        <v>5050</v>
      </c>
      <c r="D2315" s="64">
        <f>IFERROR(VLOOKUP(C2315,測定点マスタ!$E$2:$F$28,2,FALSE)/VLOOKUP(A2315,'焼鈍条件-3CGL'!$A$2:$B$197,2,FALSE)*60,"")</f>
        <v>53.469464095144843</v>
      </c>
      <c r="E2315" s="66">
        <v>489.6</v>
      </c>
      <c r="F2315" s="64">
        <f t="shared" si="36"/>
        <v>-18.064983749999985</v>
      </c>
      <c r="G2315" s="60" t="s">
        <v>9</v>
      </c>
      <c r="H2315" s="60" t="s">
        <v>5064</v>
      </c>
    </row>
    <row r="2316" spans="1:8">
      <c r="A2316" s="59" t="s">
        <v>3513</v>
      </c>
      <c r="B2316" s="62">
        <v>9</v>
      </c>
      <c r="C2316" s="60" t="s">
        <v>5051</v>
      </c>
      <c r="D2316" s="64">
        <f>IFERROR(VLOOKUP(C2316,測定点マスタ!$E$2:$F$28,2,FALSE)/VLOOKUP(A2316,'焼鈍条件-3CGL'!$A$2:$B$197,2,FALSE)*60,"")</f>
        <v>58.090281979910444</v>
      </c>
      <c r="E2316" s="66">
        <v>429.5</v>
      </c>
      <c r="F2316" s="64">
        <f t="shared" si="36"/>
        <v>-13.006355476190491</v>
      </c>
      <c r="G2316" s="60" t="s">
        <v>9</v>
      </c>
      <c r="H2316" s="60" t="s">
        <v>5064</v>
      </c>
    </row>
    <row r="2317" spans="1:8">
      <c r="A2317" s="59" t="s">
        <v>3513</v>
      </c>
      <c r="B2317" s="62">
        <v>10</v>
      </c>
      <c r="C2317" s="60" t="s">
        <v>5052</v>
      </c>
      <c r="D2317" s="64">
        <f>IFERROR(VLOOKUP(C2317,測定点マスタ!$E$2:$F$28,2,FALSE)/VLOOKUP(A2317,'焼鈍条件-3CGL'!$A$2:$B$197,2,FALSE)*60,"")</f>
        <v>64.031333546037644</v>
      </c>
      <c r="E2317" s="66">
        <v>356</v>
      </c>
      <c r="F2317" s="64">
        <f t="shared" si="36"/>
        <v>-12.371547222222231</v>
      </c>
      <c r="G2317" s="60" t="s">
        <v>9</v>
      </c>
      <c r="H2317" s="60" t="s">
        <v>5064</v>
      </c>
    </row>
    <row r="2318" spans="1:8">
      <c r="A2318" s="59" t="s">
        <v>3513</v>
      </c>
      <c r="B2318" s="62">
        <v>11</v>
      </c>
      <c r="C2318" s="60" t="s">
        <v>5053</v>
      </c>
      <c r="D2318" s="64">
        <f>IFERROR(VLOOKUP(C2318,測定点マスタ!$E$2:$F$28,2,FALSE)/VLOOKUP(A2318,'焼鈍条件-3CGL'!$A$2:$B$197,2,FALSE)*60,"")</f>
        <v>71.952735634207258</v>
      </c>
      <c r="E2318" s="66">
        <v>518.29999999999995</v>
      </c>
      <c r="F2318" s="64">
        <f t="shared" si="36"/>
        <v>20.488797083333306</v>
      </c>
      <c r="G2318" s="60" t="s">
        <v>9</v>
      </c>
      <c r="H2318" s="60" t="s">
        <v>5064</v>
      </c>
    </row>
    <row r="2319" spans="1:8">
      <c r="A2319" s="59" t="s">
        <v>3513</v>
      </c>
      <c r="B2319" s="62">
        <v>12</v>
      </c>
      <c r="C2319" s="60" t="s">
        <v>5063</v>
      </c>
      <c r="D2319" s="64">
        <f>IFERROR(VLOOKUP(C2319,測定点マスタ!$E$2:$F$28,2,FALSE)/VLOOKUP(A2319,'焼鈍条件-3CGL'!$A$2:$B$197,2,FALSE)*60,"")</f>
        <v>75.913436678292058</v>
      </c>
      <c r="E2319" s="66">
        <v>527</v>
      </c>
      <c r="F2319" s="64">
        <f t="shared" si="36"/>
        <v>2.1965808333333463</v>
      </c>
      <c r="G2319" s="60" t="s">
        <v>9</v>
      </c>
      <c r="H2319" s="60" t="s">
        <v>5064</v>
      </c>
    </row>
    <row r="2320" spans="1:8">
      <c r="A2320" s="59" t="s">
        <v>3513</v>
      </c>
      <c r="B2320" s="62">
        <v>13</v>
      </c>
      <c r="C2320" s="60" t="s">
        <v>5054</v>
      </c>
      <c r="D2320" s="64">
        <f>IFERROR(VLOOKUP(C2320,測定点マスタ!$E$2:$F$28,2,FALSE)/VLOOKUP(A2320,'焼鈍条件-3CGL'!$A$2:$B$197,2,FALSE)*60,"")</f>
        <v>80.534254563057658</v>
      </c>
      <c r="E2320" s="66">
        <v>509.4</v>
      </c>
      <c r="F2320" s="64">
        <f t="shared" si="36"/>
        <v>-3.8088495238095317</v>
      </c>
      <c r="G2320" s="60" t="s">
        <v>9</v>
      </c>
      <c r="H2320" s="60" t="s">
        <v>5064</v>
      </c>
    </row>
    <row r="2321" spans="1:8">
      <c r="A2321" s="59" t="s">
        <v>3513</v>
      </c>
      <c r="B2321" s="62">
        <v>14</v>
      </c>
      <c r="C2321" s="60" t="s">
        <v>5055</v>
      </c>
      <c r="D2321" s="64">
        <f>IFERROR(VLOOKUP(C2321,測定点マスタ!$E$2:$F$28,2,FALSE)/VLOOKUP(A2321,'焼鈍条件-3CGL'!$A$2:$B$197,2,FALSE)*60,"")</f>
        <v>83.834838766461658</v>
      </c>
      <c r="E2321" s="66">
        <v>562.70000000000005</v>
      </c>
      <c r="F2321" s="64">
        <f t="shared" si="36"/>
        <v>16.148656333333367</v>
      </c>
      <c r="G2321" s="60" t="s">
        <v>9</v>
      </c>
      <c r="H2321" s="60" t="s">
        <v>5064</v>
      </c>
    </row>
    <row r="2322" spans="1:8">
      <c r="A2322" s="59" t="s">
        <v>3513</v>
      </c>
      <c r="B2322" s="62">
        <v>15</v>
      </c>
      <c r="C2322" s="60" t="s">
        <v>5056</v>
      </c>
      <c r="D2322" s="64">
        <f>IFERROR(VLOOKUP(C2322,測定点マスタ!$E$2:$F$28,2,FALSE)/VLOOKUP(A2322,'焼鈍条件-3CGL'!$A$2:$B$197,2,FALSE)*60,"")</f>
        <v>87.795539810546472</v>
      </c>
      <c r="E2322" s="66">
        <v>284.2</v>
      </c>
      <c r="F2322" s="64">
        <f t="shared" si="36"/>
        <v>-70.315834722222036</v>
      </c>
      <c r="G2322" s="60" t="s">
        <v>9</v>
      </c>
      <c r="H2322" s="60" t="s">
        <v>5064</v>
      </c>
    </row>
    <row r="2323" spans="1:8">
      <c r="A2323" s="59" t="s">
        <v>3513</v>
      </c>
      <c r="B2323" s="62">
        <v>16</v>
      </c>
      <c r="C2323" s="60" t="s">
        <v>5062</v>
      </c>
      <c r="D2323" s="64">
        <f>IFERROR(VLOOKUP(C2323,測定点マスタ!$E$2:$F$28,2,FALSE)/VLOOKUP(A2323,'焼鈍条件-3CGL'!$A$2:$B$197,2,FALSE)*60,"")</f>
        <v>95.716941898716073</v>
      </c>
      <c r="E2323" s="66">
        <v>461.3</v>
      </c>
      <c r="F2323" s="64">
        <f t="shared" si="36"/>
        <v>22.357153194444464</v>
      </c>
      <c r="G2323" s="60" t="s">
        <v>9</v>
      </c>
      <c r="H2323" s="60" t="s">
        <v>5064</v>
      </c>
    </row>
    <row r="2324" spans="1:8">
      <c r="A2324" s="59" t="s">
        <v>3513</v>
      </c>
      <c r="B2324" s="62">
        <v>17</v>
      </c>
      <c r="C2324" s="60" t="s">
        <v>5065</v>
      </c>
      <c r="D2324" s="64">
        <f>IFERROR(VLOOKUP(C2324,測定点マスタ!$E$2:$F$28,2,FALSE)/VLOOKUP(A2324,'焼鈍条件-3CGL'!$A$2:$B$197,2,FALSE)*60,"")</f>
        <v>96.895721971360175</v>
      </c>
      <c r="E2324" s="66">
        <v>533.70000000000005</v>
      </c>
      <c r="F2324" s="64">
        <f t="shared" si="36"/>
        <v>61.419429866676317</v>
      </c>
      <c r="G2324" s="60" t="s">
        <v>9</v>
      </c>
      <c r="H2324" s="60" t="s">
        <v>5064</v>
      </c>
    </row>
    <row r="2325" spans="1:8">
      <c r="A2325" s="59" t="s">
        <v>3513</v>
      </c>
      <c r="B2325" s="62">
        <v>18</v>
      </c>
      <c r="C2325" s="60" t="s">
        <v>5066</v>
      </c>
      <c r="D2325" s="64">
        <f>IFERROR(VLOOKUP(C2325,測定点マスタ!$E$2:$F$28,2,FALSE)/VLOOKUP(A2325,'焼鈍条件-3CGL'!$A$2:$B$197,2,FALSE)*60,"")</f>
        <v>100.87999861689835</v>
      </c>
      <c r="E2325" s="66">
        <v>513.20000000000005</v>
      </c>
      <c r="F2325" s="64">
        <f t="shared" si="36"/>
        <v>-5.1452250493090386</v>
      </c>
      <c r="G2325" s="60" t="s">
        <v>9</v>
      </c>
      <c r="H2325" s="60" t="s">
        <v>5064</v>
      </c>
    </row>
    <row r="2326" spans="1:8">
      <c r="A2326" s="59" t="s">
        <v>3513</v>
      </c>
      <c r="B2326" s="62">
        <v>19</v>
      </c>
      <c r="C2326" s="60" t="s">
        <v>5057</v>
      </c>
      <c r="D2326" s="64">
        <f>IFERROR(VLOOKUP(C2326,測定点マスタ!$E$2:$F$28,2,FALSE)/VLOOKUP(A2326,'焼鈍条件-3CGL'!$A$2:$B$197,2,FALSE)*60,"")</f>
        <v>108.84855190797333</v>
      </c>
      <c r="E2326" s="66">
        <v>200.6</v>
      </c>
      <c r="F2326" s="64">
        <f t="shared" si="36"/>
        <v>-39.229203668640999</v>
      </c>
      <c r="G2326" s="60" t="s">
        <v>9</v>
      </c>
      <c r="H2326" s="60" t="s">
        <v>5064</v>
      </c>
    </row>
    <row r="2327" spans="1:8">
      <c r="A2327" s="59" t="s">
        <v>3513</v>
      </c>
      <c r="B2327" s="62">
        <v>20</v>
      </c>
      <c r="C2327" s="60" t="s">
        <v>5059</v>
      </c>
      <c r="D2327" s="64">
        <f>IFERROR(VLOOKUP(C2327,測定点マスタ!$E$2:$F$28,2,FALSE)/VLOOKUP(A2327,'焼鈍条件-3CGL'!$A$2:$B$197,2,FALSE)*60,"")</f>
        <v>116.817105199049</v>
      </c>
      <c r="E2327" s="66">
        <v>46.3</v>
      </c>
      <c r="F2327" s="64">
        <f t="shared" si="36"/>
        <v>-19.363615246547628</v>
      </c>
      <c r="G2327" s="60" t="s">
        <v>9</v>
      </c>
      <c r="H2327" s="60" t="s">
        <v>5064</v>
      </c>
    </row>
    <row r="2328" spans="1:8">
      <c r="A2328" s="59" t="s">
        <v>3515</v>
      </c>
      <c r="B2328" s="62">
        <v>1</v>
      </c>
      <c r="C2328" s="60" t="s">
        <v>5041</v>
      </c>
      <c r="D2328" s="64">
        <f>IFERROR(VLOOKUP(C2328,測定点マスタ!$E$2:$F$28,2,FALSE)/VLOOKUP(A2328,'焼鈍条件-3CGL'!$A$2:$B$197,2,FALSE)*60,"")</f>
        <v>0</v>
      </c>
      <c r="E2328" s="66">
        <v>38.799999999999997</v>
      </c>
      <c r="F2328" s="64" t="str">
        <f t="shared" si="36"/>
        <v/>
      </c>
      <c r="G2328" s="60" t="s">
        <v>9</v>
      </c>
      <c r="H2328" s="60" t="s">
        <v>5061</v>
      </c>
    </row>
    <row r="2329" spans="1:8">
      <c r="A2329" s="59" t="s">
        <v>3515</v>
      </c>
      <c r="B2329" s="62">
        <v>2</v>
      </c>
      <c r="C2329" s="60" t="s">
        <v>5043</v>
      </c>
      <c r="D2329" s="64">
        <f>IFERROR(VLOOKUP(C2329,測定点マスタ!$E$2:$F$28,2,FALSE)/VLOOKUP(A2329,'焼鈍条件-3CGL'!$A$2:$B$197,2,FALSE)*60,"")</f>
        <v>9.7356237289602348</v>
      </c>
      <c r="E2329" s="66">
        <v>185.5</v>
      </c>
      <c r="F2329" s="64">
        <f t="shared" si="36"/>
        <v>15.068372</v>
      </c>
      <c r="G2329" s="60" t="s">
        <v>9</v>
      </c>
      <c r="H2329" s="60" t="s">
        <v>5061</v>
      </c>
    </row>
    <row r="2330" spans="1:8">
      <c r="A2330" s="59" t="s">
        <v>3515</v>
      </c>
      <c r="B2330" s="62">
        <v>3</v>
      </c>
      <c r="C2330" s="60" t="s">
        <v>5044</v>
      </c>
      <c r="D2330" s="64">
        <f>IFERROR(VLOOKUP(C2330,測定点マスタ!$E$2:$F$28,2,FALSE)/VLOOKUP(A2330,'焼鈍条件-3CGL'!$A$2:$B$197,2,FALSE)*60,"")</f>
        <v>22.0674137856432</v>
      </c>
      <c r="E2330" s="66">
        <v>694.1</v>
      </c>
      <c r="F2330" s="64">
        <f t="shared" si="36"/>
        <v>41.242998596491226</v>
      </c>
      <c r="G2330" s="60" t="s">
        <v>9</v>
      </c>
      <c r="H2330" s="60" t="s">
        <v>5061</v>
      </c>
    </row>
    <row r="2331" spans="1:8">
      <c r="A2331" s="59" t="s">
        <v>3515</v>
      </c>
      <c r="B2331" s="62">
        <v>4</v>
      </c>
      <c r="C2331" s="60" t="s">
        <v>5045</v>
      </c>
      <c r="D2331" s="64">
        <f>IFERROR(VLOOKUP(C2331,測定点マスタ!$E$2:$F$28,2,FALSE)/VLOOKUP(A2331,'焼鈍条件-3CGL'!$A$2:$B$197,2,FALSE)*60,"")</f>
        <v>28.557829604950022</v>
      </c>
      <c r="E2331" s="66">
        <v>824.1</v>
      </c>
      <c r="F2331" s="64">
        <f t="shared" si="36"/>
        <v>20.029533333333337</v>
      </c>
      <c r="G2331" s="60" t="s">
        <v>9</v>
      </c>
      <c r="H2331" s="60" t="s">
        <v>5061</v>
      </c>
    </row>
    <row r="2332" spans="1:8">
      <c r="A2332" s="59" t="s">
        <v>3515</v>
      </c>
      <c r="B2332" s="62">
        <v>5</v>
      </c>
      <c r="C2332" s="60" t="s">
        <v>5047</v>
      </c>
      <c r="D2332" s="64">
        <f>IFERROR(VLOOKUP(C2332,測定点マスタ!$E$2:$F$28,2,FALSE)/VLOOKUP(A2332,'焼鈍条件-3CGL'!$A$2:$B$197,2,FALSE)*60,"")</f>
        <v>38.942494915840939</v>
      </c>
      <c r="E2332" s="66">
        <v>748</v>
      </c>
      <c r="F2332" s="64">
        <f t="shared" si="36"/>
        <v>-7.3281129166666696</v>
      </c>
      <c r="G2332" s="60" t="s">
        <v>9</v>
      </c>
      <c r="H2332" s="60" t="s">
        <v>5061</v>
      </c>
    </row>
    <row r="2333" spans="1:8">
      <c r="A2333" s="59" t="s">
        <v>3515</v>
      </c>
      <c r="B2333" s="62">
        <v>6</v>
      </c>
      <c r="C2333" s="60" t="s">
        <v>5049</v>
      </c>
      <c r="D2333" s="64">
        <f>IFERROR(VLOOKUP(C2333,測定点マスタ!$E$2:$F$28,2,FALSE)/VLOOKUP(A2333,'焼鈍条件-3CGL'!$A$2:$B$197,2,FALSE)*60,"")</f>
        <v>47.38003548093981</v>
      </c>
      <c r="E2333" s="66">
        <v>605.29999999999995</v>
      </c>
      <c r="F2333" s="64">
        <f t="shared" si="36"/>
        <v>-16.912511282051288</v>
      </c>
      <c r="G2333" s="60" t="s">
        <v>9</v>
      </c>
      <c r="H2333" s="60" t="s">
        <v>5061</v>
      </c>
    </row>
    <row r="2334" spans="1:8">
      <c r="A2334" s="59" t="s">
        <v>3515</v>
      </c>
      <c r="B2334" s="62">
        <v>7</v>
      </c>
      <c r="C2334" s="60" t="s">
        <v>5050</v>
      </c>
      <c r="D2334" s="64">
        <f>IFERROR(VLOOKUP(C2334,測定点マスタ!$E$2:$F$28,2,FALSE)/VLOOKUP(A2334,'焼鈍条件-3CGL'!$A$2:$B$197,2,FALSE)*60,"")</f>
        <v>52.572368136385265</v>
      </c>
      <c r="E2334" s="66">
        <v>500.1</v>
      </c>
      <c r="F2334" s="64">
        <f t="shared" si="36"/>
        <v>-20.260643333333338</v>
      </c>
      <c r="G2334" s="60" t="s">
        <v>9</v>
      </c>
      <c r="H2334" s="60" t="s">
        <v>5061</v>
      </c>
    </row>
    <row r="2335" spans="1:8">
      <c r="A2335" s="59" t="s">
        <v>3515</v>
      </c>
      <c r="B2335" s="62">
        <v>8</v>
      </c>
      <c r="C2335" s="60" t="s">
        <v>5051</v>
      </c>
      <c r="D2335" s="64">
        <f>IFERROR(VLOOKUP(C2335,測定点マスタ!$E$2:$F$28,2,FALSE)/VLOOKUP(A2335,'焼鈍条件-3CGL'!$A$2:$B$197,2,FALSE)*60,"")</f>
        <v>57.115659209900045</v>
      </c>
      <c r="E2335" s="66">
        <v>481.2</v>
      </c>
      <c r="F2335" s="64">
        <f t="shared" si="36"/>
        <v>-4.1599800000000045</v>
      </c>
      <c r="G2335" s="60" t="s">
        <v>9</v>
      </c>
      <c r="H2335" s="60" t="s">
        <v>5061</v>
      </c>
    </row>
    <row r="2336" spans="1:8">
      <c r="A2336" s="59" t="s">
        <v>3515</v>
      </c>
      <c r="B2336" s="62">
        <v>9</v>
      </c>
      <c r="C2336" s="60" t="s">
        <v>5060</v>
      </c>
      <c r="D2336" s="64">
        <f>IFERROR(VLOOKUP(C2336,測定点マスタ!$E$2:$F$28,2,FALSE)/VLOOKUP(A2336,'焼鈍条件-3CGL'!$A$2:$B$197,2,FALSE)*60,"")</f>
        <v>59.711825537622772</v>
      </c>
      <c r="E2336" s="66">
        <v>437.7</v>
      </c>
      <c r="F2336" s="64">
        <f t="shared" si="36"/>
        <v>-16.755475000000015</v>
      </c>
      <c r="G2336" s="60" t="s">
        <v>9</v>
      </c>
      <c r="H2336" s="60" t="s">
        <v>5061</v>
      </c>
    </row>
    <row r="2337" spans="1:8">
      <c r="A2337" s="59" t="s">
        <v>3515</v>
      </c>
      <c r="B2337" s="62">
        <v>10</v>
      </c>
      <c r="C2337" s="60" t="s">
        <v>5052</v>
      </c>
      <c r="D2337" s="64">
        <f>IFERROR(VLOOKUP(C2337,測定点マスタ!$E$2:$F$28,2,FALSE)/VLOOKUP(A2337,'焼鈍条件-3CGL'!$A$2:$B$197,2,FALSE)*60,"")</f>
        <v>62.957033447276189</v>
      </c>
      <c r="E2337" s="66">
        <v>363.8</v>
      </c>
      <c r="F2337" s="64">
        <f t="shared" si="36"/>
        <v>-22.772038666666628</v>
      </c>
      <c r="G2337" s="60" t="s">
        <v>9</v>
      </c>
      <c r="H2337" s="60" t="s">
        <v>5061</v>
      </c>
    </row>
    <row r="2338" spans="1:8">
      <c r="A2338" s="59" t="s">
        <v>3515</v>
      </c>
      <c r="B2338" s="62">
        <v>11</v>
      </c>
      <c r="C2338" s="60" t="s">
        <v>5053</v>
      </c>
      <c r="D2338" s="64">
        <f>IFERROR(VLOOKUP(C2338,測定点マスタ!$E$2:$F$28,2,FALSE)/VLOOKUP(A2338,'焼鈍条件-3CGL'!$A$2:$B$197,2,FALSE)*60,"")</f>
        <v>70.745532430444371</v>
      </c>
      <c r="E2338" s="66">
        <v>538.5</v>
      </c>
      <c r="F2338" s="64">
        <f t="shared" si="36"/>
        <v>22.430509444444461</v>
      </c>
      <c r="G2338" s="60" t="s">
        <v>9</v>
      </c>
      <c r="H2338" s="60" t="s">
        <v>5061</v>
      </c>
    </row>
    <row r="2339" spans="1:8">
      <c r="A2339" s="59" t="s">
        <v>3515</v>
      </c>
      <c r="B2339" s="62">
        <v>12</v>
      </c>
      <c r="C2339" s="60" t="s">
        <v>5063</v>
      </c>
      <c r="D2339" s="64">
        <f>IFERROR(VLOOKUP(C2339,測定点マスタ!$E$2:$F$28,2,FALSE)/VLOOKUP(A2339,'焼鈍条件-3CGL'!$A$2:$B$197,2,FALSE)*60,"")</f>
        <v>74.639781922028462</v>
      </c>
      <c r="E2339" s="66">
        <v>536.9</v>
      </c>
      <c r="F2339" s="64">
        <f t="shared" si="36"/>
        <v>-0.4108622222222284</v>
      </c>
      <c r="G2339" s="60" t="s">
        <v>9</v>
      </c>
      <c r="H2339" s="60" t="s">
        <v>5061</v>
      </c>
    </row>
    <row r="2340" spans="1:8">
      <c r="A2340" s="59" t="s">
        <v>3515</v>
      </c>
      <c r="B2340" s="62">
        <v>13</v>
      </c>
      <c r="C2340" s="60" t="s">
        <v>5054</v>
      </c>
      <c r="D2340" s="64">
        <f>IFERROR(VLOOKUP(C2340,測定点マスタ!$E$2:$F$28,2,FALSE)/VLOOKUP(A2340,'焼鈍条件-3CGL'!$A$2:$B$197,2,FALSE)*60,"")</f>
        <v>79.183072995543256</v>
      </c>
      <c r="E2340" s="66">
        <v>512.4</v>
      </c>
      <c r="F2340" s="64">
        <f t="shared" si="36"/>
        <v>-5.3925666666666459</v>
      </c>
      <c r="G2340" s="60" t="s">
        <v>9</v>
      </c>
      <c r="H2340" s="60" t="s">
        <v>5061</v>
      </c>
    </row>
    <row r="2341" spans="1:8">
      <c r="A2341" s="59" t="s">
        <v>3515</v>
      </c>
      <c r="B2341" s="62">
        <v>14</v>
      </c>
      <c r="C2341" s="60" t="s">
        <v>5056</v>
      </c>
      <c r="D2341" s="64">
        <f>IFERROR(VLOOKUP(C2341,測定点マスタ!$E$2:$F$28,2,FALSE)/VLOOKUP(A2341,'焼鈍条件-3CGL'!$A$2:$B$197,2,FALSE)*60,"")</f>
        <v>86.322530396780749</v>
      </c>
      <c r="E2341" s="66">
        <v>291.3</v>
      </c>
      <c r="F2341" s="64">
        <f t="shared" si="36"/>
        <v>-30.96874000000005</v>
      </c>
      <c r="G2341" s="60" t="s">
        <v>9</v>
      </c>
      <c r="H2341" s="60" t="s">
        <v>5061</v>
      </c>
    </row>
    <row r="2342" spans="1:8">
      <c r="A2342" s="59" t="s">
        <v>3515</v>
      </c>
      <c r="B2342" s="62">
        <v>15</v>
      </c>
      <c r="C2342" s="60" t="s">
        <v>5062</v>
      </c>
      <c r="D2342" s="64">
        <f>IFERROR(VLOOKUP(C2342,測定点マスタ!$E$2:$F$28,2,FALSE)/VLOOKUP(A2342,'焼鈍条件-3CGL'!$A$2:$B$197,2,FALSE)*60,"")</f>
        <v>94.111029379948931</v>
      </c>
      <c r="E2342" s="66">
        <v>456.6</v>
      </c>
      <c r="F2342" s="64">
        <f t="shared" si="36"/>
        <v>21.223601666666685</v>
      </c>
      <c r="G2342" s="60" t="s">
        <v>9</v>
      </c>
      <c r="H2342" s="60" t="s">
        <v>5061</v>
      </c>
    </row>
    <row r="2343" spans="1:8">
      <c r="A2343" s="59" t="s">
        <v>3515</v>
      </c>
      <c r="B2343" s="62">
        <v>16</v>
      </c>
      <c r="C2343" s="60" t="s">
        <v>5057</v>
      </c>
      <c r="D2343" s="64">
        <f>IFERROR(VLOOKUP(C2343,測定点マスタ!$E$2:$F$28,2,FALSE)/VLOOKUP(A2343,'焼鈍条件-3CGL'!$A$2:$B$197,2,FALSE)*60,"")</f>
        <v>107.02232084906991</v>
      </c>
      <c r="E2343" s="66">
        <v>248.9</v>
      </c>
      <c r="F2343" s="64">
        <f t="shared" si="36"/>
        <v>-16.086694386594967</v>
      </c>
      <c r="G2343" s="60" t="s">
        <v>9</v>
      </c>
      <c r="H2343" s="60" t="s">
        <v>5061</v>
      </c>
    </row>
    <row r="2344" spans="1:8">
      <c r="A2344" s="59" t="s">
        <v>3515</v>
      </c>
      <c r="B2344" s="62">
        <v>17</v>
      </c>
      <c r="C2344" s="60" t="s">
        <v>5059</v>
      </c>
      <c r="D2344" s="64">
        <f>IFERROR(VLOOKUP(C2344,測定点マスタ!$E$2:$F$28,2,FALSE)/VLOOKUP(A2344,'焼鈍条件-3CGL'!$A$2:$B$197,2,FALSE)*60,"")</f>
        <v>114.85717994523344</v>
      </c>
      <c r="E2344" s="66">
        <v>36.200000000000003</v>
      </c>
      <c r="F2344" s="64">
        <f t="shared" si="36"/>
        <v>-27.147903668638047</v>
      </c>
      <c r="G2344" s="60" t="s">
        <v>9</v>
      </c>
      <c r="H2344" s="60" t="s">
        <v>5061</v>
      </c>
    </row>
    <row r="2345" spans="1:8">
      <c r="A2345" s="59" t="s">
        <v>3525</v>
      </c>
      <c r="B2345" s="62">
        <v>1</v>
      </c>
      <c r="C2345" s="60" t="s">
        <v>5041</v>
      </c>
      <c r="D2345" s="64">
        <f>IFERROR(VLOOKUP(C2345,測定点マスタ!$E$2:$F$28,2,FALSE)/VLOOKUP(A2345,'焼鈍条件-3CGL'!$A$2:$B$197,2,FALSE)*60,"")</f>
        <v>0</v>
      </c>
      <c r="E2345" s="66">
        <v>35.6</v>
      </c>
      <c r="F2345" s="64" t="str">
        <f t="shared" si="36"/>
        <v/>
      </c>
      <c r="G2345" s="60" t="s">
        <v>12</v>
      </c>
      <c r="H2345" s="60" t="s">
        <v>5042</v>
      </c>
    </row>
    <row r="2346" spans="1:8">
      <c r="A2346" s="59" t="s">
        <v>3525</v>
      </c>
      <c r="B2346" s="62">
        <v>2</v>
      </c>
      <c r="C2346" s="60" t="s">
        <v>5043</v>
      </c>
      <c r="D2346" s="64">
        <f>IFERROR(VLOOKUP(C2346,測定点マスタ!$E$2:$F$28,2,FALSE)/VLOOKUP(A2346,'焼鈍条件-3CGL'!$A$2:$B$197,2,FALSE)*60,"")</f>
        <v>9.5528217974164917</v>
      </c>
      <c r="E2346" s="66">
        <v>170.6</v>
      </c>
      <c r="F2346" s="64">
        <f t="shared" si="36"/>
        <v>14.131950000000002</v>
      </c>
      <c r="G2346" s="60" t="s">
        <v>12</v>
      </c>
      <c r="H2346" s="60" t="s">
        <v>5042</v>
      </c>
    </row>
    <row r="2347" spans="1:8">
      <c r="A2347" s="59" t="s">
        <v>3525</v>
      </c>
      <c r="B2347" s="62">
        <v>3</v>
      </c>
      <c r="C2347" s="60" t="s">
        <v>5044</v>
      </c>
      <c r="D2347" s="64">
        <f>IFERROR(VLOOKUP(C2347,測定点マスタ!$E$2:$F$28,2,FALSE)/VLOOKUP(A2347,'焼鈍条件-3CGL'!$A$2:$B$197,2,FALSE)*60,"")</f>
        <v>21.653062740810718</v>
      </c>
      <c r="E2347" s="66">
        <v>650.20000000000005</v>
      </c>
      <c r="F2347" s="64">
        <f t="shared" si="36"/>
        <v>39.635574385964908</v>
      </c>
      <c r="G2347" s="60" t="s">
        <v>12</v>
      </c>
      <c r="H2347" s="60" t="s">
        <v>5042</v>
      </c>
    </row>
    <row r="2348" spans="1:8">
      <c r="A2348" s="59" t="s">
        <v>3525</v>
      </c>
      <c r="B2348" s="62">
        <v>4</v>
      </c>
      <c r="C2348" s="60" t="s">
        <v>5045</v>
      </c>
      <c r="D2348" s="64">
        <f>IFERROR(VLOOKUP(C2348,測定点マスタ!$E$2:$F$28,2,FALSE)/VLOOKUP(A2348,'焼鈍条件-3CGL'!$A$2:$B$197,2,FALSE)*60,"")</f>
        <v>28.021610605755047</v>
      </c>
      <c r="E2348" s="66">
        <v>812.6</v>
      </c>
      <c r="F2348" s="64">
        <f t="shared" si="36"/>
        <v>25.500318666666661</v>
      </c>
      <c r="G2348" s="60" t="s">
        <v>12</v>
      </c>
      <c r="H2348" s="60" t="s">
        <v>5042</v>
      </c>
    </row>
    <row r="2349" spans="1:8">
      <c r="A2349" s="59" t="s">
        <v>3525</v>
      </c>
      <c r="B2349" s="62">
        <v>5</v>
      </c>
      <c r="C2349" s="60" t="s">
        <v>5047</v>
      </c>
      <c r="D2349" s="64">
        <f>IFERROR(VLOOKUP(C2349,測定点マスタ!$E$2:$F$28,2,FALSE)/VLOOKUP(A2349,'焼鈍条件-3CGL'!$A$2:$B$197,2,FALSE)*60,"")</f>
        <v>38.211287189665967</v>
      </c>
      <c r="E2349" s="66">
        <v>747.7</v>
      </c>
      <c r="F2349" s="64">
        <f t="shared" si="36"/>
        <v>-6.3691913541666674</v>
      </c>
      <c r="G2349" s="60" t="s">
        <v>12</v>
      </c>
      <c r="H2349" s="60" t="s">
        <v>5042</v>
      </c>
    </row>
    <row r="2350" spans="1:8">
      <c r="A2350" s="59" t="s">
        <v>3525</v>
      </c>
      <c r="B2350" s="62">
        <v>6</v>
      </c>
      <c r="C2350" s="60" t="s">
        <v>5048</v>
      </c>
      <c r="D2350" s="64">
        <f>IFERROR(VLOOKUP(C2350,測定点マスタ!$E$2:$F$28,2,FALSE)/VLOOKUP(A2350,'焼鈍条件-3CGL'!$A$2:$B$197,2,FALSE)*60,"")</f>
        <v>42.032415908632565</v>
      </c>
      <c r="E2350" s="66">
        <v>683</v>
      </c>
      <c r="F2350" s="64">
        <f t="shared" si="36"/>
        <v>-16.93216972222223</v>
      </c>
      <c r="G2350" s="60" t="s">
        <v>12</v>
      </c>
      <c r="H2350" s="60" t="s">
        <v>5042</v>
      </c>
    </row>
    <row r="2351" spans="1:8">
      <c r="A2351" s="59" t="s">
        <v>3525</v>
      </c>
      <c r="B2351" s="62">
        <v>7</v>
      </c>
      <c r="C2351" s="60" t="s">
        <v>5049</v>
      </c>
      <c r="D2351" s="64">
        <f>IFERROR(VLOOKUP(C2351,測定点マスタ!$E$2:$F$28,2,FALSE)/VLOOKUP(A2351,'焼鈍条件-3CGL'!$A$2:$B$197,2,FALSE)*60,"")</f>
        <v>46.490399414093602</v>
      </c>
      <c r="E2351" s="66">
        <v>602.9</v>
      </c>
      <c r="F2351" s="64">
        <f t="shared" si="36"/>
        <v>-17.967764999999975</v>
      </c>
      <c r="G2351" s="60" t="s">
        <v>12</v>
      </c>
      <c r="H2351" s="60" t="s">
        <v>5042</v>
      </c>
    </row>
    <row r="2352" spans="1:8">
      <c r="A2352" s="59" t="s">
        <v>3525</v>
      </c>
      <c r="B2352" s="62">
        <v>8</v>
      </c>
      <c r="C2352" s="60" t="s">
        <v>5050</v>
      </c>
      <c r="D2352" s="64">
        <f>IFERROR(VLOOKUP(C2352,測定点マスタ!$E$2:$F$28,2,FALSE)/VLOOKUP(A2352,'焼鈍条件-3CGL'!$A$2:$B$197,2,FALSE)*60,"")</f>
        <v>51.585237706049064</v>
      </c>
      <c r="E2352" s="66">
        <v>479.1</v>
      </c>
      <c r="F2352" s="64">
        <f t="shared" si="36"/>
        <v>-24.299102916666662</v>
      </c>
      <c r="G2352" s="60" t="s">
        <v>12</v>
      </c>
      <c r="H2352" s="60" t="s">
        <v>5042</v>
      </c>
    </row>
    <row r="2353" spans="1:8">
      <c r="A2353" s="59" t="s">
        <v>3525</v>
      </c>
      <c r="B2353" s="62">
        <v>9</v>
      </c>
      <c r="C2353" s="60" t="s">
        <v>5051</v>
      </c>
      <c r="D2353" s="64">
        <f>IFERROR(VLOOKUP(C2353,測定点マスタ!$E$2:$F$28,2,FALSE)/VLOOKUP(A2353,'焼鈍条件-3CGL'!$A$2:$B$197,2,FALSE)*60,"")</f>
        <v>56.043221211510094</v>
      </c>
      <c r="E2353" s="66">
        <v>443.8</v>
      </c>
      <c r="F2353" s="64">
        <f t="shared" si="36"/>
        <v>-7.9183783333333357</v>
      </c>
      <c r="G2353" s="60" t="s">
        <v>12</v>
      </c>
      <c r="H2353" s="60" t="s">
        <v>5042</v>
      </c>
    </row>
    <row r="2354" spans="1:8">
      <c r="A2354" s="59" t="s">
        <v>3525</v>
      </c>
      <c r="B2354" s="62">
        <v>10</v>
      </c>
      <c r="C2354" s="60" t="s">
        <v>5060</v>
      </c>
      <c r="D2354" s="64">
        <f>IFERROR(VLOOKUP(C2354,測定点マスタ!$E$2:$F$28,2,FALSE)/VLOOKUP(A2354,'焼鈍条件-3CGL'!$A$2:$B$197,2,FALSE)*60,"")</f>
        <v>58.590640357487821</v>
      </c>
      <c r="E2354" s="66">
        <v>405.9</v>
      </c>
      <c r="F2354" s="64">
        <f t="shared" si="36"/>
        <v>-14.877802916666703</v>
      </c>
      <c r="G2354" s="60" t="s">
        <v>12</v>
      </c>
      <c r="H2354" s="60" t="s">
        <v>5042</v>
      </c>
    </row>
    <row r="2355" spans="1:8">
      <c r="A2355" s="59" t="s">
        <v>3525</v>
      </c>
      <c r="B2355" s="62">
        <v>11</v>
      </c>
      <c r="C2355" s="60" t="s">
        <v>5052</v>
      </c>
      <c r="D2355" s="64">
        <f>IFERROR(VLOOKUP(C2355,測定点マスタ!$E$2:$F$28,2,FALSE)/VLOOKUP(A2355,'焼鈍条件-3CGL'!$A$2:$B$197,2,FALSE)*60,"")</f>
        <v>61.774914289959987</v>
      </c>
      <c r="E2355" s="66">
        <v>355.4</v>
      </c>
      <c r="F2355" s="64">
        <f t="shared" si="36"/>
        <v>-15.859188333333323</v>
      </c>
      <c r="G2355" s="60" t="s">
        <v>12</v>
      </c>
      <c r="H2355" s="60" t="s">
        <v>5042</v>
      </c>
    </row>
    <row r="2356" spans="1:8">
      <c r="A2356" s="59" t="s">
        <v>3525</v>
      </c>
      <c r="B2356" s="62">
        <v>12</v>
      </c>
      <c r="C2356" s="60" t="s">
        <v>5053</v>
      </c>
      <c r="D2356" s="64">
        <f>IFERROR(VLOOKUP(C2356,測定点マスタ!$E$2:$F$28,2,FALSE)/VLOOKUP(A2356,'焼鈍条件-3CGL'!$A$2:$B$197,2,FALSE)*60,"")</f>
        <v>69.417171727893177</v>
      </c>
      <c r="E2356" s="66">
        <v>525.9</v>
      </c>
      <c r="F2356" s="64">
        <f t="shared" si="36"/>
        <v>22.31016180555557</v>
      </c>
      <c r="G2356" s="60" t="s">
        <v>12</v>
      </c>
      <c r="H2356" s="60" t="s">
        <v>5042</v>
      </c>
    </row>
    <row r="2357" spans="1:8">
      <c r="A2357" s="59" t="s">
        <v>3525</v>
      </c>
      <c r="B2357" s="62">
        <v>13</v>
      </c>
      <c r="C2357" s="60" t="s">
        <v>5054</v>
      </c>
      <c r="D2357" s="64">
        <f>IFERROR(VLOOKUP(C2357,測定点マスタ!$E$2:$F$28,2,FALSE)/VLOOKUP(A2357,'焼鈍条件-3CGL'!$A$2:$B$197,2,FALSE)*60,"")</f>
        <v>77.696283952320812</v>
      </c>
      <c r="E2357" s="66">
        <v>512.1</v>
      </c>
      <c r="F2357" s="64">
        <f t="shared" si="36"/>
        <v>-1.6668453846153775</v>
      </c>
      <c r="G2357" s="60" t="s">
        <v>12</v>
      </c>
      <c r="H2357" s="60" t="s">
        <v>5042</v>
      </c>
    </row>
    <row r="2358" spans="1:8">
      <c r="A2358" s="59" t="s">
        <v>3525</v>
      </c>
      <c r="B2358" s="62">
        <v>14</v>
      </c>
      <c r="C2358" s="60" t="s">
        <v>5055</v>
      </c>
      <c r="D2358" s="64">
        <f>IFERROR(VLOOKUP(C2358,測定点マスタ!$E$2:$F$28,2,FALSE)/VLOOKUP(A2358,'焼鈍条件-3CGL'!$A$2:$B$197,2,FALSE)*60,"")</f>
        <v>80.880557884792978</v>
      </c>
      <c r="E2358" s="66">
        <v>540.1</v>
      </c>
      <c r="F2358" s="64">
        <f t="shared" si="36"/>
        <v>8.7932133333333269</v>
      </c>
      <c r="G2358" s="60" t="s">
        <v>12</v>
      </c>
      <c r="H2358" s="60" t="s">
        <v>5042</v>
      </c>
    </row>
    <row r="2359" spans="1:8">
      <c r="A2359" s="59" t="s">
        <v>3525</v>
      </c>
      <c r="B2359" s="62">
        <v>15</v>
      </c>
      <c r="C2359" s="60" t="s">
        <v>5056</v>
      </c>
      <c r="D2359" s="64">
        <f>IFERROR(VLOOKUP(C2359,測定点マスタ!$E$2:$F$28,2,FALSE)/VLOOKUP(A2359,'焼鈍条件-3CGL'!$A$2:$B$197,2,FALSE)*60,"")</f>
        <v>84.701686603759569</v>
      </c>
      <c r="E2359" s="66">
        <v>252.5</v>
      </c>
      <c r="F2359" s="64">
        <f t="shared" si="36"/>
        <v>-75.265718888889012</v>
      </c>
      <c r="G2359" s="60" t="s">
        <v>12</v>
      </c>
      <c r="H2359" s="60" t="s">
        <v>5042</v>
      </c>
    </row>
    <row r="2360" spans="1:8">
      <c r="A2360" s="59" t="s">
        <v>3525</v>
      </c>
      <c r="B2360" s="62">
        <v>16</v>
      </c>
      <c r="C2360" s="60" t="s">
        <v>5057</v>
      </c>
      <c r="D2360" s="64">
        <f>IFERROR(VLOOKUP(C2360,測定点マスタ!$E$2:$F$28,2,FALSE)/VLOOKUP(A2360,'焼鈍条件-3CGL'!$A$2:$B$197,2,FALSE)*60,"")</f>
        <v>105.01280533017122</v>
      </c>
      <c r="E2360" s="66">
        <v>246.7</v>
      </c>
      <c r="F2360" s="64">
        <f t="shared" si="36"/>
        <v>-0.28555787980589947</v>
      </c>
      <c r="G2360" s="60" t="s">
        <v>12</v>
      </c>
      <c r="H2360" s="60" t="s">
        <v>5042</v>
      </c>
    </row>
    <row r="2361" spans="1:8">
      <c r="A2361" s="59" t="s">
        <v>3525</v>
      </c>
      <c r="B2361" s="62">
        <v>17</v>
      </c>
      <c r="C2361" s="60" t="s">
        <v>5058</v>
      </c>
      <c r="D2361" s="64">
        <f>IFERROR(VLOOKUP(C2361,測定点マスタ!$E$2:$F$28,2,FALSE)/VLOOKUP(A2361,'焼鈍条件-3CGL'!$A$2:$B$197,2,FALSE)*60,"")</f>
        <v>108.856678862941</v>
      </c>
      <c r="E2361" s="66">
        <v>98.5</v>
      </c>
      <c r="F2361" s="64">
        <f t="shared" si="36"/>
        <v>-38.554858461540391</v>
      </c>
      <c r="G2361" s="60" t="s">
        <v>12</v>
      </c>
      <c r="H2361" s="60" t="s">
        <v>5042</v>
      </c>
    </row>
    <row r="2362" spans="1:8">
      <c r="A2362" s="59" t="s">
        <v>3525</v>
      </c>
      <c r="B2362" s="62">
        <v>18</v>
      </c>
      <c r="C2362" s="60" t="s">
        <v>5059</v>
      </c>
      <c r="D2362" s="64">
        <f>IFERROR(VLOOKUP(C2362,測定点マスタ!$E$2:$F$28,2,FALSE)/VLOOKUP(A2362,'焼鈍条件-3CGL'!$A$2:$B$197,2,FALSE)*60,"")</f>
        <v>112.70055239571143</v>
      </c>
      <c r="E2362" s="66">
        <v>47.4</v>
      </c>
      <c r="F2362" s="64">
        <f t="shared" si="36"/>
        <v>-13.293881696250871</v>
      </c>
      <c r="G2362" s="60" t="s">
        <v>12</v>
      </c>
      <c r="H2362" s="60" t="s">
        <v>5042</v>
      </c>
    </row>
    <row r="2363" spans="1:8">
      <c r="A2363" s="59" t="s">
        <v>3528</v>
      </c>
      <c r="B2363" s="62">
        <v>1</v>
      </c>
      <c r="C2363" s="60" t="s">
        <v>5041</v>
      </c>
      <c r="D2363" s="64">
        <f>IFERROR(VLOOKUP(C2363,測定点マスタ!$E$2:$F$28,2,FALSE)/VLOOKUP(A2363,'焼鈍条件-3CGL'!$A$2:$B$197,2,FALSE)*60,"")</f>
        <v>0</v>
      </c>
      <c r="E2363" s="66">
        <v>37.1</v>
      </c>
      <c r="F2363" s="64" t="str">
        <f t="shared" si="36"/>
        <v/>
      </c>
      <c r="G2363" s="60" t="s">
        <v>12</v>
      </c>
      <c r="H2363" s="60" t="s">
        <v>5042</v>
      </c>
    </row>
    <row r="2364" spans="1:8">
      <c r="A2364" s="59" t="s">
        <v>3528</v>
      </c>
      <c r="B2364" s="62">
        <v>2</v>
      </c>
      <c r="C2364" s="60" t="s">
        <v>5043</v>
      </c>
      <c r="D2364" s="64">
        <f>IFERROR(VLOOKUP(C2364,測定点マスタ!$E$2:$F$28,2,FALSE)/VLOOKUP(A2364,'焼鈍条件-3CGL'!$A$2:$B$197,2,FALSE)*60,"")</f>
        <v>9.2071611253196934</v>
      </c>
      <c r="E2364" s="66">
        <v>192.7</v>
      </c>
      <c r="F2364" s="64">
        <f t="shared" si="36"/>
        <v>16.899888888888889</v>
      </c>
      <c r="G2364" s="60" t="s">
        <v>12</v>
      </c>
      <c r="H2364" s="60" t="s">
        <v>5042</v>
      </c>
    </row>
    <row r="2365" spans="1:8">
      <c r="A2365" s="59" t="s">
        <v>3528</v>
      </c>
      <c r="B2365" s="62">
        <v>3</v>
      </c>
      <c r="C2365" s="60" t="s">
        <v>5067</v>
      </c>
      <c r="D2365" s="64">
        <f>IFERROR(VLOOKUP(C2365,測定点マスタ!$E$2:$F$28,2,FALSE)/VLOOKUP(A2365,'焼鈍条件-3CGL'!$A$2:$B$197,2,FALSE)*60,"")</f>
        <v>15.34526854219949</v>
      </c>
      <c r="E2365" s="66">
        <v>364.2</v>
      </c>
      <c r="F2365" s="64">
        <f t="shared" si="36"/>
        <v>27.940208333333331</v>
      </c>
      <c r="G2365" s="60" t="s">
        <v>12</v>
      </c>
      <c r="H2365" s="60" t="s">
        <v>5042</v>
      </c>
    </row>
    <row r="2366" spans="1:8">
      <c r="A2366" s="59" t="s">
        <v>3528</v>
      </c>
      <c r="B2366" s="62">
        <v>4</v>
      </c>
      <c r="C2366" s="60" t="s">
        <v>5044</v>
      </c>
      <c r="D2366" s="64">
        <f>IFERROR(VLOOKUP(C2366,測定点マスタ!$E$2:$F$28,2,FALSE)/VLOOKUP(A2366,'焼鈍条件-3CGL'!$A$2:$B$197,2,FALSE)*60,"")</f>
        <v>20.869565217391305</v>
      </c>
      <c r="E2366" s="66">
        <v>648.70000000000005</v>
      </c>
      <c r="F2366" s="64">
        <f t="shared" si="36"/>
        <v>51.499768518518536</v>
      </c>
      <c r="G2366" s="60" t="s">
        <v>12</v>
      </c>
      <c r="H2366" s="60" t="s">
        <v>5042</v>
      </c>
    </row>
    <row r="2367" spans="1:8">
      <c r="A2367" s="59" t="s">
        <v>3528</v>
      </c>
      <c r="B2367" s="62">
        <v>5</v>
      </c>
      <c r="C2367" s="60" t="s">
        <v>5045</v>
      </c>
      <c r="D2367" s="64">
        <f>IFERROR(VLOOKUP(C2367,測定点マスタ!$E$2:$F$28,2,FALSE)/VLOOKUP(A2367,'焼鈍条件-3CGL'!$A$2:$B$197,2,FALSE)*60,"")</f>
        <v>27.007672634271099</v>
      </c>
      <c r="E2367" s="66">
        <v>813.4</v>
      </c>
      <c r="F2367" s="64">
        <f t="shared" si="36"/>
        <v>26.832374999999992</v>
      </c>
      <c r="G2367" s="60" t="s">
        <v>12</v>
      </c>
      <c r="H2367" s="60" t="s">
        <v>5042</v>
      </c>
    </row>
    <row r="2368" spans="1:8">
      <c r="A2368" s="59" t="s">
        <v>3528</v>
      </c>
      <c r="B2368" s="62">
        <v>6</v>
      </c>
      <c r="C2368" s="60" t="s">
        <v>5046</v>
      </c>
      <c r="D2368" s="64">
        <f>IFERROR(VLOOKUP(C2368,測定点マスタ!$E$2:$F$28,2,FALSE)/VLOOKUP(A2368,'焼鈍条件-3CGL'!$A$2:$B$197,2,FALSE)*60,"")</f>
        <v>33.145780051150894</v>
      </c>
      <c r="E2368" s="66">
        <v>788.8</v>
      </c>
      <c r="F2368" s="64">
        <f t="shared" si="36"/>
        <v>-4.0077500000000041</v>
      </c>
      <c r="G2368" s="60" t="s">
        <v>12</v>
      </c>
      <c r="H2368" s="60" t="s">
        <v>5042</v>
      </c>
    </row>
    <row r="2369" spans="1:8">
      <c r="A2369" s="59" t="s">
        <v>3528</v>
      </c>
      <c r="B2369" s="62">
        <v>7</v>
      </c>
      <c r="C2369" s="60" t="s">
        <v>5047</v>
      </c>
      <c r="D2369" s="64">
        <f>IFERROR(VLOOKUP(C2369,測定点マスタ!$E$2:$F$28,2,FALSE)/VLOOKUP(A2369,'焼鈍条件-3CGL'!$A$2:$B$197,2,FALSE)*60,"")</f>
        <v>36.828644501278774</v>
      </c>
      <c r="E2369" s="66">
        <v>728.8</v>
      </c>
      <c r="F2369" s="64">
        <f t="shared" si="36"/>
        <v>-16.291666666666654</v>
      </c>
      <c r="G2369" s="60" t="s">
        <v>12</v>
      </c>
      <c r="H2369" s="60" t="s">
        <v>5042</v>
      </c>
    </row>
    <row r="2370" spans="1:8">
      <c r="A2370" s="59" t="s">
        <v>3528</v>
      </c>
      <c r="B2370" s="62">
        <v>8</v>
      </c>
      <c r="C2370" s="60" t="s">
        <v>5049</v>
      </c>
      <c r="D2370" s="64">
        <f>IFERROR(VLOOKUP(C2370,測定点マスタ!$E$2:$F$28,2,FALSE)/VLOOKUP(A2370,'焼鈍条件-3CGL'!$A$2:$B$197,2,FALSE)*60,"")</f>
        <v>44.808184143222505</v>
      </c>
      <c r="E2370" s="66">
        <v>619.6</v>
      </c>
      <c r="F2370" s="64">
        <f t="shared" ref="F2370:F2433" si="37">IF(A2370=A2369,IFERROR((E2370-E2369)/(D2370-D2369),""),"")</f>
        <v>-13.684999999999997</v>
      </c>
      <c r="G2370" s="60" t="s">
        <v>12</v>
      </c>
      <c r="H2370" s="60" t="s">
        <v>5042</v>
      </c>
    </row>
    <row r="2371" spans="1:8">
      <c r="A2371" s="59" t="s">
        <v>3528</v>
      </c>
      <c r="B2371" s="62">
        <v>9</v>
      </c>
      <c r="C2371" s="60" t="s">
        <v>5050</v>
      </c>
      <c r="D2371" s="64">
        <f>IFERROR(VLOOKUP(C2371,測定点マスタ!$E$2:$F$28,2,FALSE)/VLOOKUP(A2371,'焼鈍条件-3CGL'!$A$2:$B$197,2,FALSE)*60,"")</f>
        <v>49.718670076726347</v>
      </c>
      <c r="E2371" s="66">
        <v>519.4</v>
      </c>
      <c r="F2371" s="64">
        <f t="shared" si="37"/>
        <v>-20.405312499999983</v>
      </c>
      <c r="G2371" s="60" t="s">
        <v>12</v>
      </c>
      <c r="H2371" s="60" t="s">
        <v>5042</v>
      </c>
    </row>
    <row r="2372" spans="1:8">
      <c r="A2372" s="59" t="s">
        <v>3528</v>
      </c>
      <c r="B2372" s="62">
        <v>10</v>
      </c>
      <c r="C2372" s="60" t="s">
        <v>5051</v>
      </c>
      <c r="D2372" s="64">
        <f>IFERROR(VLOOKUP(C2372,測定点マスタ!$E$2:$F$28,2,FALSE)/VLOOKUP(A2372,'焼鈍条件-3CGL'!$A$2:$B$197,2,FALSE)*60,"")</f>
        <v>54.015345268542198</v>
      </c>
      <c r="E2372" s="66">
        <v>463</v>
      </c>
      <c r="F2372" s="64">
        <f t="shared" si="37"/>
        <v>-13.126428571428585</v>
      </c>
      <c r="G2372" s="60" t="s">
        <v>12</v>
      </c>
      <c r="H2372" s="60" t="s">
        <v>5042</v>
      </c>
    </row>
    <row r="2373" spans="1:8">
      <c r="A2373" s="59" t="s">
        <v>3528</v>
      </c>
      <c r="B2373" s="62">
        <v>11</v>
      </c>
      <c r="C2373" s="60" t="s">
        <v>5060</v>
      </c>
      <c r="D2373" s="64">
        <f>IFERROR(VLOOKUP(C2373,測定点マスタ!$E$2:$F$28,2,FALSE)/VLOOKUP(A2373,'焼鈍条件-3CGL'!$A$2:$B$197,2,FALSE)*60,"")</f>
        <v>56.470588235294116</v>
      </c>
      <c r="E2373" s="66">
        <v>415.4</v>
      </c>
      <c r="F2373" s="64">
        <f t="shared" si="37"/>
        <v>-19.387083333333347</v>
      </c>
      <c r="G2373" s="60" t="s">
        <v>12</v>
      </c>
      <c r="H2373" s="60" t="s">
        <v>5042</v>
      </c>
    </row>
    <row r="2374" spans="1:8">
      <c r="A2374" s="59" t="s">
        <v>3528</v>
      </c>
      <c r="B2374" s="62">
        <v>12</v>
      </c>
      <c r="C2374" s="60" t="s">
        <v>5052</v>
      </c>
      <c r="D2374" s="64">
        <f>IFERROR(VLOOKUP(C2374,測定点マスタ!$E$2:$F$28,2,FALSE)/VLOOKUP(A2374,'焼鈍条件-3CGL'!$A$2:$B$197,2,FALSE)*60,"")</f>
        <v>59.539641943734011</v>
      </c>
      <c r="E2374" s="66">
        <v>343</v>
      </c>
      <c r="F2374" s="64">
        <f t="shared" si="37"/>
        <v>-23.590333333333344</v>
      </c>
      <c r="G2374" s="60" t="s">
        <v>12</v>
      </c>
      <c r="H2374" s="60" t="s">
        <v>5042</v>
      </c>
    </row>
    <row r="2375" spans="1:8">
      <c r="A2375" s="59" t="s">
        <v>3528</v>
      </c>
      <c r="B2375" s="62">
        <v>13</v>
      </c>
      <c r="C2375" s="60" t="s">
        <v>5053</v>
      </c>
      <c r="D2375" s="64">
        <f>IFERROR(VLOOKUP(C2375,測定点マスタ!$E$2:$F$28,2,FALSE)/VLOOKUP(A2375,'焼鈍条件-3CGL'!$A$2:$B$197,2,FALSE)*60,"")</f>
        <v>66.905370843989772</v>
      </c>
      <c r="E2375" s="66">
        <v>536.29999999999995</v>
      </c>
      <c r="F2375" s="64">
        <f t="shared" si="37"/>
        <v>26.243159722222195</v>
      </c>
      <c r="G2375" s="60" t="s">
        <v>12</v>
      </c>
      <c r="H2375" s="60" t="s">
        <v>5042</v>
      </c>
    </row>
    <row r="2376" spans="1:8">
      <c r="A2376" s="59" t="s">
        <v>3528</v>
      </c>
      <c r="B2376" s="62">
        <v>14</v>
      </c>
      <c r="C2376" s="60" t="s">
        <v>5054</v>
      </c>
      <c r="D2376" s="64">
        <f>IFERROR(VLOOKUP(C2376,測定点マスタ!$E$2:$F$28,2,FALSE)/VLOOKUP(A2376,'焼鈍条件-3CGL'!$A$2:$B$197,2,FALSE)*60,"")</f>
        <v>74.884910485933503</v>
      </c>
      <c r="E2376" s="66">
        <v>535.1</v>
      </c>
      <c r="F2376" s="64">
        <f t="shared" si="37"/>
        <v>-0.1503846153846069</v>
      </c>
      <c r="G2376" s="60" t="s">
        <v>12</v>
      </c>
      <c r="H2376" s="60" t="s">
        <v>5042</v>
      </c>
    </row>
    <row r="2377" spans="1:8">
      <c r="A2377" s="59" t="s">
        <v>3528</v>
      </c>
      <c r="B2377" s="62">
        <v>15</v>
      </c>
      <c r="C2377" s="60" t="s">
        <v>5056</v>
      </c>
      <c r="D2377" s="64">
        <f>IFERROR(VLOOKUP(C2377,測定点マスタ!$E$2:$F$28,2,FALSE)/VLOOKUP(A2377,'焼鈍条件-3CGL'!$A$2:$B$197,2,FALSE)*60,"")</f>
        <v>81.636828644501279</v>
      </c>
      <c r="E2377" s="66">
        <v>262.60000000000002</v>
      </c>
      <c r="F2377" s="64">
        <f t="shared" si="37"/>
        <v>-40.358901515151508</v>
      </c>
      <c r="G2377" s="60" t="s">
        <v>12</v>
      </c>
      <c r="H2377" s="60" t="s">
        <v>5042</v>
      </c>
    </row>
    <row r="2378" spans="1:8">
      <c r="A2378" s="59" t="s">
        <v>3528</v>
      </c>
      <c r="B2378" s="62">
        <v>16</v>
      </c>
      <c r="C2378" s="60" t="s">
        <v>5068</v>
      </c>
      <c r="D2378" s="64">
        <f>IFERROR(VLOOKUP(C2378,測定点マスタ!$E$2:$F$28,2,FALSE)/VLOOKUP(A2378,'焼鈍条件-3CGL'!$A$2:$B$197,2,FALSE)*60,"")</f>
        <v>97.508220679576269</v>
      </c>
      <c r="E2378" s="66">
        <v>326.60000000000002</v>
      </c>
      <c r="F2378" s="64">
        <f t="shared" si="37"/>
        <v>4.032412523020235</v>
      </c>
      <c r="G2378" s="60" t="s">
        <v>12</v>
      </c>
      <c r="H2378" s="60" t="s">
        <v>5042</v>
      </c>
    </row>
    <row r="2379" spans="1:8">
      <c r="A2379" s="59" t="s">
        <v>3528</v>
      </c>
      <c r="B2379" s="62">
        <v>17</v>
      </c>
      <c r="C2379" s="60" t="s">
        <v>5057</v>
      </c>
      <c r="D2379" s="64">
        <f>IFERROR(VLOOKUP(C2379,測定点マスタ!$E$2:$F$28,2,FALSE)/VLOOKUP(A2379,'焼鈍条件-3CGL'!$A$2:$B$197,2,FALSE)*60,"")</f>
        <v>101.21300694190711</v>
      </c>
      <c r="E2379" s="66">
        <v>262.2</v>
      </c>
      <c r="F2379" s="64">
        <f t="shared" si="37"/>
        <v>-17.382919132150743</v>
      </c>
      <c r="G2379" s="60" t="s">
        <v>12</v>
      </c>
      <c r="H2379" s="60" t="s">
        <v>5042</v>
      </c>
    </row>
    <row r="2380" spans="1:8">
      <c r="A2380" s="59" t="s">
        <v>3528</v>
      </c>
      <c r="B2380" s="62">
        <v>18</v>
      </c>
      <c r="C2380" s="60" t="s">
        <v>5059</v>
      </c>
      <c r="D2380" s="64">
        <f>IFERROR(VLOOKUP(C2380,測定点マスタ!$E$2:$F$28,2,FALSE)/VLOOKUP(A2380,'焼鈍条件-3CGL'!$A$2:$B$197,2,FALSE)*60,"")</f>
        <v>108.62257946656942</v>
      </c>
      <c r="E2380" s="66">
        <v>45</v>
      </c>
      <c r="F2380" s="64">
        <f t="shared" si="37"/>
        <v>-29.313431952661652</v>
      </c>
      <c r="G2380" s="60" t="s">
        <v>12</v>
      </c>
      <c r="H2380" s="60" t="s">
        <v>5042</v>
      </c>
    </row>
    <row r="2381" spans="1:8">
      <c r="A2381" s="59" t="s">
        <v>3534</v>
      </c>
      <c r="B2381" s="62">
        <v>1</v>
      </c>
      <c r="C2381" s="60" t="s">
        <v>5041</v>
      </c>
      <c r="D2381" s="64">
        <f>IFERROR(VLOOKUP(C2381,測定点マスタ!$E$2:$F$28,2,FALSE)/VLOOKUP(A2381,'焼鈍条件-3CGL'!$A$2:$B$197,2,FALSE)*60,"")</f>
        <v>0</v>
      </c>
      <c r="E2381" s="66">
        <v>31.4</v>
      </c>
      <c r="F2381" s="64" t="str">
        <f t="shared" si="37"/>
        <v/>
      </c>
      <c r="G2381" s="60" t="s">
        <v>12</v>
      </c>
      <c r="H2381" s="60" t="s">
        <v>5061</v>
      </c>
    </row>
    <row r="2382" spans="1:8">
      <c r="A2382" s="59" t="s">
        <v>3534</v>
      </c>
      <c r="B2382" s="62">
        <v>2</v>
      </c>
      <c r="C2382" s="60" t="s">
        <v>5043</v>
      </c>
      <c r="D2382" s="64">
        <f>IFERROR(VLOOKUP(C2382,測定点マスタ!$E$2:$F$28,2,FALSE)/VLOOKUP(A2382,'焼鈍条件-3CGL'!$A$2:$B$197,2,FALSE)*60,"")</f>
        <v>9.8078746335669056</v>
      </c>
      <c r="E2382" s="66">
        <v>178.6</v>
      </c>
      <c r="F2382" s="64">
        <f t="shared" si="37"/>
        <v>15.008348444444444</v>
      </c>
      <c r="G2382" s="60" t="s">
        <v>12</v>
      </c>
      <c r="H2382" s="60" t="s">
        <v>5061</v>
      </c>
    </row>
    <row r="2383" spans="1:8">
      <c r="A2383" s="59" t="s">
        <v>3534</v>
      </c>
      <c r="B2383" s="62">
        <v>3</v>
      </c>
      <c r="C2383" s="60" t="s">
        <v>5067</v>
      </c>
      <c r="D2383" s="64">
        <f>IFERROR(VLOOKUP(C2383,測定点マスタ!$E$2:$F$28,2,FALSE)/VLOOKUP(A2383,'焼鈍条件-3CGL'!$A$2:$B$197,2,FALSE)*60,"")</f>
        <v>16.346457722611508</v>
      </c>
      <c r="E2383" s="66">
        <v>378.5</v>
      </c>
      <c r="F2383" s="64">
        <f t="shared" si="37"/>
        <v>30.572372833333343</v>
      </c>
      <c r="G2383" s="60" t="s">
        <v>12</v>
      </c>
      <c r="H2383" s="60" t="s">
        <v>5061</v>
      </c>
    </row>
    <row r="2384" spans="1:8">
      <c r="A2384" s="59" t="s">
        <v>3534</v>
      </c>
      <c r="B2384" s="62">
        <v>4</v>
      </c>
      <c r="C2384" s="60" t="s">
        <v>5044</v>
      </c>
      <c r="D2384" s="64">
        <f>IFERROR(VLOOKUP(C2384,測定点マスタ!$E$2:$F$28,2,FALSE)/VLOOKUP(A2384,'焼鈍条件-3CGL'!$A$2:$B$197,2,FALSE)*60,"")</f>
        <v>22.231182502751654</v>
      </c>
      <c r="E2384" s="66">
        <v>670</v>
      </c>
      <c r="F2384" s="64">
        <f t="shared" si="37"/>
        <v>49.535026851851825</v>
      </c>
      <c r="G2384" s="60" t="s">
        <v>12</v>
      </c>
      <c r="H2384" s="60" t="s">
        <v>5061</v>
      </c>
    </row>
    <row r="2385" spans="1:8">
      <c r="A2385" s="59" t="s">
        <v>3534</v>
      </c>
      <c r="B2385" s="62">
        <v>5</v>
      </c>
      <c r="C2385" s="60" t="s">
        <v>5045</v>
      </c>
      <c r="D2385" s="64">
        <f>IFERROR(VLOOKUP(C2385,測定点マスタ!$E$2:$F$28,2,FALSE)/VLOOKUP(A2385,'焼鈍条件-3CGL'!$A$2:$B$197,2,FALSE)*60,"")</f>
        <v>28.769765591796254</v>
      </c>
      <c r="E2385" s="66">
        <v>817.7</v>
      </c>
      <c r="F2385" s="64">
        <f t="shared" si="37"/>
        <v>22.588991833333353</v>
      </c>
      <c r="G2385" s="60" t="s">
        <v>12</v>
      </c>
      <c r="H2385" s="60" t="s">
        <v>5061</v>
      </c>
    </row>
    <row r="2386" spans="1:8">
      <c r="A2386" s="59" t="s">
        <v>3534</v>
      </c>
      <c r="B2386" s="62">
        <v>6</v>
      </c>
      <c r="C2386" s="60" t="s">
        <v>5047</v>
      </c>
      <c r="D2386" s="64">
        <f>IFERROR(VLOOKUP(C2386,測定点マスタ!$E$2:$F$28,2,FALSE)/VLOOKUP(A2386,'焼鈍条件-3CGL'!$A$2:$B$197,2,FALSE)*60,"")</f>
        <v>39.231498534267622</v>
      </c>
      <c r="E2386" s="66">
        <v>758.2</v>
      </c>
      <c r="F2386" s="64">
        <f t="shared" si="37"/>
        <v>-5.687394270833332</v>
      </c>
      <c r="G2386" s="60" t="s">
        <v>12</v>
      </c>
      <c r="H2386" s="60" t="s">
        <v>5061</v>
      </c>
    </row>
    <row r="2387" spans="1:8">
      <c r="A2387" s="59" t="s">
        <v>3534</v>
      </c>
      <c r="B2387" s="62">
        <v>7</v>
      </c>
      <c r="C2387" s="60" t="s">
        <v>5049</v>
      </c>
      <c r="D2387" s="64">
        <f>IFERROR(VLOOKUP(C2387,測定点マスタ!$E$2:$F$28,2,FALSE)/VLOOKUP(A2387,'焼鈍条件-3CGL'!$A$2:$B$197,2,FALSE)*60,"")</f>
        <v>47.731656550025605</v>
      </c>
      <c r="E2387" s="66">
        <v>612.4</v>
      </c>
      <c r="F2387" s="64">
        <f t="shared" si="37"/>
        <v>-17.152622307692322</v>
      </c>
      <c r="G2387" s="60" t="s">
        <v>12</v>
      </c>
      <c r="H2387" s="60" t="s">
        <v>5061</v>
      </c>
    </row>
    <row r="2388" spans="1:8">
      <c r="A2388" s="59" t="s">
        <v>3534</v>
      </c>
      <c r="B2388" s="62">
        <v>8</v>
      </c>
      <c r="C2388" s="60" t="s">
        <v>5050</v>
      </c>
      <c r="D2388" s="64">
        <f>IFERROR(VLOOKUP(C2388,測定点マスタ!$E$2:$F$28,2,FALSE)/VLOOKUP(A2388,'焼鈍条件-3CGL'!$A$2:$B$197,2,FALSE)*60,"")</f>
        <v>52.962523021261291</v>
      </c>
      <c r="E2388" s="66">
        <v>492.4</v>
      </c>
      <c r="F2388" s="64">
        <f t="shared" si="37"/>
        <v>-22.940749999999987</v>
      </c>
      <c r="G2388" s="60" t="s">
        <v>12</v>
      </c>
      <c r="H2388" s="60" t="s">
        <v>5061</v>
      </c>
    </row>
    <row r="2389" spans="1:8">
      <c r="A2389" s="59" t="s">
        <v>3534</v>
      </c>
      <c r="B2389" s="62">
        <v>9</v>
      </c>
      <c r="C2389" s="60" t="s">
        <v>5051</v>
      </c>
      <c r="D2389" s="64">
        <f>IFERROR(VLOOKUP(C2389,測定点マスタ!$E$2:$F$28,2,FALSE)/VLOOKUP(A2389,'焼鈍条件-3CGL'!$A$2:$B$197,2,FALSE)*60,"")</f>
        <v>57.539531183592509</v>
      </c>
      <c r="E2389" s="66">
        <v>457</v>
      </c>
      <c r="F2389" s="64">
        <f t="shared" si="37"/>
        <v>-7.7343100000000033</v>
      </c>
      <c r="G2389" s="60" t="s">
        <v>12</v>
      </c>
      <c r="H2389" s="60" t="s">
        <v>5061</v>
      </c>
    </row>
    <row r="2390" spans="1:8">
      <c r="A2390" s="59" t="s">
        <v>3534</v>
      </c>
      <c r="B2390" s="62">
        <v>10</v>
      </c>
      <c r="C2390" s="60" t="s">
        <v>5052</v>
      </c>
      <c r="D2390" s="64">
        <f>IFERROR(VLOOKUP(C2390,測定点マスタ!$E$2:$F$28,2,FALSE)/VLOOKUP(A2390,'焼鈍条件-3CGL'!$A$2:$B$197,2,FALSE)*60,"")</f>
        <v>63.424255963732662</v>
      </c>
      <c r="E2390" s="66">
        <v>371.2</v>
      </c>
      <c r="F2390" s="64">
        <f t="shared" si="37"/>
        <v>-14.580121111111088</v>
      </c>
      <c r="G2390" s="60" t="s">
        <v>12</v>
      </c>
      <c r="H2390" s="60" t="s">
        <v>5061</v>
      </c>
    </row>
    <row r="2391" spans="1:8">
      <c r="A2391" s="59" t="s">
        <v>3534</v>
      </c>
      <c r="B2391" s="62">
        <v>11</v>
      </c>
      <c r="C2391" s="60" t="s">
        <v>5053</v>
      </c>
      <c r="D2391" s="64">
        <f>IFERROR(VLOOKUP(C2391,測定点マスタ!$E$2:$F$28,2,FALSE)/VLOOKUP(A2391,'焼鈍条件-3CGL'!$A$2:$B$197,2,FALSE)*60,"")</f>
        <v>71.270555670586177</v>
      </c>
      <c r="E2391" s="66">
        <v>542.6</v>
      </c>
      <c r="F2391" s="64">
        <f t="shared" si="37"/>
        <v>21.844691944444477</v>
      </c>
      <c r="G2391" s="60" t="s">
        <v>12</v>
      </c>
      <c r="H2391" s="60" t="s">
        <v>5061</v>
      </c>
    </row>
    <row r="2392" spans="1:8">
      <c r="A2392" s="59" t="s">
        <v>3534</v>
      </c>
      <c r="B2392" s="62">
        <v>12</v>
      </c>
      <c r="C2392" s="60" t="s">
        <v>5054</v>
      </c>
      <c r="D2392" s="64">
        <f>IFERROR(VLOOKUP(C2392,測定点マスタ!$E$2:$F$28,2,FALSE)/VLOOKUP(A2392,'焼鈍条件-3CGL'!$A$2:$B$197,2,FALSE)*60,"")</f>
        <v>79.770713686344166</v>
      </c>
      <c r="E2392" s="66">
        <v>523.79999999999995</v>
      </c>
      <c r="F2392" s="64">
        <f t="shared" si="37"/>
        <v>-2.2117235897435967</v>
      </c>
      <c r="G2392" s="60" t="s">
        <v>12</v>
      </c>
      <c r="H2392" s="60" t="s">
        <v>5061</v>
      </c>
    </row>
    <row r="2393" spans="1:8">
      <c r="A2393" s="59" t="s">
        <v>3534</v>
      </c>
      <c r="B2393" s="62">
        <v>13</v>
      </c>
      <c r="C2393" s="60" t="s">
        <v>5056</v>
      </c>
      <c r="D2393" s="64">
        <f>IFERROR(VLOOKUP(C2393,測定点マスタ!$E$2:$F$28,2,FALSE)/VLOOKUP(A2393,'焼鈍条件-3CGL'!$A$2:$B$197,2,FALSE)*60,"")</f>
        <v>86.963155084293234</v>
      </c>
      <c r="E2393" s="66">
        <v>259.8</v>
      </c>
      <c r="F2393" s="64">
        <f t="shared" si="37"/>
        <v>-36.705199999999977</v>
      </c>
      <c r="G2393" s="60" t="s">
        <v>12</v>
      </c>
      <c r="H2393" s="60" t="s">
        <v>5061</v>
      </c>
    </row>
    <row r="2394" spans="1:8">
      <c r="A2394" s="59" t="s">
        <v>3534</v>
      </c>
      <c r="B2394" s="62">
        <v>14</v>
      </c>
      <c r="C2394" s="60" t="s">
        <v>5062</v>
      </c>
      <c r="D2394" s="64">
        <f>IFERROR(VLOOKUP(C2394,測定点マスタ!$E$2:$F$28,2,FALSE)/VLOOKUP(A2394,'焼鈍条件-3CGL'!$A$2:$B$197,2,FALSE)*60,"")</f>
        <v>94.809454791146749</v>
      </c>
      <c r="E2394" s="66">
        <v>461.7</v>
      </c>
      <c r="F2394" s="64">
        <f t="shared" si="37"/>
        <v>25.731874583333365</v>
      </c>
      <c r="G2394" s="60" t="s">
        <v>12</v>
      </c>
      <c r="H2394" s="60" t="s">
        <v>5061</v>
      </c>
    </row>
    <row r="2395" spans="1:8">
      <c r="A2395" s="59" t="s">
        <v>3534</v>
      </c>
      <c r="B2395" s="62">
        <v>15</v>
      </c>
      <c r="C2395" s="60" t="s">
        <v>5057</v>
      </c>
      <c r="D2395" s="64">
        <f>IFERROR(VLOOKUP(C2395,測定点マスタ!$E$2:$F$28,2,FALSE)/VLOOKUP(A2395,'焼鈍条件-3CGL'!$A$2:$B$197,2,FALSE)*60,"")</f>
        <v>107.81656472185325</v>
      </c>
      <c r="E2395" s="66">
        <v>187.3</v>
      </c>
      <c r="F2395" s="64">
        <f t="shared" si="37"/>
        <v>-21.096154446439389</v>
      </c>
      <c r="G2395" s="60" t="s">
        <v>12</v>
      </c>
      <c r="H2395" s="60" t="s">
        <v>5061</v>
      </c>
    </row>
    <row r="2396" spans="1:8">
      <c r="A2396" s="59" t="s">
        <v>3534</v>
      </c>
      <c r="B2396" s="62">
        <v>16</v>
      </c>
      <c r="C2396" s="60" t="s">
        <v>5059</v>
      </c>
      <c r="D2396" s="64">
        <f>IFERROR(VLOOKUP(C2396,測定点マスタ!$E$2:$F$28,2,FALSE)/VLOOKUP(A2396,'焼鈍条件-3CGL'!$A$2:$B$197,2,FALSE)*60,"")</f>
        <v>115.7095685936288</v>
      </c>
      <c r="E2396" s="66">
        <v>40</v>
      </c>
      <c r="F2396" s="64">
        <f t="shared" si="37"/>
        <v>-18.662096508875088</v>
      </c>
      <c r="G2396" s="60" t="s">
        <v>12</v>
      </c>
      <c r="H2396" s="60" t="s">
        <v>5061</v>
      </c>
    </row>
    <row r="2397" spans="1:8">
      <c r="A2397" s="59" t="s">
        <v>3537</v>
      </c>
      <c r="B2397" s="62">
        <v>1</v>
      </c>
      <c r="C2397" s="60" t="s">
        <v>5041</v>
      </c>
      <c r="D2397" s="64">
        <f>IFERROR(VLOOKUP(C2397,測定点マスタ!$E$2:$F$28,2,FALSE)/VLOOKUP(A2397,'焼鈍条件-3CGL'!$A$2:$B$197,2,FALSE)*60,"")</f>
        <v>0</v>
      </c>
      <c r="E2397" s="66">
        <v>26.7</v>
      </c>
      <c r="F2397" s="64" t="str">
        <f t="shared" si="37"/>
        <v/>
      </c>
      <c r="G2397" s="60" t="s">
        <v>9</v>
      </c>
      <c r="H2397" s="60" t="s">
        <v>5061</v>
      </c>
    </row>
    <row r="2398" spans="1:8">
      <c r="A2398" s="59" t="s">
        <v>3537</v>
      </c>
      <c r="B2398" s="62">
        <v>2</v>
      </c>
      <c r="C2398" s="60" t="s">
        <v>5043</v>
      </c>
      <c r="D2398" s="64">
        <f>IFERROR(VLOOKUP(C2398,測定点マスタ!$E$2:$F$28,2,FALSE)/VLOOKUP(A2398,'焼鈍条件-3CGL'!$A$2:$B$197,2,FALSE)*60,"")</f>
        <v>9.2942561496994855</v>
      </c>
      <c r="E2398" s="66">
        <v>189.1</v>
      </c>
      <c r="F2398" s="64">
        <f t="shared" si="37"/>
        <v>17.473157333333333</v>
      </c>
      <c r="G2398" s="60" t="s">
        <v>9</v>
      </c>
      <c r="H2398" s="60" t="s">
        <v>5061</v>
      </c>
    </row>
    <row r="2399" spans="1:8">
      <c r="A2399" s="59" t="s">
        <v>3537</v>
      </c>
      <c r="B2399" s="62">
        <v>3</v>
      </c>
      <c r="C2399" s="60" t="s">
        <v>5067</v>
      </c>
      <c r="D2399" s="64">
        <f>IFERROR(VLOOKUP(C2399,測定点マスタ!$E$2:$F$28,2,FALSE)/VLOOKUP(A2399,'焼鈍条件-3CGL'!$A$2:$B$197,2,FALSE)*60,"")</f>
        <v>15.490426916165807</v>
      </c>
      <c r="E2399" s="66">
        <v>411.8</v>
      </c>
      <c r="F2399" s="64">
        <f t="shared" si="37"/>
        <v>35.941553000000013</v>
      </c>
      <c r="G2399" s="60" t="s">
        <v>9</v>
      </c>
      <c r="H2399" s="60" t="s">
        <v>5061</v>
      </c>
    </row>
    <row r="2400" spans="1:8">
      <c r="A2400" s="59" t="s">
        <v>3537</v>
      </c>
      <c r="B2400" s="62">
        <v>4</v>
      </c>
      <c r="C2400" s="60" t="s">
        <v>5044</v>
      </c>
      <c r="D2400" s="64">
        <f>IFERROR(VLOOKUP(C2400,測定点マスタ!$E$2:$F$28,2,FALSE)/VLOOKUP(A2400,'焼鈍条件-3CGL'!$A$2:$B$197,2,FALSE)*60,"")</f>
        <v>21.066980605985499</v>
      </c>
      <c r="E2400" s="66">
        <v>709.3</v>
      </c>
      <c r="F2400" s="64">
        <f t="shared" si="37"/>
        <v>53.348361111111096</v>
      </c>
      <c r="G2400" s="60" t="s">
        <v>9</v>
      </c>
      <c r="H2400" s="60" t="s">
        <v>5061</v>
      </c>
    </row>
    <row r="2401" spans="1:8">
      <c r="A2401" s="59" t="s">
        <v>3537</v>
      </c>
      <c r="B2401" s="62">
        <v>5</v>
      </c>
      <c r="C2401" s="60" t="s">
        <v>5045</v>
      </c>
      <c r="D2401" s="64">
        <f>IFERROR(VLOOKUP(C2401,測定点マスタ!$E$2:$F$28,2,FALSE)/VLOOKUP(A2401,'焼鈍条件-3CGL'!$A$2:$B$197,2,FALSE)*60,"")</f>
        <v>27.263151372451826</v>
      </c>
      <c r="E2401" s="66">
        <v>866.9</v>
      </c>
      <c r="F2401" s="64">
        <f t="shared" si="37"/>
        <v>25.43506399999999</v>
      </c>
      <c r="G2401" s="60" t="s">
        <v>9</v>
      </c>
      <c r="H2401" s="60" t="s">
        <v>5061</v>
      </c>
    </row>
    <row r="2402" spans="1:8">
      <c r="A2402" s="59" t="s">
        <v>3537</v>
      </c>
      <c r="B2402" s="62">
        <v>6</v>
      </c>
      <c r="C2402" s="60" t="s">
        <v>5047</v>
      </c>
      <c r="D2402" s="64">
        <f>IFERROR(VLOOKUP(C2402,測定点マスタ!$E$2:$F$28,2,FALSE)/VLOOKUP(A2402,'焼鈍条件-3CGL'!$A$2:$B$197,2,FALSE)*60,"")</f>
        <v>37.177024598797942</v>
      </c>
      <c r="E2402" s="66">
        <v>810.5</v>
      </c>
      <c r="F2402" s="64">
        <f t="shared" si="37"/>
        <v>-5.6889974999999993</v>
      </c>
      <c r="G2402" s="60" t="s">
        <v>9</v>
      </c>
      <c r="H2402" s="60" t="s">
        <v>5061</v>
      </c>
    </row>
    <row r="2403" spans="1:8">
      <c r="A2403" s="59" t="s">
        <v>3537</v>
      </c>
      <c r="B2403" s="62">
        <v>7</v>
      </c>
      <c r="C2403" s="60" t="s">
        <v>5048</v>
      </c>
      <c r="D2403" s="64">
        <f>IFERROR(VLOOKUP(C2403,測定点マスタ!$E$2:$F$28,2,FALSE)/VLOOKUP(A2403,'焼鈍条件-3CGL'!$A$2:$B$197,2,FALSE)*60,"")</f>
        <v>40.894727058677738</v>
      </c>
      <c r="E2403" s="66">
        <v>769.5</v>
      </c>
      <c r="F2403" s="64">
        <f t="shared" si="37"/>
        <v>-11.028316666666663</v>
      </c>
      <c r="G2403" s="60" t="s">
        <v>9</v>
      </c>
      <c r="H2403" s="60" t="s">
        <v>5061</v>
      </c>
    </row>
    <row r="2404" spans="1:8">
      <c r="A2404" s="59" t="s">
        <v>3537</v>
      </c>
      <c r="B2404" s="62">
        <v>8</v>
      </c>
      <c r="C2404" s="60" t="s">
        <v>5049</v>
      </c>
      <c r="D2404" s="64">
        <f>IFERROR(VLOOKUP(C2404,測定点マスタ!$E$2:$F$28,2,FALSE)/VLOOKUP(A2404,'焼鈍条件-3CGL'!$A$2:$B$197,2,FALSE)*60,"")</f>
        <v>45.23204659520416</v>
      </c>
      <c r="E2404" s="66">
        <v>621.1</v>
      </c>
      <c r="F2404" s="64">
        <f t="shared" si="37"/>
        <v>-34.21468000000003</v>
      </c>
      <c r="G2404" s="60" t="s">
        <v>9</v>
      </c>
      <c r="H2404" s="60" t="s">
        <v>5061</v>
      </c>
    </row>
    <row r="2405" spans="1:8">
      <c r="A2405" s="59" t="s">
        <v>3537</v>
      </c>
      <c r="B2405" s="62">
        <v>9</v>
      </c>
      <c r="C2405" s="60" t="s">
        <v>5050</v>
      </c>
      <c r="D2405" s="64">
        <f>IFERROR(VLOOKUP(C2405,測定点マスタ!$E$2:$F$28,2,FALSE)/VLOOKUP(A2405,'焼鈍条件-3CGL'!$A$2:$B$197,2,FALSE)*60,"")</f>
        <v>50.188983208377223</v>
      </c>
      <c r="E2405" s="66">
        <v>540</v>
      </c>
      <c r="F2405" s="64">
        <f t="shared" si="37"/>
        <v>-16.36091124999999</v>
      </c>
      <c r="G2405" s="60" t="s">
        <v>9</v>
      </c>
      <c r="H2405" s="60" t="s">
        <v>5061</v>
      </c>
    </row>
    <row r="2406" spans="1:8">
      <c r="A2406" s="59" t="s">
        <v>3537</v>
      </c>
      <c r="B2406" s="62">
        <v>10</v>
      </c>
      <c r="C2406" s="60" t="s">
        <v>5051</v>
      </c>
      <c r="D2406" s="64">
        <f>IFERROR(VLOOKUP(C2406,測定点マスタ!$E$2:$F$28,2,FALSE)/VLOOKUP(A2406,'焼鈍条件-3CGL'!$A$2:$B$197,2,FALSE)*60,"")</f>
        <v>54.526302744903653</v>
      </c>
      <c r="E2406" s="66">
        <v>466.6</v>
      </c>
      <c r="F2406" s="64">
        <f t="shared" si="37"/>
        <v>-16.922894285714271</v>
      </c>
      <c r="G2406" s="60" t="s">
        <v>9</v>
      </c>
      <c r="H2406" s="60" t="s">
        <v>5061</v>
      </c>
    </row>
    <row r="2407" spans="1:8">
      <c r="A2407" s="59" t="s">
        <v>3537</v>
      </c>
      <c r="B2407" s="62">
        <v>11</v>
      </c>
      <c r="C2407" s="60" t="s">
        <v>5060</v>
      </c>
      <c r="D2407" s="64">
        <f>IFERROR(VLOOKUP(C2407,測定点マスタ!$E$2:$F$28,2,FALSE)/VLOOKUP(A2407,'焼鈍条件-3CGL'!$A$2:$B$197,2,FALSE)*60,"")</f>
        <v>57.004771051490181</v>
      </c>
      <c r="E2407" s="66">
        <v>419.7</v>
      </c>
      <c r="F2407" s="64">
        <f t="shared" si="37"/>
        <v>-18.922977500000027</v>
      </c>
      <c r="G2407" s="60" t="s">
        <v>9</v>
      </c>
      <c r="H2407" s="60" t="s">
        <v>5061</v>
      </c>
    </row>
    <row r="2408" spans="1:8">
      <c r="A2408" s="59" t="s">
        <v>3537</v>
      </c>
      <c r="B2408" s="62">
        <v>12</v>
      </c>
      <c r="C2408" s="60" t="s">
        <v>5052</v>
      </c>
      <c r="D2408" s="64">
        <f>IFERROR(VLOOKUP(C2408,測定点マスタ!$E$2:$F$28,2,FALSE)/VLOOKUP(A2408,'焼鈍条件-3CGL'!$A$2:$B$197,2,FALSE)*60,"")</f>
        <v>60.102856434723343</v>
      </c>
      <c r="E2408" s="66">
        <v>379.4</v>
      </c>
      <c r="F2408" s="64">
        <f t="shared" si="37"/>
        <v>-13.008034000000004</v>
      </c>
      <c r="G2408" s="60" t="s">
        <v>9</v>
      </c>
      <c r="H2408" s="60" t="s">
        <v>5061</v>
      </c>
    </row>
    <row r="2409" spans="1:8">
      <c r="A2409" s="59" t="s">
        <v>3537</v>
      </c>
      <c r="B2409" s="62">
        <v>13</v>
      </c>
      <c r="C2409" s="60" t="s">
        <v>5069</v>
      </c>
      <c r="D2409" s="64">
        <f>IFERROR(VLOOKUP(C2409,測定点マスタ!$E$2:$F$28,2,FALSE)/VLOOKUP(A2409,'焼鈍条件-3CGL'!$A$2:$B$197,2,FALSE)*60,"")</f>
        <v>64.440175971249758</v>
      </c>
      <c r="E2409" s="66">
        <v>549.1</v>
      </c>
      <c r="F2409" s="64">
        <f t="shared" si="37"/>
        <v>39.125547142857258</v>
      </c>
      <c r="G2409" s="60" t="s">
        <v>9</v>
      </c>
      <c r="H2409" s="60" t="s">
        <v>5061</v>
      </c>
    </row>
    <row r="2410" spans="1:8">
      <c r="A2410" s="59" t="s">
        <v>3537</v>
      </c>
      <c r="B2410" s="62">
        <v>14</v>
      </c>
      <c r="C2410" s="60" t="s">
        <v>5053</v>
      </c>
      <c r="D2410" s="64">
        <f>IFERROR(VLOOKUP(C2410,測定点マスタ!$E$2:$F$28,2,FALSE)/VLOOKUP(A2410,'焼鈍条件-3CGL'!$A$2:$B$197,2,FALSE)*60,"")</f>
        <v>67.538261354482927</v>
      </c>
      <c r="E2410" s="66">
        <v>557.1</v>
      </c>
      <c r="F2410" s="64">
        <f t="shared" si="37"/>
        <v>2.5822399999999943</v>
      </c>
      <c r="G2410" s="60" t="s">
        <v>9</v>
      </c>
      <c r="H2410" s="60" t="s">
        <v>5061</v>
      </c>
    </row>
    <row r="2411" spans="1:8">
      <c r="A2411" s="59" t="s">
        <v>3537</v>
      </c>
      <c r="B2411" s="62">
        <v>15</v>
      </c>
      <c r="C2411" s="60" t="s">
        <v>5054</v>
      </c>
      <c r="D2411" s="64">
        <f>IFERROR(VLOOKUP(C2411,測定点マスタ!$E$2:$F$28,2,FALSE)/VLOOKUP(A2411,'焼鈍条件-3CGL'!$A$2:$B$197,2,FALSE)*60,"")</f>
        <v>75.593283350889152</v>
      </c>
      <c r="E2411" s="66">
        <v>554.20000000000005</v>
      </c>
      <c r="F2411" s="64">
        <f t="shared" si="37"/>
        <v>-0.36002384615384314</v>
      </c>
      <c r="G2411" s="60" t="s">
        <v>9</v>
      </c>
      <c r="H2411" s="60" t="s">
        <v>5061</v>
      </c>
    </row>
    <row r="2412" spans="1:8">
      <c r="A2412" s="59" t="s">
        <v>3537</v>
      </c>
      <c r="B2412" s="62">
        <v>16</v>
      </c>
      <c r="C2412" s="60" t="s">
        <v>5056</v>
      </c>
      <c r="D2412" s="64">
        <f>IFERROR(VLOOKUP(C2412,測定点マスタ!$E$2:$F$28,2,FALSE)/VLOOKUP(A2412,'焼鈍条件-3CGL'!$A$2:$B$197,2,FALSE)*60,"")</f>
        <v>82.409071194002109</v>
      </c>
      <c r="E2412" s="66">
        <v>303.39999999999998</v>
      </c>
      <c r="F2412" s="64">
        <f t="shared" si="37"/>
        <v>-36.79692</v>
      </c>
      <c r="G2412" s="60" t="s">
        <v>9</v>
      </c>
      <c r="H2412" s="60" t="s">
        <v>5061</v>
      </c>
    </row>
    <row r="2413" spans="1:8">
      <c r="A2413" s="59" t="s">
        <v>3537</v>
      </c>
      <c r="B2413" s="62">
        <v>17</v>
      </c>
      <c r="C2413" s="60" t="s">
        <v>5062</v>
      </c>
      <c r="D2413" s="64">
        <f>IFERROR(VLOOKUP(C2413,測定点マスタ!$E$2:$F$28,2,FALSE)/VLOOKUP(A2413,'焼鈍条件-3CGL'!$A$2:$B$197,2,FALSE)*60,"")</f>
        <v>89.844476113761687</v>
      </c>
      <c r="E2413" s="66">
        <v>461.9</v>
      </c>
      <c r="F2413" s="64">
        <f t="shared" si="37"/>
        <v>21.3169291666667</v>
      </c>
      <c r="G2413" s="60" t="s">
        <v>9</v>
      </c>
      <c r="H2413" s="60" t="s">
        <v>5061</v>
      </c>
    </row>
    <row r="2414" spans="1:8">
      <c r="A2414" s="59" t="s">
        <v>3537</v>
      </c>
      <c r="B2414" s="62">
        <v>18</v>
      </c>
      <c r="C2414" s="60" t="s">
        <v>5057</v>
      </c>
      <c r="D2414" s="64">
        <f>IFERROR(VLOOKUP(C2414,測定点マスタ!$E$2:$F$28,2,FALSE)/VLOOKUP(A2414,'焼鈍条件-3CGL'!$A$2:$B$197,2,FALSE)*60,"")</f>
        <v>102.17043010276782</v>
      </c>
      <c r="E2414" s="66">
        <v>262.5</v>
      </c>
      <c r="F2414" s="64">
        <f t="shared" si="37"/>
        <v>-16.17724682226223</v>
      </c>
      <c r="G2414" s="60" t="s">
        <v>9</v>
      </c>
      <c r="H2414" s="60" t="s">
        <v>5061</v>
      </c>
    </row>
    <row r="2415" spans="1:8">
      <c r="A2415" s="59" t="s">
        <v>3537</v>
      </c>
      <c r="B2415" s="62">
        <v>19</v>
      </c>
      <c r="C2415" s="60" t="s">
        <v>5059</v>
      </c>
      <c r="D2415" s="64">
        <f>IFERROR(VLOOKUP(C2415,測定点マスタ!$E$2:$F$28,2,FALSE)/VLOOKUP(A2415,'焼鈍条件-3CGL'!$A$2:$B$197,2,FALSE)*60,"")</f>
        <v>109.65009338514531</v>
      </c>
      <c r="E2415" s="66">
        <v>55.4</v>
      </c>
      <c r="F2415" s="64">
        <f t="shared" si="37"/>
        <v>-27.688412189348067</v>
      </c>
      <c r="G2415" s="60" t="s">
        <v>9</v>
      </c>
      <c r="H2415" s="60" t="s">
        <v>5061</v>
      </c>
    </row>
    <row r="2416" spans="1:8">
      <c r="A2416" s="59" t="s">
        <v>3540</v>
      </c>
      <c r="B2416" s="62">
        <v>1</v>
      </c>
      <c r="C2416" s="60" t="s">
        <v>5041</v>
      </c>
      <c r="D2416" s="64">
        <f>IFERROR(VLOOKUP(C2416,測定点マスタ!$E$2:$F$28,2,FALSE)/VLOOKUP(A2416,'焼鈍条件-3CGL'!$A$2:$B$197,2,FALSE)*60,"")</f>
        <v>0</v>
      </c>
      <c r="E2416" s="66">
        <v>25.5</v>
      </c>
      <c r="F2416" s="64" t="str">
        <f t="shared" si="37"/>
        <v/>
      </c>
      <c r="G2416" s="60" t="s">
        <v>12</v>
      </c>
      <c r="H2416" s="60" t="s">
        <v>5061</v>
      </c>
    </row>
    <row r="2417" spans="1:8">
      <c r="A2417" s="59" t="s">
        <v>3540</v>
      </c>
      <c r="B2417" s="62">
        <v>2</v>
      </c>
      <c r="C2417" s="60" t="s">
        <v>5043</v>
      </c>
      <c r="D2417" s="64">
        <f>IFERROR(VLOOKUP(C2417,測定点マスタ!$E$2:$F$28,2,FALSE)/VLOOKUP(A2417,'焼鈍条件-3CGL'!$A$2:$B$197,2,FALSE)*60,"")</f>
        <v>13.810035292312413</v>
      </c>
      <c r="E2417" s="66">
        <v>188.8</v>
      </c>
      <c r="F2417" s="64">
        <f t="shared" si="37"/>
        <v>11.824734444444445</v>
      </c>
      <c r="G2417" s="60" t="s">
        <v>12</v>
      </c>
      <c r="H2417" s="60" t="s">
        <v>5061</v>
      </c>
    </row>
    <row r="2418" spans="1:8">
      <c r="A2418" s="59" t="s">
        <v>3540</v>
      </c>
      <c r="B2418" s="62">
        <v>3</v>
      </c>
      <c r="C2418" s="60" t="s">
        <v>5044</v>
      </c>
      <c r="D2418" s="64">
        <f>IFERROR(VLOOKUP(C2418,測定点マスタ!$E$2:$F$28,2,FALSE)/VLOOKUP(A2418,'焼鈍条件-3CGL'!$A$2:$B$197,2,FALSE)*60,"")</f>
        <v>31.302746662574805</v>
      </c>
      <c r="E2418" s="66">
        <v>695.7</v>
      </c>
      <c r="F2418" s="64">
        <f t="shared" si="37"/>
        <v>28.977783333333335</v>
      </c>
      <c r="G2418" s="60" t="s">
        <v>12</v>
      </c>
      <c r="H2418" s="60" t="s">
        <v>5061</v>
      </c>
    </row>
    <row r="2419" spans="1:8">
      <c r="A2419" s="59" t="s">
        <v>3540</v>
      </c>
      <c r="B2419" s="62">
        <v>4</v>
      </c>
      <c r="C2419" s="60" t="s">
        <v>5045</v>
      </c>
      <c r="D2419" s="64">
        <f>IFERROR(VLOOKUP(C2419,測定点マスタ!$E$2:$F$28,2,FALSE)/VLOOKUP(A2419,'焼鈍条件-3CGL'!$A$2:$B$197,2,FALSE)*60,"")</f>
        <v>40.509436857449742</v>
      </c>
      <c r="E2419" s="66">
        <v>856.6</v>
      </c>
      <c r="F2419" s="64">
        <f t="shared" si="37"/>
        <v>17.476421666666674</v>
      </c>
      <c r="G2419" s="60" t="s">
        <v>12</v>
      </c>
      <c r="H2419" s="60" t="s">
        <v>5061</v>
      </c>
    </row>
    <row r="2420" spans="1:8">
      <c r="A2420" s="59" t="s">
        <v>3540</v>
      </c>
      <c r="B2420" s="62">
        <v>5</v>
      </c>
      <c r="C2420" s="60" t="s">
        <v>5047</v>
      </c>
      <c r="D2420" s="64">
        <f>IFERROR(VLOOKUP(C2420,測定点マスタ!$E$2:$F$28,2,FALSE)/VLOOKUP(A2420,'焼鈍条件-3CGL'!$A$2:$B$197,2,FALSE)*60,"")</f>
        <v>55.240141169249654</v>
      </c>
      <c r="E2420" s="66">
        <v>803.6</v>
      </c>
      <c r="F2420" s="64">
        <f t="shared" si="37"/>
        <v>-3.5979270833333326</v>
      </c>
      <c r="G2420" s="60" t="s">
        <v>12</v>
      </c>
      <c r="H2420" s="60" t="s">
        <v>5061</v>
      </c>
    </row>
    <row r="2421" spans="1:8">
      <c r="A2421" s="59" t="s">
        <v>3540</v>
      </c>
      <c r="B2421" s="62">
        <v>6</v>
      </c>
      <c r="C2421" s="60" t="s">
        <v>5049</v>
      </c>
      <c r="D2421" s="64">
        <f>IFERROR(VLOOKUP(C2421,測定点マスタ!$E$2:$F$28,2,FALSE)/VLOOKUP(A2421,'焼鈍条件-3CGL'!$A$2:$B$197,2,FALSE)*60,"")</f>
        <v>67.208838422587078</v>
      </c>
      <c r="E2421" s="66">
        <v>615.79999999999995</v>
      </c>
      <c r="F2421" s="64">
        <f t="shared" si="37"/>
        <v>-15.690930769230777</v>
      </c>
      <c r="G2421" s="60" t="s">
        <v>12</v>
      </c>
      <c r="H2421" s="60" t="s">
        <v>5061</v>
      </c>
    </row>
    <row r="2422" spans="1:8">
      <c r="A2422" s="59" t="s">
        <v>3540</v>
      </c>
      <c r="B2422" s="62">
        <v>7</v>
      </c>
      <c r="C2422" s="60" t="s">
        <v>5050</v>
      </c>
      <c r="D2422" s="64">
        <f>IFERROR(VLOOKUP(C2422,測定点マスタ!$E$2:$F$28,2,FALSE)/VLOOKUP(A2422,'焼鈍条件-3CGL'!$A$2:$B$197,2,FALSE)*60,"")</f>
        <v>74.574190578487034</v>
      </c>
      <c r="E2422" s="66">
        <v>535.1</v>
      </c>
      <c r="F2422" s="64">
        <f t="shared" si="37"/>
        <v>-10.956706249999987</v>
      </c>
      <c r="G2422" s="60" t="s">
        <v>12</v>
      </c>
      <c r="H2422" s="60" t="s">
        <v>5061</v>
      </c>
    </row>
    <row r="2423" spans="1:8">
      <c r="A2423" s="59" t="s">
        <v>3540</v>
      </c>
      <c r="B2423" s="62">
        <v>8</v>
      </c>
      <c r="C2423" s="60" t="s">
        <v>5051</v>
      </c>
      <c r="D2423" s="64">
        <f>IFERROR(VLOOKUP(C2423,測定点マスタ!$E$2:$F$28,2,FALSE)/VLOOKUP(A2423,'焼鈍条件-3CGL'!$A$2:$B$197,2,FALSE)*60,"")</f>
        <v>81.018873714899485</v>
      </c>
      <c r="E2423" s="66">
        <v>478.6</v>
      </c>
      <c r="F2423" s="64">
        <f t="shared" si="37"/>
        <v>-8.7669166666666793</v>
      </c>
      <c r="G2423" s="60" t="s">
        <v>12</v>
      </c>
      <c r="H2423" s="60" t="s">
        <v>5061</v>
      </c>
    </row>
    <row r="2424" spans="1:8">
      <c r="A2424" s="59" t="s">
        <v>3540</v>
      </c>
      <c r="B2424" s="62">
        <v>9</v>
      </c>
      <c r="C2424" s="60" t="s">
        <v>5060</v>
      </c>
      <c r="D2424" s="64">
        <f>IFERROR(VLOOKUP(C2424,測定点マスタ!$E$2:$F$28,2,FALSE)/VLOOKUP(A2424,'焼鈍条件-3CGL'!$A$2:$B$197,2,FALSE)*60,"")</f>
        <v>84.701549792849463</v>
      </c>
      <c r="E2424" s="66">
        <v>425.7</v>
      </c>
      <c r="F2424" s="64">
        <f t="shared" si="37"/>
        <v>-14.364554166666672</v>
      </c>
      <c r="G2424" s="60" t="s">
        <v>12</v>
      </c>
      <c r="H2424" s="60" t="s">
        <v>5061</v>
      </c>
    </row>
    <row r="2425" spans="1:8">
      <c r="A2425" s="59" t="s">
        <v>3540</v>
      </c>
      <c r="B2425" s="62">
        <v>10</v>
      </c>
      <c r="C2425" s="60" t="s">
        <v>5052</v>
      </c>
      <c r="D2425" s="64">
        <f>IFERROR(VLOOKUP(C2425,測定点マスタ!$E$2:$F$28,2,FALSE)/VLOOKUP(A2425,'焼鈍条件-3CGL'!$A$2:$B$197,2,FALSE)*60,"")</f>
        <v>89.304894890286931</v>
      </c>
      <c r="E2425" s="66">
        <v>364.7</v>
      </c>
      <c r="F2425" s="64">
        <f t="shared" si="37"/>
        <v>-13.251233333333341</v>
      </c>
      <c r="G2425" s="60" t="s">
        <v>12</v>
      </c>
      <c r="H2425" s="60" t="s">
        <v>5061</v>
      </c>
    </row>
    <row r="2426" spans="1:8">
      <c r="A2426" s="59" t="s">
        <v>3540</v>
      </c>
      <c r="B2426" s="62">
        <v>11</v>
      </c>
      <c r="C2426" s="60" t="s">
        <v>5053</v>
      </c>
      <c r="D2426" s="64">
        <f>IFERROR(VLOOKUP(C2426,測定点マスタ!$E$2:$F$28,2,FALSE)/VLOOKUP(A2426,'焼鈍条件-3CGL'!$A$2:$B$197,2,FALSE)*60,"")</f>
        <v>100.35292312413686</v>
      </c>
      <c r="E2426" s="66">
        <v>555.5</v>
      </c>
      <c r="F2426" s="64">
        <f t="shared" si="37"/>
        <v>17.270049999999998</v>
      </c>
      <c r="G2426" s="60" t="s">
        <v>12</v>
      </c>
      <c r="H2426" s="60" t="s">
        <v>5061</v>
      </c>
    </row>
    <row r="2427" spans="1:8">
      <c r="A2427" s="59" t="s">
        <v>3540</v>
      </c>
      <c r="B2427" s="62">
        <v>12</v>
      </c>
      <c r="C2427" s="60" t="s">
        <v>5063</v>
      </c>
      <c r="D2427" s="64">
        <f>IFERROR(VLOOKUP(C2427,測定点マスタ!$E$2:$F$28,2,FALSE)/VLOOKUP(A2427,'焼鈍条件-3CGL'!$A$2:$B$197,2,FALSE)*60,"")</f>
        <v>105.87693724106184</v>
      </c>
      <c r="E2427" s="66">
        <v>562.1</v>
      </c>
      <c r="F2427" s="64">
        <f t="shared" si="37"/>
        <v>1.1947833333333355</v>
      </c>
      <c r="G2427" s="60" t="s">
        <v>12</v>
      </c>
      <c r="H2427" s="60" t="s">
        <v>5061</v>
      </c>
    </row>
    <row r="2428" spans="1:8">
      <c r="A2428" s="59" t="s">
        <v>3540</v>
      </c>
      <c r="B2428" s="62">
        <v>13</v>
      </c>
      <c r="C2428" s="60" t="s">
        <v>5054</v>
      </c>
      <c r="D2428" s="64">
        <f>IFERROR(VLOOKUP(C2428,測定点マスタ!$E$2:$F$28,2,FALSE)/VLOOKUP(A2428,'焼鈍条件-3CGL'!$A$2:$B$197,2,FALSE)*60,"")</f>
        <v>112.3216203774743</v>
      </c>
      <c r="E2428" s="66">
        <v>546.4</v>
      </c>
      <c r="F2428" s="64">
        <f t="shared" si="37"/>
        <v>-2.4361166666666718</v>
      </c>
      <c r="G2428" s="60" t="s">
        <v>12</v>
      </c>
      <c r="H2428" s="60" t="s">
        <v>5061</v>
      </c>
    </row>
    <row r="2429" spans="1:8">
      <c r="A2429" s="59" t="s">
        <v>3540</v>
      </c>
      <c r="B2429" s="62">
        <v>14</v>
      </c>
      <c r="C2429" s="60" t="s">
        <v>5056</v>
      </c>
      <c r="D2429" s="64">
        <f>IFERROR(VLOOKUP(C2429,測定点マスタ!$E$2:$F$28,2,FALSE)/VLOOKUP(A2429,'焼鈍条件-3CGL'!$A$2:$B$197,2,FALSE)*60,"")</f>
        <v>122.44897959183673</v>
      </c>
      <c r="E2429" s="66">
        <v>268.10000000000002</v>
      </c>
      <c r="F2429" s="64">
        <f t="shared" si="37"/>
        <v>-27.480016666666685</v>
      </c>
      <c r="G2429" s="60" t="s">
        <v>12</v>
      </c>
      <c r="H2429" s="60" t="s">
        <v>5061</v>
      </c>
    </row>
    <row r="2430" spans="1:8">
      <c r="A2430" s="59" t="s">
        <v>3540</v>
      </c>
      <c r="B2430" s="62">
        <v>15</v>
      </c>
      <c r="C2430" s="60" t="s">
        <v>5062</v>
      </c>
      <c r="D2430" s="64">
        <f>IFERROR(VLOOKUP(C2430,測定点マスタ!$E$2:$F$28,2,FALSE)/VLOOKUP(A2430,'焼鈍条件-3CGL'!$A$2:$B$197,2,FALSE)*60,"")</f>
        <v>133.49700782568667</v>
      </c>
      <c r="E2430" s="66">
        <v>453.2</v>
      </c>
      <c r="F2430" s="64">
        <f t="shared" si="37"/>
        <v>16.754120833333324</v>
      </c>
      <c r="G2430" s="60" t="s">
        <v>12</v>
      </c>
      <c r="H2430" s="60" t="s">
        <v>5061</v>
      </c>
    </row>
    <row r="2431" spans="1:8">
      <c r="A2431" s="59" t="s">
        <v>3540</v>
      </c>
      <c r="B2431" s="62">
        <v>16</v>
      </c>
      <c r="C2431" s="60" t="s">
        <v>5057</v>
      </c>
      <c r="D2431" s="64">
        <f>IFERROR(VLOOKUP(C2431,測定点マスタ!$E$2:$F$28,2,FALSE)/VLOOKUP(A2431,'焼鈍条件-3CGL'!$A$2:$B$197,2,FALSE)*60,"")</f>
        <v>151.81174510620562</v>
      </c>
      <c r="E2431" s="66">
        <v>199</v>
      </c>
      <c r="F2431" s="64">
        <f t="shared" si="37"/>
        <v>-13.879532974267002</v>
      </c>
      <c r="G2431" s="60" t="s">
        <v>12</v>
      </c>
      <c r="H2431" s="60" t="s">
        <v>5061</v>
      </c>
    </row>
    <row r="2432" spans="1:8">
      <c r="A2432" s="59" t="s">
        <v>3540</v>
      </c>
      <c r="B2432" s="62">
        <v>17</v>
      </c>
      <c r="C2432" s="60" t="s">
        <v>5059</v>
      </c>
      <c r="D2432" s="64">
        <f>IFERROR(VLOOKUP(C2432,測定点マスタ!$E$2:$F$28,2,FALSE)/VLOOKUP(A2432,'焼鈍条件-3CGL'!$A$2:$B$197,2,FALSE)*60,"")</f>
        <v>162.92553541287648</v>
      </c>
      <c r="E2432" s="66">
        <v>47.5</v>
      </c>
      <c r="F2432" s="64">
        <f t="shared" si="37"/>
        <v>-13.631713017750991</v>
      </c>
      <c r="G2432" s="60" t="s">
        <v>12</v>
      </c>
      <c r="H2432" s="60" t="s">
        <v>5061</v>
      </c>
    </row>
    <row r="2433" spans="1:8">
      <c r="A2433" s="59" t="s">
        <v>3543</v>
      </c>
      <c r="B2433" s="62">
        <v>1</v>
      </c>
      <c r="C2433" s="60" t="s">
        <v>5041</v>
      </c>
      <c r="D2433" s="64">
        <f>IFERROR(VLOOKUP(C2433,測定点マスタ!$E$2:$F$28,2,FALSE)/VLOOKUP(A2433,'焼鈍条件-3CGL'!$A$2:$B$197,2,FALSE)*60,"")</f>
        <v>0</v>
      </c>
      <c r="E2433" s="66">
        <v>33.700000000000003</v>
      </c>
      <c r="F2433" s="64" t="str">
        <f t="shared" si="37"/>
        <v/>
      </c>
      <c r="G2433" s="60" t="s">
        <v>9</v>
      </c>
      <c r="H2433" s="60" t="s">
        <v>5042</v>
      </c>
    </row>
    <row r="2434" spans="1:8">
      <c r="A2434" s="59" t="s">
        <v>3543</v>
      </c>
      <c r="B2434" s="62">
        <v>2</v>
      </c>
      <c r="C2434" s="60" t="s">
        <v>5043</v>
      </c>
      <c r="D2434" s="64">
        <f>IFERROR(VLOOKUP(C2434,測定点マスタ!$E$2:$F$28,2,FALSE)/VLOOKUP(A2434,'焼鈍条件-3CGL'!$A$2:$B$197,2,FALSE)*60,"")</f>
        <v>11.764859671368253</v>
      </c>
      <c r="E2434" s="66">
        <v>187.5</v>
      </c>
      <c r="F2434" s="64">
        <f t="shared" ref="F2434:F2497" si="38">IF(A2434=A2433,IFERROR((E2434-E2433)/(D2434-D2433),""),"")</f>
        <v>13.072829111111112</v>
      </c>
      <c r="G2434" s="60" t="s">
        <v>9</v>
      </c>
      <c r="H2434" s="60" t="s">
        <v>5042</v>
      </c>
    </row>
    <row r="2435" spans="1:8">
      <c r="A2435" s="59" t="s">
        <v>3543</v>
      </c>
      <c r="B2435" s="62">
        <v>3</v>
      </c>
      <c r="C2435" s="60" t="s">
        <v>5067</v>
      </c>
      <c r="D2435" s="64">
        <f>IFERROR(VLOOKUP(C2435,測定点マスタ!$E$2:$F$28,2,FALSE)/VLOOKUP(A2435,'焼鈍条件-3CGL'!$A$2:$B$197,2,FALSE)*60,"")</f>
        <v>19.608099452280424</v>
      </c>
      <c r="E2435" s="66">
        <v>396.7</v>
      </c>
      <c r="F2435" s="64">
        <f t="shared" si="38"/>
        <v>26.672651333333324</v>
      </c>
      <c r="G2435" s="60" t="s">
        <v>9</v>
      </c>
      <c r="H2435" s="60" t="s">
        <v>5042</v>
      </c>
    </row>
    <row r="2436" spans="1:8">
      <c r="A2436" s="59" t="s">
        <v>3543</v>
      </c>
      <c r="B2436" s="62">
        <v>4</v>
      </c>
      <c r="C2436" s="60" t="s">
        <v>5044</v>
      </c>
      <c r="D2436" s="64">
        <f>IFERROR(VLOOKUP(C2436,測定点マスタ!$E$2:$F$28,2,FALSE)/VLOOKUP(A2436,'焼鈍条件-3CGL'!$A$2:$B$197,2,FALSE)*60,"")</f>
        <v>26.667015255101376</v>
      </c>
      <c r="E2436" s="66">
        <v>695.9</v>
      </c>
      <c r="F2436" s="64">
        <f t="shared" si="38"/>
        <v>42.386112592592589</v>
      </c>
      <c r="G2436" s="60" t="s">
        <v>9</v>
      </c>
      <c r="H2436" s="60" t="s">
        <v>5042</v>
      </c>
    </row>
    <row r="2437" spans="1:8">
      <c r="A2437" s="59" t="s">
        <v>3543</v>
      </c>
      <c r="B2437" s="62">
        <v>5</v>
      </c>
      <c r="C2437" s="60" t="s">
        <v>5045</v>
      </c>
      <c r="D2437" s="64">
        <f>IFERROR(VLOOKUP(C2437,測定点マスタ!$E$2:$F$28,2,FALSE)/VLOOKUP(A2437,'焼鈍条件-3CGL'!$A$2:$B$197,2,FALSE)*60,"")</f>
        <v>34.510255036013547</v>
      </c>
      <c r="E2437" s="66">
        <v>851.9</v>
      </c>
      <c r="F2437" s="64">
        <f t="shared" si="38"/>
        <v>19.889739999999993</v>
      </c>
      <c r="G2437" s="60" t="s">
        <v>9</v>
      </c>
      <c r="H2437" s="60" t="s">
        <v>5042</v>
      </c>
    </row>
    <row r="2438" spans="1:8">
      <c r="A2438" s="59" t="s">
        <v>3543</v>
      </c>
      <c r="B2438" s="62">
        <v>6</v>
      </c>
      <c r="C2438" s="60" t="s">
        <v>5047</v>
      </c>
      <c r="D2438" s="64">
        <f>IFERROR(VLOOKUP(C2438,測定点マスタ!$E$2:$F$28,2,FALSE)/VLOOKUP(A2438,'焼鈍条件-3CGL'!$A$2:$B$197,2,FALSE)*60,"")</f>
        <v>47.059438685473012</v>
      </c>
      <c r="E2438" s="66">
        <v>767.8</v>
      </c>
      <c r="F2438" s="64">
        <f t="shared" si="38"/>
        <v>-6.7016311458333382</v>
      </c>
      <c r="G2438" s="60" t="s">
        <v>9</v>
      </c>
      <c r="H2438" s="60" t="s">
        <v>5042</v>
      </c>
    </row>
    <row r="2439" spans="1:8">
      <c r="A2439" s="59" t="s">
        <v>3543</v>
      </c>
      <c r="B2439" s="62">
        <v>7</v>
      </c>
      <c r="C2439" s="60" t="s">
        <v>5048</v>
      </c>
      <c r="D2439" s="64">
        <f>IFERROR(VLOOKUP(C2439,測定点マスタ!$E$2:$F$28,2,FALSE)/VLOOKUP(A2439,'焼鈍条件-3CGL'!$A$2:$B$197,2,FALSE)*60,"")</f>
        <v>51.765382554020313</v>
      </c>
      <c r="E2439" s="66">
        <v>757.8</v>
      </c>
      <c r="F2439" s="64">
        <f t="shared" si="38"/>
        <v>-2.1249722222222225</v>
      </c>
      <c r="G2439" s="60" t="s">
        <v>9</v>
      </c>
      <c r="H2439" s="60" t="s">
        <v>5042</v>
      </c>
    </row>
    <row r="2440" spans="1:8">
      <c r="A2440" s="59" t="s">
        <v>3543</v>
      </c>
      <c r="B2440" s="62">
        <v>8</v>
      </c>
      <c r="C2440" s="60" t="s">
        <v>5049</v>
      </c>
      <c r="D2440" s="64">
        <f>IFERROR(VLOOKUP(C2440,測定点マスタ!$E$2:$F$28,2,FALSE)/VLOOKUP(A2440,'焼鈍条件-3CGL'!$A$2:$B$197,2,FALSE)*60,"")</f>
        <v>57.25565040065883</v>
      </c>
      <c r="E2440" s="66">
        <v>642.1</v>
      </c>
      <c r="F2440" s="64">
        <f t="shared" si="38"/>
        <v>-21.073653095238086</v>
      </c>
      <c r="G2440" s="60" t="s">
        <v>9</v>
      </c>
      <c r="H2440" s="60" t="s">
        <v>5042</v>
      </c>
    </row>
    <row r="2441" spans="1:8">
      <c r="A2441" s="59" t="s">
        <v>3543</v>
      </c>
      <c r="B2441" s="62">
        <v>9</v>
      </c>
      <c r="C2441" s="60" t="s">
        <v>5050</v>
      </c>
      <c r="D2441" s="64">
        <f>IFERROR(VLOOKUP(C2441,測定点マスタ!$E$2:$F$28,2,FALSE)/VLOOKUP(A2441,'焼鈍条件-3CGL'!$A$2:$B$197,2,FALSE)*60,"")</f>
        <v>63.530242225388569</v>
      </c>
      <c r="E2441" s="66">
        <v>516.6</v>
      </c>
      <c r="F2441" s="64">
        <f t="shared" si="38"/>
        <v>-20.00130104166665</v>
      </c>
      <c r="G2441" s="60" t="s">
        <v>9</v>
      </c>
      <c r="H2441" s="60" t="s">
        <v>5042</v>
      </c>
    </row>
    <row r="2442" spans="1:8">
      <c r="A2442" s="59" t="s">
        <v>3543</v>
      </c>
      <c r="B2442" s="62">
        <v>10</v>
      </c>
      <c r="C2442" s="60" t="s">
        <v>5051</v>
      </c>
      <c r="D2442" s="64">
        <f>IFERROR(VLOOKUP(C2442,測定点マスタ!$E$2:$F$28,2,FALSE)/VLOOKUP(A2442,'焼鈍条件-3CGL'!$A$2:$B$197,2,FALSE)*60,"")</f>
        <v>69.020510072027093</v>
      </c>
      <c r="E2442" s="66">
        <v>493.7</v>
      </c>
      <c r="F2442" s="64">
        <f t="shared" si="38"/>
        <v>-4.1710169047619061</v>
      </c>
      <c r="G2442" s="60" t="s">
        <v>9</v>
      </c>
      <c r="H2442" s="60" t="s">
        <v>5042</v>
      </c>
    </row>
    <row r="2443" spans="1:8">
      <c r="A2443" s="59" t="s">
        <v>3543</v>
      </c>
      <c r="B2443" s="62">
        <v>11</v>
      </c>
      <c r="C2443" s="60" t="s">
        <v>5060</v>
      </c>
      <c r="D2443" s="64">
        <f>IFERROR(VLOOKUP(C2443,測定点マスタ!$E$2:$F$28,2,FALSE)/VLOOKUP(A2443,'焼鈍条件-3CGL'!$A$2:$B$197,2,FALSE)*60,"")</f>
        <v>72.157805984391956</v>
      </c>
      <c r="E2443" s="66">
        <v>410.6</v>
      </c>
      <c r="F2443" s="64">
        <f t="shared" si="38"/>
        <v>-26.487778750000029</v>
      </c>
      <c r="G2443" s="60" t="s">
        <v>9</v>
      </c>
      <c r="H2443" s="60" t="s">
        <v>5042</v>
      </c>
    </row>
    <row r="2444" spans="1:8">
      <c r="A2444" s="59" t="s">
        <v>3543</v>
      </c>
      <c r="B2444" s="62">
        <v>12</v>
      </c>
      <c r="C2444" s="60" t="s">
        <v>5052</v>
      </c>
      <c r="D2444" s="64">
        <f>IFERROR(VLOOKUP(C2444,測定点マスタ!$E$2:$F$28,2,FALSE)/VLOOKUP(A2444,'焼鈍条件-3CGL'!$A$2:$B$197,2,FALSE)*60,"")</f>
        <v>76.079425874848042</v>
      </c>
      <c r="E2444" s="66">
        <v>385.4</v>
      </c>
      <c r="F2444" s="64">
        <f t="shared" si="38"/>
        <v>-6.4259160000000097</v>
      </c>
      <c r="G2444" s="60" t="s">
        <v>9</v>
      </c>
      <c r="H2444" s="60" t="s">
        <v>5042</v>
      </c>
    </row>
    <row r="2445" spans="1:8">
      <c r="A2445" s="59" t="s">
        <v>3543</v>
      </c>
      <c r="B2445" s="62">
        <v>13</v>
      </c>
      <c r="C2445" s="60" t="s">
        <v>5069</v>
      </c>
      <c r="D2445" s="64">
        <f>IFERROR(VLOOKUP(C2445,測定点マスタ!$E$2:$F$28,2,FALSE)/VLOOKUP(A2445,'焼鈍条件-3CGL'!$A$2:$B$197,2,FALSE)*60,"")</f>
        <v>81.569693721486559</v>
      </c>
      <c r="E2445" s="66">
        <v>528.5</v>
      </c>
      <c r="F2445" s="64">
        <f t="shared" si="38"/>
        <v>26.064302142857152</v>
      </c>
      <c r="G2445" s="60" t="s">
        <v>9</v>
      </c>
      <c r="H2445" s="60" t="s">
        <v>5042</v>
      </c>
    </row>
    <row r="2446" spans="1:8">
      <c r="A2446" s="59" t="s">
        <v>3543</v>
      </c>
      <c r="B2446" s="62">
        <v>14</v>
      </c>
      <c r="C2446" s="60" t="s">
        <v>5053</v>
      </c>
      <c r="D2446" s="64">
        <f>IFERROR(VLOOKUP(C2446,測定点マスタ!$E$2:$F$28,2,FALSE)/VLOOKUP(A2446,'焼鈍条件-3CGL'!$A$2:$B$197,2,FALSE)*60,"")</f>
        <v>85.491313611942644</v>
      </c>
      <c r="E2446" s="66">
        <v>557.79999999999995</v>
      </c>
      <c r="F2446" s="64">
        <f t="shared" si="38"/>
        <v>7.4714023333333195</v>
      </c>
      <c r="G2446" s="60" t="s">
        <v>9</v>
      </c>
      <c r="H2446" s="60" t="s">
        <v>5042</v>
      </c>
    </row>
    <row r="2447" spans="1:8">
      <c r="A2447" s="59" t="s">
        <v>3543</v>
      </c>
      <c r="B2447" s="62">
        <v>15</v>
      </c>
      <c r="C2447" s="60" t="s">
        <v>5054</v>
      </c>
      <c r="D2447" s="64">
        <f>IFERROR(VLOOKUP(C2447,測定点マスタ!$E$2:$F$28,2,FALSE)/VLOOKUP(A2447,'焼鈍条件-3CGL'!$A$2:$B$197,2,FALSE)*60,"")</f>
        <v>95.687525327128469</v>
      </c>
      <c r="E2447" s="66">
        <v>541.1</v>
      </c>
      <c r="F2447" s="64">
        <f t="shared" si="38"/>
        <v>-1.6378632051281976</v>
      </c>
      <c r="G2447" s="60" t="s">
        <v>9</v>
      </c>
      <c r="H2447" s="60" t="s">
        <v>5042</v>
      </c>
    </row>
    <row r="2448" spans="1:8">
      <c r="A2448" s="59" t="s">
        <v>3543</v>
      </c>
      <c r="B2448" s="62">
        <v>16</v>
      </c>
      <c r="C2448" s="60" t="s">
        <v>5056</v>
      </c>
      <c r="D2448" s="64">
        <f>IFERROR(VLOOKUP(C2448,測定点マスタ!$E$2:$F$28,2,FALSE)/VLOOKUP(A2448,'焼鈍条件-3CGL'!$A$2:$B$197,2,FALSE)*60,"")</f>
        <v>104.31508908613185</v>
      </c>
      <c r="E2448" s="66">
        <v>288.3</v>
      </c>
      <c r="F2448" s="64">
        <f t="shared" si="38"/>
        <v>-29.301435151515175</v>
      </c>
      <c r="G2448" s="60" t="s">
        <v>9</v>
      </c>
      <c r="H2448" s="60" t="s">
        <v>5042</v>
      </c>
    </row>
    <row r="2449" spans="1:8">
      <c r="A2449" s="59" t="s">
        <v>3543</v>
      </c>
      <c r="B2449" s="62">
        <v>17</v>
      </c>
      <c r="C2449" s="60" t="s">
        <v>5068</v>
      </c>
      <c r="D2449" s="64">
        <f>IFERROR(VLOOKUP(C2449,測定点マスタ!$E$2:$F$28,2,FALSE)/VLOOKUP(A2449,'焼鈍条件-3CGL'!$A$2:$B$197,2,FALSE)*60,"")</f>
        <v>124.59546623391914</v>
      </c>
      <c r="E2449" s="66">
        <v>363.6</v>
      </c>
      <c r="F2449" s="64">
        <f t="shared" si="38"/>
        <v>3.7129487016574387</v>
      </c>
      <c r="G2449" s="60" t="s">
        <v>9</v>
      </c>
      <c r="H2449" s="60" t="s">
        <v>5042</v>
      </c>
    </row>
    <row r="2450" spans="1:8">
      <c r="A2450" s="59" t="s">
        <v>3543</v>
      </c>
      <c r="B2450" s="62">
        <v>18</v>
      </c>
      <c r="C2450" s="60" t="s">
        <v>5057</v>
      </c>
      <c r="D2450" s="64">
        <f>IFERROR(VLOOKUP(C2450,測定点マスタ!$E$2:$F$28,2,FALSE)/VLOOKUP(A2450,'焼鈍条件-3CGL'!$A$2:$B$197,2,FALSE)*60,"")</f>
        <v>129.32942167311234</v>
      </c>
      <c r="E2450" s="66">
        <v>216.8</v>
      </c>
      <c r="F2450" s="64">
        <f t="shared" si="38"/>
        <v>-31.010008836293363</v>
      </c>
      <c r="G2450" s="60" t="s">
        <v>9</v>
      </c>
      <c r="H2450" s="60" t="s">
        <v>5042</v>
      </c>
    </row>
    <row r="2451" spans="1:8">
      <c r="A2451" s="59" t="s">
        <v>3543</v>
      </c>
      <c r="B2451" s="62">
        <v>19</v>
      </c>
      <c r="C2451" s="60" t="s">
        <v>5058</v>
      </c>
      <c r="D2451" s="64">
        <f>IFERROR(VLOOKUP(C2451,測定点マスタ!$E$2:$F$28,2,FALSE)/VLOOKUP(A2451,'焼鈍条件-3CGL'!$A$2:$B$197,2,FALSE)*60,"")</f>
        <v>134.06337711230555</v>
      </c>
      <c r="E2451" s="66">
        <v>137.69999999999999</v>
      </c>
      <c r="F2451" s="64">
        <f t="shared" si="38"/>
        <v>-16.709071518738405</v>
      </c>
      <c r="G2451" s="60" t="s">
        <v>9</v>
      </c>
      <c r="H2451" s="60" t="s">
        <v>5042</v>
      </c>
    </row>
    <row r="2452" spans="1:8">
      <c r="A2452" s="59" t="s">
        <v>3543</v>
      </c>
      <c r="B2452" s="62">
        <v>20</v>
      </c>
      <c r="C2452" s="60" t="s">
        <v>5059</v>
      </c>
      <c r="D2452" s="64">
        <f>IFERROR(VLOOKUP(C2452,測定点マスタ!$E$2:$F$28,2,FALSE)/VLOOKUP(A2452,'焼鈍条件-3CGL'!$A$2:$B$197,2,FALSE)*60,"")</f>
        <v>138.79733255149949</v>
      </c>
      <c r="E2452" s="66">
        <v>61.5</v>
      </c>
      <c r="F2452" s="64">
        <f t="shared" si="38"/>
        <v>-16.096475976329547</v>
      </c>
      <c r="G2452" s="60" t="s">
        <v>9</v>
      </c>
      <c r="H2452" s="60" t="s">
        <v>5042</v>
      </c>
    </row>
    <row r="2453" spans="1:8">
      <c r="A2453" s="59" t="s">
        <v>3550</v>
      </c>
      <c r="B2453" s="62">
        <v>1</v>
      </c>
      <c r="C2453" s="60" t="s">
        <v>5041</v>
      </c>
      <c r="D2453" s="64">
        <f>IFERROR(VLOOKUP(C2453,測定点マスタ!$E$2:$F$28,2,FALSE)/VLOOKUP(A2453,'焼鈍条件-3CGL'!$A$2:$B$197,2,FALSE)*60,"")</f>
        <v>0</v>
      </c>
      <c r="E2453" s="66">
        <v>26.8</v>
      </c>
      <c r="F2453" s="64" t="str">
        <f t="shared" si="38"/>
        <v/>
      </c>
      <c r="G2453" s="60" t="s">
        <v>12</v>
      </c>
      <c r="H2453" s="60" t="s">
        <v>5061</v>
      </c>
    </row>
    <row r="2454" spans="1:8">
      <c r="A2454" s="59" t="s">
        <v>3550</v>
      </c>
      <c r="B2454" s="62">
        <v>2</v>
      </c>
      <c r="C2454" s="60" t="s">
        <v>5043</v>
      </c>
      <c r="D2454" s="64">
        <f>IFERROR(VLOOKUP(C2454,測定点マスタ!$E$2:$F$28,2,FALSE)/VLOOKUP(A2454,'焼鈍条件-3CGL'!$A$2:$B$197,2,FALSE)*60,"")</f>
        <v>9.9280766006265733</v>
      </c>
      <c r="E2454" s="66">
        <v>175.7</v>
      </c>
      <c r="F2454" s="64">
        <f t="shared" si="38"/>
        <v>14.997869777777774</v>
      </c>
      <c r="G2454" s="60" t="s">
        <v>12</v>
      </c>
      <c r="H2454" s="60" t="s">
        <v>5061</v>
      </c>
    </row>
    <row r="2455" spans="1:8">
      <c r="A2455" s="59" t="s">
        <v>3550</v>
      </c>
      <c r="B2455" s="62">
        <v>3</v>
      </c>
      <c r="C2455" s="60" t="s">
        <v>5044</v>
      </c>
      <c r="D2455" s="64">
        <f>IFERROR(VLOOKUP(C2455,測定点マスタ!$E$2:$F$28,2,FALSE)/VLOOKUP(A2455,'焼鈍条件-3CGL'!$A$2:$B$197,2,FALSE)*60,"")</f>
        <v>22.503640294753563</v>
      </c>
      <c r="E2455" s="66">
        <v>672.8</v>
      </c>
      <c r="F2455" s="64">
        <f t="shared" si="38"/>
        <v>39.529043157894741</v>
      </c>
      <c r="G2455" s="60" t="s">
        <v>12</v>
      </c>
      <c r="H2455" s="60" t="s">
        <v>5061</v>
      </c>
    </row>
    <row r="2456" spans="1:8">
      <c r="A2456" s="59" t="s">
        <v>3550</v>
      </c>
      <c r="B2456" s="62">
        <v>4</v>
      </c>
      <c r="C2456" s="60" t="s">
        <v>5045</v>
      </c>
      <c r="D2456" s="64">
        <f>IFERROR(VLOOKUP(C2456,測定点マスタ!$E$2:$F$28,2,FALSE)/VLOOKUP(A2456,'焼鈍条件-3CGL'!$A$2:$B$197,2,FALSE)*60,"")</f>
        <v>29.12235802850461</v>
      </c>
      <c r="E2456" s="66">
        <v>843.6</v>
      </c>
      <c r="F2456" s="64">
        <f t="shared" si="38"/>
        <v>25.80560266666668</v>
      </c>
      <c r="G2456" s="60" t="s">
        <v>12</v>
      </c>
      <c r="H2456" s="60" t="s">
        <v>5061</v>
      </c>
    </row>
    <row r="2457" spans="1:8">
      <c r="A2457" s="59" t="s">
        <v>3550</v>
      </c>
      <c r="B2457" s="62">
        <v>5</v>
      </c>
      <c r="C2457" s="60" t="s">
        <v>5046</v>
      </c>
      <c r="D2457" s="64">
        <f>IFERROR(VLOOKUP(C2457,測定点マスタ!$E$2:$F$28,2,FALSE)/VLOOKUP(A2457,'焼鈍条件-3CGL'!$A$2:$B$197,2,FALSE)*60,"")</f>
        <v>35.741075762255655</v>
      </c>
      <c r="E2457" s="66">
        <v>810</v>
      </c>
      <c r="F2457" s="64">
        <f t="shared" si="38"/>
        <v>-5.0765120000000064</v>
      </c>
      <c r="G2457" s="60" t="s">
        <v>12</v>
      </c>
      <c r="H2457" s="60" t="s">
        <v>5061</v>
      </c>
    </row>
    <row r="2458" spans="1:8">
      <c r="A2458" s="59" t="s">
        <v>3550</v>
      </c>
      <c r="B2458" s="62">
        <v>6</v>
      </c>
      <c r="C2458" s="60" t="s">
        <v>5047</v>
      </c>
      <c r="D2458" s="64">
        <f>IFERROR(VLOOKUP(C2458,測定点マスタ!$E$2:$F$28,2,FALSE)/VLOOKUP(A2458,'焼鈍条件-3CGL'!$A$2:$B$197,2,FALSE)*60,"")</f>
        <v>39.712306402506293</v>
      </c>
      <c r="E2458" s="66">
        <v>790.8</v>
      </c>
      <c r="F2458" s="64">
        <f t="shared" si="38"/>
        <v>-4.8347733333333327</v>
      </c>
      <c r="G2458" s="60" t="s">
        <v>12</v>
      </c>
      <c r="H2458" s="60" t="s">
        <v>5061</v>
      </c>
    </row>
    <row r="2459" spans="1:8">
      <c r="A2459" s="59" t="s">
        <v>3550</v>
      </c>
      <c r="B2459" s="62">
        <v>7</v>
      </c>
      <c r="C2459" s="60" t="s">
        <v>5049</v>
      </c>
      <c r="D2459" s="64">
        <f>IFERROR(VLOOKUP(C2459,測定点マスタ!$E$2:$F$28,2,FALSE)/VLOOKUP(A2459,'焼鈍条件-3CGL'!$A$2:$B$197,2,FALSE)*60,"")</f>
        <v>48.316639456382653</v>
      </c>
      <c r="E2459" s="66">
        <v>646.5</v>
      </c>
      <c r="F2459" s="64">
        <f t="shared" si="38"/>
        <v>-16.770620000000001</v>
      </c>
      <c r="G2459" s="60" t="s">
        <v>12</v>
      </c>
      <c r="H2459" s="60" t="s">
        <v>5061</v>
      </c>
    </row>
    <row r="2460" spans="1:8">
      <c r="A2460" s="59" t="s">
        <v>3550</v>
      </c>
      <c r="B2460" s="62">
        <v>8</v>
      </c>
      <c r="C2460" s="60" t="s">
        <v>5050</v>
      </c>
      <c r="D2460" s="64">
        <f>IFERROR(VLOOKUP(C2460,測定点マスタ!$E$2:$F$28,2,FALSE)/VLOOKUP(A2460,'焼鈍条件-3CGL'!$A$2:$B$197,2,FALSE)*60,"")</f>
        <v>53.611613643383492</v>
      </c>
      <c r="E2460" s="66">
        <v>501</v>
      </c>
      <c r="F2460" s="64">
        <f t="shared" si="38"/>
        <v>-27.478887499999995</v>
      </c>
      <c r="G2460" s="60" t="s">
        <v>12</v>
      </c>
      <c r="H2460" s="60" t="s">
        <v>5061</v>
      </c>
    </row>
    <row r="2461" spans="1:8">
      <c r="A2461" s="59" t="s">
        <v>3550</v>
      </c>
      <c r="B2461" s="62">
        <v>9</v>
      </c>
      <c r="C2461" s="60" t="s">
        <v>5051</v>
      </c>
      <c r="D2461" s="64">
        <f>IFERROR(VLOOKUP(C2461,測定点マスタ!$E$2:$F$28,2,FALSE)/VLOOKUP(A2461,'焼鈍条件-3CGL'!$A$2:$B$197,2,FALSE)*60,"")</f>
        <v>58.244716057009221</v>
      </c>
      <c r="E2461" s="66">
        <v>481.7</v>
      </c>
      <c r="F2461" s="64">
        <f t="shared" si="38"/>
        <v>-4.1656752380952451</v>
      </c>
      <c r="G2461" s="60" t="s">
        <v>12</v>
      </c>
      <c r="H2461" s="60" t="s">
        <v>5061</v>
      </c>
    </row>
    <row r="2462" spans="1:8">
      <c r="A2462" s="59" t="s">
        <v>3550</v>
      </c>
      <c r="B2462" s="62">
        <v>10</v>
      </c>
      <c r="C2462" s="60" t="s">
        <v>5052</v>
      </c>
      <c r="D2462" s="64">
        <f>IFERROR(VLOOKUP(C2462,測定点マスタ!$E$2:$F$28,2,FALSE)/VLOOKUP(A2462,'焼鈍条件-3CGL'!$A$2:$B$197,2,FALSE)*60,"")</f>
        <v>64.201562017385157</v>
      </c>
      <c r="E2462" s="66">
        <v>363.7</v>
      </c>
      <c r="F2462" s="64">
        <f t="shared" si="38"/>
        <v>-19.809140740740762</v>
      </c>
      <c r="G2462" s="60" t="s">
        <v>12</v>
      </c>
      <c r="H2462" s="60" t="s">
        <v>5061</v>
      </c>
    </row>
    <row r="2463" spans="1:8">
      <c r="A2463" s="59" t="s">
        <v>3550</v>
      </c>
      <c r="B2463" s="62">
        <v>11</v>
      </c>
      <c r="C2463" s="60" t="s">
        <v>5053</v>
      </c>
      <c r="D2463" s="64">
        <f>IFERROR(VLOOKUP(C2463,測定点マスタ!$E$2:$F$28,2,FALSE)/VLOOKUP(A2463,'焼鈍条件-3CGL'!$A$2:$B$197,2,FALSE)*60,"")</f>
        <v>72.144023297886434</v>
      </c>
      <c r="E2463" s="66">
        <v>556.4</v>
      </c>
      <c r="F2463" s="64">
        <f t="shared" si="38"/>
        <v>24.262000555555495</v>
      </c>
      <c r="G2463" s="60" t="s">
        <v>12</v>
      </c>
      <c r="H2463" s="60" t="s">
        <v>5061</v>
      </c>
    </row>
    <row r="2464" spans="1:8">
      <c r="A2464" s="59" t="s">
        <v>3550</v>
      </c>
      <c r="B2464" s="62">
        <v>12</v>
      </c>
      <c r="C2464" s="60" t="s">
        <v>5054</v>
      </c>
      <c r="D2464" s="64">
        <f>IFERROR(VLOOKUP(C2464,測定点マスタ!$E$2:$F$28,2,FALSE)/VLOOKUP(A2464,'焼鈍条件-3CGL'!$A$2:$B$197,2,FALSE)*60,"")</f>
        <v>80.74835635176278</v>
      </c>
      <c r="E2464" s="66">
        <v>562.1</v>
      </c>
      <c r="F2464" s="64">
        <f t="shared" si="38"/>
        <v>0.6624569230769296</v>
      </c>
      <c r="G2464" s="60" t="s">
        <v>12</v>
      </c>
      <c r="H2464" s="60" t="s">
        <v>5061</v>
      </c>
    </row>
    <row r="2465" spans="1:8">
      <c r="A2465" s="59" t="s">
        <v>3550</v>
      </c>
      <c r="B2465" s="62">
        <v>13</v>
      </c>
      <c r="C2465" s="60" t="s">
        <v>5056</v>
      </c>
      <c r="D2465" s="64">
        <f>IFERROR(VLOOKUP(C2465,測定点マスタ!$E$2:$F$28,2,FALSE)/VLOOKUP(A2465,'焼鈍条件-3CGL'!$A$2:$B$197,2,FALSE)*60,"")</f>
        <v>88.028945858888932</v>
      </c>
      <c r="E2465" s="66">
        <v>294.2</v>
      </c>
      <c r="F2465" s="64">
        <f t="shared" si="38"/>
        <v>-36.796470909090921</v>
      </c>
      <c r="G2465" s="60" t="s">
        <v>12</v>
      </c>
      <c r="H2465" s="60" t="s">
        <v>5061</v>
      </c>
    </row>
    <row r="2466" spans="1:8">
      <c r="A2466" s="59" t="s">
        <v>3550</v>
      </c>
      <c r="B2466" s="62">
        <v>14</v>
      </c>
      <c r="C2466" s="60" t="s">
        <v>5062</v>
      </c>
      <c r="D2466" s="64">
        <f>IFERROR(VLOOKUP(C2466,測定点マスタ!$E$2:$F$28,2,FALSE)/VLOOKUP(A2466,'焼鈍条件-3CGL'!$A$2:$B$197,2,FALSE)*60,"")</f>
        <v>95.971407139390195</v>
      </c>
      <c r="E2466" s="66">
        <v>464.3</v>
      </c>
      <c r="F2466" s="64">
        <f t="shared" si="38"/>
        <v>21.416534999999989</v>
      </c>
      <c r="G2466" s="60" t="s">
        <v>12</v>
      </c>
      <c r="H2466" s="60" t="s">
        <v>5061</v>
      </c>
    </row>
    <row r="2467" spans="1:8">
      <c r="A2467" s="59" t="s">
        <v>3550</v>
      </c>
      <c r="B2467" s="62">
        <v>15</v>
      </c>
      <c r="C2467" s="60" t="s">
        <v>5057</v>
      </c>
      <c r="D2467" s="64">
        <f>IFERROR(VLOOKUP(C2467,測定点マスタ!$E$2:$F$28,2,FALSE)/VLOOKUP(A2467,'焼鈍条件-3CGL'!$A$2:$B$197,2,FALSE)*60,"")</f>
        <v>109.13792777403057</v>
      </c>
      <c r="E2467" s="66">
        <v>198.7</v>
      </c>
      <c r="F2467" s="64">
        <f t="shared" si="38"/>
        <v>-20.172375631358623</v>
      </c>
      <c r="G2467" s="60" t="s">
        <v>12</v>
      </c>
      <c r="H2467" s="60" t="s">
        <v>5061</v>
      </c>
    </row>
    <row r="2468" spans="1:8">
      <c r="A2468" s="59" t="s">
        <v>3550</v>
      </c>
      <c r="B2468" s="62">
        <v>16</v>
      </c>
      <c r="C2468" s="60" t="s">
        <v>5059</v>
      </c>
      <c r="D2468" s="64">
        <f>IFERROR(VLOOKUP(C2468,測定点マスタ!$E$2:$F$28,2,FALSE)/VLOOKUP(A2468,'焼鈍条件-3CGL'!$A$2:$B$197,2,FALSE)*60,"")</f>
        <v>117.1276656097732</v>
      </c>
      <c r="E2468" s="66">
        <v>35.200000000000003</v>
      </c>
      <c r="F2468" s="64">
        <f t="shared" si="38"/>
        <v>-20.463750295857235</v>
      </c>
      <c r="G2468" s="60" t="s">
        <v>12</v>
      </c>
      <c r="H2468" s="60" t="s">
        <v>5061</v>
      </c>
    </row>
    <row r="2469" spans="1:8">
      <c r="A2469" s="59" t="s">
        <v>3556</v>
      </c>
      <c r="B2469" s="62">
        <v>1</v>
      </c>
      <c r="C2469" s="60" t="s">
        <v>5041</v>
      </c>
      <c r="D2469" s="64">
        <f>IFERROR(VLOOKUP(C2469,測定点マスタ!$E$2:$F$28,2,FALSE)/VLOOKUP(A2469,'焼鈍条件-3CGL'!$A$2:$B$197,2,FALSE)*60,"")</f>
        <v>0</v>
      </c>
      <c r="E2469" s="66">
        <v>36.6</v>
      </c>
      <c r="F2469" s="64" t="str">
        <f t="shared" si="38"/>
        <v/>
      </c>
      <c r="G2469" s="60" t="s">
        <v>12</v>
      </c>
      <c r="H2469" s="60" t="s">
        <v>5061</v>
      </c>
    </row>
    <row r="2470" spans="1:8">
      <c r="A2470" s="59" t="s">
        <v>3556</v>
      </c>
      <c r="B2470" s="62">
        <v>2</v>
      </c>
      <c r="C2470" s="60" t="s">
        <v>5043</v>
      </c>
      <c r="D2470" s="64">
        <f>IFERROR(VLOOKUP(C2470,測定点マスタ!$E$2:$F$28,2,FALSE)/VLOOKUP(A2470,'焼鈍条件-3CGL'!$A$2:$B$197,2,FALSE)*60,"")</f>
        <v>6.3506848155126052</v>
      </c>
      <c r="E2470" s="66">
        <v>144.1</v>
      </c>
      <c r="F2470" s="64">
        <f t="shared" si="38"/>
        <v>16.927308333333336</v>
      </c>
      <c r="G2470" s="60" t="s">
        <v>12</v>
      </c>
      <c r="H2470" s="60" t="s">
        <v>5061</v>
      </c>
    </row>
    <row r="2471" spans="1:8">
      <c r="A2471" s="59" t="s">
        <v>3556</v>
      </c>
      <c r="B2471" s="62">
        <v>3</v>
      </c>
      <c r="C2471" s="60" t="s">
        <v>5067</v>
      </c>
      <c r="D2471" s="64">
        <f>IFERROR(VLOOKUP(C2471,測定点マスタ!$E$2:$F$28,2,FALSE)/VLOOKUP(A2471,'焼鈍条件-3CGL'!$A$2:$B$197,2,FALSE)*60,"")</f>
        <v>10.58447469252101</v>
      </c>
      <c r="E2471" s="66">
        <v>353.6</v>
      </c>
      <c r="F2471" s="64">
        <f t="shared" si="38"/>
        <v>49.4828525</v>
      </c>
      <c r="G2471" s="60" t="s">
        <v>12</v>
      </c>
      <c r="H2471" s="60" t="s">
        <v>5061</v>
      </c>
    </row>
    <row r="2472" spans="1:8">
      <c r="A2472" s="59" t="s">
        <v>3556</v>
      </c>
      <c r="B2472" s="62">
        <v>4</v>
      </c>
      <c r="C2472" s="60" t="s">
        <v>5044</v>
      </c>
      <c r="D2472" s="64">
        <f>IFERROR(VLOOKUP(C2472,測定点マスタ!$E$2:$F$28,2,FALSE)/VLOOKUP(A2472,'焼鈍条件-3CGL'!$A$2:$B$197,2,FALSE)*60,"")</f>
        <v>14.394885581828573</v>
      </c>
      <c r="E2472" s="66">
        <v>603.9</v>
      </c>
      <c r="F2472" s="64">
        <f t="shared" si="38"/>
        <v>65.688453888888873</v>
      </c>
      <c r="G2472" s="60" t="s">
        <v>12</v>
      </c>
      <c r="H2472" s="60" t="s">
        <v>5061</v>
      </c>
    </row>
    <row r="2473" spans="1:8">
      <c r="A2473" s="59" t="s">
        <v>3556</v>
      </c>
      <c r="B2473" s="62">
        <v>5</v>
      </c>
      <c r="C2473" s="60" t="s">
        <v>5045</v>
      </c>
      <c r="D2473" s="64">
        <f>IFERROR(VLOOKUP(C2473,測定点マスタ!$E$2:$F$28,2,FALSE)/VLOOKUP(A2473,'焼鈍条件-3CGL'!$A$2:$B$197,2,FALSE)*60,"")</f>
        <v>18.628675458836977</v>
      </c>
      <c r="E2473" s="66">
        <v>725.3</v>
      </c>
      <c r="F2473" s="64">
        <f t="shared" si="38"/>
        <v>28.674073</v>
      </c>
      <c r="G2473" s="60" t="s">
        <v>12</v>
      </c>
      <c r="H2473" s="60" t="s">
        <v>5061</v>
      </c>
    </row>
    <row r="2474" spans="1:8">
      <c r="A2474" s="59" t="s">
        <v>3556</v>
      </c>
      <c r="B2474" s="62">
        <v>6</v>
      </c>
      <c r="C2474" s="60" t="s">
        <v>5047</v>
      </c>
      <c r="D2474" s="64">
        <f>IFERROR(VLOOKUP(C2474,測定点マスタ!$E$2:$F$28,2,FALSE)/VLOOKUP(A2474,'焼鈍条件-3CGL'!$A$2:$B$197,2,FALSE)*60,"")</f>
        <v>25.402739262050421</v>
      </c>
      <c r="E2474" s="66">
        <v>672</v>
      </c>
      <c r="F2474" s="64">
        <f t="shared" si="38"/>
        <v>-7.8682459374999958</v>
      </c>
      <c r="G2474" s="60" t="s">
        <v>12</v>
      </c>
      <c r="H2474" s="60" t="s">
        <v>5061</v>
      </c>
    </row>
    <row r="2475" spans="1:8">
      <c r="A2475" s="59" t="s">
        <v>3556</v>
      </c>
      <c r="B2475" s="62">
        <v>7</v>
      </c>
      <c r="C2475" s="60" t="s">
        <v>5049</v>
      </c>
      <c r="D2475" s="64">
        <f>IFERROR(VLOOKUP(C2475,測定点マスタ!$E$2:$F$28,2,FALSE)/VLOOKUP(A2475,'焼鈍条件-3CGL'!$A$2:$B$197,2,FALSE)*60,"")</f>
        <v>30.906666102161349</v>
      </c>
      <c r="E2475" s="66">
        <v>544.29999999999995</v>
      </c>
      <c r="F2475" s="64">
        <f t="shared" si="38"/>
        <v>-23.201616538461533</v>
      </c>
      <c r="G2475" s="60" t="s">
        <v>12</v>
      </c>
      <c r="H2475" s="60" t="s">
        <v>5061</v>
      </c>
    </row>
    <row r="2476" spans="1:8">
      <c r="A2476" s="59" t="s">
        <v>3556</v>
      </c>
      <c r="B2476" s="62">
        <v>8</v>
      </c>
      <c r="C2476" s="60" t="s">
        <v>5050</v>
      </c>
      <c r="D2476" s="64">
        <f>IFERROR(VLOOKUP(C2476,測定点マスタ!$E$2:$F$28,2,FALSE)/VLOOKUP(A2476,'焼鈍条件-3CGL'!$A$2:$B$197,2,FALSE)*60,"")</f>
        <v>34.293698003768071</v>
      </c>
      <c r="E2476" s="66">
        <v>433.3</v>
      </c>
      <c r="F2476" s="64">
        <f t="shared" si="38"/>
        <v>-32.772056249999991</v>
      </c>
      <c r="G2476" s="60" t="s">
        <v>12</v>
      </c>
      <c r="H2476" s="60" t="s">
        <v>5061</v>
      </c>
    </row>
    <row r="2477" spans="1:8">
      <c r="A2477" s="59" t="s">
        <v>3556</v>
      </c>
      <c r="B2477" s="62">
        <v>9</v>
      </c>
      <c r="C2477" s="60" t="s">
        <v>5051</v>
      </c>
      <c r="D2477" s="64">
        <f>IFERROR(VLOOKUP(C2477,測定点マスタ!$E$2:$F$28,2,FALSE)/VLOOKUP(A2477,'焼鈍条件-3CGL'!$A$2:$B$197,2,FALSE)*60,"")</f>
        <v>37.257350917673953</v>
      </c>
      <c r="E2477" s="66">
        <v>418.2</v>
      </c>
      <c r="F2477" s="64">
        <f t="shared" si="38"/>
        <v>-5.0950635714285797</v>
      </c>
      <c r="G2477" s="60" t="s">
        <v>12</v>
      </c>
      <c r="H2477" s="60" t="s">
        <v>5061</v>
      </c>
    </row>
    <row r="2478" spans="1:8">
      <c r="A2478" s="59" t="s">
        <v>3556</v>
      </c>
      <c r="B2478" s="62">
        <v>10</v>
      </c>
      <c r="C2478" s="60" t="s">
        <v>5052</v>
      </c>
      <c r="D2478" s="64">
        <f>IFERROR(VLOOKUP(C2478,測定点マスタ!$E$2:$F$28,2,FALSE)/VLOOKUP(A2478,'焼鈍条件-3CGL'!$A$2:$B$197,2,FALSE)*60,"")</f>
        <v>41.067761806981515</v>
      </c>
      <c r="E2478" s="66">
        <v>320.10000000000002</v>
      </c>
      <c r="F2478" s="64">
        <f t="shared" si="38"/>
        <v>-25.745255000000004</v>
      </c>
      <c r="G2478" s="60" t="s">
        <v>12</v>
      </c>
      <c r="H2478" s="60" t="s">
        <v>5061</v>
      </c>
    </row>
    <row r="2479" spans="1:8">
      <c r="A2479" s="59" t="s">
        <v>3556</v>
      </c>
      <c r="B2479" s="62">
        <v>11</v>
      </c>
      <c r="C2479" s="60" t="s">
        <v>5069</v>
      </c>
      <c r="D2479" s="64">
        <f>IFERROR(VLOOKUP(C2479,測定点マスタ!$E$2:$F$28,2,FALSE)/VLOOKUP(A2479,'焼鈍条件-3CGL'!$A$2:$B$197,2,FALSE)*60,"")</f>
        <v>44.031414720887398</v>
      </c>
      <c r="E2479" s="66">
        <v>458.1</v>
      </c>
      <c r="F2479" s="64">
        <f t="shared" si="38"/>
        <v>46.564157142857155</v>
      </c>
      <c r="G2479" s="60" t="s">
        <v>12</v>
      </c>
      <c r="H2479" s="60" t="s">
        <v>5061</v>
      </c>
    </row>
    <row r="2480" spans="1:8">
      <c r="A2480" s="59" t="s">
        <v>3556</v>
      </c>
      <c r="B2480" s="62">
        <v>12</v>
      </c>
      <c r="C2480" s="60" t="s">
        <v>5053</v>
      </c>
      <c r="D2480" s="64">
        <f>IFERROR(VLOOKUP(C2480,測定点マスタ!$E$2:$F$28,2,FALSE)/VLOOKUP(A2480,'焼鈍条件-3CGL'!$A$2:$B$197,2,FALSE)*60,"")</f>
        <v>46.1483096593916</v>
      </c>
      <c r="E2480" s="66">
        <v>485.4</v>
      </c>
      <c r="F2480" s="64">
        <f t="shared" si="38"/>
        <v>12.896246999999974</v>
      </c>
      <c r="G2480" s="60" t="s">
        <v>12</v>
      </c>
      <c r="H2480" s="60" t="s">
        <v>5061</v>
      </c>
    </row>
    <row r="2481" spans="1:8">
      <c r="A2481" s="59" t="s">
        <v>3556</v>
      </c>
      <c r="B2481" s="62">
        <v>13</v>
      </c>
      <c r="C2481" s="60" t="s">
        <v>5063</v>
      </c>
      <c r="D2481" s="64">
        <f>IFERROR(VLOOKUP(C2481,測定点マスタ!$E$2:$F$28,2,FALSE)/VLOOKUP(A2481,'焼鈍条件-3CGL'!$A$2:$B$197,2,FALSE)*60,"")</f>
        <v>48.688583585596639</v>
      </c>
      <c r="E2481" s="66">
        <v>491.9</v>
      </c>
      <c r="F2481" s="64">
        <f t="shared" si="38"/>
        <v>2.5587791666666702</v>
      </c>
      <c r="G2481" s="60" t="s">
        <v>12</v>
      </c>
      <c r="H2481" s="60" t="s">
        <v>5061</v>
      </c>
    </row>
    <row r="2482" spans="1:8">
      <c r="A2482" s="59" t="s">
        <v>3556</v>
      </c>
      <c r="B2482" s="62">
        <v>14</v>
      </c>
      <c r="C2482" s="60" t="s">
        <v>5054</v>
      </c>
      <c r="D2482" s="64">
        <f>IFERROR(VLOOKUP(C2482,測定点マスタ!$E$2:$F$28,2,FALSE)/VLOOKUP(A2482,'焼鈍条件-3CGL'!$A$2:$B$197,2,FALSE)*60,"")</f>
        <v>51.652236499502521</v>
      </c>
      <c r="E2482" s="66">
        <v>478.7</v>
      </c>
      <c r="F2482" s="64">
        <f t="shared" si="38"/>
        <v>-4.4539628571428542</v>
      </c>
      <c r="G2482" s="60" t="s">
        <v>12</v>
      </c>
      <c r="H2482" s="60" t="s">
        <v>5061</v>
      </c>
    </row>
    <row r="2483" spans="1:8">
      <c r="A2483" s="59" t="s">
        <v>3556</v>
      </c>
      <c r="B2483" s="62">
        <v>15</v>
      </c>
      <c r="C2483" s="60" t="s">
        <v>5055</v>
      </c>
      <c r="D2483" s="64">
        <f>IFERROR(VLOOKUP(C2483,測定点マスタ!$E$2:$F$28,2,FALSE)/VLOOKUP(A2483,'焼鈍条件-3CGL'!$A$2:$B$197,2,FALSE)*60,"")</f>
        <v>53.769131438006724</v>
      </c>
      <c r="E2483" s="66">
        <v>499.6</v>
      </c>
      <c r="F2483" s="64">
        <f t="shared" si="38"/>
        <v>9.8729510000000129</v>
      </c>
      <c r="G2483" s="60" t="s">
        <v>12</v>
      </c>
      <c r="H2483" s="60" t="s">
        <v>5061</v>
      </c>
    </row>
    <row r="2484" spans="1:8">
      <c r="A2484" s="59" t="s">
        <v>3556</v>
      </c>
      <c r="B2484" s="62">
        <v>16</v>
      </c>
      <c r="C2484" s="60" t="s">
        <v>5056</v>
      </c>
      <c r="D2484" s="64">
        <f>IFERROR(VLOOKUP(C2484,測定点マスタ!$E$2:$F$28,2,FALSE)/VLOOKUP(A2484,'焼鈍条件-3CGL'!$A$2:$B$197,2,FALSE)*60,"")</f>
        <v>56.30940536421177</v>
      </c>
      <c r="E2484" s="66">
        <v>259.2</v>
      </c>
      <c r="F2484" s="64">
        <f t="shared" si="38"/>
        <v>-94.63546333333322</v>
      </c>
      <c r="G2484" s="60" t="s">
        <v>12</v>
      </c>
      <c r="H2484" s="60" t="s">
        <v>5061</v>
      </c>
    </row>
    <row r="2485" spans="1:8">
      <c r="A2485" s="59" t="s">
        <v>3556</v>
      </c>
      <c r="B2485" s="62">
        <v>17</v>
      </c>
      <c r="C2485" s="60" t="s">
        <v>5062</v>
      </c>
      <c r="D2485" s="64">
        <f>IFERROR(VLOOKUP(C2485,測定点マスタ!$E$2:$F$28,2,FALSE)/VLOOKUP(A2485,'焼鈍条件-3CGL'!$A$2:$B$197,2,FALSE)*60,"")</f>
        <v>61.389953216621848</v>
      </c>
      <c r="E2485" s="66">
        <v>455.4</v>
      </c>
      <c r="F2485" s="64">
        <f t="shared" si="38"/>
        <v>38.61788250000005</v>
      </c>
      <c r="G2485" s="60" t="s">
        <v>12</v>
      </c>
      <c r="H2485" s="60" t="s">
        <v>5061</v>
      </c>
    </row>
    <row r="2486" spans="1:8">
      <c r="A2486" s="59" t="s">
        <v>3556</v>
      </c>
      <c r="B2486" s="62">
        <v>18</v>
      </c>
      <c r="C2486" s="60" t="s">
        <v>5057</v>
      </c>
      <c r="D2486" s="64">
        <f>IFERROR(VLOOKUP(C2486,測定点マスタ!$E$2:$F$28,2,FALSE)/VLOOKUP(A2486,'焼鈍条件-3CGL'!$A$2:$B$197,2,FALSE)*60,"")</f>
        <v>69.812170936242083</v>
      </c>
      <c r="E2486" s="66">
        <v>283.3</v>
      </c>
      <c r="F2486" s="64">
        <f t="shared" si="38"/>
        <v>-20.434047863554884</v>
      </c>
      <c r="G2486" s="60" t="s">
        <v>12</v>
      </c>
      <c r="H2486" s="60" t="s">
        <v>5061</v>
      </c>
    </row>
    <row r="2487" spans="1:8">
      <c r="A2487" s="59" t="s">
        <v>3556</v>
      </c>
      <c r="B2487" s="62">
        <v>19</v>
      </c>
      <c r="C2487" s="60" t="s">
        <v>5059</v>
      </c>
      <c r="D2487" s="64">
        <f>IFERROR(VLOOKUP(C2487,測定点マスタ!$E$2:$F$28,2,FALSE)/VLOOKUP(A2487,'焼鈍条件-3CGL'!$A$2:$B$197,2,FALSE)*60,"")</f>
        <v>74.922960144916701</v>
      </c>
      <c r="E2487" s="66">
        <v>40.4</v>
      </c>
      <c r="F2487" s="64">
        <f t="shared" si="38"/>
        <v>-47.526906331359207</v>
      </c>
      <c r="G2487" s="60" t="s">
        <v>12</v>
      </c>
      <c r="H2487" s="60" t="s">
        <v>5061</v>
      </c>
    </row>
    <row r="2488" spans="1:8">
      <c r="A2488" s="59" t="s">
        <v>3565</v>
      </c>
      <c r="B2488" s="62">
        <v>1</v>
      </c>
      <c r="C2488" s="60" t="s">
        <v>5041</v>
      </c>
      <c r="D2488" s="64">
        <f>IFERROR(VLOOKUP(C2488,測定点マスタ!$E$2:$F$28,2,FALSE)/VLOOKUP(A2488,'焼鈍条件-3CGL'!$A$2:$B$197,2,FALSE)*60,"")</f>
        <v>0</v>
      </c>
      <c r="E2488" s="66">
        <v>36.299999999999997</v>
      </c>
      <c r="F2488" s="64" t="str">
        <f t="shared" si="38"/>
        <v/>
      </c>
      <c r="G2488" s="60" t="s">
        <v>9</v>
      </c>
      <c r="H2488" s="60" t="s">
        <v>5061</v>
      </c>
    </row>
    <row r="2489" spans="1:8">
      <c r="A2489" s="59" t="s">
        <v>3565</v>
      </c>
      <c r="B2489" s="62">
        <v>2</v>
      </c>
      <c r="C2489" s="60" t="s">
        <v>5043</v>
      </c>
      <c r="D2489" s="64">
        <f>IFERROR(VLOOKUP(C2489,測定点マスタ!$E$2:$F$28,2,FALSE)/VLOOKUP(A2489,'焼鈍条件-3CGL'!$A$2:$B$197,2,FALSE)*60,"")</f>
        <v>6.137061029662461</v>
      </c>
      <c r="E2489" s="66">
        <v>155.69999999999999</v>
      </c>
      <c r="F2489" s="64">
        <f t="shared" si="38"/>
        <v>19.455566666666666</v>
      </c>
      <c r="G2489" s="60" t="s">
        <v>9</v>
      </c>
      <c r="H2489" s="60" t="s">
        <v>5061</v>
      </c>
    </row>
    <row r="2490" spans="1:8">
      <c r="A2490" s="59" t="s">
        <v>3565</v>
      </c>
      <c r="B2490" s="62">
        <v>3</v>
      </c>
      <c r="C2490" s="60" t="s">
        <v>5067</v>
      </c>
      <c r="D2490" s="64">
        <f>IFERROR(VLOOKUP(C2490,測定点マスタ!$E$2:$F$28,2,FALSE)/VLOOKUP(A2490,'焼鈍条件-3CGL'!$A$2:$B$197,2,FALSE)*60,"")</f>
        <v>10.228435049437437</v>
      </c>
      <c r="E2490" s="66">
        <v>357.1</v>
      </c>
      <c r="F2490" s="64">
        <f t="shared" si="38"/>
        <v>49.225516666666664</v>
      </c>
      <c r="G2490" s="60" t="s">
        <v>9</v>
      </c>
      <c r="H2490" s="60" t="s">
        <v>5061</v>
      </c>
    </row>
    <row r="2491" spans="1:8">
      <c r="A2491" s="59" t="s">
        <v>3565</v>
      </c>
      <c r="B2491" s="62">
        <v>4</v>
      </c>
      <c r="C2491" s="60" t="s">
        <v>5044</v>
      </c>
      <c r="D2491" s="64">
        <f>IFERROR(VLOOKUP(C2491,測定点マスタ!$E$2:$F$28,2,FALSE)/VLOOKUP(A2491,'焼鈍条件-3CGL'!$A$2:$B$197,2,FALSE)*60,"")</f>
        <v>13.910671667234912</v>
      </c>
      <c r="E2491" s="66">
        <v>611.6</v>
      </c>
      <c r="F2491" s="64">
        <f t="shared" si="38"/>
        <v>69.115601851851892</v>
      </c>
      <c r="G2491" s="60" t="s">
        <v>9</v>
      </c>
      <c r="H2491" s="60" t="s">
        <v>5061</v>
      </c>
    </row>
    <row r="2492" spans="1:8">
      <c r="A2492" s="59" t="s">
        <v>3565</v>
      </c>
      <c r="B2492" s="62">
        <v>5</v>
      </c>
      <c r="C2492" s="60" t="s">
        <v>5045</v>
      </c>
      <c r="D2492" s="64">
        <f>IFERROR(VLOOKUP(C2492,測定点マスタ!$E$2:$F$28,2,FALSE)/VLOOKUP(A2492,'焼鈍条件-3CGL'!$A$2:$B$197,2,FALSE)*60,"")</f>
        <v>18.002045687009886</v>
      </c>
      <c r="E2492" s="66">
        <v>741</v>
      </c>
      <c r="F2492" s="64">
        <f t="shared" si="38"/>
        <v>31.627516666666661</v>
      </c>
      <c r="G2492" s="60" t="s">
        <v>9</v>
      </c>
      <c r="H2492" s="60" t="s">
        <v>5061</v>
      </c>
    </row>
    <row r="2493" spans="1:8">
      <c r="A2493" s="59" t="s">
        <v>3565</v>
      </c>
      <c r="B2493" s="62">
        <v>6</v>
      </c>
      <c r="C2493" s="60" t="s">
        <v>5047</v>
      </c>
      <c r="D2493" s="64">
        <f>IFERROR(VLOOKUP(C2493,測定点マスタ!$E$2:$F$28,2,FALSE)/VLOOKUP(A2493,'焼鈍条件-3CGL'!$A$2:$B$197,2,FALSE)*60,"")</f>
        <v>24.548244118649844</v>
      </c>
      <c r="E2493" s="66">
        <v>677.4</v>
      </c>
      <c r="F2493" s="64">
        <f t="shared" si="38"/>
        <v>-9.7155625000000043</v>
      </c>
      <c r="G2493" s="60" t="s">
        <v>9</v>
      </c>
      <c r="H2493" s="60" t="s">
        <v>5061</v>
      </c>
    </row>
    <row r="2494" spans="1:8">
      <c r="A2494" s="59" t="s">
        <v>3565</v>
      </c>
      <c r="B2494" s="62">
        <v>7</v>
      </c>
      <c r="C2494" s="60" t="s">
        <v>5048</v>
      </c>
      <c r="D2494" s="64">
        <f>IFERROR(VLOOKUP(C2494,測定点マスタ!$E$2:$F$28,2,FALSE)/VLOOKUP(A2494,'焼鈍条件-3CGL'!$A$2:$B$197,2,FALSE)*60,"")</f>
        <v>27.003068530514831</v>
      </c>
      <c r="E2494" s="66">
        <v>627.1</v>
      </c>
      <c r="F2494" s="64">
        <f t="shared" si="38"/>
        <v>-20.490263888888851</v>
      </c>
      <c r="G2494" s="60" t="s">
        <v>9</v>
      </c>
      <c r="H2494" s="60" t="s">
        <v>5061</v>
      </c>
    </row>
    <row r="2495" spans="1:8">
      <c r="A2495" s="59" t="s">
        <v>3565</v>
      </c>
      <c r="B2495" s="62">
        <v>8</v>
      </c>
      <c r="C2495" s="60" t="s">
        <v>5049</v>
      </c>
      <c r="D2495" s="64">
        <f>IFERROR(VLOOKUP(C2495,測定点マスタ!$E$2:$F$28,2,FALSE)/VLOOKUP(A2495,'焼鈍条件-3CGL'!$A$2:$B$197,2,FALSE)*60,"")</f>
        <v>29.86703034435731</v>
      </c>
      <c r="E2495" s="66">
        <v>565.5</v>
      </c>
      <c r="F2495" s="64">
        <f t="shared" si="38"/>
        <v>-21.508666666666695</v>
      </c>
      <c r="G2495" s="60" t="s">
        <v>9</v>
      </c>
      <c r="H2495" s="60" t="s">
        <v>5061</v>
      </c>
    </row>
    <row r="2496" spans="1:8">
      <c r="A2496" s="59" t="s">
        <v>3565</v>
      </c>
      <c r="B2496" s="62">
        <v>9</v>
      </c>
      <c r="C2496" s="60" t="s">
        <v>5050</v>
      </c>
      <c r="D2496" s="64">
        <f>IFERROR(VLOOKUP(C2496,測定点マスタ!$E$2:$F$28,2,FALSE)/VLOOKUP(A2496,'焼鈍条件-3CGL'!$A$2:$B$197,2,FALSE)*60,"")</f>
        <v>33.140129560177293</v>
      </c>
      <c r="E2496" s="66">
        <v>427.1</v>
      </c>
      <c r="F2496" s="64">
        <f t="shared" si="38"/>
        <v>-42.284083333333285</v>
      </c>
      <c r="G2496" s="60" t="s">
        <v>9</v>
      </c>
      <c r="H2496" s="60" t="s">
        <v>5061</v>
      </c>
    </row>
    <row r="2497" spans="1:8">
      <c r="A2497" s="59" t="s">
        <v>3565</v>
      </c>
      <c r="B2497" s="62">
        <v>10</v>
      </c>
      <c r="C2497" s="60" t="s">
        <v>5051</v>
      </c>
      <c r="D2497" s="64">
        <f>IFERROR(VLOOKUP(C2497,測定点マスタ!$E$2:$F$28,2,FALSE)/VLOOKUP(A2497,'焼鈍条件-3CGL'!$A$2:$B$197,2,FALSE)*60,"")</f>
        <v>36.004091374019772</v>
      </c>
      <c r="E2497" s="66">
        <v>418.9</v>
      </c>
      <c r="F2497" s="64">
        <f t="shared" si="38"/>
        <v>-2.8631666666666851</v>
      </c>
      <c r="G2497" s="60" t="s">
        <v>9</v>
      </c>
      <c r="H2497" s="60" t="s">
        <v>5061</v>
      </c>
    </row>
    <row r="2498" spans="1:8">
      <c r="A2498" s="59" t="s">
        <v>3565</v>
      </c>
      <c r="B2498" s="62">
        <v>11</v>
      </c>
      <c r="C2498" s="60" t="s">
        <v>5052</v>
      </c>
      <c r="D2498" s="64">
        <f>IFERROR(VLOOKUP(C2498,測定点マスタ!$E$2:$F$28,2,FALSE)/VLOOKUP(A2498,'焼鈍条件-3CGL'!$A$2:$B$197,2,FALSE)*60,"")</f>
        <v>39.686327991817251</v>
      </c>
      <c r="E2498" s="66">
        <v>335.6</v>
      </c>
      <c r="F2498" s="64">
        <f t="shared" ref="F2498:F2561" si="39">IF(A2498=A2497,IFERROR((E2498-E2497)/(D2498-D2497),""),"")</f>
        <v>-22.622120370370347</v>
      </c>
      <c r="G2498" s="60" t="s">
        <v>9</v>
      </c>
      <c r="H2498" s="60" t="s">
        <v>5061</v>
      </c>
    </row>
    <row r="2499" spans="1:8">
      <c r="A2499" s="59" t="s">
        <v>3565</v>
      </c>
      <c r="B2499" s="62">
        <v>12</v>
      </c>
      <c r="C2499" s="60" t="s">
        <v>5053</v>
      </c>
      <c r="D2499" s="64">
        <f>IFERROR(VLOOKUP(C2499,測定点マスタ!$E$2:$F$28,2,FALSE)/VLOOKUP(A2499,'焼鈍条件-3CGL'!$A$2:$B$197,2,FALSE)*60,"")</f>
        <v>44.595976815547218</v>
      </c>
      <c r="E2499" s="66">
        <v>488.3</v>
      </c>
      <c r="F2499" s="64">
        <f t="shared" si="39"/>
        <v>31.102020833333349</v>
      </c>
      <c r="G2499" s="60" t="s">
        <v>9</v>
      </c>
      <c r="H2499" s="60" t="s">
        <v>5061</v>
      </c>
    </row>
    <row r="2500" spans="1:8">
      <c r="A2500" s="59" t="s">
        <v>3565</v>
      </c>
      <c r="B2500" s="62">
        <v>13</v>
      </c>
      <c r="C2500" s="60" t="s">
        <v>5054</v>
      </c>
      <c r="D2500" s="64">
        <f>IFERROR(VLOOKUP(C2500,測定点マスタ!$E$2:$F$28,2,FALSE)/VLOOKUP(A2500,'焼鈍条件-3CGL'!$A$2:$B$197,2,FALSE)*60,"")</f>
        <v>49.914763041254687</v>
      </c>
      <c r="E2500" s="66">
        <v>475.1</v>
      </c>
      <c r="F2500" s="64">
        <f t="shared" si="39"/>
        <v>-2.4817692307692272</v>
      </c>
      <c r="G2500" s="60" t="s">
        <v>9</v>
      </c>
      <c r="H2500" s="60" t="s">
        <v>5061</v>
      </c>
    </row>
    <row r="2501" spans="1:8">
      <c r="A2501" s="59" t="s">
        <v>3565</v>
      </c>
      <c r="B2501" s="62">
        <v>14</v>
      </c>
      <c r="C2501" s="60" t="s">
        <v>5056</v>
      </c>
      <c r="D2501" s="64">
        <f>IFERROR(VLOOKUP(C2501,測定点マスタ!$E$2:$F$28,2,FALSE)/VLOOKUP(A2501,'焼鈍条件-3CGL'!$A$2:$B$197,2,FALSE)*60,"")</f>
        <v>54.415274463007158</v>
      </c>
      <c r="E2501" s="66">
        <v>256</v>
      </c>
      <c r="F2501" s="64">
        <f t="shared" si="39"/>
        <v>-48.68335606060608</v>
      </c>
      <c r="G2501" s="60" t="s">
        <v>9</v>
      </c>
      <c r="H2501" s="60" t="s">
        <v>5061</v>
      </c>
    </row>
    <row r="2502" spans="1:8">
      <c r="A2502" s="59" t="s">
        <v>3565</v>
      </c>
      <c r="B2502" s="62">
        <v>15</v>
      </c>
      <c r="C2502" s="60" t="s">
        <v>5062</v>
      </c>
      <c r="D2502" s="64">
        <f>IFERROR(VLOOKUP(C2502,測定点マスタ!$E$2:$F$28,2,FALSE)/VLOOKUP(A2502,'焼鈍条件-3CGL'!$A$2:$B$197,2,FALSE)*60,"")</f>
        <v>59.324923286737125</v>
      </c>
      <c r="E2502" s="66">
        <v>462.7</v>
      </c>
      <c r="F2502" s="64">
        <f t="shared" si="39"/>
        <v>42.100770833333357</v>
      </c>
      <c r="G2502" s="60" t="s">
        <v>9</v>
      </c>
      <c r="H2502" s="60" t="s">
        <v>5061</v>
      </c>
    </row>
    <row r="2503" spans="1:8">
      <c r="A2503" s="59" t="s">
        <v>3565</v>
      </c>
      <c r="B2503" s="62">
        <v>16</v>
      </c>
      <c r="C2503" s="60" t="s">
        <v>5057</v>
      </c>
      <c r="D2503" s="64">
        <f>IFERROR(VLOOKUP(C2503,測定点マスタ!$E$2:$F$28,2,FALSE)/VLOOKUP(A2503,'焼鈍条件-3CGL'!$A$2:$B$197,2,FALSE)*60,"")</f>
        <v>67.463835176075136</v>
      </c>
      <c r="E2503" s="66">
        <v>223.5</v>
      </c>
      <c r="F2503" s="64">
        <f t="shared" si="39"/>
        <v>-29.389678037103756</v>
      </c>
      <c r="G2503" s="60" t="s">
        <v>9</v>
      </c>
      <c r="H2503" s="60" t="s">
        <v>5061</v>
      </c>
    </row>
    <row r="2504" spans="1:8">
      <c r="A2504" s="59" t="s">
        <v>3565</v>
      </c>
      <c r="B2504" s="62">
        <v>17</v>
      </c>
      <c r="C2504" s="60" t="s">
        <v>5058</v>
      </c>
      <c r="D2504" s="64">
        <f>IFERROR(VLOOKUP(C2504,測定点マスタ!$E$2:$F$28,2,FALSE)/VLOOKUP(A2504,'焼鈍条件-3CGL'!$A$2:$B$197,2,FALSE)*60,"")</f>
        <v>69.933271638010638</v>
      </c>
      <c r="E2504" s="66">
        <v>137.19999999999999</v>
      </c>
      <c r="F2504" s="64">
        <f t="shared" si="39"/>
        <v>-34.94724457593842</v>
      </c>
      <c r="G2504" s="60" t="s">
        <v>9</v>
      </c>
      <c r="H2504" s="60" t="s">
        <v>5061</v>
      </c>
    </row>
    <row r="2505" spans="1:8">
      <c r="A2505" s="59" t="s">
        <v>3565</v>
      </c>
      <c r="B2505" s="62">
        <v>18</v>
      </c>
      <c r="C2505" s="60" t="s">
        <v>5059</v>
      </c>
      <c r="D2505" s="64">
        <f>IFERROR(VLOOKUP(C2505,測定点マスタ!$E$2:$F$28,2,FALSE)/VLOOKUP(A2505,'焼鈍条件-3CGL'!$A$2:$B$197,2,FALSE)*60,"")</f>
        <v>72.402708099946537</v>
      </c>
      <c r="E2505" s="66">
        <v>47.5</v>
      </c>
      <c r="F2505" s="64">
        <f t="shared" si="39"/>
        <v>-36.32407692307266</v>
      </c>
      <c r="G2505" s="60" t="s">
        <v>9</v>
      </c>
      <c r="H2505" s="60" t="s">
        <v>5061</v>
      </c>
    </row>
    <row r="2506" spans="1:8">
      <c r="A2506" s="59" t="s">
        <v>3575</v>
      </c>
      <c r="B2506" s="62">
        <v>1</v>
      </c>
      <c r="C2506" s="60" t="s">
        <v>5041</v>
      </c>
      <c r="D2506" s="64">
        <f>IFERROR(VLOOKUP(C2506,測定点マスタ!$E$2:$F$28,2,FALSE)/VLOOKUP(A2506,'焼鈍条件-3CGL'!$A$2:$B$197,2,FALSE)*60,"")</f>
        <v>0</v>
      </c>
      <c r="E2506" s="66">
        <v>37</v>
      </c>
      <c r="F2506" s="64" t="str">
        <f t="shared" si="39"/>
        <v/>
      </c>
      <c r="G2506" s="60" t="s">
        <v>12</v>
      </c>
      <c r="H2506" s="60" t="s">
        <v>5061</v>
      </c>
    </row>
    <row r="2507" spans="1:8">
      <c r="A2507" s="59" t="s">
        <v>3575</v>
      </c>
      <c r="B2507" s="62">
        <v>2</v>
      </c>
      <c r="C2507" s="60" t="s">
        <v>5043</v>
      </c>
      <c r="D2507" s="64">
        <f>IFERROR(VLOOKUP(C2507,測定点マスタ!$E$2:$F$28,2,FALSE)/VLOOKUP(A2507,'焼鈍条件-3CGL'!$A$2:$B$197,2,FALSE)*60,"")</f>
        <v>6.5805347781263031</v>
      </c>
      <c r="E2507" s="66">
        <v>181.8</v>
      </c>
      <c r="F2507" s="64">
        <f t="shared" si="39"/>
        <v>22.004290666666666</v>
      </c>
      <c r="G2507" s="60" t="s">
        <v>12</v>
      </c>
      <c r="H2507" s="60" t="s">
        <v>5061</v>
      </c>
    </row>
    <row r="2508" spans="1:8">
      <c r="A2508" s="59" t="s">
        <v>3575</v>
      </c>
      <c r="B2508" s="62">
        <v>3</v>
      </c>
      <c r="C2508" s="60" t="s">
        <v>5044</v>
      </c>
      <c r="D2508" s="64">
        <f>IFERROR(VLOOKUP(C2508,測定点マスタ!$E$2:$F$28,2,FALSE)/VLOOKUP(A2508,'焼鈍条件-3CGL'!$A$2:$B$197,2,FALSE)*60,"")</f>
        <v>14.91587883041962</v>
      </c>
      <c r="E2508" s="66">
        <v>638.9</v>
      </c>
      <c r="F2508" s="64">
        <f t="shared" si="39"/>
        <v>54.838768157894727</v>
      </c>
      <c r="G2508" s="60" t="s">
        <v>12</v>
      </c>
      <c r="H2508" s="60" t="s">
        <v>5061</v>
      </c>
    </row>
    <row r="2509" spans="1:8">
      <c r="A2509" s="59" t="s">
        <v>3575</v>
      </c>
      <c r="B2509" s="62">
        <v>4</v>
      </c>
      <c r="C2509" s="60" t="s">
        <v>5045</v>
      </c>
      <c r="D2509" s="64">
        <f>IFERROR(VLOOKUP(C2509,測定点マスタ!$E$2:$F$28,2,FALSE)/VLOOKUP(A2509,'焼鈍条件-3CGL'!$A$2:$B$197,2,FALSE)*60,"")</f>
        <v>19.302902015837155</v>
      </c>
      <c r="E2509" s="66">
        <v>805.7</v>
      </c>
      <c r="F2509" s="64">
        <f t="shared" si="39"/>
        <v>38.02122600000002</v>
      </c>
      <c r="G2509" s="60" t="s">
        <v>12</v>
      </c>
      <c r="H2509" s="60" t="s">
        <v>5061</v>
      </c>
    </row>
    <row r="2510" spans="1:8">
      <c r="A2510" s="59" t="s">
        <v>3575</v>
      </c>
      <c r="B2510" s="62">
        <v>5</v>
      </c>
      <c r="C2510" s="60" t="s">
        <v>5046</v>
      </c>
      <c r="D2510" s="64">
        <f>IFERROR(VLOOKUP(C2510,測定点マスタ!$E$2:$F$28,2,FALSE)/VLOOKUP(A2510,'焼鈍条件-3CGL'!$A$2:$B$197,2,FALSE)*60,"")</f>
        <v>23.689925201254688</v>
      </c>
      <c r="E2510" s="66">
        <v>776.8</v>
      </c>
      <c r="F2510" s="64">
        <f t="shared" si="39"/>
        <v>-6.5876105000000234</v>
      </c>
      <c r="G2510" s="60" t="s">
        <v>12</v>
      </c>
      <c r="H2510" s="60" t="s">
        <v>5061</v>
      </c>
    </row>
    <row r="2511" spans="1:8">
      <c r="A2511" s="59" t="s">
        <v>3575</v>
      </c>
      <c r="B2511" s="62">
        <v>6</v>
      </c>
      <c r="C2511" s="60" t="s">
        <v>5047</v>
      </c>
      <c r="D2511" s="64">
        <f>IFERROR(VLOOKUP(C2511,測定点マスタ!$E$2:$F$28,2,FALSE)/VLOOKUP(A2511,'焼鈍条件-3CGL'!$A$2:$B$197,2,FALSE)*60,"")</f>
        <v>26.322139112505212</v>
      </c>
      <c r="E2511" s="66">
        <v>714.9</v>
      </c>
      <c r="F2511" s="64">
        <f t="shared" si="39"/>
        <v>-23.516325833333298</v>
      </c>
      <c r="G2511" s="60" t="s">
        <v>12</v>
      </c>
      <c r="H2511" s="60" t="s">
        <v>5061</v>
      </c>
    </row>
    <row r="2512" spans="1:8">
      <c r="A2512" s="59" t="s">
        <v>3575</v>
      </c>
      <c r="B2512" s="62">
        <v>7</v>
      </c>
      <c r="C2512" s="60" t="s">
        <v>5049</v>
      </c>
      <c r="D2512" s="64">
        <f>IFERROR(VLOOKUP(C2512,測定点マスタ!$E$2:$F$28,2,FALSE)/VLOOKUP(A2512,'焼鈍条件-3CGL'!$A$2:$B$197,2,FALSE)*60,"")</f>
        <v>32.025269253548011</v>
      </c>
      <c r="E2512" s="66">
        <v>595.4</v>
      </c>
      <c r="F2512" s="64">
        <f t="shared" si="39"/>
        <v>-20.953405769230759</v>
      </c>
      <c r="G2512" s="60" t="s">
        <v>12</v>
      </c>
      <c r="H2512" s="60" t="s">
        <v>5061</v>
      </c>
    </row>
    <row r="2513" spans="1:8">
      <c r="A2513" s="59" t="s">
        <v>3575</v>
      </c>
      <c r="B2513" s="62">
        <v>8</v>
      </c>
      <c r="C2513" s="60" t="s">
        <v>5050</v>
      </c>
      <c r="D2513" s="64">
        <f>IFERROR(VLOOKUP(C2513,測定点マスタ!$E$2:$F$28,2,FALSE)/VLOOKUP(A2513,'焼鈍条件-3CGL'!$A$2:$B$197,2,FALSE)*60,"")</f>
        <v>35.534887801882036</v>
      </c>
      <c r="E2513" s="66">
        <v>470.2</v>
      </c>
      <c r="F2513" s="64">
        <f t="shared" si="39"/>
        <v>-35.673392500000027</v>
      </c>
      <c r="G2513" s="60" t="s">
        <v>12</v>
      </c>
      <c r="H2513" s="60" t="s">
        <v>5061</v>
      </c>
    </row>
    <row r="2514" spans="1:8">
      <c r="A2514" s="59" t="s">
        <v>3575</v>
      </c>
      <c r="B2514" s="62">
        <v>9</v>
      </c>
      <c r="C2514" s="60" t="s">
        <v>5051</v>
      </c>
      <c r="D2514" s="64">
        <f>IFERROR(VLOOKUP(C2514,測定点マスタ!$E$2:$F$28,2,FALSE)/VLOOKUP(A2514,'焼鈍条件-3CGL'!$A$2:$B$197,2,FALSE)*60,"")</f>
        <v>38.60580403167431</v>
      </c>
      <c r="E2514" s="66">
        <v>461.1</v>
      </c>
      <c r="F2514" s="64">
        <f t="shared" si="39"/>
        <v>-2.9632849999999888</v>
      </c>
      <c r="G2514" s="60" t="s">
        <v>12</v>
      </c>
      <c r="H2514" s="60" t="s">
        <v>5061</v>
      </c>
    </row>
    <row r="2515" spans="1:8">
      <c r="A2515" s="59" t="s">
        <v>3575</v>
      </c>
      <c r="B2515" s="62">
        <v>10</v>
      </c>
      <c r="C2515" s="60" t="s">
        <v>5060</v>
      </c>
      <c r="D2515" s="64">
        <f>IFERROR(VLOOKUP(C2515,測定点マスタ!$E$2:$F$28,2,FALSE)/VLOOKUP(A2515,'焼鈍条件-3CGL'!$A$2:$B$197,2,FALSE)*60,"")</f>
        <v>40.360613305841326</v>
      </c>
      <c r="E2515" s="66">
        <v>399.1</v>
      </c>
      <c r="F2515" s="64">
        <f t="shared" si="39"/>
        <v>-35.331474999999955</v>
      </c>
      <c r="G2515" s="60" t="s">
        <v>12</v>
      </c>
      <c r="H2515" s="60" t="s">
        <v>5061</v>
      </c>
    </row>
    <row r="2516" spans="1:8">
      <c r="A2516" s="59" t="s">
        <v>3575</v>
      </c>
      <c r="B2516" s="62">
        <v>11</v>
      </c>
      <c r="C2516" s="60" t="s">
        <v>5052</v>
      </c>
      <c r="D2516" s="64">
        <f>IFERROR(VLOOKUP(C2516,測定点マスタ!$E$2:$F$28,2,FALSE)/VLOOKUP(A2516,'焼鈍条件-3CGL'!$A$2:$B$197,2,FALSE)*60,"")</f>
        <v>42.554124898550093</v>
      </c>
      <c r="E2516" s="66">
        <v>351.7</v>
      </c>
      <c r="F2516" s="64">
        <f t="shared" si="39"/>
        <v>-21.609186000000026</v>
      </c>
      <c r="G2516" s="60" t="s">
        <v>12</v>
      </c>
      <c r="H2516" s="60" t="s">
        <v>5061</v>
      </c>
    </row>
    <row r="2517" spans="1:8">
      <c r="A2517" s="59" t="s">
        <v>3575</v>
      </c>
      <c r="B2517" s="62">
        <v>12</v>
      </c>
      <c r="C2517" s="60" t="s">
        <v>5053</v>
      </c>
      <c r="D2517" s="64">
        <f>IFERROR(VLOOKUP(C2517,測定点マスタ!$E$2:$F$28,2,FALSE)/VLOOKUP(A2517,'焼鈍条件-3CGL'!$A$2:$B$197,2,FALSE)*60,"")</f>
        <v>47.818552721051134</v>
      </c>
      <c r="E2517" s="66">
        <v>512.79999999999995</v>
      </c>
      <c r="F2517" s="64">
        <f t="shared" si="39"/>
        <v>30.601616249999999</v>
      </c>
      <c r="G2517" s="60" t="s">
        <v>12</v>
      </c>
      <c r="H2517" s="60" t="s">
        <v>5061</v>
      </c>
    </row>
    <row r="2518" spans="1:8">
      <c r="A2518" s="59" t="s">
        <v>3575</v>
      </c>
      <c r="B2518" s="62">
        <v>13</v>
      </c>
      <c r="C2518" s="60" t="s">
        <v>5063</v>
      </c>
      <c r="D2518" s="64">
        <f>IFERROR(VLOOKUP(C2518,測定点マスタ!$E$2:$F$28,2,FALSE)/VLOOKUP(A2518,'焼鈍条件-3CGL'!$A$2:$B$197,2,FALSE)*60,"")</f>
        <v>50.450766632301651</v>
      </c>
      <c r="E2518" s="66">
        <v>521.1</v>
      </c>
      <c r="F2518" s="64">
        <f t="shared" si="39"/>
        <v>3.1532391666666975</v>
      </c>
      <c r="G2518" s="60" t="s">
        <v>12</v>
      </c>
      <c r="H2518" s="60" t="s">
        <v>5061</v>
      </c>
    </row>
    <row r="2519" spans="1:8">
      <c r="A2519" s="59" t="s">
        <v>3575</v>
      </c>
      <c r="B2519" s="62">
        <v>14</v>
      </c>
      <c r="C2519" s="60" t="s">
        <v>5054</v>
      </c>
      <c r="D2519" s="64">
        <f>IFERROR(VLOOKUP(C2519,測定点マスタ!$E$2:$F$28,2,FALSE)/VLOOKUP(A2519,'焼鈍条件-3CGL'!$A$2:$B$197,2,FALSE)*60,"")</f>
        <v>53.521682862093925</v>
      </c>
      <c r="E2519" s="66">
        <v>502.8</v>
      </c>
      <c r="F2519" s="64">
        <f t="shared" si="39"/>
        <v>-5.9591335714285751</v>
      </c>
      <c r="G2519" s="60" t="s">
        <v>12</v>
      </c>
      <c r="H2519" s="60" t="s">
        <v>5061</v>
      </c>
    </row>
    <row r="2520" spans="1:8">
      <c r="A2520" s="59" t="s">
        <v>3575</v>
      </c>
      <c r="B2520" s="62">
        <v>15</v>
      </c>
      <c r="C2520" s="60" t="s">
        <v>5055</v>
      </c>
      <c r="D2520" s="64">
        <f>IFERROR(VLOOKUP(C2520,測定点マスタ!$E$2:$F$28,2,FALSE)/VLOOKUP(A2520,'焼鈍条件-3CGL'!$A$2:$B$197,2,FALSE)*60,"")</f>
        <v>55.715194454802692</v>
      </c>
      <c r="E2520" s="66">
        <v>538.79999999999995</v>
      </c>
      <c r="F2520" s="64">
        <f t="shared" si="39"/>
        <v>16.41203999999998</v>
      </c>
      <c r="G2520" s="60" t="s">
        <v>12</v>
      </c>
      <c r="H2520" s="60" t="s">
        <v>5061</v>
      </c>
    </row>
    <row r="2521" spans="1:8">
      <c r="A2521" s="59" t="s">
        <v>3575</v>
      </c>
      <c r="B2521" s="62">
        <v>16</v>
      </c>
      <c r="C2521" s="60" t="s">
        <v>5056</v>
      </c>
      <c r="D2521" s="64">
        <f>IFERROR(VLOOKUP(C2521,測定点マスタ!$E$2:$F$28,2,FALSE)/VLOOKUP(A2521,'焼鈍条件-3CGL'!$A$2:$B$197,2,FALSE)*60,"")</f>
        <v>58.347408366053216</v>
      </c>
      <c r="E2521" s="66">
        <v>279.39999999999998</v>
      </c>
      <c r="F2521" s="64">
        <f t="shared" si="39"/>
        <v>-98.548221666666535</v>
      </c>
      <c r="G2521" s="60" t="s">
        <v>12</v>
      </c>
      <c r="H2521" s="60" t="s">
        <v>5061</v>
      </c>
    </row>
    <row r="2522" spans="1:8">
      <c r="A2522" s="59" t="s">
        <v>3575</v>
      </c>
      <c r="B2522" s="62">
        <v>17</v>
      </c>
      <c r="C2522" s="60" t="s">
        <v>5062</v>
      </c>
      <c r="D2522" s="64">
        <f>IFERROR(VLOOKUP(C2522,測定点マスタ!$E$2:$F$28,2,FALSE)/VLOOKUP(A2522,'焼鈍条件-3CGL'!$A$2:$B$197,2,FALSE)*60,"")</f>
        <v>63.611836188554264</v>
      </c>
      <c r="E2522" s="66">
        <v>465</v>
      </c>
      <c r="F2522" s="64">
        <f t="shared" si="39"/>
        <v>35.255493333333298</v>
      </c>
      <c r="G2522" s="60" t="s">
        <v>12</v>
      </c>
      <c r="H2522" s="60" t="s">
        <v>5061</v>
      </c>
    </row>
    <row r="2523" spans="1:8">
      <c r="A2523" s="59" t="s">
        <v>3575</v>
      </c>
      <c r="B2523" s="62">
        <v>18</v>
      </c>
      <c r="C2523" s="60" t="s">
        <v>5068</v>
      </c>
      <c r="D2523" s="64">
        <f>IFERROR(VLOOKUP(C2523,測定点マスタ!$E$2:$F$28,2,FALSE)/VLOOKUP(A2523,'焼鈍条件-3CGL'!$A$2:$B$197,2,FALSE)*60,"")</f>
        <v>69.690996888347186</v>
      </c>
      <c r="E2523" s="66">
        <v>361.3</v>
      </c>
      <c r="F2523" s="64">
        <f t="shared" si="39"/>
        <v>-17.058275824742118</v>
      </c>
      <c r="G2523" s="60" t="s">
        <v>12</v>
      </c>
      <c r="H2523" s="60" t="s">
        <v>5061</v>
      </c>
    </row>
    <row r="2524" spans="1:8">
      <c r="A2524" s="59" t="s">
        <v>3575</v>
      </c>
      <c r="B2524" s="62">
        <v>19</v>
      </c>
      <c r="C2524" s="60" t="s">
        <v>5057</v>
      </c>
      <c r="D2524" s="64">
        <f>IFERROR(VLOOKUP(C2524,測定点マスタ!$E$2:$F$28,2,FALSE)/VLOOKUP(A2524,'焼鈍条件-3CGL'!$A$2:$B$197,2,FALSE)*60,"")</f>
        <v>72.338878739545507</v>
      </c>
      <c r="E2524" s="66">
        <v>232.3</v>
      </c>
      <c r="F2524" s="64">
        <f t="shared" si="39"/>
        <v>-48.71818579881878</v>
      </c>
      <c r="G2524" s="60" t="s">
        <v>12</v>
      </c>
      <c r="H2524" s="60" t="s">
        <v>5061</v>
      </c>
    </row>
    <row r="2525" spans="1:8">
      <c r="A2525" s="59" t="s">
        <v>3575</v>
      </c>
      <c r="B2525" s="62">
        <v>20</v>
      </c>
      <c r="C2525" s="60" t="s">
        <v>5059</v>
      </c>
      <c r="D2525" s="64">
        <f>IFERROR(VLOOKUP(C2525,測定点マスタ!$E$2:$F$28,2,FALSE)/VLOOKUP(A2525,'焼鈍条件-3CGL'!$A$2:$B$197,2,FALSE)*60,"")</f>
        <v>77.634642441942574</v>
      </c>
      <c r="E2525" s="66">
        <v>67.599999999999994</v>
      </c>
      <c r="F2525" s="64">
        <f t="shared" si="39"/>
        <v>-31.100330236685302</v>
      </c>
      <c r="G2525" s="60" t="s">
        <v>12</v>
      </c>
      <c r="H2525" s="60" t="s">
        <v>5061</v>
      </c>
    </row>
    <row r="2526" spans="1:8">
      <c r="A2526" s="59" t="s">
        <v>3580</v>
      </c>
      <c r="B2526" s="62">
        <v>1</v>
      </c>
      <c r="C2526" s="60" t="s">
        <v>5041</v>
      </c>
      <c r="D2526" s="64">
        <f>IFERROR(VLOOKUP(C2526,測定点マスタ!$E$2:$F$28,2,FALSE)/VLOOKUP(A2526,'焼鈍条件-3CGL'!$A$2:$B$197,2,FALSE)*60,"")</f>
        <v>0</v>
      </c>
      <c r="E2526" s="66">
        <v>32</v>
      </c>
      <c r="F2526" s="64" t="str">
        <f t="shared" si="39"/>
        <v/>
      </c>
      <c r="G2526" s="60" t="s">
        <v>9</v>
      </c>
      <c r="H2526" s="60" t="s">
        <v>5042</v>
      </c>
    </row>
    <row r="2527" spans="1:8">
      <c r="A2527" s="59" t="s">
        <v>3580</v>
      </c>
      <c r="B2527" s="62">
        <v>2</v>
      </c>
      <c r="C2527" s="60" t="s">
        <v>5043</v>
      </c>
      <c r="D2527" s="64">
        <f>IFERROR(VLOOKUP(C2527,測定点マスタ!$E$2:$F$28,2,FALSE)/VLOOKUP(A2527,'焼鈍条件-3CGL'!$A$2:$B$197,2,FALSE)*60,"")</f>
        <v>6.8820493213534695</v>
      </c>
      <c r="E2527" s="66">
        <v>178.6</v>
      </c>
      <c r="F2527" s="64">
        <f t="shared" si="39"/>
        <v>21.301794444444443</v>
      </c>
      <c r="G2527" s="60" t="s">
        <v>9</v>
      </c>
      <c r="H2527" s="60" t="s">
        <v>5042</v>
      </c>
    </row>
    <row r="2528" spans="1:8">
      <c r="A2528" s="59" t="s">
        <v>3580</v>
      </c>
      <c r="B2528" s="62">
        <v>3</v>
      </c>
      <c r="C2528" s="60" t="s">
        <v>5044</v>
      </c>
      <c r="D2528" s="64">
        <f>IFERROR(VLOOKUP(C2528,測定点マスタ!$E$2:$F$28,2,FALSE)/VLOOKUP(A2528,'焼鈍条件-3CGL'!$A$2:$B$197,2,FALSE)*60,"")</f>
        <v>15.599311795067866</v>
      </c>
      <c r="E2528" s="66">
        <v>640.79999999999995</v>
      </c>
      <c r="F2528" s="64">
        <f t="shared" si="39"/>
        <v>53.021232456140339</v>
      </c>
      <c r="G2528" s="60" t="s">
        <v>9</v>
      </c>
      <c r="H2528" s="60" t="s">
        <v>5042</v>
      </c>
    </row>
    <row r="2529" spans="1:8">
      <c r="A2529" s="59" t="s">
        <v>3580</v>
      </c>
      <c r="B2529" s="62">
        <v>4</v>
      </c>
      <c r="C2529" s="60" t="s">
        <v>5045</v>
      </c>
      <c r="D2529" s="64">
        <f>IFERROR(VLOOKUP(C2529,測定点マスタ!$E$2:$F$28,2,FALSE)/VLOOKUP(A2529,'焼鈍条件-3CGL'!$A$2:$B$197,2,FALSE)*60,"")</f>
        <v>20.187344675970177</v>
      </c>
      <c r="E2529" s="66">
        <v>801.4</v>
      </c>
      <c r="F2529" s="64">
        <f t="shared" si="39"/>
        <v>35.004108333333356</v>
      </c>
      <c r="G2529" s="60" t="s">
        <v>9</v>
      </c>
      <c r="H2529" s="60" t="s">
        <v>5042</v>
      </c>
    </row>
    <row r="2530" spans="1:8">
      <c r="A2530" s="59" t="s">
        <v>3580</v>
      </c>
      <c r="B2530" s="62">
        <v>5</v>
      </c>
      <c r="C2530" s="60" t="s">
        <v>5047</v>
      </c>
      <c r="D2530" s="64">
        <f>IFERROR(VLOOKUP(C2530,測定点マスタ!$E$2:$F$28,2,FALSE)/VLOOKUP(A2530,'焼鈍条件-3CGL'!$A$2:$B$197,2,FALSE)*60,"")</f>
        <v>27.528197285413878</v>
      </c>
      <c r="E2530" s="66">
        <v>725.1</v>
      </c>
      <c r="F2530" s="64">
        <f t="shared" si="39"/>
        <v>-10.393888020833327</v>
      </c>
      <c r="G2530" s="60" t="s">
        <v>9</v>
      </c>
      <c r="H2530" s="60" t="s">
        <v>5042</v>
      </c>
    </row>
    <row r="2531" spans="1:8">
      <c r="A2531" s="59" t="s">
        <v>3580</v>
      </c>
      <c r="B2531" s="62">
        <v>6</v>
      </c>
      <c r="C2531" s="60" t="s">
        <v>5049</v>
      </c>
      <c r="D2531" s="64">
        <f>IFERROR(VLOOKUP(C2531,測定点マスタ!$E$2:$F$28,2,FALSE)/VLOOKUP(A2531,'焼鈍条件-3CGL'!$A$2:$B$197,2,FALSE)*60,"")</f>
        <v>33.492640030586884</v>
      </c>
      <c r="E2531" s="66">
        <v>612.20000000000005</v>
      </c>
      <c r="F2531" s="64">
        <f t="shared" si="39"/>
        <v>-18.92884294871795</v>
      </c>
      <c r="G2531" s="60" t="s">
        <v>9</v>
      </c>
      <c r="H2531" s="60" t="s">
        <v>5042</v>
      </c>
    </row>
    <row r="2532" spans="1:8">
      <c r="A2532" s="59" t="s">
        <v>3580</v>
      </c>
      <c r="B2532" s="62">
        <v>7</v>
      </c>
      <c r="C2532" s="60" t="s">
        <v>5050</v>
      </c>
      <c r="D2532" s="64">
        <f>IFERROR(VLOOKUP(C2532,測定点マスタ!$E$2:$F$28,2,FALSE)/VLOOKUP(A2532,'焼鈍条件-3CGL'!$A$2:$B$197,2,FALSE)*60,"")</f>
        <v>37.163066335308734</v>
      </c>
      <c r="E2532" s="66">
        <v>504</v>
      </c>
      <c r="F2532" s="64">
        <f t="shared" si="39"/>
        <v>-29.478864583333348</v>
      </c>
      <c r="G2532" s="60" t="s">
        <v>9</v>
      </c>
      <c r="H2532" s="60" t="s">
        <v>5042</v>
      </c>
    </row>
    <row r="2533" spans="1:8">
      <c r="A2533" s="59" t="s">
        <v>3580</v>
      </c>
      <c r="B2533" s="62">
        <v>8</v>
      </c>
      <c r="C2533" s="60" t="s">
        <v>5051</v>
      </c>
      <c r="D2533" s="64">
        <f>IFERROR(VLOOKUP(C2533,測定点マスタ!$E$2:$F$28,2,FALSE)/VLOOKUP(A2533,'焼鈍条件-3CGL'!$A$2:$B$197,2,FALSE)*60,"")</f>
        <v>40.374689351940354</v>
      </c>
      <c r="E2533" s="66">
        <v>441.1</v>
      </c>
      <c r="F2533" s="64">
        <f t="shared" si="39"/>
        <v>-19.585113095238082</v>
      </c>
      <c r="G2533" s="60" t="s">
        <v>9</v>
      </c>
      <c r="H2533" s="60" t="s">
        <v>5042</v>
      </c>
    </row>
    <row r="2534" spans="1:8">
      <c r="A2534" s="59" t="s">
        <v>3580</v>
      </c>
      <c r="B2534" s="62">
        <v>9</v>
      </c>
      <c r="C2534" s="60" t="s">
        <v>5052</v>
      </c>
      <c r="D2534" s="64">
        <f>IFERROR(VLOOKUP(C2534,測定点マスタ!$E$2:$F$28,2,FALSE)/VLOOKUP(A2534,'焼鈍条件-3CGL'!$A$2:$B$197,2,FALSE)*60,"")</f>
        <v>44.503918944752435</v>
      </c>
      <c r="E2534" s="66">
        <v>359.5</v>
      </c>
      <c r="F2534" s="64">
        <f t="shared" si="39"/>
        <v>-19.761555555555567</v>
      </c>
      <c r="G2534" s="60" t="s">
        <v>9</v>
      </c>
      <c r="H2534" s="60" t="s">
        <v>5042</v>
      </c>
    </row>
    <row r="2535" spans="1:8">
      <c r="A2535" s="59" t="s">
        <v>3580</v>
      </c>
      <c r="B2535" s="62">
        <v>10</v>
      </c>
      <c r="C2535" s="60" t="s">
        <v>5053</v>
      </c>
      <c r="D2535" s="64">
        <f>IFERROR(VLOOKUP(C2535,測定点マスタ!$E$2:$F$28,2,FALSE)/VLOOKUP(A2535,'焼鈍条件-3CGL'!$A$2:$B$197,2,FALSE)*60,"")</f>
        <v>50.009558401835214</v>
      </c>
      <c r="E2535" s="66">
        <v>520.6</v>
      </c>
      <c r="F2535" s="64">
        <f t="shared" si="39"/>
        <v>29.260906249999987</v>
      </c>
      <c r="G2535" s="60" t="s">
        <v>9</v>
      </c>
      <c r="H2535" s="60" t="s">
        <v>5042</v>
      </c>
    </row>
    <row r="2536" spans="1:8">
      <c r="A2536" s="59" t="s">
        <v>3580</v>
      </c>
      <c r="B2536" s="62">
        <v>11</v>
      </c>
      <c r="C2536" s="60" t="s">
        <v>5054</v>
      </c>
      <c r="D2536" s="64">
        <f>IFERROR(VLOOKUP(C2536,測定点マスタ!$E$2:$F$28,2,FALSE)/VLOOKUP(A2536,'焼鈍条件-3CGL'!$A$2:$B$197,2,FALSE)*60,"")</f>
        <v>55.974001147008217</v>
      </c>
      <c r="E2536" s="66">
        <v>505.6</v>
      </c>
      <c r="F2536" s="64">
        <f t="shared" si="39"/>
        <v>-2.5149038461538482</v>
      </c>
      <c r="G2536" s="60" t="s">
        <v>9</v>
      </c>
      <c r="H2536" s="60" t="s">
        <v>5042</v>
      </c>
    </row>
    <row r="2537" spans="1:8">
      <c r="A2537" s="59" t="s">
        <v>3580</v>
      </c>
      <c r="B2537" s="62">
        <v>12</v>
      </c>
      <c r="C2537" s="60" t="s">
        <v>5056</v>
      </c>
      <c r="D2537" s="64">
        <f>IFERROR(VLOOKUP(C2537,測定点マスタ!$E$2:$F$28,2,FALSE)/VLOOKUP(A2537,'焼鈍条件-3CGL'!$A$2:$B$197,2,FALSE)*60,"")</f>
        <v>61.020837316000758</v>
      </c>
      <c r="E2537" s="66">
        <v>256.89999999999998</v>
      </c>
      <c r="F2537" s="64">
        <f t="shared" si="39"/>
        <v>-49.278397727272761</v>
      </c>
      <c r="G2537" s="60" t="s">
        <v>9</v>
      </c>
      <c r="H2537" s="60" t="s">
        <v>5042</v>
      </c>
    </row>
    <row r="2538" spans="1:8">
      <c r="A2538" s="59" t="s">
        <v>3580</v>
      </c>
      <c r="B2538" s="62">
        <v>13</v>
      </c>
      <c r="C2538" s="60" t="s">
        <v>5068</v>
      </c>
      <c r="D2538" s="64">
        <f>IFERROR(VLOOKUP(C2538,測定点マスタ!$E$2:$F$28,2,FALSE)/VLOOKUP(A2538,'焼鈍条件-3CGL'!$A$2:$B$197,2,FALSE)*60,"")</f>
        <v>72.884179479476813</v>
      </c>
      <c r="E2538" s="66">
        <v>331.3</v>
      </c>
      <c r="F2538" s="64">
        <f t="shared" si="39"/>
        <v>6.2714198895027264</v>
      </c>
      <c r="G2538" s="60" t="s">
        <v>9</v>
      </c>
      <c r="H2538" s="60" t="s">
        <v>5042</v>
      </c>
    </row>
    <row r="2539" spans="1:8">
      <c r="A2539" s="59" t="s">
        <v>3580</v>
      </c>
      <c r="B2539" s="62">
        <v>14</v>
      </c>
      <c r="C2539" s="60" t="s">
        <v>5057</v>
      </c>
      <c r="D2539" s="64">
        <f>IFERROR(VLOOKUP(C2539,測定点マスタ!$E$2:$F$28,2,FALSE)/VLOOKUP(A2539,'焼鈍条件-3CGL'!$A$2:$B$197,2,FALSE)*60,"")</f>
        <v>75.653385039735582</v>
      </c>
      <c r="E2539" s="66">
        <v>259.8</v>
      </c>
      <c r="F2539" s="64">
        <f t="shared" si="39"/>
        <v>-25.819679487180675</v>
      </c>
      <c r="G2539" s="60" t="s">
        <v>9</v>
      </c>
      <c r="H2539" s="60" t="s">
        <v>5042</v>
      </c>
    </row>
    <row r="2540" spans="1:8">
      <c r="A2540" s="59" t="s">
        <v>3580</v>
      </c>
      <c r="B2540" s="62">
        <v>15</v>
      </c>
      <c r="C2540" s="60" t="s">
        <v>5059</v>
      </c>
      <c r="D2540" s="64">
        <f>IFERROR(VLOOKUP(C2540,測定点マスタ!$E$2:$F$28,2,FALSE)/VLOOKUP(A2540,'焼鈍条件-3CGL'!$A$2:$B$197,2,FALSE)*60,"")</f>
        <v>81.191796160253574</v>
      </c>
      <c r="E2540" s="66">
        <v>61.6</v>
      </c>
      <c r="F2540" s="64">
        <f t="shared" si="39"/>
        <v>-35.786436883627907</v>
      </c>
      <c r="G2540" s="60" t="s">
        <v>9</v>
      </c>
      <c r="H2540" s="60" t="s">
        <v>5042</v>
      </c>
    </row>
    <row r="2541" spans="1:8">
      <c r="A2541" s="59" t="s">
        <v>3589</v>
      </c>
      <c r="B2541" s="62">
        <v>1</v>
      </c>
      <c r="C2541" s="60" t="s">
        <v>5041</v>
      </c>
      <c r="D2541" s="64">
        <f>IFERROR(VLOOKUP(C2541,測定点マスタ!$E$2:$F$28,2,FALSE)/VLOOKUP(A2541,'焼鈍条件-3CGL'!$A$2:$B$197,2,FALSE)*60,"")</f>
        <v>0</v>
      </c>
      <c r="E2541" s="66">
        <v>35.799999999999997</v>
      </c>
      <c r="F2541" s="64" t="str">
        <f t="shared" si="39"/>
        <v/>
      </c>
      <c r="G2541" s="60" t="s">
        <v>12</v>
      </c>
      <c r="H2541" s="60" t="s">
        <v>5064</v>
      </c>
    </row>
    <row r="2542" spans="1:8">
      <c r="A2542" s="59" t="s">
        <v>3589</v>
      </c>
      <c r="B2542" s="62">
        <v>2</v>
      </c>
      <c r="C2542" s="60" t="s">
        <v>5043</v>
      </c>
      <c r="D2542" s="64">
        <f>IFERROR(VLOOKUP(C2542,測定点マスタ!$E$2:$F$28,2,FALSE)/VLOOKUP(A2542,'焼鈍条件-3CGL'!$A$2:$B$197,2,FALSE)*60,"")</f>
        <v>7.7692699476005913</v>
      </c>
      <c r="E2542" s="66">
        <v>160.69999999999999</v>
      </c>
      <c r="F2542" s="64">
        <f t="shared" si="39"/>
        <v>16.076156555555553</v>
      </c>
      <c r="G2542" s="60" t="s">
        <v>12</v>
      </c>
      <c r="H2542" s="60" t="s">
        <v>5064</v>
      </c>
    </row>
    <row r="2543" spans="1:8">
      <c r="A2543" s="59" t="s">
        <v>3589</v>
      </c>
      <c r="B2543" s="62">
        <v>3</v>
      </c>
      <c r="C2543" s="60" t="s">
        <v>5067</v>
      </c>
      <c r="D2543" s="64">
        <f>IFERROR(VLOOKUP(C2543,測定点マスタ!$E$2:$F$28,2,FALSE)/VLOOKUP(A2543,'焼鈍条件-3CGL'!$A$2:$B$197,2,FALSE)*60,"")</f>
        <v>12.948783246000986</v>
      </c>
      <c r="E2543" s="66">
        <v>361.9</v>
      </c>
      <c r="F2543" s="64">
        <f t="shared" si="39"/>
        <v>38.845348666666659</v>
      </c>
      <c r="G2543" s="60" t="s">
        <v>12</v>
      </c>
      <c r="H2543" s="60" t="s">
        <v>5064</v>
      </c>
    </row>
    <row r="2544" spans="1:8">
      <c r="A2544" s="59" t="s">
        <v>3589</v>
      </c>
      <c r="B2544" s="62">
        <v>4</v>
      </c>
      <c r="C2544" s="60" t="s">
        <v>5044</v>
      </c>
      <c r="D2544" s="64">
        <f>IFERROR(VLOOKUP(C2544,測定点マスタ!$E$2:$F$28,2,FALSE)/VLOOKUP(A2544,'焼鈍条件-3CGL'!$A$2:$B$197,2,FALSE)*60,"")</f>
        <v>17.610345214561338</v>
      </c>
      <c r="E2544" s="66">
        <v>655.8</v>
      </c>
      <c r="F2544" s="64">
        <f t="shared" si="39"/>
        <v>63.047536851851866</v>
      </c>
      <c r="G2544" s="60" t="s">
        <v>12</v>
      </c>
      <c r="H2544" s="60" t="s">
        <v>5064</v>
      </c>
    </row>
    <row r="2545" spans="1:8">
      <c r="A2545" s="59" t="s">
        <v>3589</v>
      </c>
      <c r="B2545" s="62">
        <v>5</v>
      </c>
      <c r="C2545" s="60" t="s">
        <v>5045</v>
      </c>
      <c r="D2545" s="64">
        <f>IFERROR(VLOOKUP(C2545,測定点マスタ!$E$2:$F$28,2,FALSE)/VLOOKUP(A2545,'焼鈍条件-3CGL'!$A$2:$B$197,2,FALSE)*60,"")</f>
        <v>22.789858512961732</v>
      </c>
      <c r="E2545" s="66">
        <v>799.2</v>
      </c>
      <c r="F2545" s="64">
        <f t="shared" si="39"/>
        <v>27.685999000000013</v>
      </c>
      <c r="G2545" s="60" t="s">
        <v>12</v>
      </c>
      <c r="H2545" s="60" t="s">
        <v>5064</v>
      </c>
    </row>
    <row r="2546" spans="1:8">
      <c r="A2546" s="59" t="s">
        <v>3589</v>
      </c>
      <c r="B2546" s="62">
        <v>6</v>
      </c>
      <c r="C2546" s="60" t="s">
        <v>5047</v>
      </c>
      <c r="D2546" s="64">
        <f>IFERROR(VLOOKUP(C2546,測定点マスタ!$E$2:$F$28,2,FALSE)/VLOOKUP(A2546,'焼鈍条件-3CGL'!$A$2:$B$197,2,FALSE)*60,"")</f>
        <v>31.077079790402365</v>
      </c>
      <c r="E2546" s="66">
        <v>735.2</v>
      </c>
      <c r="F2546" s="64">
        <f t="shared" si="39"/>
        <v>-7.7227333333333306</v>
      </c>
      <c r="G2546" s="60" t="s">
        <v>12</v>
      </c>
      <c r="H2546" s="60" t="s">
        <v>5064</v>
      </c>
    </row>
    <row r="2547" spans="1:8">
      <c r="A2547" s="59" t="s">
        <v>3589</v>
      </c>
      <c r="B2547" s="62">
        <v>7</v>
      </c>
      <c r="C2547" s="60" t="s">
        <v>5049</v>
      </c>
      <c r="D2547" s="64">
        <f>IFERROR(VLOOKUP(C2547,測定点マスタ!$E$2:$F$28,2,FALSE)/VLOOKUP(A2547,'焼鈍条件-3CGL'!$A$2:$B$197,2,FALSE)*60,"")</f>
        <v>37.810447078322873</v>
      </c>
      <c r="E2547" s="66">
        <v>571.6</v>
      </c>
      <c r="F2547" s="64">
        <f t="shared" si="39"/>
        <v>-24.296907179487196</v>
      </c>
      <c r="G2547" s="60" t="s">
        <v>12</v>
      </c>
      <c r="H2547" s="60" t="s">
        <v>5064</v>
      </c>
    </row>
    <row r="2548" spans="1:8">
      <c r="A2548" s="59" t="s">
        <v>3589</v>
      </c>
      <c r="B2548" s="62">
        <v>8</v>
      </c>
      <c r="C2548" s="60" t="s">
        <v>5050</v>
      </c>
      <c r="D2548" s="64">
        <f>IFERROR(VLOOKUP(C2548,測定点マスタ!$E$2:$F$28,2,FALSE)/VLOOKUP(A2548,'焼鈍条件-3CGL'!$A$2:$B$197,2,FALSE)*60,"")</f>
        <v>41.954057717043192</v>
      </c>
      <c r="E2548" s="66">
        <v>504.5</v>
      </c>
      <c r="F2548" s="64">
        <f t="shared" si="39"/>
        <v>-16.193606458333328</v>
      </c>
      <c r="G2548" s="60" t="s">
        <v>12</v>
      </c>
      <c r="H2548" s="60" t="s">
        <v>5064</v>
      </c>
    </row>
    <row r="2549" spans="1:8">
      <c r="A2549" s="59" t="s">
        <v>3589</v>
      </c>
      <c r="B2549" s="62">
        <v>9</v>
      </c>
      <c r="C2549" s="60" t="s">
        <v>5051</v>
      </c>
      <c r="D2549" s="64">
        <f>IFERROR(VLOOKUP(C2549,測定点マスタ!$E$2:$F$28,2,FALSE)/VLOOKUP(A2549,'焼鈍条件-3CGL'!$A$2:$B$197,2,FALSE)*60,"")</f>
        <v>45.579717025923465</v>
      </c>
      <c r="E2549" s="66">
        <v>433.6</v>
      </c>
      <c r="F2549" s="64">
        <f t="shared" si="39"/>
        <v>-19.555064047619055</v>
      </c>
      <c r="G2549" s="60" t="s">
        <v>12</v>
      </c>
      <c r="H2549" s="60" t="s">
        <v>5064</v>
      </c>
    </row>
    <row r="2550" spans="1:8">
      <c r="A2550" s="59" t="s">
        <v>3589</v>
      </c>
      <c r="B2550" s="62">
        <v>10</v>
      </c>
      <c r="C2550" s="60" t="s">
        <v>5052</v>
      </c>
      <c r="D2550" s="64">
        <f>IFERROR(VLOOKUP(C2550,測定点マスタ!$E$2:$F$28,2,FALSE)/VLOOKUP(A2550,'焼鈍条件-3CGL'!$A$2:$B$197,2,FALSE)*60,"")</f>
        <v>50.241278994483821</v>
      </c>
      <c r="E2550" s="66">
        <v>350.9</v>
      </c>
      <c r="F2550" s="64">
        <f t="shared" si="39"/>
        <v>-17.740834629629632</v>
      </c>
      <c r="G2550" s="60" t="s">
        <v>12</v>
      </c>
      <c r="H2550" s="60" t="s">
        <v>5064</v>
      </c>
    </row>
    <row r="2551" spans="1:8">
      <c r="A2551" s="59" t="s">
        <v>3589</v>
      </c>
      <c r="B2551" s="62">
        <v>11</v>
      </c>
      <c r="C2551" s="60" t="s">
        <v>5053</v>
      </c>
      <c r="D2551" s="64">
        <f>IFERROR(VLOOKUP(C2551,測定点マスタ!$E$2:$F$28,2,FALSE)/VLOOKUP(A2551,'焼鈍条件-3CGL'!$A$2:$B$197,2,FALSE)*60,"")</f>
        <v>56.456694952564291</v>
      </c>
      <c r="E2551" s="66">
        <v>505</v>
      </c>
      <c r="F2551" s="64">
        <f t="shared" si="39"/>
        <v>24.793191805555569</v>
      </c>
      <c r="G2551" s="60" t="s">
        <v>12</v>
      </c>
      <c r="H2551" s="60" t="s">
        <v>5064</v>
      </c>
    </row>
    <row r="2552" spans="1:8">
      <c r="A2552" s="59" t="s">
        <v>3589</v>
      </c>
      <c r="B2552" s="62">
        <v>12</v>
      </c>
      <c r="C2552" s="60" t="s">
        <v>5063</v>
      </c>
      <c r="D2552" s="64">
        <f>IFERROR(VLOOKUP(C2552,測定点マスタ!$E$2:$F$28,2,FALSE)/VLOOKUP(A2552,'焼鈍条件-3CGL'!$A$2:$B$197,2,FALSE)*60,"")</f>
        <v>59.564402931604533</v>
      </c>
      <c r="E2552" s="66">
        <v>515</v>
      </c>
      <c r="F2552" s="64">
        <f t="shared" si="39"/>
        <v>3.2178055555555494</v>
      </c>
      <c r="G2552" s="60" t="s">
        <v>12</v>
      </c>
      <c r="H2552" s="60" t="s">
        <v>5064</v>
      </c>
    </row>
    <row r="2553" spans="1:8">
      <c r="A2553" s="59" t="s">
        <v>3589</v>
      </c>
      <c r="B2553" s="62">
        <v>13</v>
      </c>
      <c r="C2553" s="60" t="s">
        <v>5054</v>
      </c>
      <c r="D2553" s="64">
        <f>IFERROR(VLOOKUP(C2553,測定点マスタ!$E$2:$F$28,2,FALSE)/VLOOKUP(A2553,'焼鈍条件-3CGL'!$A$2:$B$197,2,FALSE)*60,"")</f>
        <v>63.190062240484799</v>
      </c>
      <c r="E2553" s="66">
        <v>508.9</v>
      </c>
      <c r="F2553" s="64">
        <f t="shared" si="39"/>
        <v>-1.6824526190476297</v>
      </c>
      <c r="G2553" s="60" t="s">
        <v>12</v>
      </c>
      <c r="H2553" s="60" t="s">
        <v>5064</v>
      </c>
    </row>
    <row r="2554" spans="1:8">
      <c r="A2554" s="59" t="s">
        <v>3589</v>
      </c>
      <c r="B2554" s="62">
        <v>14</v>
      </c>
      <c r="C2554" s="60" t="s">
        <v>5056</v>
      </c>
      <c r="D2554" s="64">
        <f>IFERROR(VLOOKUP(C2554,測定点マスタ!$E$2:$F$28,2,FALSE)/VLOOKUP(A2554,'焼鈍条件-3CGL'!$A$2:$B$197,2,FALSE)*60,"")</f>
        <v>68.887526868725232</v>
      </c>
      <c r="E2554" s="66">
        <v>259.3</v>
      </c>
      <c r="F2554" s="64">
        <f t="shared" si="39"/>
        <v>-43.808959999999999</v>
      </c>
      <c r="G2554" s="60" t="s">
        <v>12</v>
      </c>
      <c r="H2554" s="60" t="s">
        <v>5064</v>
      </c>
    </row>
    <row r="2555" spans="1:8">
      <c r="A2555" s="59" t="s">
        <v>3589</v>
      </c>
      <c r="B2555" s="62">
        <v>15</v>
      </c>
      <c r="C2555" s="60" t="s">
        <v>5062</v>
      </c>
      <c r="D2555" s="64">
        <f>IFERROR(VLOOKUP(C2555,測定点マスタ!$E$2:$F$28,2,FALSE)/VLOOKUP(A2555,'焼鈍条件-3CGL'!$A$2:$B$197,2,FALSE)*60,"")</f>
        <v>75.102942826805716</v>
      </c>
      <c r="E2555" s="66">
        <v>467.9</v>
      </c>
      <c r="F2555" s="64">
        <f t="shared" si="39"/>
        <v>33.561711944444376</v>
      </c>
      <c r="G2555" s="60" t="s">
        <v>12</v>
      </c>
      <c r="H2555" s="60" t="s">
        <v>5064</v>
      </c>
    </row>
    <row r="2556" spans="1:8">
      <c r="A2556" s="59" t="s">
        <v>3589</v>
      </c>
      <c r="B2556" s="62">
        <v>16</v>
      </c>
      <c r="C2556" s="60" t="s">
        <v>5065</v>
      </c>
      <c r="D2556" s="64">
        <f>IFERROR(VLOOKUP(C2556,測定点マスタ!$E$2:$F$28,2,FALSE)/VLOOKUP(A2556,'焼鈍条件-3CGL'!$A$2:$B$197,2,FALSE)*60,"")</f>
        <v>76.027855915805631</v>
      </c>
      <c r="E2556" s="66">
        <v>516.4</v>
      </c>
      <c r="F2556" s="64">
        <f t="shared" si="39"/>
        <v>52.43735933334213</v>
      </c>
      <c r="G2556" s="60" t="s">
        <v>12</v>
      </c>
      <c r="H2556" s="60" t="s">
        <v>5064</v>
      </c>
    </row>
    <row r="2557" spans="1:8">
      <c r="A2557" s="59" t="s">
        <v>3589</v>
      </c>
      <c r="B2557" s="62">
        <v>17</v>
      </c>
      <c r="C2557" s="60" t="s">
        <v>5066</v>
      </c>
      <c r="D2557" s="64">
        <f>IFERROR(VLOOKUP(C2557,測定点マスタ!$E$2:$F$28,2,FALSE)/VLOOKUP(A2557,'焼鈍条件-3CGL'!$A$2:$B$197,2,FALSE)*60,"")</f>
        <v>79.154062156626239</v>
      </c>
      <c r="E2557" s="66">
        <v>497.8</v>
      </c>
      <c r="F2557" s="64">
        <f t="shared" si="39"/>
        <v>-5.9497034319519475</v>
      </c>
      <c r="G2557" s="60" t="s">
        <v>12</v>
      </c>
      <c r="H2557" s="60" t="s">
        <v>5064</v>
      </c>
    </row>
    <row r="2558" spans="1:8">
      <c r="A2558" s="59" t="s">
        <v>3589</v>
      </c>
      <c r="B2558" s="62">
        <v>18</v>
      </c>
      <c r="C2558" s="60" t="s">
        <v>5068</v>
      </c>
      <c r="D2558" s="64">
        <f>IFERROR(VLOOKUP(C2558,測定点マスタ!$E$2:$F$28,2,FALSE)/VLOOKUP(A2558,'焼鈍条件-3CGL'!$A$2:$B$197,2,FALSE)*60,"")</f>
        <v>82.280268397446335</v>
      </c>
      <c r="E2558" s="66">
        <v>340.6</v>
      </c>
      <c r="F2558" s="64">
        <f t="shared" si="39"/>
        <v>-50.284590295860262</v>
      </c>
      <c r="G2558" s="60" t="s">
        <v>12</v>
      </c>
      <c r="H2558" s="60" t="s">
        <v>5064</v>
      </c>
    </row>
    <row r="2559" spans="1:8">
      <c r="A2559" s="59" t="s">
        <v>3589</v>
      </c>
      <c r="B2559" s="62">
        <v>19</v>
      </c>
      <c r="C2559" s="60" t="s">
        <v>5057</v>
      </c>
      <c r="D2559" s="64">
        <f>IFERROR(VLOOKUP(C2559,測定点マスタ!$E$2:$F$28,2,FALSE)/VLOOKUP(A2559,'焼鈍条件-3CGL'!$A$2:$B$197,2,FALSE)*60,"")</f>
        <v>85.406474638266417</v>
      </c>
      <c r="E2559" s="66">
        <v>215.7</v>
      </c>
      <c r="F2559" s="64">
        <f t="shared" si="39"/>
        <v>-39.952578422092728</v>
      </c>
      <c r="G2559" s="60" t="s">
        <v>12</v>
      </c>
      <c r="H2559" s="60" t="s">
        <v>5064</v>
      </c>
    </row>
    <row r="2560" spans="1:8">
      <c r="A2560" s="59" t="s">
        <v>3589</v>
      </c>
      <c r="B2560" s="62">
        <v>20</v>
      </c>
      <c r="C2560" s="60" t="s">
        <v>5059</v>
      </c>
      <c r="D2560" s="64">
        <f>IFERROR(VLOOKUP(C2560,測定点マスタ!$E$2:$F$28,2,FALSE)/VLOOKUP(A2560,'焼鈍条件-3CGL'!$A$2:$B$197,2,FALSE)*60,"")</f>
        <v>91.658887119907121</v>
      </c>
      <c r="E2560" s="66">
        <v>43.2</v>
      </c>
      <c r="F2560" s="64">
        <f t="shared" si="39"/>
        <v>-27.589350591714968</v>
      </c>
      <c r="G2560" s="60" t="s">
        <v>12</v>
      </c>
      <c r="H2560" s="60" t="s">
        <v>5064</v>
      </c>
    </row>
    <row r="2561" spans="1:8">
      <c r="A2561" s="59" t="s">
        <v>3595</v>
      </c>
      <c r="B2561" s="62">
        <v>1</v>
      </c>
      <c r="C2561" s="60" t="s">
        <v>5041</v>
      </c>
      <c r="D2561" s="64">
        <f>IFERROR(VLOOKUP(C2561,測定点マスタ!$E$2:$F$28,2,FALSE)/VLOOKUP(A2561,'焼鈍条件-3CGL'!$A$2:$B$197,2,FALSE)*60,"")</f>
        <v>0</v>
      </c>
      <c r="E2561" s="66">
        <v>26.8</v>
      </c>
      <c r="F2561" s="64" t="str">
        <f t="shared" si="39"/>
        <v/>
      </c>
      <c r="G2561" s="60" t="s">
        <v>12</v>
      </c>
      <c r="H2561" s="60" t="s">
        <v>5061</v>
      </c>
    </row>
    <row r="2562" spans="1:8">
      <c r="A2562" s="59" t="s">
        <v>3595</v>
      </c>
      <c r="B2562" s="62">
        <v>2</v>
      </c>
      <c r="C2562" s="60" t="s">
        <v>5043</v>
      </c>
      <c r="D2562" s="64">
        <f>IFERROR(VLOOKUP(C2562,測定点マスタ!$E$2:$F$28,2,FALSE)/VLOOKUP(A2562,'焼鈍条件-3CGL'!$A$2:$B$197,2,FALSE)*60,"")</f>
        <v>14.216886501856093</v>
      </c>
      <c r="E2562" s="66">
        <v>189.4</v>
      </c>
      <c r="F2562" s="64">
        <f t="shared" ref="F2562:F2625" si="40">IF(A2562=A2561,IFERROR((E2562-E2561)/(D2562-D2561),""),"")</f>
        <v>11.437103333333333</v>
      </c>
      <c r="G2562" s="60" t="s">
        <v>12</v>
      </c>
      <c r="H2562" s="60" t="s">
        <v>5061</v>
      </c>
    </row>
    <row r="2563" spans="1:8">
      <c r="A2563" s="59" t="s">
        <v>3595</v>
      </c>
      <c r="B2563" s="62">
        <v>3</v>
      </c>
      <c r="C2563" s="60" t="s">
        <v>5067</v>
      </c>
      <c r="D2563" s="64">
        <f>IFERROR(VLOOKUP(C2563,測定点マスタ!$E$2:$F$28,2,FALSE)/VLOOKUP(A2563,'焼鈍条件-3CGL'!$A$2:$B$197,2,FALSE)*60,"")</f>
        <v>23.694810836426822</v>
      </c>
      <c r="E2563" s="66">
        <v>383.8</v>
      </c>
      <c r="F2563" s="64">
        <f t="shared" si="40"/>
        <v>20.510820000000002</v>
      </c>
      <c r="G2563" s="60" t="s">
        <v>12</v>
      </c>
      <c r="H2563" s="60" t="s">
        <v>5061</v>
      </c>
    </row>
    <row r="2564" spans="1:8">
      <c r="A2564" s="59" t="s">
        <v>3595</v>
      </c>
      <c r="B2564" s="62">
        <v>4</v>
      </c>
      <c r="C2564" s="60" t="s">
        <v>5044</v>
      </c>
      <c r="D2564" s="64">
        <f>IFERROR(VLOOKUP(C2564,測定点マスタ!$E$2:$F$28,2,FALSE)/VLOOKUP(A2564,'焼鈍条件-3CGL'!$A$2:$B$197,2,FALSE)*60,"")</f>
        <v>32.224942737540481</v>
      </c>
      <c r="E2564" s="66">
        <v>676.6</v>
      </c>
      <c r="F2564" s="64">
        <f t="shared" si="40"/>
        <v>34.325377777777767</v>
      </c>
      <c r="G2564" s="60" t="s">
        <v>12</v>
      </c>
      <c r="H2564" s="60" t="s">
        <v>5061</v>
      </c>
    </row>
    <row r="2565" spans="1:8">
      <c r="A2565" s="59" t="s">
        <v>3595</v>
      </c>
      <c r="B2565" s="62">
        <v>5</v>
      </c>
      <c r="C2565" s="60" t="s">
        <v>5045</v>
      </c>
      <c r="D2565" s="64">
        <f>IFERROR(VLOOKUP(C2565,測定点マスタ!$E$2:$F$28,2,FALSE)/VLOOKUP(A2565,'焼鈍条件-3CGL'!$A$2:$B$197,2,FALSE)*60,"")</f>
        <v>41.702867072111204</v>
      </c>
      <c r="E2565" s="66">
        <v>829.2</v>
      </c>
      <c r="F2565" s="64">
        <f t="shared" si="40"/>
        <v>16.100571666666678</v>
      </c>
      <c r="G2565" s="60" t="s">
        <v>12</v>
      </c>
      <c r="H2565" s="60" t="s">
        <v>5061</v>
      </c>
    </row>
    <row r="2566" spans="1:8">
      <c r="A2566" s="59" t="s">
        <v>3595</v>
      </c>
      <c r="B2566" s="62">
        <v>6</v>
      </c>
      <c r="C2566" s="60" t="s">
        <v>5047</v>
      </c>
      <c r="D2566" s="64">
        <f>IFERROR(VLOOKUP(C2566,測定点マスタ!$E$2:$F$28,2,FALSE)/VLOOKUP(A2566,'焼鈍条件-3CGL'!$A$2:$B$197,2,FALSE)*60,"")</f>
        <v>56.867546007424373</v>
      </c>
      <c r="E2566" s="66">
        <v>761.8</v>
      </c>
      <c r="F2566" s="64">
        <f t="shared" si="40"/>
        <v>-4.4445385416666721</v>
      </c>
      <c r="G2566" s="60" t="s">
        <v>12</v>
      </c>
      <c r="H2566" s="60" t="s">
        <v>5061</v>
      </c>
    </row>
    <row r="2567" spans="1:8">
      <c r="A2567" s="59" t="s">
        <v>3595</v>
      </c>
      <c r="B2567" s="62">
        <v>7</v>
      </c>
      <c r="C2567" s="60" t="s">
        <v>5049</v>
      </c>
      <c r="D2567" s="64">
        <f>IFERROR(VLOOKUP(C2567,測定点マスタ!$E$2:$F$28,2,FALSE)/VLOOKUP(A2567,'焼鈍条件-3CGL'!$A$2:$B$197,2,FALSE)*60,"")</f>
        <v>69.188847642366326</v>
      </c>
      <c r="E2567" s="66">
        <v>601.5</v>
      </c>
      <c r="F2567" s="64">
        <f t="shared" si="40"/>
        <v>-13.009989102564093</v>
      </c>
      <c r="G2567" s="60" t="s">
        <v>12</v>
      </c>
      <c r="H2567" s="60" t="s">
        <v>5061</v>
      </c>
    </row>
    <row r="2568" spans="1:8">
      <c r="A2568" s="59" t="s">
        <v>3595</v>
      </c>
      <c r="B2568" s="62">
        <v>8</v>
      </c>
      <c r="C2568" s="60" t="s">
        <v>5050</v>
      </c>
      <c r="D2568" s="64">
        <f>IFERROR(VLOOKUP(C2568,測定点マスタ!$E$2:$F$28,2,FALSE)/VLOOKUP(A2568,'焼鈍条件-3CGL'!$A$2:$B$197,2,FALSE)*60,"")</f>
        <v>76.771187110022908</v>
      </c>
      <c r="E2568" s="66">
        <v>503.2</v>
      </c>
      <c r="F2568" s="64">
        <f t="shared" si="40"/>
        <v>-12.964336458333339</v>
      </c>
      <c r="G2568" s="60" t="s">
        <v>12</v>
      </c>
      <c r="H2568" s="60" t="s">
        <v>5061</v>
      </c>
    </row>
    <row r="2569" spans="1:8">
      <c r="A2569" s="59" t="s">
        <v>3595</v>
      </c>
      <c r="B2569" s="62">
        <v>9</v>
      </c>
      <c r="C2569" s="60" t="s">
        <v>5051</v>
      </c>
      <c r="D2569" s="64">
        <f>IFERROR(VLOOKUP(C2569,測定点マスタ!$E$2:$F$28,2,FALSE)/VLOOKUP(A2569,'焼鈍条件-3CGL'!$A$2:$B$197,2,FALSE)*60,"")</f>
        <v>83.405734144222407</v>
      </c>
      <c r="E2569" s="66">
        <v>481.5</v>
      </c>
      <c r="F2569" s="64">
        <f t="shared" si="40"/>
        <v>-3.2707583333333368</v>
      </c>
      <c r="G2569" s="60" t="s">
        <v>12</v>
      </c>
      <c r="H2569" s="60" t="s">
        <v>5061</v>
      </c>
    </row>
    <row r="2570" spans="1:8">
      <c r="A2570" s="59" t="s">
        <v>3595</v>
      </c>
      <c r="B2570" s="62">
        <v>10</v>
      </c>
      <c r="C2570" s="60" t="s">
        <v>5052</v>
      </c>
      <c r="D2570" s="64">
        <f>IFERROR(VLOOKUP(C2570,測定点マスタ!$E$2:$F$28,2,FALSE)/VLOOKUP(A2570,'焼鈍条件-3CGL'!$A$2:$B$197,2,FALSE)*60,"")</f>
        <v>91.93586604533607</v>
      </c>
      <c r="E2570" s="66">
        <v>341.8</v>
      </c>
      <c r="F2570" s="64">
        <f t="shared" si="40"/>
        <v>-16.377237962962948</v>
      </c>
      <c r="G2570" s="60" t="s">
        <v>12</v>
      </c>
      <c r="H2570" s="60" t="s">
        <v>5061</v>
      </c>
    </row>
    <row r="2571" spans="1:8">
      <c r="A2571" s="59" t="s">
        <v>3595</v>
      </c>
      <c r="B2571" s="62">
        <v>11</v>
      </c>
      <c r="C2571" s="60" t="s">
        <v>5053</v>
      </c>
      <c r="D2571" s="64">
        <f>IFERROR(VLOOKUP(C2571,測定点マスタ!$E$2:$F$28,2,FALSE)/VLOOKUP(A2571,'焼鈍条件-3CGL'!$A$2:$B$197,2,FALSE)*60,"")</f>
        <v>103.30937524682095</v>
      </c>
      <c r="E2571" s="66">
        <v>535</v>
      </c>
      <c r="F2571" s="64">
        <f t="shared" si="40"/>
        <v>16.98684166666666</v>
      </c>
      <c r="G2571" s="60" t="s">
        <v>12</v>
      </c>
      <c r="H2571" s="60" t="s">
        <v>5061</v>
      </c>
    </row>
    <row r="2572" spans="1:8">
      <c r="A2572" s="59" t="s">
        <v>3595</v>
      </c>
      <c r="B2572" s="62">
        <v>12</v>
      </c>
      <c r="C2572" s="60" t="s">
        <v>5063</v>
      </c>
      <c r="D2572" s="64">
        <f>IFERROR(VLOOKUP(C2572,測定点マスタ!$E$2:$F$28,2,FALSE)/VLOOKUP(A2572,'焼鈍条件-3CGL'!$A$2:$B$197,2,FALSE)*60,"")</f>
        <v>108.99612984756338</v>
      </c>
      <c r="E2572" s="66">
        <v>542.1</v>
      </c>
      <c r="F2572" s="64">
        <f t="shared" si="40"/>
        <v>1.2485152777777828</v>
      </c>
      <c r="G2572" s="60" t="s">
        <v>12</v>
      </c>
      <c r="H2572" s="60" t="s">
        <v>5061</v>
      </c>
    </row>
    <row r="2573" spans="1:8">
      <c r="A2573" s="59" t="s">
        <v>3595</v>
      </c>
      <c r="B2573" s="62">
        <v>13</v>
      </c>
      <c r="C2573" s="60" t="s">
        <v>5054</v>
      </c>
      <c r="D2573" s="64">
        <f>IFERROR(VLOOKUP(C2573,測定点マスタ!$E$2:$F$28,2,FALSE)/VLOOKUP(A2573,'焼鈍条件-3CGL'!$A$2:$B$197,2,FALSE)*60,"")</f>
        <v>115.63067688176289</v>
      </c>
      <c r="E2573" s="66">
        <v>532</v>
      </c>
      <c r="F2573" s="64">
        <f t="shared" si="40"/>
        <v>-1.5223345238095265</v>
      </c>
      <c r="G2573" s="60" t="s">
        <v>12</v>
      </c>
      <c r="H2573" s="60" t="s">
        <v>5061</v>
      </c>
    </row>
    <row r="2574" spans="1:8">
      <c r="A2574" s="59" t="s">
        <v>3595</v>
      </c>
      <c r="B2574" s="62">
        <v>14</v>
      </c>
      <c r="C2574" s="60" t="s">
        <v>5056</v>
      </c>
      <c r="D2574" s="64">
        <f>IFERROR(VLOOKUP(C2574,測定点マスタ!$E$2:$F$28,2,FALSE)/VLOOKUP(A2574,'焼鈍条件-3CGL'!$A$2:$B$197,2,FALSE)*60,"")</f>
        <v>126.05639364979068</v>
      </c>
      <c r="E2574" s="66">
        <v>293.89999999999998</v>
      </c>
      <c r="F2574" s="64">
        <f t="shared" si="40"/>
        <v>-22.837758333333376</v>
      </c>
      <c r="G2574" s="60" t="s">
        <v>12</v>
      </c>
      <c r="H2574" s="60" t="s">
        <v>5061</v>
      </c>
    </row>
    <row r="2575" spans="1:8">
      <c r="A2575" s="59" t="s">
        <v>3595</v>
      </c>
      <c r="B2575" s="62">
        <v>15</v>
      </c>
      <c r="C2575" s="60" t="s">
        <v>5062</v>
      </c>
      <c r="D2575" s="64">
        <f>IFERROR(VLOOKUP(C2575,測定点マスタ!$E$2:$F$28,2,FALSE)/VLOOKUP(A2575,'焼鈍条件-3CGL'!$A$2:$B$197,2,FALSE)*60,"")</f>
        <v>137.42990285127556</v>
      </c>
      <c r="E2575" s="66">
        <v>453.4</v>
      </c>
      <c r="F2575" s="64">
        <f t="shared" si="40"/>
        <v>14.023815972222216</v>
      </c>
      <c r="G2575" s="60" t="s">
        <v>12</v>
      </c>
      <c r="H2575" s="60" t="s">
        <v>5061</v>
      </c>
    </row>
    <row r="2576" spans="1:8">
      <c r="A2576" s="59" t="s">
        <v>3595</v>
      </c>
      <c r="B2576" s="62">
        <v>16</v>
      </c>
      <c r="C2576" s="60" t="s">
        <v>5057</v>
      </c>
      <c r="D2576" s="64">
        <f>IFERROR(VLOOKUP(C2576,測定点マスタ!$E$2:$F$28,2,FALSE)/VLOOKUP(A2576,'焼鈍条件-3CGL'!$A$2:$B$197,2,FALSE)*60,"")</f>
        <v>156.28420233111791</v>
      </c>
      <c r="E2576" s="66">
        <v>179.1</v>
      </c>
      <c r="F2576" s="64">
        <f t="shared" si="40"/>
        <v>-14.548405804907341</v>
      </c>
      <c r="G2576" s="60" t="s">
        <v>12</v>
      </c>
      <c r="H2576" s="60" t="s">
        <v>5061</v>
      </c>
    </row>
    <row r="2577" spans="1:8">
      <c r="A2577" s="59" t="s">
        <v>3595</v>
      </c>
      <c r="B2577" s="62">
        <v>17</v>
      </c>
      <c r="C2577" s="60" t="s">
        <v>5058</v>
      </c>
      <c r="D2577" s="64">
        <f>IFERROR(VLOOKUP(C2577,測定点マスタ!$E$2:$F$28,2,FALSE)/VLOOKUP(A2577,'焼鈍条件-3CGL'!$A$2:$B$197,2,FALSE)*60,"")</f>
        <v>162.00480666162642</v>
      </c>
      <c r="E2577" s="66">
        <v>103.7</v>
      </c>
      <c r="F2577" s="64">
        <f t="shared" si="40"/>
        <v>-13.180425641026225</v>
      </c>
      <c r="G2577" s="60" t="s">
        <v>12</v>
      </c>
      <c r="H2577" s="60" t="s">
        <v>5061</v>
      </c>
    </row>
    <row r="2578" spans="1:8">
      <c r="A2578" s="59" t="s">
        <v>3595</v>
      </c>
      <c r="B2578" s="62">
        <v>18</v>
      </c>
      <c r="C2578" s="60" t="s">
        <v>5059</v>
      </c>
      <c r="D2578" s="64">
        <f>IFERROR(VLOOKUP(C2578,測定点マスタ!$E$2:$F$28,2,FALSE)/VLOOKUP(A2578,'焼鈍条件-3CGL'!$A$2:$B$197,2,FALSE)*60,"")</f>
        <v>167.72541099213586</v>
      </c>
      <c r="E2578" s="66">
        <v>55.6</v>
      </c>
      <c r="F2578" s="64">
        <f t="shared" si="40"/>
        <v>-8.4082025641015594</v>
      </c>
      <c r="G2578" s="60" t="s">
        <v>12</v>
      </c>
      <c r="H2578" s="60" t="s">
        <v>5061</v>
      </c>
    </row>
    <row r="2579" spans="1:8">
      <c r="A2579" s="59" t="s">
        <v>3600</v>
      </c>
      <c r="B2579" s="62">
        <v>1</v>
      </c>
      <c r="C2579" s="60" t="s">
        <v>5041</v>
      </c>
      <c r="D2579" s="64">
        <f>IFERROR(VLOOKUP(C2579,測定点マスタ!$E$2:$F$28,2,FALSE)/VLOOKUP(A2579,'焼鈍条件-3CGL'!$A$2:$B$197,2,FALSE)*60,"")</f>
        <v>0</v>
      </c>
      <c r="E2579" s="66">
        <v>26.2</v>
      </c>
      <c r="F2579" s="64" t="str">
        <f t="shared" si="40"/>
        <v/>
      </c>
      <c r="G2579" s="60" t="s">
        <v>9</v>
      </c>
      <c r="H2579" s="60" t="s">
        <v>5061</v>
      </c>
    </row>
    <row r="2580" spans="1:8">
      <c r="A2580" s="59" t="s">
        <v>3600</v>
      </c>
      <c r="B2580" s="62">
        <v>2</v>
      </c>
      <c r="C2580" s="60" t="s">
        <v>5043</v>
      </c>
      <c r="D2580" s="64">
        <f>IFERROR(VLOOKUP(C2580,測定点マスタ!$E$2:$F$28,2,FALSE)/VLOOKUP(A2580,'焼鈍条件-3CGL'!$A$2:$B$197,2,FALSE)*60,"")</f>
        <v>13.318534961154272</v>
      </c>
      <c r="E2580" s="66">
        <v>189.7</v>
      </c>
      <c r="F2580" s="64">
        <f t="shared" si="40"/>
        <v>12.276125</v>
      </c>
      <c r="G2580" s="60" t="s">
        <v>9</v>
      </c>
      <c r="H2580" s="60" t="s">
        <v>5061</v>
      </c>
    </row>
    <row r="2581" spans="1:8">
      <c r="A2581" s="59" t="s">
        <v>3600</v>
      </c>
      <c r="B2581" s="62">
        <v>3</v>
      </c>
      <c r="C2581" s="60" t="s">
        <v>5044</v>
      </c>
      <c r="D2581" s="64">
        <f>IFERROR(VLOOKUP(C2581,測定点マスタ!$E$2:$F$28,2,FALSE)/VLOOKUP(A2581,'焼鈍条件-3CGL'!$A$2:$B$197,2,FALSE)*60,"")</f>
        <v>30.188679245283019</v>
      </c>
      <c r="E2581" s="66">
        <v>684.4</v>
      </c>
      <c r="F2581" s="64">
        <f t="shared" si="40"/>
        <v>29.323993421052627</v>
      </c>
      <c r="G2581" s="60" t="s">
        <v>9</v>
      </c>
      <c r="H2581" s="60" t="s">
        <v>5061</v>
      </c>
    </row>
    <row r="2582" spans="1:8">
      <c r="A2582" s="59" t="s">
        <v>3600</v>
      </c>
      <c r="B2582" s="62">
        <v>4</v>
      </c>
      <c r="C2582" s="60" t="s">
        <v>5045</v>
      </c>
      <c r="D2582" s="64">
        <f>IFERROR(VLOOKUP(C2582,測定点マスタ!$E$2:$F$28,2,FALSE)/VLOOKUP(A2582,'焼鈍条件-3CGL'!$A$2:$B$197,2,FALSE)*60,"")</f>
        <v>39.067702552719204</v>
      </c>
      <c r="E2582" s="66">
        <v>827.1</v>
      </c>
      <c r="F2582" s="64">
        <f t="shared" si="40"/>
        <v>16.0715875</v>
      </c>
      <c r="G2582" s="60" t="s">
        <v>9</v>
      </c>
      <c r="H2582" s="60" t="s">
        <v>5061</v>
      </c>
    </row>
    <row r="2583" spans="1:8">
      <c r="A2583" s="59" t="s">
        <v>3600</v>
      </c>
      <c r="B2583" s="62">
        <v>5</v>
      </c>
      <c r="C2583" s="60" t="s">
        <v>5047</v>
      </c>
      <c r="D2583" s="64">
        <f>IFERROR(VLOOKUP(C2583,測定点マスタ!$E$2:$F$28,2,FALSE)/VLOOKUP(A2583,'焼鈍条件-3CGL'!$A$2:$B$197,2,FALSE)*60,"")</f>
        <v>53.274139844617089</v>
      </c>
      <c r="E2583" s="66">
        <v>747.7</v>
      </c>
      <c r="F2583" s="64">
        <f t="shared" si="40"/>
        <v>-5.5890156250000009</v>
      </c>
      <c r="G2583" s="60" t="s">
        <v>9</v>
      </c>
      <c r="H2583" s="60" t="s">
        <v>5061</v>
      </c>
    </row>
    <row r="2584" spans="1:8">
      <c r="A2584" s="59" t="s">
        <v>3600</v>
      </c>
      <c r="B2584" s="62">
        <v>6</v>
      </c>
      <c r="C2584" s="60" t="s">
        <v>5049</v>
      </c>
      <c r="D2584" s="64">
        <f>IFERROR(VLOOKUP(C2584,測定点マスタ!$E$2:$F$28,2,FALSE)/VLOOKUP(A2584,'焼鈍条件-3CGL'!$A$2:$B$197,2,FALSE)*60,"")</f>
        <v>64.816870144284124</v>
      </c>
      <c r="E2584" s="66">
        <v>610.9</v>
      </c>
      <c r="F2584" s="64">
        <f t="shared" si="40"/>
        <v>-11.851615384615393</v>
      </c>
      <c r="G2584" s="60" t="s">
        <v>9</v>
      </c>
      <c r="H2584" s="60" t="s">
        <v>5061</v>
      </c>
    </row>
    <row r="2585" spans="1:8">
      <c r="A2585" s="59" t="s">
        <v>3600</v>
      </c>
      <c r="B2585" s="62">
        <v>7</v>
      </c>
      <c r="C2585" s="60" t="s">
        <v>5050</v>
      </c>
      <c r="D2585" s="64">
        <f>IFERROR(VLOOKUP(C2585,測定点マスタ!$E$2:$F$28,2,FALSE)/VLOOKUP(A2585,'焼鈍条件-3CGL'!$A$2:$B$197,2,FALSE)*60,"")</f>
        <v>71.920088790233066</v>
      </c>
      <c r="E2585" s="66">
        <v>508.6</v>
      </c>
      <c r="F2585" s="64">
        <f t="shared" si="40"/>
        <v>-14.401921874999999</v>
      </c>
      <c r="G2585" s="60" t="s">
        <v>9</v>
      </c>
      <c r="H2585" s="60" t="s">
        <v>5061</v>
      </c>
    </row>
    <row r="2586" spans="1:8">
      <c r="A2586" s="59" t="s">
        <v>3600</v>
      </c>
      <c r="B2586" s="62">
        <v>8</v>
      </c>
      <c r="C2586" s="60" t="s">
        <v>5051</v>
      </c>
      <c r="D2586" s="64">
        <f>IFERROR(VLOOKUP(C2586,測定点マスタ!$E$2:$F$28,2,FALSE)/VLOOKUP(A2586,'焼鈍条件-3CGL'!$A$2:$B$197,2,FALSE)*60,"")</f>
        <v>78.135405105438409</v>
      </c>
      <c r="E2586" s="66">
        <v>473.9</v>
      </c>
      <c r="F2586" s="64">
        <f t="shared" si="40"/>
        <v>-5.5829821428571371</v>
      </c>
      <c r="G2586" s="60" t="s">
        <v>9</v>
      </c>
      <c r="H2586" s="60" t="s">
        <v>5061</v>
      </c>
    </row>
    <row r="2587" spans="1:8">
      <c r="A2587" s="59" t="s">
        <v>3600</v>
      </c>
      <c r="B2587" s="62">
        <v>9</v>
      </c>
      <c r="C2587" s="60" t="s">
        <v>5060</v>
      </c>
      <c r="D2587" s="64">
        <f>IFERROR(VLOOKUP(C2587,測定点マスタ!$E$2:$F$28,2,FALSE)/VLOOKUP(A2587,'焼鈍条件-3CGL'!$A$2:$B$197,2,FALSE)*60,"")</f>
        <v>81.687014428412866</v>
      </c>
      <c r="E2587" s="66">
        <v>417</v>
      </c>
      <c r="F2587" s="64">
        <f t="shared" si="40"/>
        <v>-16.020906250000063</v>
      </c>
      <c r="G2587" s="60" t="s">
        <v>9</v>
      </c>
      <c r="H2587" s="60" t="s">
        <v>5061</v>
      </c>
    </row>
    <row r="2588" spans="1:8">
      <c r="A2588" s="59" t="s">
        <v>3600</v>
      </c>
      <c r="B2588" s="62">
        <v>10</v>
      </c>
      <c r="C2588" s="60" t="s">
        <v>5052</v>
      </c>
      <c r="D2588" s="64">
        <f>IFERROR(VLOOKUP(C2588,測定点マスタ!$E$2:$F$28,2,FALSE)/VLOOKUP(A2588,'焼鈍条件-3CGL'!$A$2:$B$197,2,FALSE)*60,"")</f>
        <v>86.126526082130965</v>
      </c>
      <c r="E2588" s="66">
        <v>355</v>
      </c>
      <c r="F2588" s="64">
        <f t="shared" si="40"/>
        <v>-13.965499999999972</v>
      </c>
      <c r="G2588" s="60" t="s">
        <v>9</v>
      </c>
      <c r="H2588" s="60" t="s">
        <v>5061</v>
      </c>
    </row>
    <row r="2589" spans="1:8">
      <c r="A2589" s="59" t="s">
        <v>3600</v>
      </c>
      <c r="B2589" s="62">
        <v>11</v>
      </c>
      <c r="C2589" s="60" t="s">
        <v>5053</v>
      </c>
      <c r="D2589" s="64">
        <f>IFERROR(VLOOKUP(C2589,測定点マスタ!$E$2:$F$28,2,FALSE)/VLOOKUP(A2589,'焼鈍条件-3CGL'!$A$2:$B$197,2,FALSE)*60,"")</f>
        <v>96.781354051054379</v>
      </c>
      <c r="E2589" s="66">
        <v>540.6</v>
      </c>
      <c r="F2589" s="64">
        <f t="shared" si="40"/>
        <v>17.419333333333345</v>
      </c>
      <c r="G2589" s="60" t="s">
        <v>9</v>
      </c>
      <c r="H2589" s="60" t="s">
        <v>5061</v>
      </c>
    </row>
    <row r="2590" spans="1:8">
      <c r="A2590" s="59" t="s">
        <v>3600</v>
      </c>
      <c r="B2590" s="62">
        <v>12</v>
      </c>
      <c r="C2590" s="60" t="s">
        <v>5054</v>
      </c>
      <c r="D2590" s="64">
        <f>IFERROR(VLOOKUP(C2590,測定点マスタ!$E$2:$F$28,2,FALSE)/VLOOKUP(A2590,'焼鈍条件-3CGL'!$A$2:$B$197,2,FALSE)*60,"")</f>
        <v>108.32408435072142</v>
      </c>
      <c r="E2590" s="66">
        <v>531</v>
      </c>
      <c r="F2590" s="64">
        <f t="shared" si="40"/>
        <v>-0.83169230769230929</v>
      </c>
      <c r="G2590" s="60" t="s">
        <v>9</v>
      </c>
      <c r="H2590" s="60" t="s">
        <v>5061</v>
      </c>
    </row>
    <row r="2591" spans="1:8">
      <c r="A2591" s="59" t="s">
        <v>3600</v>
      </c>
      <c r="B2591" s="62">
        <v>13</v>
      </c>
      <c r="C2591" s="60" t="s">
        <v>5056</v>
      </c>
      <c r="D2591" s="64">
        <f>IFERROR(VLOOKUP(C2591,測定点マスタ!$E$2:$F$28,2,FALSE)/VLOOKUP(A2591,'焼鈍条件-3CGL'!$A$2:$B$197,2,FALSE)*60,"")</f>
        <v>118.09100998890122</v>
      </c>
      <c r="E2591" s="66">
        <v>265.89999999999998</v>
      </c>
      <c r="F2591" s="64">
        <f t="shared" si="40"/>
        <v>-27.142625000000006</v>
      </c>
      <c r="G2591" s="60" t="s">
        <v>9</v>
      </c>
      <c r="H2591" s="60" t="s">
        <v>5061</v>
      </c>
    </row>
    <row r="2592" spans="1:8">
      <c r="A2592" s="59" t="s">
        <v>3600</v>
      </c>
      <c r="B2592" s="62">
        <v>14</v>
      </c>
      <c r="C2592" s="60" t="s">
        <v>5062</v>
      </c>
      <c r="D2592" s="64">
        <f>IFERROR(VLOOKUP(C2592,測定点マスタ!$E$2:$F$28,2,FALSE)/VLOOKUP(A2592,'焼鈍条件-3CGL'!$A$2:$B$197,2,FALSE)*60,"")</f>
        <v>128.74583795782462</v>
      </c>
      <c r="E2592" s="66">
        <v>457</v>
      </c>
      <c r="F2592" s="64">
        <f t="shared" si="40"/>
        <v>17.935531250000036</v>
      </c>
      <c r="G2592" s="60" t="s">
        <v>9</v>
      </c>
      <c r="H2592" s="60" t="s">
        <v>5061</v>
      </c>
    </row>
    <row r="2593" spans="1:8">
      <c r="A2593" s="59" t="s">
        <v>3600</v>
      </c>
      <c r="B2593" s="62">
        <v>15</v>
      </c>
      <c r="C2593" s="60" t="s">
        <v>5057</v>
      </c>
      <c r="D2593" s="64">
        <f>IFERROR(VLOOKUP(C2593,測定点マスタ!$E$2:$F$28,2,FALSE)/VLOOKUP(A2593,'焼鈍条件-3CGL'!$A$2:$B$197,2,FALSE)*60,"")</f>
        <v>146.4087521801172</v>
      </c>
      <c r="E2593" s="66">
        <v>246.8</v>
      </c>
      <c r="F2593" s="64">
        <f t="shared" si="40"/>
        <v>-11.900640933572781</v>
      </c>
      <c r="G2593" s="60" t="s">
        <v>9</v>
      </c>
      <c r="H2593" s="60" t="s">
        <v>5061</v>
      </c>
    </row>
    <row r="2594" spans="1:8">
      <c r="A2594" s="59" t="s">
        <v>3600</v>
      </c>
      <c r="B2594" s="62">
        <v>16</v>
      </c>
      <c r="C2594" s="60" t="s">
        <v>5058</v>
      </c>
      <c r="D2594" s="64">
        <f>IFERROR(VLOOKUP(C2594,測定点マスタ!$E$2:$F$28,2,FALSE)/VLOOKUP(A2594,'焼鈍条件-3CGL'!$A$2:$B$197,2,FALSE)*60,"")</f>
        <v>151.76787696210522</v>
      </c>
      <c r="E2594" s="66">
        <v>107.5</v>
      </c>
      <c r="F2594" s="64">
        <f t="shared" si="40"/>
        <v>-25.993050295859213</v>
      </c>
      <c r="G2594" s="60" t="s">
        <v>9</v>
      </c>
      <c r="H2594" s="60" t="s">
        <v>5061</v>
      </c>
    </row>
    <row r="2595" spans="1:8">
      <c r="A2595" s="59" t="s">
        <v>3600</v>
      </c>
      <c r="B2595" s="62">
        <v>17</v>
      </c>
      <c r="C2595" s="60" t="s">
        <v>5059</v>
      </c>
      <c r="D2595" s="64">
        <f>IFERROR(VLOOKUP(C2595,測定点マスタ!$E$2:$F$28,2,FALSE)/VLOOKUP(A2595,'焼鈍条件-3CGL'!$A$2:$B$197,2,FALSE)*60,"")</f>
        <v>157.12700174409412</v>
      </c>
      <c r="E2595" s="66">
        <v>64.2</v>
      </c>
      <c r="F2595" s="64">
        <f t="shared" si="40"/>
        <v>-8.0796775147919497</v>
      </c>
      <c r="G2595" s="60" t="s">
        <v>9</v>
      </c>
      <c r="H2595" s="60" t="s">
        <v>5061</v>
      </c>
    </row>
    <row r="2596" spans="1:8">
      <c r="A2596" s="59" t="s">
        <v>3607</v>
      </c>
      <c r="B2596" s="62">
        <v>1</v>
      </c>
      <c r="C2596" s="60" t="s">
        <v>5041</v>
      </c>
      <c r="D2596" s="64">
        <f>IFERROR(VLOOKUP(C2596,測定点マスタ!$E$2:$F$28,2,FALSE)/VLOOKUP(A2596,'焼鈍条件-3CGL'!$A$2:$B$197,2,FALSE)*60,"")</f>
        <v>0</v>
      </c>
      <c r="E2596" s="66">
        <v>28.6</v>
      </c>
      <c r="F2596" s="64" t="str">
        <f t="shared" si="40"/>
        <v/>
      </c>
      <c r="G2596" s="60" t="s">
        <v>9</v>
      </c>
      <c r="H2596" s="60" t="s">
        <v>5064</v>
      </c>
    </row>
    <row r="2597" spans="1:8">
      <c r="A2597" s="59" t="s">
        <v>3607</v>
      </c>
      <c r="B2597" s="62">
        <v>2</v>
      </c>
      <c r="C2597" s="60" t="s">
        <v>5043</v>
      </c>
      <c r="D2597" s="64">
        <f>IFERROR(VLOOKUP(C2597,測定点マスタ!$E$2:$F$28,2,FALSE)/VLOOKUP(A2597,'焼鈍条件-3CGL'!$A$2:$B$197,2,FALSE)*60,"")</f>
        <v>8.248178527241901</v>
      </c>
      <c r="E2597" s="66">
        <v>181.8</v>
      </c>
      <c r="F2597" s="64">
        <f t="shared" si="40"/>
        <v>18.573797777777781</v>
      </c>
      <c r="G2597" s="60" t="s">
        <v>9</v>
      </c>
      <c r="H2597" s="60" t="s">
        <v>5064</v>
      </c>
    </row>
    <row r="2598" spans="1:8">
      <c r="A2598" s="59" t="s">
        <v>3607</v>
      </c>
      <c r="B2598" s="62">
        <v>3</v>
      </c>
      <c r="C2598" s="60" t="s">
        <v>5044</v>
      </c>
      <c r="D2598" s="64">
        <f>IFERROR(VLOOKUP(C2598,測定点マスタ!$E$2:$F$28,2,FALSE)/VLOOKUP(A2598,'焼鈍条件-3CGL'!$A$2:$B$197,2,FALSE)*60,"")</f>
        <v>18.695871328414977</v>
      </c>
      <c r="E2598" s="66">
        <v>654.20000000000005</v>
      </c>
      <c r="F2598" s="64">
        <f t="shared" si="40"/>
        <v>45.215724561403505</v>
      </c>
      <c r="G2598" s="60" t="s">
        <v>9</v>
      </c>
      <c r="H2598" s="60" t="s">
        <v>5064</v>
      </c>
    </row>
    <row r="2599" spans="1:8">
      <c r="A2599" s="59" t="s">
        <v>3607</v>
      </c>
      <c r="B2599" s="62">
        <v>4</v>
      </c>
      <c r="C2599" s="60" t="s">
        <v>5045</v>
      </c>
      <c r="D2599" s="64">
        <f>IFERROR(VLOOKUP(C2599,測定点マスタ!$E$2:$F$28,2,FALSE)/VLOOKUP(A2599,'焼鈍条件-3CGL'!$A$2:$B$197,2,FALSE)*60,"")</f>
        <v>24.19465701324291</v>
      </c>
      <c r="E2599" s="66">
        <v>819.6</v>
      </c>
      <c r="F2599" s="64">
        <f t="shared" si="40"/>
        <v>30.079368333333335</v>
      </c>
      <c r="G2599" s="60" t="s">
        <v>9</v>
      </c>
      <c r="H2599" s="60" t="s">
        <v>5064</v>
      </c>
    </row>
    <row r="2600" spans="1:8">
      <c r="A2600" s="59" t="s">
        <v>3607</v>
      </c>
      <c r="B2600" s="62">
        <v>5</v>
      </c>
      <c r="C2600" s="60" t="s">
        <v>5047</v>
      </c>
      <c r="D2600" s="64">
        <f>IFERROR(VLOOKUP(C2600,測定点マスタ!$E$2:$F$28,2,FALSE)/VLOOKUP(A2600,'焼鈍条件-3CGL'!$A$2:$B$197,2,FALSE)*60,"")</f>
        <v>32.992714108967604</v>
      </c>
      <c r="E2600" s="66">
        <v>763.9</v>
      </c>
      <c r="F2600" s="64">
        <f t="shared" si="40"/>
        <v>-6.3309432291666718</v>
      </c>
      <c r="G2600" s="60" t="s">
        <v>9</v>
      </c>
      <c r="H2600" s="60" t="s">
        <v>5064</v>
      </c>
    </row>
    <row r="2601" spans="1:8">
      <c r="A2601" s="59" t="s">
        <v>3607</v>
      </c>
      <c r="B2601" s="62">
        <v>6</v>
      </c>
      <c r="C2601" s="60" t="s">
        <v>5048</v>
      </c>
      <c r="D2601" s="64">
        <f>IFERROR(VLOOKUP(C2601,測定点マスタ!$E$2:$F$28,2,FALSE)/VLOOKUP(A2601,'焼鈍条件-3CGL'!$A$2:$B$197,2,FALSE)*60,"")</f>
        <v>36.291985519864362</v>
      </c>
      <c r="E2601" s="66">
        <v>698.6</v>
      </c>
      <c r="F2601" s="64">
        <f t="shared" si="40"/>
        <v>-19.792248611111113</v>
      </c>
      <c r="G2601" s="60" t="s">
        <v>9</v>
      </c>
      <c r="H2601" s="60" t="s">
        <v>5064</v>
      </c>
    </row>
    <row r="2602" spans="1:8">
      <c r="A2602" s="59" t="s">
        <v>3607</v>
      </c>
      <c r="B2602" s="62">
        <v>7</v>
      </c>
      <c r="C2602" s="60" t="s">
        <v>5049</v>
      </c>
      <c r="D2602" s="64">
        <f>IFERROR(VLOOKUP(C2602,測定点マスタ!$E$2:$F$28,2,FALSE)/VLOOKUP(A2602,'焼鈍条件-3CGL'!$A$2:$B$197,2,FALSE)*60,"")</f>
        <v>40.141135499243923</v>
      </c>
      <c r="E2602" s="66">
        <v>614.70000000000005</v>
      </c>
      <c r="F2602" s="64">
        <f t="shared" si="40"/>
        <v>-21.79702023809519</v>
      </c>
      <c r="G2602" s="60" t="s">
        <v>9</v>
      </c>
      <c r="H2602" s="60" t="s">
        <v>5064</v>
      </c>
    </row>
    <row r="2603" spans="1:8">
      <c r="A2603" s="59" t="s">
        <v>3607</v>
      </c>
      <c r="B2603" s="62">
        <v>8</v>
      </c>
      <c r="C2603" s="60" t="s">
        <v>5050</v>
      </c>
      <c r="D2603" s="64">
        <f>IFERROR(VLOOKUP(C2603,測定点マスタ!$E$2:$F$28,2,FALSE)/VLOOKUP(A2603,'焼鈍条件-3CGL'!$A$2:$B$197,2,FALSE)*60,"")</f>
        <v>44.540164047106266</v>
      </c>
      <c r="E2603" s="66">
        <v>496.8</v>
      </c>
      <c r="F2603" s="64">
        <f t="shared" si="40"/>
        <v>-26.801371875000029</v>
      </c>
      <c r="G2603" s="60" t="s">
        <v>9</v>
      </c>
      <c r="H2603" s="60" t="s">
        <v>5064</v>
      </c>
    </row>
    <row r="2604" spans="1:8">
      <c r="A2604" s="59" t="s">
        <v>3607</v>
      </c>
      <c r="B2604" s="62">
        <v>9</v>
      </c>
      <c r="C2604" s="60" t="s">
        <v>5051</v>
      </c>
      <c r="D2604" s="64">
        <f>IFERROR(VLOOKUP(C2604,測定点マスタ!$E$2:$F$28,2,FALSE)/VLOOKUP(A2604,'焼鈍条件-3CGL'!$A$2:$B$197,2,FALSE)*60,"")</f>
        <v>48.38931402648582</v>
      </c>
      <c r="E2604" s="66">
        <v>443.7</v>
      </c>
      <c r="F2604" s="64">
        <f t="shared" si="40"/>
        <v>-13.795253571428576</v>
      </c>
      <c r="G2604" s="60" t="s">
        <v>9</v>
      </c>
      <c r="H2604" s="60" t="s">
        <v>5064</v>
      </c>
    </row>
    <row r="2605" spans="1:8">
      <c r="A2605" s="59" t="s">
        <v>3607</v>
      </c>
      <c r="B2605" s="62">
        <v>10</v>
      </c>
      <c r="C2605" s="60" t="s">
        <v>5052</v>
      </c>
      <c r="D2605" s="64">
        <f>IFERROR(VLOOKUP(C2605,測定点マスタ!$E$2:$F$28,2,FALSE)/VLOOKUP(A2605,'焼鈍条件-3CGL'!$A$2:$B$197,2,FALSE)*60,"")</f>
        <v>53.33822114283096</v>
      </c>
      <c r="E2605" s="66">
        <v>343.6</v>
      </c>
      <c r="F2605" s="64">
        <f t="shared" si="40"/>
        <v>-20.226687962962959</v>
      </c>
      <c r="G2605" s="60" t="s">
        <v>9</v>
      </c>
      <c r="H2605" s="60" t="s">
        <v>5064</v>
      </c>
    </row>
    <row r="2606" spans="1:8">
      <c r="A2606" s="59" t="s">
        <v>3607</v>
      </c>
      <c r="B2606" s="62">
        <v>11</v>
      </c>
      <c r="C2606" s="60" t="s">
        <v>5069</v>
      </c>
      <c r="D2606" s="64">
        <f>IFERROR(VLOOKUP(C2606,測定点マスタ!$E$2:$F$28,2,FALSE)/VLOOKUP(A2606,'焼鈍条件-3CGL'!$A$2:$B$197,2,FALSE)*60,"")</f>
        <v>57.187371122210514</v>
      </c>
      <c r="E2606" s="66">
        <v>518.6</v>
      </c>
      <c r="F2606" s="64">
        <f t="shared" si="40"/>
        <v>45.46458333333333</v>
      </c>
      <c r="G2606" s="60" t="s">
        <v>9</v>
      </c>
      <c r="H2606" s="60" t="s">
        <v>5064</v>
      </c>
    </row>
    <row r="2607" spans="1:8">
      <c r="A2607" s="59" t="s">
        <v>3607</v>
      </c>
      <c r="B2607" s="62">
        <v>12</v>
      </c>
      <c r="C2607" s="60" t="s">
        <v>5053</v>
      </c>
      <c r="D2607" s="64">
        <f>IFERROR(VLOOKUP(C2607,測定点マスタ!$E$2:$F$28,2,FALSE)/VLOOKUP(A2607,'焼鈍条件-3CGL'!$A$2:$B$197,2,FALSE)*60,"")</f>
        <v>59.936763964624483</v>
      </c>
      <c r="E2607" s="66">
        <v>522.1</v>
      </c>
      <c r="F2607" s="64">
        <f t="shared" si="40"/>
        <v>1.2730083333333326</v>
      </c>
      <c r="G2607" s="60" t="s">
        <v>9</v>
      </c>
      <c r="H2607" s="60" t="s">
        <v>5064</v>
      </c>
    </row>
    <row r="2608" spans="1:8">
      <c r="A2608" s="59" t="s">
        <v>3607</v>
      </c>
      <c r="B2608" s="62">
        <v>13</v>
      </c>
      <c r="C2608" s="60" t="s">
        <v>5054</v>
      </c>
      <c r="D2608" s="64">
        <f>IFERROR(VLOOKUP(C2608,測定点マスタ!$E$2:$F$28,2,FALSE)/VLOOKUP(A2608,'焼鈍条件-3CGL'!$A$2:$B$197,2,FALSE)*60,"")</f>
        <v>67.085185354900801</v>
      </c>
      <c r="E2608" s="66">
        <v>509.2</v>
      </c>
      <c r="F2608" s="64">
        <f t="shared" si="40"/>
        <v>-1.8045942307692344</v>
      </c>
      <c r="G2608" s="60" t="s">
        <v>9</v>
      </c>
      <c r="H2608" s="60" t="s">
        <v>5064</v>
      </c>
    </row>
    <row r="2609" spans="1:8">
      <c r="A2609" s="59" t="s">
        <v>3607</v>
      </c>
      <c r="B2609" s="62">
        <v>14</v>
      </c>
      <c r="C2609" s="60" t="s">
        <v>5056</v>
      </c>
      <c r="D2609" s="64">
        <f>IFERROR(VLOOKUP(C2609,測定点マスタ!$E$2:$F$28,2,FALSE)/VLOOKUP(A2609,'焼鈍条件-3CGL'!$A$2:$B$197,2,FALSE)*60,"")</f>
        <v>73.133849608211534</v>
      </c>
      <c r="E2609" s="66">
        <v>266</v>
      </c>
      <c r="F2609" s="64">
        <f t="shared" si="40"/>
        <v>-40.207224242424203</v>
      </c>
      <c r="G2609" s="60" t="s">
        <v>9</v>
      </c>
      <c r="H2609" s="60" t="s">
        <v>5064</v>
      </c>
    </row>
    <row r="2610" spans="1:8">
      <c r="A2610" s="59" t="s">
        <v>3607</v>
      </c>
      <c r="B2610" s="62">
        <v>15</v>
      </c>
      <c r="C2610" s="60" t="s">
        <v>5062</v>
      </c>
      <c r="D2610" s="64">
        <f>IFERROR(VLOOKUP(C2610,測定点マスタ!$E$2:$F$28,2,FALSE)/VLOOKUP(A2610,'焼鈍条件-3CGL'!$A$2:$B$197,2,FALSE)*60,"")</f>
        <v>79.732392430005049</v>
      </c>
      <c r="E2610" s="66">
        <v>458.5</v>
      </c>
      <c r="F2610" s="64">
        <f t="shared" si="40"/>
        <v>29.173107638888911</v>
      </c>
      <c r="G2610" s="60" t="s">
        <v>9</v>
      </c>
      <c r="H2610" s="60" t="s">
        <v>5064</v>
      </c>
    </row>
    <row r="2611" spans="1:8">
      <c r="A2611" s="59" t="s">
        <v>3607</v>
      </c>
      <c r="B2611" s="62">
        <v>16</v>
      </c>
      <c r="C2611" s="60" t="s">
        <v>5065</v>
      </c>
      <c r="D2611" s="64">
        <f>IFERROR(VLOOKUP(C2611,測定点マスタ!$E$2:$F$28,2,FALSE)/VLOOKUP(A2611,'焼鈍条件-3CGL'!$A$2:$B$197,2,FALSE)*60,"")</f>
        <v>80.714318445152728</v>
      </c>
      <c r="E2611" s="66">
        <v>540.9</v>
      </c>
      <c r="F2611" s="64">
        <f t="shared" si="40"/>
        <v>83.916709333347583</v>
      </c>
      <c r="G2611" s="60" t="s">
        <v>9</v>
      </c>
      <c r="H2611" s="60" t="s">
        <v>5064</v>
      </c>
    </row>
    <row r="2612" spans="1:8">
      <c r="A2612" s="59" t="s">
        <v>3607</v>
      </c>
      <c r="B2612" s="62">
        <v>17</v>
      </c>
      <c r="C2612" s="60" t="s">
        <v>5066</v>
      </c>
      <c r="D2612" s="64">
        <f>IFERROR(VLOOKUP(C2612,測定点マスタ!$E$2:$F$28,2,FALSE)/VLOOKUP(A2612,'焼鈍条件-3CGL'!$A$2:$B$197,2,FALSE)*60,"")</f>
        <v>84.033228376352852</v>
      </c>
      <c r="E2612" s="66">
        <v>528.4</v>
      </c>
      <c r="F2612" s="64">
        <f t="shared" si="40"/>
        <v>-3.7662968441809972</v>
      </c>
      <c r="G2612" s="60" t="s">
        <v>9</v>
      </c>
      <c r="H2612" s="60" t="s">
        <v>5064</v>
      </c>
    </row>
    <row r="2613" spans="1:8">
      <c r="A2613" s="59" t="s">
        <v>3607</v>
      </c>
      <c r="B2613" s="62">
        <v>18</v>
      </c>
      <c r="C2613" s="60" t="s">
        <v>5057</v>
      </c>
      <c r="D2613" s="64">
        <f>IFERROR(VLOOKUP(C2613,測定点マスタ!$E$2:$F$28,2,FALSE)/VLOOKUP(A2613,'焼鈍条件-3CGL'!$A$2:$B$197,2,FALSE)*60,"")</f>
        <v>90.671048238751965</v>
      </c>
      <c r="E2613" s="66">
        <v>202.2</v>
      </c>
      <c r="F2613" s="64">
        <f t="shared" si="40"/>
        <v>-49.142641222882069</v>
      </c>
      <c r="G2613" s="60" t="s">
        <v>9</v>
      </c>
      <c r="H2613" s="60" t="s">
        <v>5064</v>
      </c>
    </row>
    <row r="2614" spans="1:8">
      <c r="A2614" s="59" t="s">
        <v>3607</v>
      </c>
      <c r="B2614" s="62">
        <v>19</v>
      </c>
      <c r="C2614" s="60" t="s">
        <v>5059</v>
      </c>
      <c r="D2614" s="64">
        <f>IFERROR(VLOOKUP(C2614,測定点マスタ!$E$2:$F$28,2,FALSE)/VLOOKUP(A2614,'焼鈍条件-3CGL'!$A$2:$B$197,2,FALSE)*60,"")</f>
        <v>97.308868101151631</v>
      </c>
      <c r="E2614" s="66">
        <v>71.599999999999994</v>
      </c>
      <c r="F2614" s="64">
        <f t="shared" si="40"/>
        <v>-19.675134714003256</v>
      </c>
      <c r="G2614" s="60" t="s">
        <v>9</v>
      </c>
      <c r="H2614" s="60" t="s">
        <v>5064</v>
      </c>
    </row>
    <row r="2615" spans="1:8">
      <c r="A2615" s="59" t="s">
        <v>3613</v>
      </c>
      <c r="B2615" s="62">
        <v>1</v>
      </c>
      <c r="C2615" s="60" t="s">
        <v>5041</v>
      </c>
      <c r="D2615" s="64">
        <f>IFERROR(VLOOKUP(C2615,測定点マスタ!$E$2:$F$28,2,FALSE)/VLOOKUP(A2615,'焼鈍条件-3CGL'!$A$2:$B$197,2,FALSE)*60,"")</f>
        <v>0</v>
      </c>
      <c r="E2615" s="66">
        <v>33.200000000000003</v>
      </c>
      <c r="F2615" s="64" t="str">
        <f t="shared" si="40"/>
        <v/>
      </c>
      <c r="G2615" s="60" t="s">
        <v>9</v>
      </c>
      <c r="H2615" s="60" t="s">
        <v>5064</v>
      </c>
    </row>
    <row r="2616" spans="1:8">
      <c r="A2616" s="59" t="s">
        <v>3613</v>
      </c>
      <c r="B2616" s="62">
        <v>2</v>
      </c>
      <c r="C2616" s="60" t="s">
        <v>5043</v>
      </c>
      <c r="D2616" s="64">
        <f>IFERROR(VLOOKUP(C2616,測定点マスタ!$E$2:$F$28,2,FALSE)/VLOOKUP(A2616,'焼鈍条件-3CGL'!$A$2:$B$197,2,FALSE)*60,"")</f>
        <v>10.805618921839354</v>
      </c>
      <c r="E2616" s="66">
        <v>200.1</v>
      </c>
      <c r="F2616" s="64">
        <f t="shared" si="40"/>
        <v>15.445667777777778</v>
      </c>
      <c r="G2616" s="60" t="s">
        <v>9</v>
      </c>
      <c r="H2616" s="60" t="s">
        <v>5064</v>
      </c>
    </row>
    <row r="2617" spans="1:8">
      <c r="A2617" s="59" t="s">
        <v>3613</v>
      </c>
      <c r="B2617" s="62">
        <v>3</v>
      </c>
      <c r="C2617" s="60" t="s">
        <v>5044</v>
      </c>
      <c r="D2617" s="64">
        <f>IFERROR(VLOOKUP(C2617,測定点マスタ!$E$2:$F$28,2,FALSE)/VLOOKUP(A2617,'焼鈍条件-3CGL'!$A$2:$B$197,2,FALSE)*60,"")</f>
        <v>24.492736222835873</v>
      </c>
      <c r="E2617" s="66">
        <v>702.6</v>
      </c>
      <c r="F2617" s="64">
        <f t="shared" si="40"/>
        <v>36.713355263157894</v>
      </c>
      <c r="G2617" s="60" t="s">
        <v>9</v>
      </c>
      <c r="H2617" s="60" t="s">
        <v>5064</v>
      </c>
    </row>
    <row r="2618" spans="1:8">
      <c r="A2618" s="59" t="s">
        <v>3613</v>
      </c>
      <c r="B2618" s="62">
        <v>4</v>
      </c>
      <c r="C2618" s="60" t="s">
        <v>5045</v>
      </c>
      <c r="D2618" s="64">
        <f>IFERROR(VLOOKUP(C2618,測定点マスタ!$E$2:$F$28,2,FALSE)/VLOOKUP(A2618,'焼鈍条件-3CGL'!$A$2:$B$197,2,FALSE)*60,"")</f>
        <v>31.696482170728778</v>
      </c>
      <c r="E2618" s="66">
        <v>869.7</v>
      </c>
      <c r="F2618" s="64">
        <f t="shared" si="40"/>
        <v>23.196265</v>
      </c>
      <c r="G2618" s="60" t="s">
        <v>9</v>
      </c>
      <c r="H2618" s="60" t="s">
        <v>5064</v>
      </c>
    </row>
    <row r="2619" spans="1:8">
      <c r="A2619" s="59" t="s">
        <v>3613</v>
      </c>
      <c r="B2619" s="62">
        <v>5</v>
      </c>
      <c r="C2619" s="60" t="s">
        <v>5047</v>
      </c>
      <c r="D2619" s="64">
        <f>IFERROR(VLOOKUP(C2619,測定点マスタ!$E$2:$F$28,2,FALSE)/VLOOKUP(A2619,'焼鈍条件-3CGL'!$A$2:$B$197,2,FALSE)*60,"")</f>
        <v>43.222475687357417</v>
      </c>
      <c r="E2619" s="66">
        <v>820.6</v>
      </c>
      <c r="F2619" s="64">
        <f t="shared" si="40"/>
        <v>-4.2599364583333381</v>
      </c>
      <c r="G2619" s="60" t="s">
        <v>9</v>
      </c>
      <c r="H2619" s="60" t="s">
        <v>5064</v>
      </c>
    </row>
    <row r="2620" spans="1:8">
      <c r="A2620" s="59" t="s">
        <v>3613</v>
      </c>
      <c r="B2620" s="62">
        <v>6</v>
      </c>
      <c r="C2620" s="60" t="s">
        <v>5049</v>
      </c>
      <c r="D2620" s="64">
        <f>IFERROR(VLOOKUP(C2620,測定点マスタ!$E$2:$F$28,2,FALSE)/VLOOKUP(A2620,'焼鈍条件-3CGL'!$A$2:$B$197,2,FALSE)*60,"")</f>
        <v>52.587345419618202</v>
      </c>
      <c r="E2620" s="66">
        <v>652.9</v>
      </c>
      <c r="F2620" s="64">
        <f t="shared" si="40"/>
        <v>-17.907349999999987</v>
      </c>
      <c r="G2620" s="60" t="s">
        <v>9</v>
      </c>
      <c r="H2620" s="60" t="s">
        <v>5064</v>
      </c>
    </row>
    <row r="2621" spans="1:8">
      <c r="A2621" s="59" t="s">
        <v>3613</v>
      </c>
      <c r="B2621" s="62">
        <v>7</v>
      </c>
      <c r="C2621" s="60" t="s">
        <v>5050</v>
      </c>
      <c r="D2621" s="64">
        <f>IFERROR(VLOOKUP(C2621,測定点マスタ!$E$2:$F$28,2,FALSE)/VLOOKUP(A2621,'焼鈍条件-3CGL'!$A$2:$B$197,2,FALSE)*60,"")</f>
        <v>58.350342177932525</v>
      </c>
      <c r="E2621" s="66">
        <v>516.5</v>
      </c>
      <c r="F2621" s="64">
        <f t="shared" si="40"/>
        <v>-23.668241666666667</v>
      </c>
      <c r="G2621" s="60" t="s">
        <v>9</v>
      </c>
      <c r="H2621" s="60" t="s">
        <v>5064</v>
      </c>
    </row>
    <row r="2622" spans="1:8">
      <c r="A2622" s="59" t="s">
        <v>3613</v>
      </c>
      <c r="B2622" s="62">
        <v>8</v>
      </c>
      <c r="C2622" s="60" t="s">
        <v>5051</v>
      </c>
      <c r="D2622" s="64">
        <f>IFERROR(VLOOKUP(C2622,測定点マスタ!$E$2:$F$28,2,FALSE)/VLOOKUP(A2622,'焼鈍条件-3CGL'!$A$2:$B$197,2,FALSE)*60,"")</f>
        <v>63.392964341457557</v>
      </c>
      <c r="E2622" s="66">
        <v>504.9</v>
      </c>
      <c r="F2622" s="64">
        <f t="shared" si="40"/>
        <v>-2.3003904761904814</v>
      </c>
      <c r="G2622" s="60" t="s">
        <v>9</v>
      </c>
      <c r="H2622" s="60" t="s">
        <v>5064</v>
      </c>
    </row>
    <row r="2623" spans="1:8">
      <c r="A2623" s="59" t="s">
        <v>3613</v>
      </c>
      <c r="B2623" s="62">
        <v>9</v>
      </c>
      <c r="C2623" s="60" t="s">
        <v>5052</v>
      </c>
      <c r="D2623" s="64">
        <f>IFERROR(VLOOKUP(C2623,測定点マスタ!$E$2:$F$28,2,FALSE)/VLOOKUP(A2623,'焼鈍条件-3CGL'!$A$2:$B$197,2,FALSE)*60,"")</f>
        <v>69.876335694561163</v>
      </c>
      <c r="E2623" s="66">
        <v>382.8</v>
      </c>
      <c r="F2623" s="64">
        <f t="shared" si="40"/>
        <v>-18.83279444444446</v>
      </c>
      <c r="G2623" s="60" t="s">
        <v>9</v>
      </c>
      <c r="H2623" s="60" t="s">
        <v>5064</v>
      </c>
    </row>
    <row r="2624" spans="1:8">
      <c r="A2624" s="59" t="s">
        <v>3613</v>
      </c>
      <c r="B2624" s="62">
        <v>10</v>
      </c>
      <c r="C2624" s="60" t="s">
        <v>5053</v>
      </c>
      <c r="D2624" s="64">
        <f>IFERROR(VLOOKUP(C2624,測定点マスタ!$E$2:$F$28,2,FALSE)/VLOOKUP(A2624,'焼鈍条件-3CGL'!$A$2:$B$197,2,FALSE)*60,"")</f>
        <v>78.520830832032658</v>
      </c>
      <c r="E2624" s="66">
        <v>572.5</v>
      </c>
      <c r="F2624" s="64">
        <f t="shared" si="40"/>
        <v>21.944601388888863</v>
      </c>
      <c r="G2624" s="60" t="s">
        <v>9</v>
      </c>
      <c r="H2624" s="60" t="s">
        <v>5064</v>
      </c>
    </row>
    <row r="2625" spans="1:8">
      <c r="A2625" s="59" t="s">
        <v>3613</v>
      </c>
      <c r="B2625" s="62">
        <v>11</v>
      </c>
      <c r="C2625" s="60" t="s">
        <v>5054</v>
      </c>
      <c r="D2625" s="64">
        <f>IFERROR(VLOOKUP(C2625,測定点マスタ!$E$2:$F$28,2,FALSE)/VLOOKUP(A2625,'焼鈍条件-3CGL'!$A$2:$B$197,2,FALSE)*60,"")</f>
        <v>87.88570056429343</v>
      </c>
      <c r="E2625" s="66">
        <v>556.29999999999995</v>
      </c>
      <c r="F2625" s="64">
        <f t="shared" si="40"/>
        <v>-1.7298692307692363</v>
      </c>
      <c r="G2625" s="60" t="s">
        <v>9</v>
      </c>
      <c r="H2625" s="60" t="s">
        <v>5064</v>
      </c>
    </row>
    <row r="2626" spans="1:8">
      <c r="A2626" s="59" t="s">
        <v>3613</v>
      </c>
      <c r="B2626" s="62">
        <v>12</v>
      </c>
      <c r="C2626" s="60" t="s">
        <v>5056</v>
      </c>
      <c r="D2626" s="64">
        <f>IFERROR(VLOOKUP(C2626,測定点マスタ!$E$2:$F$28,2,FALSE)/VLOOKUP(A2626,'焼鈍条件-3CGL'!$A$2:$B$197,2,FALSE)*60,"")</f>
        <v>95.809821106975619</v>
      </c>
      <c r="E2626" s="66">
        <v>291.89999999999998</v>
      </c>
      <c r="F2626" s="64">
        <f t="shared" ref="F2626:F2689" si="41">IF(A2626=A2625,IFERROR((E2626-E2625)/(D2626-D2625),""),"")</f>
        <v>-33.366478787878805</v>
      </c>
      <c r="G2626" s="60" t="s">
        <v>9</v>
      </c>
      <c r="H2626" s="60" t="s">
        <v>5064</v>
      </c>
    </row>
    <row r="2627" spans="1:8">
      <c r="A2627" s="59" t="s">
        <v>3613</v>
      </c>
      <c r="B2627" s="62">
        <v>13</v>
      </c>
      <c r="C2627" s="60" t="s">
        <v>5062</v>
      </c>
      <c r="D2627" s="64">
        <f>IFERROR(VLOOKUP(C2627,測定点マスタ!$E$2:$F$28,2,FALSE)/VLOOKUP(A2627,'焼鈍条件-3CGL'!$A$2:$B$197,2,FALSE)*60,"")</f>
        <v>104.4543162444471</v>
      </c>
      <c r="E2627" s="66">
        <v>467.9</v>
      </c>
      <c r="F2627" s="64">
        <f t="shared" si="41"/>
        <v>20.35977777777779</v>
      </c>
      <c r="G2627" s="60" t="s">
        <v>9</v>
      </c>
      <c r="H2627" s="60" t="s">
        <v>5064</v>
      </c>
    </row>
    <row r="2628" spans="1:8">
      <c r="A2628" s="59" t="s">
        <v>3613</v>
      </c>
      <c r="B2628" s="62">
        <v>14</v>
      </c>
      <c r="C2628" s="60" t="s">
        <v>5065</v>
      </c>
      <c r="D2628" s="64">
        <f>IFERROR(VLOOKUP(C2628,測定点マスタ!$E$2:$F$28,2,FALSE)/VLOOKUP(A2628,'焼鈍条件-3CGL'!$A$2:$B$197,2,FALSE)*60,"")</f>
        <v>105.74069944942778</v>
      </c>
      <c r="E2628" s="66">
        <v>524.9</v>
      </c>
      <c r="F2628" s="64">
        <f t="shared" si="41"/>
        <v>44.310280000006735</v>
      </c>
      <c r="G2628" s="60" t="s">
        <v>9</v>
      </c>
      <c r="H2628" s="60" t="s">
        <v>5064</v>
      </c>
    </row>
    <row r="2629" spans="1:8">
      <c r="A2629" s="59" t="s">
        <v>3613</v>
      </c>
      <c r="B2629" s="62">
        <v>15</v>
      </c>
      <c r="C2629" s="60" t="s">
        <v>5066</v>
      </c>
      <c r="D2629" s="64">
        <f>IFERROR(VLOOKUP(C2629,測定点マスタ!$E$2:$F$28,2,FALSE)/VLOOKUP(A2629,'焼鈍条件-3CGL'!$A$2:$B$197,2,FALSE)*60,"")</f>
        <v>110.08867468226366</v>
      </c>
      <c r="E2629" s="66">
        <v>509.9</v>
      </c>
      <c r="F2629" s="64">
        <f t="shared" si="41"/>
        <v>-3.4498816568043225</v>
      </c>
      <c r="G2629" s="60" t="s">
        <v>9</v>
      </c>
      <c r="H2629" s="60" t="s">
        <v>5064</v>
      </c>
    </row>
    <row r="2630" spans="1:8">
      <c r="A2630" s="59" t="s">
        <v>3613</v>
      </c>
      <c r="B2630" s="62">
        <v>16</v>
      </c>
      <c r="C2630" s="60" t="s">
        <v>5057</v>
      </c>
      <c r="D2630" s="64">
        <f>IFERROR(VLOOKUP(C2630,測定点マスタ!$E$2:$F$28,2,FALSE)/VLOOKUP(A2630,'焼鈍条件-3CGL'!$A$2:$B$197,2,FALSE)*60,"")</f>
        <v>118.78462514793395</v>
      </c>
      <c r="E2630" s="66">
        <v>173.8</v>
      </c>
      <c r="F2630" s="64">
        <f t="shared" si="41"/>
        <v>-38.650174161737596</v>
      </c>
      <c r="G2630" s="60" t="s">
        <v>9</v>
      </c>
      <c r="H2630" s="60" t="s">
        <v>5064</v>
      </c>
    </row>
    <row r="2631" spans="1:8">
      <c r="A2631" s="59" t="s">
        <v>3613</v>
      </c>
      <c r="B2631" s="62">
        <v>17</v>
      </c>
      <c r="C2631" s="60" t="s">
        <v>5059</v>
      </c>
      <c r="D2631" s="64">
        <f>IFERROR(VLOOKUP(C2631,測定点マスタ!$E$2:$F$28,2,FALSE)/VLOOKUP(A2631,'焼鈍条件-3CGL'!$A$2:$B$197,2,FALSE)*60,"")</f>
        <v>127.480575613605</v>
      </c>
      <c r="E2631" s="66">
        <v>49.6</v>
      </c>
      <c r="F2631" s="64">
        <f t="shared" si="41"/>
        <v>-14.282510059171063</v>
      </c>
      <c r="G2631" s="60" t="s">
        <v>9</v>
      </c>
      <c r="H2631" s="60" t="s">
        <v>5064</v>
      </c>
    </row>
    <row r="2632" spans="1:8">
      <c r="A2632" s="59" t="s">
        <v>3618</v>
      </c>
      <c r="B2632" s="62">
        <v>1</v>
      </c>
      <c r="C2632" s="60" t="s">
        <v>5041</v>
      </c>
      <c r="D2632" s="64">
        <f>IFERROR(VLOOKUP(C2632,測定点マスタ!$E$2:$F$28,2,FALSE)/VLOOKUP(A2632,'焼鈍条件-3CGL'!$A$2:$B$197,2,FALSE)*60,"")</f>
        <v>0</v>
      </c>
      <c r="E2632" s="66">
        <v>31.3</v>
      </c>
      <c r="F2632" s="64" t="str">
        <f t="shared" si="41"/>
        <v/>
      </c>
      <c r="G2632" s="60" t="s">
        <v>12</v>
      </c>
      <c r="H2632" s="60" t="s">
        <v>5061</v>
      </c>
    </row>
    <row r="2633" spans="1:8">
      <c r="A2633" s="59" t="s">
        <v>3618</v>
      </c>
      <c r="B2633" s="62">
        <v>2</v>
      </c>
      <c r="C2633" s="60" t="s">
        <v>5043</v>
      </c>
      <c r="D2633" s="64">
        <f>IFERROR(VLOOKUP(C2633,測定点マスタ!$E$2:$F$28,2,FALSE)/VLOOKUP(A2633,'焼鈍条件-3CGL'!$A$2:$B$197,2,FALSE)*60,"")</f>
        <v>13.432033908423376</v>
      </c>
      <c r="E2633" s="66">
        <v>164.8</v>
      </c>
      <c r="F2633" s="64">
        <f t="shared" si="41"/>
        <v>9.9389266666666671</v>
      </c>
      <c r="G2633" s="60" t="s">
        <v>12</v>
      </c>
      <c r="H2633" s="60" t="s">
        <v>5061</v>
      </c>
    </row>
    <row r="2634" spans="1:8">
      <c r="A2634" s="59" t="s">
        <v>3618</v>
      </c>
      <c r="B2634" s="62">
        <v>3</v>
      </c>
      <c r="C2634" s="60" t="s">
        <v>5044</v>
      </c>
      <c r="D2634" s="64">
        <f>IFERROR(VLOOKUP(C2634,測定点マスタ!$E$2:$F$28,2,FALSE)/VLOOKUP(A2634,'焼鈍条件-3CGL'!$A$2:$B$197,2,FALSE)*60,"")</f>
        <v>30.445943525759652</v>
      </c>
      <c r="E2634" s="66">
        <v>652.6</v>
      </c>
      <c r="F2634" s="64">
        <f t="shared" si="41"/>
        <v>28.670658947368427</v>
      </c>
      <c r="G2634" s="60" t="s">
        <v>12</v>
      </c>
      <c r="H2634" s="60" t="s">
        <v>5061</v>
      </c>
    </row>
    <row r="2635" spans="1:8">
      <c r="A2635" s="59" t="s">
        <v>3618</v>
      </c>
      <c r="B2635" s="62">
        <v>4</v>
      </c>
      <c r="C2635" s="60" t="s">
        <v>5045</v>
      </c>
      <c r="D2635" s="64">
        <f>IFERROR(VLOOKUP(C2635,測定点マスタ!$E$2:$F$28,2,FALSE)/VLOOKUP(A2635,'焼鈍条件-3CGL'!$A$2:$B$197,2,FALSE)*60,"")</f>
        <v>39.400632798041904</v>
      </c>
      <c r="E2635" s="66">
        <v>791</v>
      </c>
      <c r="F2635" s="64">
        <f t="shared" si="41"/>
        <v>15.455589333333331</v>
      </c>
      <c r="G2635" s="60" t="s">
        <v>12</v>
      </c>
      <c r="H2635" s="60" t="s">
        <v>5061</v>
      </c>
    </row>
    <row r="2636" spans="1:8">
      <c r="A2636" s="59" t="s">
        <v>3618</v>
      </c>
      <c r="B2636" s="62">
        <v>5</v>
      </c>
      <c r="C2636" s="60" t="s">
        <v>5046</v>
      </c>
      <c r="D2636" s="64">
        <f>IFERROR(VLOOKUP(C2636,測定点マスタ!$E$2:$F$28,2,FALSE)/VLOOKUP(A2636,'焼鈍条件-3CGL'!$A$2:$B$197,2,FALSE)*60,"")</f>
        <v>48.355322070324156</v>
      </c>
      <c r="E2636" s="66">
        <v>749.9</v>
      </c>
      <c r="F2636" s="64">
        <f t="shared" si="41"/>
        <v>-4.589774000000002</v>
      </c>
      <c r="G2636" s="60" t="s">
        <v>12</v>
      </c>
      <c r="H2636" s="60" t="s">
        <v>5061</v>
      </c>
    </row>
    <row r="2637" spans="1:8">
      <c r="A2637" s="59" t="s">
        <v>3618</v>
      </c>
      <c r="B2637" s="62">
        <v>6</v>
      </c>
      <c r="C2637" s="60" t="s">
        <v>5047</v>
      </c>
      <c r="D2637" s="64">
        <f>IFERROR(VLOOKUP(C2637,測定点マスタ!$E$2:$F$28,2,FALSE)/VLOOKUP(A2637,'焼鈍条件-3CGL'!$A$2:$B$197,2,FALSE)*60,"")</f>
        <v>53.728135633693505</v>
      </c>
      <c r="E2637" s="66">
        <v>727.1</v>
      </c>
      <c r="F2637" s="64">
        <f t="shared" si="41"/>
        <v>-4.2435866666666602</v>
      </c>
      <c r="G2637" s="60" t="s">
        <v>12</v>
      </c>
      <c r="H2637" s="60" t="s">
        <v>5061</v>
      </c>
    </row>
    <row r="2638" spans="1:8">
      <c r="A2638" s="59" t="s">
        <v>3618</v>
      </c>
      <c r="B2638" s="62">
        <v>7</v>
      </c>
      <c r="C2638" s="60" t="s">
        <v>5049</v>
      </c>
      <c r="D2638" s="64">
        <f>IFERROR(VLOOKUP(C2638,測定点マスタ!$E$2:$F$28,2,FALSE)/VLOOKUP(A2638,'焼鈍条件-3CGL'!$A$2:$B$197,2,FALSE)*60,"")</f>
        <v>65.369231687660431</v>
      </c>
      <c r="E2638" s="66">
        <v>598.5</v>
      </c>
      <c r="F2638" s="64">
        <f t="shared" si="41"/>
        <v>-11.047069743589747</v>
      </c>
      <c r="G2638" s="60" t="s">
        <v>12</v>
      </c>
      <c r="H2638" s="60" t="s">
        <v>5061</v>
      </c>
    </row>
    <row r="2639" spans="1:8">
      <c r="A2639" s="59" t="s">
        <v>3618</v>
      </c>
      <c r="B2639" s="62">
        <v>8</v>
      </c>
      <c r="C2639" s="60" t="s">
        <v>5050</v>
      </c>
      <c r="D2639" s="64">
        <f>IFERROR(VLOOKUP(C2639,測定点マスタ!$E$2:$F$28,2,FALSE)/VLOOKUP(A2639,'焼鈍条件-3CGL'!$A$2:$B$197,2,FALSE)*60,"")</f>
        <v>72.532983105486238</v>
      </c>
      <c r="E2639" s="66">
        <v>485.6</v>
      </c>
      <c r="F2639" s="64">
        <f t="shared" si="41"/>
        <v>-15.759899166666651</v>
      </c>
      <c r="G2639" s="60" t="s">
        <v>12</v>
      </c>
      <c r="H2639" s="60" t="s">
        <v>5061</v>
      </c>
    </row>
    <row r="2640" spans="1:8">
      <c r="A2640" s="59" t="s">
        <v>3618</v>
      </c>
      <c r="B2640" s="62">
        <v>9</v>
      </c>
      <c r="C2640" s="60" t="s">
        <v>5051</v>
      </c>
      <c r="D2640" s="64">
        <f>IFERROR(VLOOKUP(C2640,測定点マスタ!$E$2:$F$28,2,FALSE)/VLOOKUP(A2640,'焼鈍条件-3CGL'!$A$2:$B$197,2,FALSE)*60,"")</f>
        <v>78.801265596083809</v>
      </c>
      <c r="E2640" s="66">
        <v>457.4</v>
      </c>
      <c r="F2640" s="64">
        <f t="shared" si="41"/>
        <v>-4.4988400000000111</v>
      </c>
      <c r="G2640" s="60" t="s">
        <v>12</v>
      </c>
      <c r="H2640" s="60" t="s">
        <v>5061</v>
      </c>
    </row>
    <row r="2641" spans="1:8">
      <c r="A2641" s="59" t="s">
        <v>3618</v>
      </c>
      <c r="B2641" s="62">
        <v>10</v>
      </c>
      <c r="C2641" s="60" t="s">
        <v>5052</v>
      </c>
      <c r="D2641" s="64">
        <f>IFERROR(VLOOKUP(C2641,測定点マスタ!$E$2:$F$28,2,FALSE)/VLOOKUP(A2641,'焼鈍条件-3CGL'!$A$2:$B$197,2,FALSE)*60,"")</f>
        <v>86.860485941137838</v>
      </c>
      <c r="E2641" s="66">
        <v>338.8</v>
      </c>
      <c r="F2641" s="64">
        <f t="shared" si="41"/>
        <v>-14.716063703703695</v>
      </c>
      <c r="G2641" s="60" t="s">
        <v>12</v>
      </c>
      <c r="H2641" s="60" t="s">
        <v>5061</v>
      </c>
    </row>
    <row r="2642" spans="1:8">
      <c r="A2642" s="59" t="s">
        <v>3618</v>
      </c>
      <c r="B2642" s="62">
        <v>11</v>
      </c>
      <c r="C2642" s="60" t="s">
        <v>5053</v>
      </c>
      <c r="D2642" s="64">
        <f>IFERROR(VLOOKUP(C2642,測定点マスタ!$E$2:$F$28,2,FALSE)/VLOOKUP(A2642,'焼鈍条件-3CGL'!$A$2:$B$197,2,FALSE)*60,"")</f>
        <v>97.606113067876549</v>
      </c>
      <c r="E2642" s="66">
        <v>508.3</v>
      </c>
      <c r="F2642" s="64">
        <f t="shared" si="41"/>
        <v>15.773858333333321</v>
      </c>
      <c r="G2642" s="60" t="s">
        <v>12</v>
      </c>
      <c r="H2642" s="60" t="s">
        <v>5061</v>
      </c>
    </row>
    <row r="2643" spans="1:8">
      <c r="A2643" s="59" t="s">
        <v>3618</v>
      </c>
      <c r="B2643" s="62">
        <v>12</v>
      </c>
      <c r="C2643" s="60" t="s">
        <v>5054</v>
      </c>
      <c r="D2643" s="64">
        <f>IFERROR(VLOOKUP(C2643,測定点マスタ!$E$2:$F$28,2,FALSE)/VLOOKUP(A2643,'焼鈍条件-3CGL'!$A$2:$B$197,2,FALSE)*60,"")</f>
        <v>109.24720912184345</v>
      </c>
      <c r="E2643" s="66">
        <v>503.4</v>
      </c>
      <c r="F2643" s="64">
        <f t="shared" si="41"/>
        <v>-0.42092256410256784</v>
      </c>
      <c r="G2643" s="60" t="s">
        <v>12</v>
      </c>
      <c r="H2643" s="60" t="s">
        <v>5061</v>
      </c>
    </row>
    <row r="2644" spans="1:8">
      <c r="A2644" s="59" t="s">
        <v>3618</v>
      </c>
      <c r="B2644" s="62">
        <v>13</v>
      </c>
      <c r="C2644" s="60" t="s">
        <v>5056</v>
      </c>
      <c r="D2644" s="64">
        <f>IFERROR(VLOOKUP(C2644,測定点マスタ!$E$2:$F$28,2,FALSE)/VLOOKUP(A2644,'焼鈍条件-3CGL'!$A$2:$B$197,2,FALSE)*60,"")</f>
        <v>119.09736732135394</v>
      </c>
      <c r="E2644" s="66">
        <v>272.2</v>
      </c>
      <c r="F2644" s="64">
        <f t="shared" si="41"/>
        <v>-23.471704242424213</v>
      </c>
      <c r="G2644" s="60" t="s">
        <v>12</v>
      </c>
      <c r="H2644" s="60" t="s">
        <v>5061</v>
      </c>
    </row>
    <row r="2645" spans="1:8">
      <c r="A2645" s="59" t="s">
        <v>3618</v>
      </c>
      <c r="B2645" s="62">
        <v>14</v>
      </c>
      <c r="C2645" s="60" t="s">
        <v>5062</v>
      </c>
      <c r="D2645" s="64">
        <f>IFERROR(VLOOKUP(C2645,測定点マスタ!$E$2:$F$28,2,FALSE)/VLOOKUP(A2645,'焼鈍条件-3CGL'!$A$2:$B$197,2,FALSE)*60,"")</f>
        <v>129.84299444809264</v>
      </c>
      <c r="E2645" s="66">
        <v>459.5</v>
      </c>
      <c r="F2645" s="64">
        <f t="shared" si="41"/>
        <v>17.43034611111112</v>
      </c>
      <c r="G2645" s="60" t="s">
        <v>12</v>
      </c>
      <c r="H2645" s="60" t="s">
        <v>5061</v>
      </c>
    </row>
    <row r="2646" spans="1:8">
      <c r="A2646" s="59" t="s">
        <v>3618</v>
      </c>
      <c r="B2646" s="62">
        <v>15</v>
      </c>
      <c r="C2646" s="60" t="s">
        <v>5068</v>
      </c>
      <c r="D2646" s="64">
        <f>IFERROR(VLOOKUP(C2646,測定点マスタ!$E$2:$F$28,2,FALSE)/VLOOKUP(A2646,'焼鈍条件-3CGL'!$A$2:$B$197,2,FALSE)*60,"")</f>
        <v>142.25163529682675</v>
      </c>
      <c r="E2646" s="66">
        <v>398.5</v>
      </c>
      <c r="F2646" s="64">
        <f t="shared" si="41"/>
        <v>-4.9159292096219414</v>
      </c>
      <c r="G2646" s="60" t="s">
        <v>12</v>
      </c>
      <c r="H2646" s="60" t="s">
        <v>5061</v>
      </c>
    </row>
    <row r="2647" spans="1:8">
      <c r="A2647" s="59" t="s">
        <v>3618</v>
      </c>
      <c r="B2647" s="62">
        <v>16</v>
      </c>
      <c r="C2647" s="60" t="s">
        <v>5057</v>
      </c>
      <c r="D2647" s="64">
        <f>IFERROR(VLOOKUP(C2647,測定点マスタ!$E$2:$F$28,2,FALSE)/VLOOKUP(A2647,'焼鈍条件-3CGL'!$A$2:$B$197,2,FALSE)*60,"")</f>
        <v>147.65642989331113</v>
      </c>
      <c r="E2647" s="66">
        <v>196.5</v>
      </c>
      <c r="F2647" s="64">
        <f t="shared" si="41"/>
        <v>-37.374223274163576</v>
      </c>
      <c r="G2647" s="60" t="s">
        <v>12</v>
      </c>
      <c r="H2647" s="60" t="s">
        <v>5061</v>
      </c>
    </row>
    <row r="2648" spans="1:8">
      <c r="A2648" s="59" t="s">
        <v>3618</v>
      </c>
      <c r="B2648" s="62">
        <v>17</v>
      </c>
      <c r="C2648" s="60" t="s">
        <v>5058</v>
      </c>
      <c r="D2648" s="64">
        <f>IFERROR(VLOOKUP(C2648,測定点マスタ!$E$2:$F$28,2,FALSE)/VLOOKUP(A2648,'焼鈍条件-3CGL'!$A$2:$B$197,2,FALSE)*60,"")</f>
        <v>153.06122448979551</v>
      </c>
      <c r="E2648" s="66">
        <v>101.9</v>
      </c>
      <c r="F2648" s="64">
        <f t="shared" si="41"/>
        <v>-17.502977830375613</v>
      </c>
      <c r="G2648" s="60" t="s">
        <v>12</v>
      </c>
      <c r="H2648" s="60" t="s">
        <v>5061</v>
      </c>
    </row>
    <row r="2649" spans="1:8">
      <c r="A2649" s="59" t="s">
        <v>3618</v>
      </c>
      <c r="B2649" s="62">
        <v>18</v>
      </c>
      <c r="C2649" s="60" t="s">
        <v>5059</v>
      </c>
      <c r="D2649" s="64">
        <f>IFERROR(VLOOKUP(C2649,測定点マスタ!$E$2:$F$28,2,FALSE)/VLOOKUP(A2649,'焼鈍条件-3CGL'!$A$2:$B$197,2,FALSE)*60,"")</f>
        <v>158.46601908628082</v>
      </c>
      <c r="E2649" s="66">
        <v>63</v>
      </c>
      <c r="F2649" s="64">
        <f t="shared" si="41"/>
        <v>-7.1973132938847071</v>
      </c>
      <c r="G2649" s="60" t="s">
        <v>12</v>
      </c>
      <c r="H2649" s="60" t="s">
        <v>5061</v>
      </c>
    </row>
    <row r="2650" spans="1:8">
      <c r="A2650" s="59" t="s">
        <v>3621</v>
      </c>
      <c r="B2650" s="62">
        <v>1</v>
      </c>
      <c r="C2650" s="60" t="s">
        <v>5041</v>
      </c>
      <c r="D2650" s="64">
        <f>IFERROR(VLOOKUP(C2650,測定点マスタ!$E$2:$F$28,2,FALSE)/VLOOKUP(A2650,'焼鈍条件-3CGL'!$A$2:$B$197,2,FALSE)*60,"")</f>
        <v>0</v>
      </c>
      <c r="E2650" s="66">
        <v>38.299999999999997</v>
      </c>
      <c r="F2650" s="64" t="str">
        <f t="shared" si="41"/>
        <v/>
      </c>
      <c r="G2650" s="60" t="s">
        <v>9</v>
      </c>
      <c r="H2650" s="60" t="s">
        <v>5061</v>
      </c>
    </row>
    <row r="2651" spans="1:8">
      <c r="A2651" s="59" t="s">
        <v>3621</v>
      </c>
      <c r="B2651" s="62">
        <v>2</v>
      </c>
      <c r="C2651" s="60" t="s">
        <v>5043</v>
      </c>
      <c r="D2651" s="64">
        <f>IFERROR(VLOOKUP(C2651,測定点マスタ!$E$2:$F$28,2,FALSE)/VLOOKUP(A2651,'焼鈍条件-3CGL'!$A$2:$B$197,2,FALSE)*60,"")</f>
        <v>12.17499526527962</v>
      </c>
      <c r="E2651" s="66">
        <v>196.7</v>
      </c>
      <c r="F2651" s="64">
        <f t="shared" si="41"/>
        <v>13.010271999999997</v>
      </c>
      <c r="G2651" s="60" t="s">
        <v>9</v>
      </c>
      <c r="H2651" s="60" t="s">
        <v>5061</v>
      </c>
    </row>
    <row r="2652" spans="1:8">
      <c r="A2652" s="59" t="s">
        <v>3621</v>
      </c>
      <c r="B2652" s="62">
        <v>3</v>
      </c>
      <c r="C2652" s="60" t="s">
        <v>5067</v>
      </c>
      <c r="D2652" s="64">
        <f>IFERROR(VLOOKUP(C2652,測定点マスタ!$E$2:$F$28,2,FALSE)/VLOOKUP(A2652,'焼鈍条件-3CGL'!$A$2:$B$197,2,FALSE)*60,"")</f>
        <v>20.291658775466033</v>
      </c>
      <c r="E2652" s="66">
        <v>386.3</v>
      </c>
      <c r="F2652" s="64">
        <f t="shared" si="41"/>
        <v>23.359352000000001</v>
      </c>
      <c r="G2652" s="60" t="s">
        <v>9</v>
      </c>
      <c r="H2652" s="60" t="s">
        <v>5061</v>
      </c>
    </row>
    <row r="2653" spans="1:8">
      <c r="A2653" s="59" t="s">
        <v>3621</v>
      </c>
      <c r="B2653" s="62">
        <v>4</v>
      </c>
      <c r="C2653" s="60" t="s">
        <v>5044</v>
      </c>
      <c r="D2653" s="64">
        <f>IFERROR(VLOOKUP(C2653,測定点マスタ!$E$2:$F$28,2,FALSE)/VLOOKUP(A2653,'焼鈍条件-3CGL'!$A$2:$B$197,2,FALSE)*60,"")</f>
        <v>27.596655934633805</v>
      </c>
      <c r="E2653" s="66">
        <v>694.1</v>
      </c>
      <c r="F2653" s="64">
        <f t="shared" si="41"/>
        <v>42.135539999999999</v>
      </c>
      <c r="G2653" s="60" t="s">
        <v>9</v>
      </c>
      <c r="H2653" s="60" t="s">
        <v>5061</v>
      </c>
    </row>
    <row r="2654" spans="1:8">
      <c r="A2654" s="59" t="s">
        <v>3621</v>
      </c>
      <c r="B2654" s="62">
        <v>5</v>
      </c>
      <c r="C2654" s="60" t="s">
        <v>5045</v>
      </c>
      <c r="D2654" s="64">
        <f>IFERROR(VLOOKUP(C2654,測定点マスタ!$E$2:$F$28,2,FALSE)/VLOOKUP(A2654,'焼鈍条件-3CGL'!$A$2:$B$197,2,FALSE)*60,"")</f>
        <v>35.713319444820222</v>
      </c>
      <c r="E2654" s="66">
        <v>838.1</v>
      </c>
      <c r="F2654" s="64">
        <f t="shared" si="41"/>
        <v>17.741279999999993</v>
      </c>
      <c r="G2654" s="60" t="s">
        <v>9</v>
      </c>
      <c r="H2654" s="60" t="s">
        <v>5061</v>
      </c>
    </row>
    <row r="2655" spans="1:8">
      <c r="A2655" s="59" t="s">
        <v>3621</v>
      </c>
      <c r="B2655" s="62">
        <v>6</v>
      </c>
      <c r="C2655" s="60" t="s">
        <v>5046</v>
      </c>
      <c r="D2655" s="64">
        <f>IFERROR(VLOOKUP(C2655,測定点マスタ!$E$2:$F$28,2,FALSE)/VLOOKUP(A2655,'焼鈍条件-3CGL'!$A$2:$B$197,2,FALSE)*60,"")</f>
        <v>43.829982955006635</v>
      </c>
      <c r="E2655" s="66">
        <v>787.6</v>
      </c>
      <c r="F2655" s="64">
        <f t="shared" si="41"/>
        <v>-6.2217683333333333</v>
      </c>
      <c r="G2655" s="60" t="s">
        <v>9</v>
      </c>
      <c r="H2655" s="60" t="s">
        <v>5061</v>
      </c>
    </row>
    <row r="2656" spans="1:8">
      <c r="A2656" s="59" t="s">
        <v>3621</v>
      </c>
      <c r="B2656" s="62">
        <v>7</v>
      </c>
      <c r="C2656" s="60" t="s">
        <v>5047</v>
      </c>
      <c r="D2656" s="64">
        <f>IFERROR(VLOOKUP(C2656,測定点マスタ!$E$2:$F$28,2,FALSE)/VLOOKUP(A2656,'焼鈍条件-3CGL'!$A$2:$B$197,2,FALSE)*60,"")</f>
        <v>48.699981061118478</v>
      </c>
      <c r="E2656" s="66">
        <v>779.7</v>
      </c>
      <c r="F2656" s="64">
        <f t="shared" si="41"/>
        <v>-1.6221772222222188</v>
      </c>
      <c r="G2656" s="60" t="s">
        <v>9</v>
      </c>
      <c r="H2656" s="60" t="s">
        <v>5061</v>
      </c>
    </row>
    <row r="2657" spans="1:8">
      <c r="A2657" s="59" t="s">
        <v>3621</v>
      </c>
      <c r="B2657" s="62">
        <v>8</v>
      </c>
      <c r="C2657" s="60" t="s">
        <v>5048</v>
      </c>
      <c r="D2657" s="64">
        <f>IFERROR(VLOOKUP(C2657,測定点マスタ!$E$2:$F$28,2,FALSE)/VLOOKUP(A2657,'焼鈍条件-3CGL'!$A$2:$B$197,2,FALSE)*60,"")</f>
        <v>53.569979167230329</v>
      </c>
      <c r="E2657" s="66">
        <v>720</v>
      </c>
      <c r="F2657" s="64">
        <f t="shared" si="41"/>
        <v>-12.258731666666668</v>
      </c>
      <c r="G2657" s="60" t="s">
        <v>9</v>
      </c>
      <c r="H2657" s="60" t="s">
        <v>5061</v>
      </c>
    </row>
    <row r="2658" spans="1:8">
      <c r="A2658" s="59" t="s">
        <v>3621</v>
      </c>
      <c r="B2658" s="62">
        <v>9</v>
      </c>
      <c r="C2658" s="60" t="s">
        <v>5049</v>
      </c>
      <c r="D2658" s="64">
        <f>IFERROR(VLOOKUP(C2658,測定点マスタ!$E$2:$F$28,2,FALSE)/VLOOKUP(A2658,'焼鈍条件-3CGL'!$A$2:$B$197,2,FALSE)*60,"")</f>
        <v>59.251643624360817</v>
      </c>
      <c r="E2658" s="66">
        <v>592.6</v>
      </c>
      <c r="F2658" s="64">
        <f t="shared" si="41"/>
        <v>-22.423006666666666</v>
      </c>
      <c r="G2658" s="60" t="s">
        <v>9</v>
      </c>
      <c r="H2658" s="60" t="s">
        <v>5061</v>
      </c>
    </row>
    <row r="2659" spans="1:8">
      <c r="A2659" s="59" t="s">
        <v>3621</v>
      </c>
      <c r="B2659" s="62">
        <v>10</v>
      </c>
      <c r="C2659" s="60" t="s">
        <v>5050</v>
      </c>
      <c r="D2659" s="64">
        <f>IFERROR(VLOOKUP(C2659,測定点マスタ!$E$2:$F$28,2,FALSE)/VLOOKUP(A2659,'焼鈍条件-3CGL'!$A$2:$B$197,2,FALSE)*60,"")</f>
        <v>65.744974432509935</v>
      </c>
      <c r="E2659" s="66">
        <v>512.1</v>
      </c>
      <c r="F2659" s="64">
        <f t="shared" si="41"/>
        <v>-12.39733541666669</v>
      </c>
      <c r="G2659" s="60" t="s">
        <v>9</v>
      </c>
      <c r="H2659" s="60" t="s">
        <v>5061</v>
      </c>
    </row>
    <row r="2660" spans="1:8">
      <c r="A2660" s="59" t="s">
        <v>3621</v>
      </c>
      <c r="B2660" s="62">
        <v>11</v>
      </c>
      <c r="C2660" s="60" t="s">
        <v>5051</v>
      </c>
      <c r="D2660" s="64">
        <f>IFERROR(VLOOKUP(C2660,測定点マスタ!$E$2:$F$28,2,FALSE)/VLOOKUP(A2660,'焼鈍条件-3CGL'!$A$2:$B$197,2,FALSE)*60,"")</f>
        <v>71.426638889640444</v>
      </c>
      <c r="E2660" s="66">
        <v>468.4</v>
      </c>
      <c r="F2660" s="64">
        <f t="shared" si="41"/>
        <v>-7.6914080952380761</v>
      </c>
      <c r="G2660" s="60" t="s">
        <v>9</v>
      </c>
      <c r="H2660" s="60" t="s">
        <v>5061</v>
      </c>
    </row>
    <row r="2661" spans="1:8">
      <c r="A2661" s="59" t="s">
        <v>3621</v>
      </c>
      <c r="B2661" s="62">
        <v>12</v>
      </c>
      <c r="C2661" s="60" t="s">
        <v>5052</v>
      </c>
      <c r="D2661" s="64">
        <f>IFERROR(VLOOKUP(C2661,測定点マスタ!$E$2:$F$28,2,FALSE)/VLOOKUP(A2661,'焼鈍条件-3CGL'!$A$2:$B$197,2,FALSE)*60,"")</f>
        <v>78.731636048808198</v>
      </c>
      <c r="E2661" s="66">
        <v>361.6</v>
      </c>
      <c r="F2661" s="64">
        <f t="shared" si="41"/>
        <v>-14.620128888888916</v>
      </c>
      <c r="G2661" s="60" t="s">
        <v>9</v>
      </c>
      <c r="H2661" s="60" t="s">
        <v>5061</v>
      </c>
    </row>
    <row r="2662" spans="1:8">
      <c r="A2662" s="59" t="s">
        <v>3621</v>
      </c>
      <c r="B2662" s="62">
        <v>13</v>
      </c>
      <c r="C2662" s="60" t="s">
        <v>5053</v>
      </c>
      <c r="D2662" s="64">
        <f>IFERROR(VLOOKUP(C2662,測定点マスタ!$E$2:$F$28,2,FALSE)/VLOOKUP(A2662,'焼鈍条件-3CGL'!$A$2:$B$197,2,FALSE)*60,"")</f>
        <v>88.4716322610319</v>
      </c>
      <c r="E2662" s="66">
        <v>542.70000000000005</v>
      </c>
      <c r="F2662" s="64">
        <f t="shared" si="41"/>
        <v>18.593436388888879</v>
      </c>
      <c r="G2662" s="60" t="s">
        <v>9</v>
      </c>
      <c r="H2662" s="60" t="s">
        <v>5061</v>
      </c>
    </row>
    <row r="2663" spans="1:8">
      <c r="A2663" s="59" t="s">
        <v>3621</v>
      </c>
      <c r="B2663" s="62">
        <v>14</v>
      </c>
      <c r="C2663" s="60" t="s">
        <v>5054</v>
      </c>
      <c r="D2663" s="64">
        <f>IFERROR(VLOOKUP(C2663,測定点マスタ!$E$2:$F$28,2,FALSE)/VLOOKUP(A2663,'焼鈍条件-3CGL'!$A$2:$B$197,2,FALSE)*60,"")</f>
        <v>99.023294824274231</v>
      </c>
      <c r="E2663" s="66">
        <v>529.70000000000005</v>
      </c>
      <c r="F2663" s="64">
        <f t="shared" si="41"/>
        <v>-1.232033333333334</v>
      </c>
      <c r="G2663" s="60" t="s">
        <v>9</v>
      </c>
      <c r="H2663" s="60" t="s">
        <v>5061</v>
      </c>
    </row>
    <row r="2664" spans="1:8">
      <c r="A2664" s="59" t="s">
        <v>3621</v>
      </c>
      <c r="B2664" s="62">
        <v>15</v>
      </c>
      <c r="C2664" s="60" t="s">
        <v>5056</v>
      </c>
      <c r="D2664" s="64">
        <f>IFERROR(VLOOKUP(C2664,測定点マスタ!$E$2:$F$28,2,FALSE)/VLOOKUP(A2664,'焼鈍条件-3CGL'!$A$2:$B$197,2,FALSE)*60,"")</f>
        <v>107.95162468547929</v>
      </c>
      <c r="E2664" s="66">
        <v>264.89999999999998</v>
      </c>
      <c r="F2664" s="64">
        <f t="shared" si="41"/>
        <v>-29.658402424242421</v>
      </c>
      <c r="G2664" s="60" t="s">
        <v>9</v>
      </c>
      <c r="H2664" s="60" t="s">
        <v>5061</v>
      </c>
    </row>
    <row r="2665" spans="1:8">
      <c r="A2665" s="59" t="s">
        <v>3621</v>
      </c>
      <c r="B2665" s="62">
        <v>16</v>
      </c>
      <c r="C2665" s="60" t="s">
        <v>5062</v>
      </c>
      <c r="D2665" s="64">
        <f>IFERROR(VLOOKUP(C2665,測定点マスタ!$E$2:$F$28,2,FALSE)/VLOOKUP(A2665,'焼鈍条件-3CGL'!$A$2:$B$197,2,FALSE)*60,"")</f>
        <v>117.69162089770299</v>
      </c>
      <c r="E2665" s="66">
        <v>455.1</v>
      </c>
      <c r="F2665" s="64">
        <f t="shared" si="41"/>
        <v>19.527728333333325</v>
      </c>
      <c r="G2665" s="60" t="s">
        <v>9</v>
      </c>
      <c r="H2665" s="60" t="s">
        <v>5061</v>
      </c>
    </row>
    <row r="2666" spans="1:8">
      <c r="A2666" s="59" t="s">
        <v>3621</v>
      </c>
      <c r="B2666" s="62">
        <v>17</v>
      </c>
      <c r="C2666" s="60" t="s">
        <v>5068</v>
      </c>
      <c r="D2666" s="64">
        <f>IFERROR(VLOOKUP(C2666,測定点マスタ!$E$2:$F$28,2,FALSE)/VLOOKUP(A2666,'焼鈍条件-3CGL'!$A$2:$B$197,2,FALSE)*60,"")</f>
        <v>128.93899747610428</v>
      </c>
      <c r="E2666" s="66">
        <v>353.1</v>
      </c>
      <c r="F2666" s="64">
        <f t="shared" si="41"/>
        <v>-9.0687814432988763</v>
      </c>
      <c r="G2666" s="60" t="s">
        <v>9</v>
      </c>
      <c r="H2666" s="60" t="s">
        <v>5061</v>
      </c>
    </row>
    <row r="2667" spans="1:8">
      <c r="A2667" s="59" t="s">
        <v>3621</v>
      </c>
      <c r="B2667" s="62">
        <v>18</v>
      </c>
      <c r="C2667" s="60" t="s">
        <v>5057</v>
      </c>
      <c r="D2667" s="64">
        <f>IFERROR(VLOOKUP(C2667,測定点マスタ!$E$2:$F$28,2,FALSE)/VLOOKUP(A2667,'焼鈍条件-3CGL'!$A$2:$B$197,2,FALSE)*60,"")</f>
        <v>133.83798366618083</v>
      </c>
      <c r="E2667" s="66">
        <v>252.4</v>
      </c>
      <c r="F2667" s="64">
        <f t="shared" si="41"/>
        <v>-20.555273293886625</v>
      </c>
      <c r="G2667" s="60" t="s">
        <v>9</v>
      </c>
      <c r="H2667" s="60" t="s">
        <v>5061</v>
      </c>
    </row>
    <row r="2668" spans="1:8">
      <c r="A2668" s="59" t="s">
        <v>3621</v>
      </c>
      <c r="B2668" s="62">
        <v>19</v>
      </c>
      <c r="C2668" s="60" t="s">
        <v>5059</v>
      </c>
      <c r="D2668" s="64">
        <f>IFERROR(VLOOKUP(C2668,測定点マスタ!$E$2:$F$28,2,FALSE)/VLOOKUP(A2668,'焼鈍条件-3CGL'!$A$2:$B$197,2,FALSE)*60,"")</f>
        <v>143.6359560463348</v>
      </c>
      <c r="E2668" s="66">
        <v>56.6</v>
      </c>
      <c r="F2668" s="64">
        <f t="shared" si="41"/>
        <v>-19.98372646942726</v>
      </c>
      <c r="G2668" s="60" t="s">
        <v>9</v>
      </c>
      <c r="H2668" s="60" t="s">
        <v>5061</v>
      </c>
    </row>
    <row r="2669" spans="1:8">
      <c r="A2669" s="59" t="s">
        <v>3626</v>
      </c>
      <c r="B2669" s="62">
        <v>1</v>
      </c>
      <c r="C2669" s="60" t="s">
        <v>5041</v>
      </c>
      <c r="D2669" s="64">
        <f>IFERROR(VLOOKUP(C2669,測定点マスタ!$E$2:$F$28,2,FALSE)/VLOOKUP(A2669,'焼鈍条件-3CGL'!$A$2:$B$197,2,FALSE)*60,"")</f>
        <v>0</v>
      </c>
      <c r="E2669" s="66">
        <v>28.3</v>
      </c>
      <c r="F2669" s="64" t="str">
        <f t="shared" si="41"/>
        <v/>
      </c>
      <c r="G2669" s="60" t="s">
        <v>12</v>
      </c>
      <c r="H2669" s="60" t="s">
        <v>5061</v>
      </c>
    </row>
    <row r="2670" spans="1:8">
      <c r="A2670" s="59" t="s">
        <v>3626</v>
      </c>
      <c r="B2670" s="62">
        <v>2</v>
      </c>
      <c r="C2670" s="60" t="s">
        <v>5043</v>
      </c>
      <c r="D2670" s="64">
        <f>IFERROR(VLOOKUP(C2670,測定点マスタ!$E$2:$F$28,2,FALSE)/VLOOKUP(A2670,'焼鈍条件-3CGL'!$A$2:$B$197,2,FALSE)*60,"")</f>
        <v>11.973180076628351</v>
      </c>
      <c r="E2670" s="66">
        <v>194.7</v>
      </c>
      <c r="F2670" s="64">
        <f t="shared" si="41"/>
        <v>13.897728000000001</v>
      </c>
      <c r="G2670" s="60" t="s">
        <v>12</v>
      </c>
      <c r="H2670" s="60" t="s">
        <v>5061</v>
      </c>
    </row>
    <row r="2671" spans="1:8">
      <c r="A2671" s="59" t="s">
        <v>3626</v>
      </c>
      <c r="B2671" s="62">
        <v>3</v>
      </c>
      <c r="C2671" s="60" t="s">
        <v>5044</v>
      </c>
      <c r="D2671" s="64">
        <f>IFERROR(VLOOKUP(C2671,測定点マスタ!$E$2:$F$28,2,FALSE)/VLOOKUP(A2671,'焼鈍条件-3CGL'!$A$2:$B$197,2,FALSE)*60,"")</f>
        <v>27.139208173690932</v>
      </c>
      <c r="E2671" s="66">
        <v>689.2</v>
      </c>
      <c r="F2671" s="64">
        <f t="shared" si="41"/>
        <v>32.60576842105263</v>
      </c>
      <c r="G2671" s="60" t="s">
        <v>12</v>
      </c>
      <c r="H2671" s="60" t="s">
        <v>5061</v>
      </c>
    </row>
    <row r="2672" spans="1:8">
      <c r="A2672" s="59" t="s">
        <v>3626</v>
      </c>
      <c r="B2672" s="62">
        <v>4</v>
      </c>
      <c r="C2672" s="60" t="s">
        <v>5045</v>
      </c>
      <c r="D2672" s="64">
        <f>IFERROR(VLOOKUP(C2672,測定点マスタ!$E$2:$F$28,2,FALSE)/VLOOKUP(A2672,'焼鈍条件-3CGL'!$A$2:$B$197,2,FALSE)*60,"")</f>
        <v>35.121328224776498</v>
      </c>
      <c r="E2672" s="66">
        <v>837.2</v>
      </c>
      <c r="F2672" s="64">
        <f t="shared" si="41"/>
        <v>18.541440000000005</v>
      </c>
      <c r="G2672" s="60" t="s">
        <v>12</v>
      </c>
      <c r="H2672" s="60" t="s">
        <v>5061</v>
      </c>
    </row>
    <row r="2673" spans="1:8">
      <c r="A2673" s="59" t="s">
        <v>3626</v>
      </c>
      <c r="B2673" s="62">
        <v>5</v>
      </c>
      <c r="C2673" s="60" t="s">
        <v>5047</v>
      </c>
      <c r="D2673" s="64">
        <f>IFERROR(VLOOKUP(C2673,測定点マスタ!$E$2:$F$28,2,FALSE)/VLOOKUP(A2673,'焼鈍条件-3CGL'!$A$2:$B$197,2,FALSE)*60,"")</f>
        <v>47.892720306513404</v>
      </c>
      <c r="E2673" s="66">
        <v>781.5</v>
      </c>
      <c r="F2673" s="64">
        <f t="shared" si="41"/>
        <v>-4.3613100000000049</v>
      </c>
      <c r="G2673" s="60" t="s">
        <v>12</v>
      </c>
      <c r="H2673" s="60" t="s">
        <v>5061</v>
      </c>
    </row>
    <row r="2674" spans="1:8">
      <c r="A2674" s="59" t="s">
        <v>3626</v>
      </c>
      <c r="B2674" s="62">
        <v>6</v>
      </c>
      <c r="C2674" s="60" t="s">
        <v>5049</v>
      </c>
      <c r="D2674" s="64">
        <f>IFERROR(VLOOKUP(C2674,測定点マスタ!$E$2:$F$28,2,FALSE)/VLOOKUP(A2674,'焼鈍条件-3CGL'!$A$2:$B$197,2,FALSE)*60,"")</f>
        <v>58.269476372924643</v>
      </c>
      <c r="E2674" s="66">
        <v>604</v>
      </c>
      <c r="F2674" s="64">
        <f t="shared" si="41"/>
        <v>-17.105538461538462</v>
      </c>
      <c r="G2674" s="60" t="s">
        <v>12</v>
      </c>
      <c r="H2674" s="60" t="s">
        <v>5061</v>
      </c>
    </row>
    <row r="2675" spans="1:8">
      <c r="A2675" s="59" t="s">
        <v>3626</v>
      </c>
      <c r="B2675" s="62">
        <v>7</v>
      </c>
      <c r="C2675" s="60" t="s">
        <v>5050</v>
      </c>
      <c r="D2675" s="64">
        <f>IFERROR(VLOOKUP(C2675,測定点マスタ!$E$2:$F$28,2,FALSE)/VLOOKUP(A2675,'焼鈍条件-3CGL'!$A$2:$B$197,2,FALSE)*60,"")</f>
        <v>64.655172413793096</v>
      </c>
      <c r="E2675" s="66">
        <v>523.79999999999995</v>
      </c>
      <c r="F2675" s="64">
        <f t="shared" si="41"/>
        <v>-12.55932000000001</v>
      </c>
      <c r="G2675" s="60" t="s">
        <v>12</v>
      </c>
      <c r="H2675" s="60" t="s">
        <v>5061</v>
      </c>
    </row>
    <row r="2676" spans="1:8">
      <c r="A2676" s="59" t="s">
        <v>3626</v>
      </c>
      <c r="B2676" s="62">
        <v>8</v>
      </c>
      <c r="C2676" s="60" t="s">
        <v>5051</v>
      </c>
      <c r="D2676" s="64">
        <f>IFERROR(VLOOKUP(C2676,測定点マスタ!$E$2:$F$28,2,FALSE)/VLOOKUP(A2676,'焼鈍条件-3CGL'!$A$2:$B$197,2,FALSE)*60,"")</f>
        <v>70.242656449552996</v>
      </c>
      <c r="E2676" s="66">
        <v>459.7</v>
      </c>
      <c r="F2676" s="64">
        <f t="shared" si="41"/>
        <v>-11.472068571428562</v>
      </c>
      <c r="G2676" s="60" t="s">
        <v>12</v>
      </c>
      <c r="H2676" s="60" t="s">
        <v>5061</v>
      </c>
    </row>
    <row r="2677" spans="1:8">
      <c r="A2677" s="59" t="s">
        <v>3626</v>
      </c>
      <c r="B2677" s="62">
        <v>9</v>
      </c>
      <c r="C2677" s="60" t="s">
        <v>5052</v>
      </c>
      <c r="D2677" s="64">
        <f>IFERROR(VLOOKUP(C2677,測定点マスタ!$E$2:$F$28,2,FALSE)/VLOOKUP(A2677,'焼鈍条件-3CGL'!$A$2:$B$197,2,FALSE)*60,"")</f>
        <v>77.426564495530016</v>
      </c>
      <c r="E2677" s="66">
        <v>370.1</v>
      </c>
      <c r="F2677" s="64">
        <f t="shared" si="41"/>
        <v>-12.47231999999998</v>
      </c>
      <c r="G2677" s="60" t="s">
        <v>12</v>
      </c>
      <c r="H2677" s="60" t="s">
        <v>5061</v>
      </c>
    </row>
    <row r="2678" spans="1:8">
      <c r="A2678" s="59" t="s">
        <v>3626</v>
      </c>
      <c r="B2678" s="62">
        <v>10</v>
      </c>
      <c r="C2678" s="60" t="s">
        <v>5069</v>
      </c>
      <c r="D2678" s="64">
        <f>IFERROR(VLOOKUP(C2678,測定点マスタ!$E$2:$F$28,2,FALSE)/VLOOKUP(A2678,'焼鈍条件-3CGL'!$A$2:$B$197,2,FALSE)*60,"")</f>
        <v>83.014048531289902</v>
      </c>
      <c r="E2678" s="66">
        <v>544.6</v>
      </c>
      <c r="F2678" s="64">
        <f t="shared" si="41"/>
        <v>31.230514285714353</v>
      </c>
      <c r="G2678" s="60" t="s">
        <v>12</v>
      </c>
      <c r="H2678" s="60" t="s">
        <v>5061</v>
      </c>
    </row>
    <row r="2679" spans="1:8">
      <c r="A2679" s="59" t="s">
        <v>3626</v>
      </c>
      <c r="B2679" s="62">
        <v>11</v>
      </c>
      <c r="C2679" s="60" t="s">
        <v>5053</v>
      </c>
      <c r="D2679" s="64">
        <f>IFERROR(VLOOKUP(C2679,測定点マスタ!$E$2:$F$28,2,FALSE)/VLOOKUP(A2679,'焼鈍条件-3CGL'!$A$2:$B$197,2,FALSE)*60,"")</f>
        <v>87.005108556832681</v>
      </c>
      <c r="E2679" s="66">
        <v>548</v>
      </c>
      <c r="F2679" s="64">
        <f t="shared" si="41"/>
        <v>0.85190399999999533</v>
      </c>
      <c r="G2679" s="60" t="s">
        <v>12</v>
      </c>
      <c r="H2679" s="60" t="s">
        <v>5061</v>
      </c>
    </row>
    <row r="2680" spans="1:8">
      <c r="A2680" s="59" t="s">
        <v>3626</v>
      </c>
      <c r="B2680" s="62">
        <v>12</v>
      </c>
      <c r="C2680" s="60" t="s">
        <v>5054</v>
      </c>
      <c r="D2680" s="64">
        <f>IFERROR(VLOOKUP(C2680,測定点マスタ!$E$2:$F$28,2,FALSE)/VLOOKUP(A2680,'焼鈍条件-3CGL'!$A$2:$B$197,2,FALSE)*60,"")</f>
        <v>97.381864623243928</v>
      </c>
      <c r="E2680" s="66">
        <v>537</v>
      </c>
      <c r="F2680" s="64">
        <f t="shared" si="41"/>
        <v>-1.0600615384615377</v>
      </c>
      <c r="G2680" s="60" t="s">
        <v>12</v>
      </c>
      <c r="H2680" s="60" t="s">
        <v>5061</v>
      </c>
    </row>
    <row r="2681" spans="1:8">
      <c r="A2681" s="59" t="s">
        <v>3626</v>
      </c>
      <c r="B2681" s="62">
        <v>13</v>
      </c>
      <c r="C2681" s="60" t="s">
        <v>5055</v>
      </c>
      <c r="D2681" s="64">
        <f>IFERROR(VLOOKUP(C2681,測定点マスタ!$E$2:$F$28,2,FALSE)/VLOOKUP(A2681,'焼鈍条件-3CGL'!$A$2:$B$197,2,FALSE)*60,"")</f>
        <v>101.37292464878671</v>
      </c>
      <c r="E2681" s="66">
        <v>558.79999999999995</v>
      </c>
      <c r="F2681" s="64">
        <f t="shared" si="41"/>
        <v>5.4622079999999951</v>
      </c>
      <c r="G2681" s="60" t="s">
        <v>12</v>
      </c>
      <c r="H2681" s="60" t="s">
        <v>5061</v>
      </c>
    </row>
    <row r="2682" spans="1:8">
      <c r="A2682" s="59" t="s">
        <v>3626</v>
      </c>
      <c r="B2682" s="62">
        <v>14</v>
      </c>
      <c r="C2682" s="60" t="s">
        <v>5056</v>
      </c>
      <c r="D2682" s="64">
        <f>IFERROR(VLOOKUP(C2682,測定点マスタ!$E$2:$F$28,2,FALSE)/VLOOKUP(A2682,'焼鈍条件-3CGL'!$A$2:$B$197,2,FALSE)*60,"")</f>
        <v>106.16219667943805</v>
      </c>
      <c r="E2682" s="66">
        <v>295.2</v>
      </c>
      <c r="F2682" s="64">
        <f t="shared" si="41"/>
        <v>-55.039679999999926</v>
      </c>
      <c r="G2682" s="60" t="s">
        <v>12</v>
      </c>
      <c r="H2682" s="60" t="s">
        <v>5061</v>
      </c>
    </row>
    <row r="2683" spans="1:8">
      <c r="A2683" s="59" t="s">
        <v>3626</v>
      </c>
      <c r="B2683" s="62">
        <v>15</v>
      </c>
      <c r="C2683" s="60" t="s">
        <v>5062</v>
      </c>
      <c r="D2683" s="64">
        <f>IFERROR(VLOOKUP(C2683,測定点マスタ!$E$2:$F$28,2,FALSE)/VLOOKUP(A2683,'焼鈍条件-3CGL'!$A$2:$B$197,2,FALSE)*60,"")</f>
        <v>115.74074074074073</v>
      </c>
      <c r="E2683" s="66">
        <v>462.3</v>
      </c>
      <c r="F2683" s="64">
        <f t="shared" si="41"/>
        <v>17.445240000000009</v>
      </c>
      <c r="G2683" s="60" t="s">
        <v>12</v>
      </c>
      <c r="H2683" s="60" t="s">
        <v>5061</v>
      </c>
    </row>
    <row r="2684" spans="1:8">
      <c r="A2684" s="59" t="s">
        <v>3626</v>
      </c>
      <c r="B2684" s="62">
        <v>16</v>
      </c>
      <c r="C2684" s="60" t="s">
        <v>5057</v>
      </c>
      <c r="D2684" s="64">
        <f>IFERROR(VLOOKUP(C2684,測定点マスタ!$E$2:$F$28,2,FALSE)/VLOOKUP(A2684,'焼鈍条件-3CGL'!$A$2:$B$197,2,FALSE)*60,"")</f>
        <v>131.61945812807869</v>
      </c>
      <c r="E2684" s="66">
        <v>180.8</v>
      </c>
      <c r="F2684" s="64">
        <f t="shared" si="41"/>
        <v>-17.728132136445375</v>
      </c>
      <c r="G2684" s="60" t="s">
        <v>12</v>
      </c>
      <c r="H2684" s="60" t="s">
        <v>5061</v>
      </c>
    </row>
    <row r="2685" spans="1:8">
      <c r="A2685" s="59" t="s">
        <v>3626</v>
      </c>
      <c r="B2685" s="62">
        <v>17</v>
      </c>
      <c r="C2685" s="60" t="s">
        <v>5059</v>
      </c>
      <c r="D2685" s="64">
        <f>IFERROR(VLOOKUP(C2685,測定点マスタ!$E$2:$F$28,2,FALSE)/VLOOKUP(A2685,'焼鈍条件-3CGL'!$A$2:$B$197,2,FALSE)*60,"")</f>
        <v>141.25501733260376</v>
      </c>
      <c r="E2685" s="66">
        <v>49.9</v>
      </c>
      <c r="F2685" s="64">
        <f t="shared" si="41"/>
        <v>-13.585096331360463</v>
      </c>
      <c r="G2685" s="60" t="s">
        <v>12</v>
      </c>
      <c r="H2685" s="60" t="s">
        <v>5061</v>
      </c>
    </row>
    <row r="2686" spans="1:8">
      <c r="A2686" s="59" t="s">
        <v>3629</v>
      </c>
      <c r="B2686" s="62">
        <v>1</v>
      </c>
      <c r="C2686" s="60" t="s">
        <v>5041</v>
      </c>
      <c r="D2686" s="64">
        <f>IFERROR(VLOOKUP(C2686,測定点マスタ!$E$2:$F$28,2,FALSE)/VLOOKUP(A2686,'焼鈍条件-3CGL'!$A$2:$B$197,2,FALSE)*60,"")</f>
        <v>0</v>
      </c>
      <c r="E2686" s="66">
        <v>28.3</v>
      </c>
      <c r="F2686" s="64" t="str">
        <f t="shared" si="41"/>
        <v/>
      </c>
      <c r="G2686" s="60" t="s">
        <v>9</v>
      </c>
      <c r="H2686" s="60" t="s">
        <v>5064</v>
      </c>
    </row>
    <row r="2687" spans="1:8">
      <c r="A2687" s="59" t="s">
        <v>3629</v>
      </c>
      <c r="B2687" s="62">
        <v>2</v>
      </c>
      <c r="C2687" s="60" t="s">
        <v>5043</v>
      </c>
      <c r="D2687" s="64">
        <f>IFERROR(VLOOKUP(C2687,測定点マスタ!$E$2:$F$28,2,FALSE)/VLOOKUP(A2687,'焼鈍条件-3CGL'!$A$2:$B$197,2,FALSE)*60,"")</f>
        <v>6.9980094550883303</v>
      </c>
      <c r="E2687" s="66">
        <v>152.19999999999999</v>
      </c>
      <c r="F2687" s="64">
        <f t="shared" si="41"/>
        <v>17.705034666666666</v>
      </c>
      <c r="G2687" s="60" t="s">
        <v>9</v>
      </c>
      <c r="H2687" s="60" t="s">
        <v>5064</v>
      </c>
    </row>
    <row r="2688" spans="1:8">
      <c r="A2688" s="59" t="s">
        <v>3629</v>
      </c>
      <c r="B2688" s="62">
        <v>3</v>
      </c>
      <c r="C2688" s="60" t="s">
        <v>5044</v>
      </c>
      <c r="D2688" s="64">
        <f>IFERROR(VLOOKUP(C2688,測定点マスタ!$E$2:$F$28,2,FALSE)/VLOOKUP(A2688,'焼鈍条件-3CGL'!$A$2:$B$197,2,FALSE)*60,"")</f>
        <v>15.862154764866879</v>
      </c>
      <c r="E2688" s="66">
        <v>609.29999999999995</v>
      </c>
      <c r="F2688" s="64">
        <f t="shared" si="41"/>
        <v>51.567295438596496</v>
      </c>
      <c r="G2688" s="60" t="s">
        <v>9</v>
      </c>
      <c r="H2688" s="60" t="s">
        <v>5064</v>
      </c>
    </row>
    <row r="2689" spans="1:8">
      <c r="A2689" s="59" t="s">
        <v>3629</v>
      </c>
      <c r="B2689" s="62">
        <v>4</v>
      </c>
      <c r="C2689" s="60" t="s">
        <v>5045</v>
      </c>
      <c r="D2689" s="64">
        <f>IFERROR(VLOOKUP(C2689,測定点マスタ!$E$2:$F$28,2,FALSE)/VLOOKUP(A2689,'焼鈍条件-3CGL'!$A$2:$B$197,2,FALSE)*60,"")</f>
        <v>20.527494401592435</v>
      </c>
      <c r="E2689" s="66">
        <v>745</v>
      </c>
      <c r="F2689" s="64">
        <f t="shared" si="41"/>
        <v>29.086842666666666</v>
      </c>
      <c r="G2689" s="60" t="s">
        <v>9</v>
      </c>
      <c r="H2689" s="60" t="s">
        <v>5064</v>
      </c>
    </row>
    <row r="2690" spans="1:8">
      <c r="A2690" s="59" t="s">
        <v>3629</v>
      </c>
      <c r="B2690" s="62">
        <v>5</v>
      </c>
      <c r="C2690" s="60" t="s">
        <v>5047</v>
      </c>
      <c r="D2690" s="64">
        <f>IFERROR(VLOOKUP(C2690,測定点マスタ!$E$2:$F$28,2,FALSE)/VLOOKUP(A2690,'焼鈍条件-3CGL'!$A$2:$B$197,2,FALSE)*60,"")</f>
        <v>27.992037820353321</v>
      </c>
      <c r="E2690" s="66">
        <v>655.7</v>
      </c>
      <c r="F2690" s="64">
        <f t="shared" ref="F2690:F2753" si="42">IF(A2690=A2689,IFERROR((E2690-E2689)/(D2690-D2689),""),"")</f>
        <v>-11.963223333333326</v>
      </c>
      <c r="G2690" s="60" t="s">
        <v>9</v>
      </c>
      <c r="H2690" s="60" t="s">
        <v>5064</v>
      </c>
    </row>
    <row r="2691" spans="1:8">
      <c r="A2691" s="59" t="s">
        <v>3629</v>
      </c>
      <c r="B2691" s="62">
        <v>6</v>
      </c>
      <c r="C2691" s="60" t="s">
        <v>5049</v>
      </c>
      <c r="D2691" s="64">
        <f>IFERROR(VLOOKUP(C2691,測定点マスタ!$E$2:$F$28,2,FALSE)/VLOOKUP(A2691,'焼鈍条件-3CGL'!$A$2:$B$197,2,FALSE)*60,"")</f>
        <v>34.05697934809654</v>
      </c>
      <c r="E2691" s="66">
        <v>550.70000000000005</v>
      </c>
      <c r="F2691" s="64">
        <f t="shared" si="42"/>
        <v>-17.312615384615388</v>
      </c>
      <c r="G2691" s="60" t="s">
        <v>9</v>
      </c>
      <c r="H2691" s="60" t="s">
        <v>5064</v>
      </c>
    </row>
    <row r="2692" spans="1:8">
      <c r="A2692" s="59" t="s">
        <v>3629</v>
      </c>
      <c r="B2692" s="62">
        <v>7</v>
      </c>
      <c r="C2692" s="60" t="s">
        <v>5050</v>
      </c>
      <c r="D2692" s="64">
        <f>IFERROR(VLOOKUP(C2692,測定点マスタ!$E$2:$F$28,2,FALSE)/VLOOKUP(A2692,'焼鈍条件-3CGL'!$A$2:$B$197,2,FALSE)*60,"")</f>
        <v>37.789251057476982</v>
      </c>
      <c r="E2692" s="66">
        <v>466.5</v>
      </c>
      <c r="F2692" s="64">
        <f t="shared" si="42"/>
        <v>-22.559986666666688</v>
      </c>
      <c r="G2692" s="60" t="s">
        <v>9</v>
      </c>
      <c r="H2692" s="60" t="s">
        <v>5064</v>
      </c>
    </row>
    <row r="2693" spans="1:8">
      <c r="A2693" s="59" t="s">
        <v>3629</v>
      </c>
      <c r="B2693" s="62">
        <v>8</v>
      </c>
      <c r="C2693" s="60" t="s">
        <v>5051</v>
      </c>
      <c r="D2693" s="64">
        <f>IFERROR(VLOOKUP(C2693,測定点マスタ!$E$2:$F$28,2,FALSE)/VLOOKUP(A2693,'焼鈍条件-3CGL'!$A$2:$B$197,2,FALSE)*60,"")</f>
        <v>41.05498880318487</v>
      </c>
      <c r="E2693" s="66">
        <v>437.9</v>
      </c>
      <c r="F2693" s="64">
        <f t="shared" si="42"/>
        <v>-8.7575923809523868</v>
      </c>
      <c r="G2693" s="60" t="s">
        <v>9</v>
      </c>
      <c r="H2693" s="60" t="s">
        <v>5064</v>
      </c>
    </row>
    <row r="2694" spans="1:8">
      <c r="A2694" s="59" t="s">
        <v>3629</v>
      </c>
      <c r="B2694" s="62">
        <v>9</v>
      </c>
      <c r="C2694" s="60" t="s">
        <v>5060</v>
      </c>
      <c r="D2694" s="64">
        <f>IFERROR(VLOOKUP(C2694,測定点マスタ!$E$2:$F$28,2,FALSE)/VLOOKUP(A2694,'焼鈍条件-3CGL'!$A$2:$B$197,2,FALSE)*60,"")</f>
        <v>42.92112465787509</v>
      </c>
      <c r="E2694" s="66">
        <v>380.9</v>
      </c>
      <c r="F2694" s="64">
        <f t="shared" si="42"/>
        <v>-30.544400000000014</v>
      </c>
      <c r="G2694" s="60" t="s">
        <v>9</v>
      </c>
      <c r="H2694" s="60" t="s">
        <v>5064</v>
      </c>
    </row>
    <row r="2695" spans="1:8">
      <c r="A2695" s="59" t="s">
        <v>3629</v>
      </c>
      <c r="B2695" s="62">
        <v>10</v>
      </c>
      <c r="C2695" s="60" t="s">
        <v>5052</v>
      </c>
      <c r="D2695" s="64">
        <f>IFERROR(VLOOKUP(C2695,測定点マスタ!$E$2:$F$28,2,FALSE)/VLOOKUP(A2695,'焼鈍条件-3CGL'!$A$2:$B$197,2,FALSE)*60,"")</f>
        <v>45.253794476237871</v>
      </c>
      <c r="E2695" s="66">
        <v>334.5</v>
      </c>
      <c r="F2695" s="64">
        <f t="shared" si="42"/>
        <v>-19.891370666666621</v>
      </c>
      <c r="G2695" s="60" t="s">
        <v>9</v>
      </c>
      <c r="H2695" s="60" t="s">
        <v>5064</v>
      </c>
    </row>
    <row r="2696" spans="1:8">
      <c r="A2696" s="59" t="s">
        <v>3629</v>
      </c>
      <c r="B2696" s="62">
        <v>11</v>
      </c>
      <c r="C2696" s="60" t="s">
        <v>5069</v>
      </c>
      <c r="D2696" s="64">
        <f>IFERROR(VLOOKUP(C2696,測定点マスタ!$E$2:$F$28,2,FALSE)/VLOOKUP(A2696,'焼鈍条件-3CGL'!$A$2:$B$197,2,FALSE)*60,"")</f>
        <v>48.519532221945752</v>
      </c>
      <c r="E2696" s="66">
        <v>463.9</v>
      </c>
      <c r="F2696" s="64">
        <f t="shared" si="42"/>
        <v>39.623512380952455</v>
      </c>
      <c r="G2696" s="60" t="s">
        <v>9</v>
      </c>
      <c r="H2696" s="60" t="s">
        <v>5064</v>
      </c>
    </row>
    <row r="2697" spans="1:8">
      <c r="A2697" s="59" t="s">
        <v>3629</v>
      </c>
      <c r="B2697" s="62">
        <v>12</v>
      </c>
      <c r="C2697" s="60" t="s">
        <v>5053</v>
      </c>
      <c r="D2697" s="64">
        <f>IFERROR(VLOOKUP(C2697,測定点マスタ!$E$2:$F$28,2,FALSE)/VLOOKUP(A2697,'焼鈍条件-3CGL'!$A$2:$B$197,2,FALSE)*60,"")</f>
        <v>50.852202040308534</v>
      </c>
      <c r="E2697" s="66">
        <v>479.7</v>
      </c>
      <c r="F2697" s="64">
        <f t="shared" si="42"/>
        <v>6.7733546666666591</v>
      </c>
      <c r="G2697" s="60" t="s">
        <v>9</v>
      </c>
      <c r="H2697" s="60" t="s">
        <v>5064</v>
      </c>
    </row>
    <row r="2698" spans="1:8">
      <c r="A2698" s="59" t="s">
        <v>3629</v>
      </c>
      <c r="B2698" s="62">
        <v>13</v>
      </c>
      <c r="C2698" s="60" t="s">
        <v>5054</v>
      </c>
      <c r="D2698" s="64">
        <f>IFERROR(VLOOKUP(C2698,測定点マスタ!$E$2:$F$28,2,FALSE)/VLOOKUP(A2698,'焼鈍条件-3CGL'!$A$2:$B$197,2,FALSE)*60,"")</f>
        <v>56.917143568051756</v>
      </c>
      <c r="E2698" s="66">
        <v>466.8</v>
      </c>
      <c r="F2698" s="64">
        <f t="shared" si="42"/>
        <v>-2.1269784615384566</v>
      </c>
      <c r="G2698" s="60" t="s">
        <v>9</v>
      </c>
      <c r="H2698" s="60" t="s">
        <v>5064</v>
      </c>
    </row>
    <row r="2699" spans="1:8">
      <c r="A2699" s="59" t="s">
        <v>3629</v>
      </c>
      <c r="B2699" s="62">
        <v>14</v>
      </c>
      <c r="C2699" s="60" t="s">
        <v>5056</v>
      </c>
      <c r="D2699" s="64">
        <f>IFERROR(VLOOKUP(C2699,測定点マスタ!$E$2:$F$28,2,FALSE)/VLOOKUP(A2699,'焼鈍条件-3CGL'!$A$2:$B$197,2,FALSE)*60,"")</f>
        <v>62.049017168449858</v>
      </c>
      <c r="E2699" s="66">
        <v>242.6</v>
      </c>
      <c r="F2699" s="64">
        <f t="shared" si="42"/>
        <v>-43.687747878787945</v>
      </c>
      <c r="G2699" s="60" t="s">
        <v>9</v>
      </c>
      <c r="H2699" s="60" t="s">
        <v>5064</v>
      </c>
    </row>
    <row r="2700" spans="1:8">
      <c r="A2700" s="59" t="s">
        <v>3629</v>
      </c>
      <c r="B2700" s="62">
        <v>15</v>
      </c>
      <c r="C2700" s="60" t="s">
        <v>5062</v>
      </c>
      <c r="D2700" s="64">
        <f>IFERROR(VLOOKUP(C2700,測定点マスタ!$E$2:$F$28,2,FALSE)/VLOOKUP(A2700,'焼鈍条件-3CGL'!$A$2:$B$197,2,FALSE)*60,"")</f>
        <v>67.647424732520534</v>
      </c>
      <c r="E2700" s="66">
        <v>452.8</v>
      </c>
      <c r="F2700" s="64">
        <f t="shared" si="42"/>
        <v>37.546391111111035</v>
      </c>
      <c r="G2700" s="60" t="s">
        <v>9</v>
      </c>
      <c r="H2700" s="60" t="s">
        <v>5064</v>
      </c>
    </row>
    <row r="2701" spans="1:8">
      <c r="A2701" s="59" t="s">
        <v>3629</v>
      </c>
      <c r="B2701" s="62">
        <v>16</v>
      </c>
      <c r="C2701" s="60" t="s">
        <v>5065</v>
      </c>
      <c r="D2701" s="64">
        <f>IFERROR(VLOOKUP(C2701,測定点マスタ!$E$2:$F$28,2,FALSE)/VLOOKUP(A2701,'焼鈍条件-3CGL'!$A$2:$B$197,2,FALSE)*60,"")</f>
        <v>68.480521096221381</v>
      </c>
      <c r="E2701" s="66">
        <v>533.6</v>
      </c>
      <c r="F2701" s="64">
        <f t="shared" si="42"/>
        <v>96.987579733350245</v>
      </c>
      <c r="G2701" s="60" t="s">
        <v>9</v>
      </c>
      <c r="H2701" s="60" t="s">
        <v>5064</v>
      </c>
    </row>
    <row r="2702" spans="1:8">
      <c r="A2702" s="59" t="s">
        <v>3629</v>
      </c>
      <c r="B2702" s="62">
        <v>17</v>
      </c>
      <c r="C2702" s="60" t="s">
        <v>5066</v>
      </c>
      <c r="D2702" s="64">
        <f>IFERROR(VLOOKUP(C2702,測定点マスタ!$E$2:$F$28,2,FALSE)/VLOOKUP(A2702,'焼鈍条件-3CGL'!$A$2:$B$197,2,FALSE)*60,"")</f>
        <v>71.296386805531085</v>
      </c>
      <c r="E2702" s="66">
        <v>515.9</v>
      </c>
      <c r="F2702" s="64">
        <f t="shared" si="42"/>
        <v>-6.2858111242595838</v>
      </c>
      <c r="G2702" s="60" t="s">
        <v>9</v>
      </c>
      <c r="H2702" s="60" t="s">
        <v>5064</v>
      </c>
    </row>
    <row r="2703" spans="1:8">
      <c r="A2703" s="59" t="s">
        <v>3629</v>
      </c>
      <c r="B2703" s="62">
        <v>18</v>
      </c>
      <c r="C2703" s="60" t="s">
        <v>5068</v>
      </c>
      <c r="D2703" s="64">
        <f>IFERROR(VLOOKUP(C2703,測定点マスタ!$E$2:$F$28,2,FALSE)/VLOOKUP(A2703,'焼鈍条件-3CGL'!$A$2:$B$197,2,FALSE)*60,"")</f>
        <v>74.112252514840293</v>
      </c>
      <c r="E2703" s="66">
        <v>378.5</v>
      </c>
      <c r="F2703" s="64">
        <f t="shared" si="42"/>
        <v>-48.794940591718472</v>
      </c>
      <c r="G2703" s="60" t="s">
        <v>9</v>
      </c>
      <c r="H2703" s="60" t="s">
        <v>5064</v>
      </c>
    </row>
    <row r="2704" spans="1:8">
      <c r="A2704" s="59" t="s">
        <v>3629</v>
      </c>
      <c r="B2704" s="62">
        <v>19</v>
      </c>
      <c r="C2704" s="60" t="s">
        <v>5057</v>
      </c>
      <c r="D2704" s="64">
        <f>IFERROR(VLOOKUP(C2704,測定点マスタ!$E$2:$F$28,2,FALSE)/VLOOKUP(A2704,'焼鈍条件-3CGL'!$A$2:$B$197,2,FALSE)*60,"")</f>
        <v>76.928118224149515</v>
      </c>
      <c r="E2704" s="66">
        <v>217.4</v>
      </c>
      <c r="F2704" s="64">
        <f t="shared" si="42"/>
        <v>-57.211535147931642</v>
      </c>
      <c r="G2704" s="60" t="s">
        <v>9</v>
      </c>
      <c r="H2704" s="60" t="s">
        <v>5064</v>
      </c>
    </row>
    <row r="2705" spans="1:8">
      <c r="A2705" s="59" t="s">
        <v>3629</v>
      </c>
      <c r="B2705" s="62">
        <v>20</v>
      </c>
      <c r="C2705" s="60" t="s">
        <v>5059</v>
      </c>
      <c r="D2705" s="64">
        <f>IFERROR(VLOOKUP(C2705,測定点マスタ!$E$2:$F$28,2,FALSE)/VLOOKUP(A2705,'焼鈍条件-3CGL'!$A$2:$B$197,2,FALSE)*60,"")</f>
        <v>82.559849642768413</v>
      </c>
      <c r="E2705" s="66">
        <v>47.7</v>
      </c>
      <c r="F2705" s="64">
        <f t="shared" si="42"/>
        <v>-30.132829033529532</v>
      </c>
      <c r="G2705" s="60" t="s">
        <v>9</v>
      </c>
      <c r="H2705" s="60" t="s">
        <v>5064</v>
      </c>
    </row>
    <row r="2706" spans="1:8">
      <c r="A2706" s="59" t="s">
        <v>3636</v>
      </c>
      <c r="B2706" s="62">
        <v>1</v>
      </c>
      <c r="C2706" s="60" t="s">
        <v>5041</v>
      </c>
      <c r="D2706" s="64">
        <f>IFERROR(VLOOKUP(C2706,測定点マスタ!$E$2:$F$28,2,FALSE)/VLOOKUP(A2706,'焼鈍条件-3CGL'!$A$2:$B$197,2,FALSE)*60,"")</f>
        <v>0</v>
      </c>
      <c r="E2706" s="66">
        <v>37.1</v>
      </c>
      <c r="F2706" s="64" t="str">
        <f t="shared" si="42"/>
        <v/>
      </c>
      <c r="G2706" s="60" t="s">
        <v>9</v>
      </c>
      <c r="H2706" s="60" t="s">
        <v>5061</v>
      </c>
    </row>
    <row r="2707" spans="1:8">
      <c r="A2707" s="59" t="s">
        <v>3636</v>
      </c>
      <c r="B2707" s="62">
        <v>2</v>
      </c>
      <c r="C2707" s="60" t="s">
        <v>5043</v>
      </c>
      <c r="D2707" s="64">
        <f>IFERROR(VLOOKUP(C2707,測定点マスタ!$E$2:$F$28,2,FALSE)/VLOOKUP(A2707,'焼鈍条件-3CGL'!$A$2:$B$197,2,FALSE)*60,"")</f>
        <v>6.0414848627240385</v>
      </c>
      <c r="E2707" s="66">
        <v>168.5</v>
      </c>
      <c r="F2707" s="64">
        <f t="shared" si="42"/>
        <v>21.74962</v>
      </c>
      <c r="G2707" s="60" t="s">
        <v>9</v>
      </c>
      <c r="H2707" s="60" t="s">
        <v>5061</v>
      </c>
    </row>
    <row r="2708" spans="1:8">
      <c r="A2708" s="59" t="s">
        <v>3636</v>
      </c>
      <c r="B2708" s="62">
        <v>3</v>
      </c>
      <c r="C2708" s="60" t="s">
        <v>5044</v>
      </c>
      <c r="D2708" s="64">
        <f>IFERROR(VLOOKUP(C2708,測定点マスタ!$E$2:$F$28,2,FALSE)/VLOOKUP(A2708,'焼鈍条件-3CGL'!$A$2:$B$197,2,FALSE)*60,"")</f>
        <v>13.69403235550782</v>
      </c>
      <c r="E2708" s="66">
        <v>600.9</v>
      </c>
      <c r="F2708" s="64">
        <f t="shared" si="42"/>
        <v>56.504059649122802</v>
      </c>
      <c r="G2708" s="60" t="s">
        <v>9</v>
      </c>
      <c r="H2708" s="60" t="s">
        <v>5061</v>
      </c>
    </row>
    <row r="2709" spans="1:8">
      <c r="A2709" s="59" t="s">
        <v>3636</v>
      </c>
      <c r="B2709" s="62">
        <v>4</v>
      </c>
      <c r="C2709" s="60" t="s">
        <v>5045</v>
      </c>
      <c r="D2709" s="64">
        <f>IFERROR(VLOOKUP(C2709,測定点マスタ!$E$2:$F$28,2,FALSE)/VLOOKUP(A2709,'焼鈍条件-3CGL'!$A$2:$B$197,2,FALSE)*60,"")</f>
        <v>17.72168893065718</v>
      </c>
      <c r="E2709" s="66">
        <v>746.5</v>
      </c>
      <c r="F2709" s="64">
        <f t="shared" si="42"/>
        <v>36.150053333333332</v>
      </c>
      <c r="G2709" s="60" t="s">
        <v>9</v>
      </c>
      <c r="H2709" s="60" t="s">
        <v>5061</v>
      </c>
    </row>
    <row r="2710" spans="1:8">
      <c r="A2710" s="59" t="s">
        <v>3636</v>
      </c>
      <c r="B2710" s="62">
        <v>5</v>
      </c>
      <c r="C2710" s="60" t="s">
        <v>5047</v>
      </c>
      <c r="D2710" s="64">
        <f>IFERROR(VLOOKUP(C2710,測定点マスタ!$E$2:$F$28,2,FALSE)/VLOOKUP(A2710,'焼鈍条件-3CGL'!$A$2:$B$197,2,FALSE)*60,"")</f>
        <v>24.165939450896154</v>
      </c>
      <c r="E2710" s="66">
        <v>676.8</v>
      </c>
      <c r="F2710" s="64">
        <f t="shared" si="42"/>
        <v>-10.81584270833334</v>
      </c>
      <c r="G2710" s="60" t="s">
        <v>9</v>
      </c>
      <c r="H2710" s="60" t="s">
        <v>5061</v>
      </c>
    </row>
    <row r="2711" spans="1:8">
      <c r="A2711" s="59" t="s">
        <v>3636</v>
      </c>
      <c r="B2711" s="62">
        <v>6</v>
      </c>
      <c r="C2711" s="60" t="s">
        <v>5049</v>
      </c>
      <c r="D2711" s="64">
        <f>IFERROR(VLOOKUP(C2711,測定点マスタ!$E$2:$F$28,2,FALSE)/VLOOKUP(A2711,'焼鈍条件-3CGL'!$A$2:$B$197,2,FALSE)*60,"")</f>
        <v>29.40189299859032</v>
      </c>
      <c r="E2711" s="66">
        <v>551.1</v>
      </c>
      <c r="F2711" s="64">
        <f t="shared" si="42"/>
        <v>-24.007088461538451</v>
      </c>
      <c r="G2711" s="60" t="s">
        <v>9</v>
      </c>
      <c r="H2711" s="60" t="s">
        <v>5061</v>
      </c>
    </row>
    <row r="2712" spans="1:8">
      <c r="A2712" s="59" t="s">
        <v>3636</v>
      </c>
      <c r="B2712" s="62">
        <v>7</v>
      </c>
      <c r="C2712" s="60" t="s">
        <v>5050</v>
      </c>
      <c r="D2712" s="64">
        <f>IFERROR(VLOOKUP(C2712,測定点マスタ!$E$2:$F$28,2,FALSE)/VLOOKUP(A2712,'焼鈍条件-3CGL'!$A$2:$B$197,2,FALSE)*60,"")</f>
        <v>32.62401825870981</v>
      </c>
      <c r="E2712" s="66">
        <v>448.6</v>
      </c>
      <c r="F2712" s="64">
        <f t="shared" si="42"/>
        <v>-31.811302083333299</v>
      </c>
      <c r="G2712" s="60" t="s">
        <v>9</v>
      </c>
      <c r="H2712" s="60" t="s">
        <v>5061</v>
      </c>
    </row>
    <row r="2713" spans="1:8">
      <c r="A2713" s="59" t="s">
        <v>3636</v>
      </c>
      <c r="B2713" s="62">
        <v>8</v>
      </c>
      <c r="C2713" s="60" t="s">
        <v>5051</v>
      </c>
      <c r="D2713" s="64">
        <f>IFERROR(VLOOKUP(C2713,測定点マスタ!$E$2:$F$28,2,FALSE)/VLOOKUP(A2713,'焼鈍条件-3CGL'!$A$2:$B$197,2,FALSE)*60,"")</f>
        <v>35.44337786131436</v>
      </c>
      <c r="E2713" s="66">
        <v>442.3</v>
      </c>
      <c r="F2713" s="64">
        <f t="shared" si="42"/>
        <v>-2.2345500000000054</v>
      </c>
      <c r="G2713" s="60" t="s">
        <v>9</v>
      </c>
      <c r="H2713" s="60" t="s">
        <v>5061</v>
      </c>
    </row>
    <row r="2714" spans="1:8">
      <c r="A2714" s="59" t="s">
        <v>3636</v>
      </c>
      <c r="B2714" s="62">
        <v>9</v>
      </c>
      <c r="C2714" s="60" t="s">
        <v>5060</v>
      </c>
      <c r="D2714" s="64">
        <f>IFERROR(VLOOKUP(C2714,測定点マスタ!$E$2:$F$28,2,FALSE)/VLOOKUP(A2714,'焼鈍条件-3CGL'!$A$2:$B$197,2,FALSE)*60,"")</f>
        <v>37.054440491374109</v>
      </c>
      <c r="E2714" s="66">
        <v>358.2</v>
      </c>
      <c r="F2714" s="64">
        <f t="shared" si="42"/>
        <v>-52.201570833333179</v>
      </c>
      <c r="G2714" s="60" t="s">
        <v>9</v>
      </c>
      <c r="H2714" s="60" t="s">
        <v>5061</v>
      </c>
    </row>
    <row r="2715" spans="1:8">
      <c r="A2715" s="59" t="s">
        <v>3636</v>
      </c>
      <c r="B2715" s="62">
        <v>10</v>
      </c>
      <c r="C2715" s="60" t="s">
        <v>5052</v>
      </c>
      <c r="D2715" s="64">
        <f>IFERROR(VLOOKUP(C2715,測定点マスタ!$E$2:$F$28,2,FALSE)/VLOOKUP(A2715,'焼鈍条件-3CGL'!$A$2:$B$197,2,FALSE)*60,"")</f>
        <v>39.068268778948784</v>
      </c>
      <c r="E2715" s="66">
        <v>306.10000000000002</v>
      </c>
      <c r="F2715" s="64">
        <f t="shared" si="42"/>
        <v>-25.871123333333369</v>
      </c>
      <c r="G2715" s="60" t="s">
        <v>9</v>
      </c>
      <c r="H2715" s="60" t="s">
        <v>5061</v>
      </c>
    </row>
    <row r="2716" spans="1:8">
      <c r="A2716" s="59" t="s">
        <v>3636</v>
      </c>
      <c r="B2716" s="62">
        <v>11</v>
      </c>
      <c r="C2716" s="60" t="s">
        <v>5053</v>
      </c>
      <c r="D2716" s="64">
        <f>IFERROR(VLOOKUP(C2716,測定点マスタ!$E$2:$F$28,2,FALSE)/VLOOKUP(A2716,'焼鈍条件-3CGL'!$A$2:$B$197,2,FALSE)*60,"")</f>
        <v>43.901456669128017</v>
      </c>
      <c r="E2716" s="66">
        <v>484</v>
      </c>
      <c r="F2716" s="64">
        <f t="shared" si="42"/>
        <v>36.808004166666649</v>
      </c>
      <c r="G2716" s="60" t="s">
        <v>9</v>
      </c>
      <c r="H2716" s="60" t="s">
        <v>5061</v>
      </c>
    </row>
    <row r="2717" spans="1:8">
      <c r="A2717" s="59" t="s">
        <v>3636</v>
      </c>
      <c r="B2717" s="62">
        <v>12</v>
      </c>
      <c r="C2717" s="60" t="s">
        <v>5063</v>
      </c>
      <c r="D2717" s="64">
        <f>IFERROR(VLOOKUP(C2717,測定点マスタ!$E$2:$F$28,2,FALSE)/VLOOKUP(A2717,'焼鈍条件-3CGL'!$A$2:$B$197,2,FALSE)*60,"")</f>
        <v>46.318050614217626</v>
      </c>
      <c r="E2717" s="66">
        <v>494</v>
      </c>
      <c r="F2717" s="64">
        <f t="shared" si="42"/>
        <v>4.1380555555555665</v>
      </c>
      <c r="G2717" s="60" t="s">
        <v>9</v>
      </c>
      <c r="H2717" s="60" t="s">
        <v>5061</v>
      </c>
    </row>
    <row r="2718" spans="1:8">
      <c r="A2718" s="59" t="s">
        <v>3636</v>
      </c>
      <c r="B2718" s="62">
        <v>13</v>
      </c>
      <c r="C2718" s="60" t="s">
        <v>5054</v>
      </c>
      <c r="D2718" s="64">
        <f>IFERROR(VLOOKUP(C2718,測定点マスタ!$E$2:$F$28,2,FALSE)/VLOOKUP(A2718,'焼鈍条件-3CGL'!$A$2:$B$197,2,FALSE)*60,"")</f>
        <v>49.137410216822182</v>
      </c>
      <c r="E2718" s="66">
        <v>484.7</v>
      </c>
      <c r="F2718" s="64">
        <f t="shared" si="42"/>
        <v>-3.2986214285714262</v>
      </c>
      <c r="G2718" s="60" t="s">
        <v>9</v>
      </c>
      <c r="H2718" s="60" t="s">
        <v>5061</v>
      </c>
    </row>
    <row r="2719" spans="1:8">
      <c r="A2719" s="59" t="s">
        <v>3636</v>
      </c>
      <c r="B2719" s="62">
        <v>14</v>
      </c>
      <c r="C2719" s="60" t="s">
        <v>5055</v>
      </c>
      <c r="D2719" s="64">
        <f>IFERROR(VLOOKUP(C2719,測定点マスタ!$E$2:$F$28,2,FALSE)/VLOOKUP(A2719,'焼鈍条件-3CGL'!$A$2:$B$197,2,FALSE)*60,"")</f>
        <v>51.151238504396858</v>
      </c>
      <c r="E2719" s="66">
        <v>499.7</v>
      </c>
      <c r="F2719" s="64">
        <f t="shared" si="42"/>
        <v>7.4485000000000152</v>
      </c>
      <c r="G2719" s="60" t="s">
        <v>9</v>
      </c>
      <c r="H2719" s="60" t="s">
        <v>5061</v>
      </c>
    </row>
    <row r="2720" spans="1:8">
      <c r="A2720" s="59" t="s">
        <v>3636</v>
      </c>
      <c r="B2720" s="62">
        <v>15</v>
      </c>
      <c r="C2720" s="60" t="s">
        <v>5056</v>
      </c>
      <c r="D2720" s="64">
        <f>IFERROR(VLOOKUP(C2720,測定点マスタ!$E$2:$F$28,2,FALSE)/VLOOKUP(A2720,'焼鈍条件-3CGL'!$A$2:$B$197,2,FALSE)*60,"")</f>
        <v>53.567832449486474</v>
      </c>
      <c r="E2720" s="66">
        <v>260.5</v>
      </c>
      <c r="F2720" s="64">
        <f t="shared" si="42"/>
        <v>-98.98228888888886</v>
      </c>
      <c r="G2720" s="60" t="s">
        <v>9</v>
      </c>
      <c r="H2720" s="60" t="s">
        <v>5061</v>
      </c>
    </row>
    <row r="2721" spans="1:8">
      <c r="A2721" s="59" t="s">
        <v>3636</v>
      </c>
      <c r="B2721" s="62">
        <v>16</v>
      </c>
      <c r="C2721" s="60" t="s">
        <v>5062</v>
      </c>
      <c r="D2721" s="64">
        <f>IFERROR(VLOOKUP(C2721,測定点マスタ!$E$2:$F$28,2,FALSE)/VLOOKUP(A2721,'焼鈍条件-3CGL'!$A$2:$B$197,2,FALSE)*60,"")</f>
        <v>58.401020339665706</v>
      </c>
      <c r="E2721" s="66">
        <v>461</v>
      </c>
      <c r="F2721" s="64">
        <f t="shared" si="42"/>
        <v>41.484006944444431</v>
      </c>
      <c r="G2721" s="60" t="s">
        <v>9</v>
      </c>
      <c r="H2721" s="60" t="s">
        <v>5061</v>
      </c>
    </row>
    <row r="2722" spans="1:8">
      <c r="A2722" s="59" t="s">
        <v>3636</v>
      </c>
      <c r="B2722" s="62">
        <v>17</v>
      </c>
      <c r="C2722" s="60" t="s">
        <v>5057</v>
      </c>
      <c r="D2722" s="64">
        <f>IFERROR(VLOOKUP(C2722,測定点マスタ!$E$2:$F$28,2,FALSE)/VLOOKUP(A2722,'焼鈍条件-3CGL'!$A$2:$B$197,2,FALSE)*60,"")</f>
        <v>66.413180026659191</v>
      </c>
      <c r="E2722" s="66">
        <v>176</v>
      </c>
      <c r="F2722" s="64">
        <f t="shared" si="42"/>
        <v>-35.570933572711226</v>
      </c>
      <c r="G2722" s="60" t="s">
        <v>9</v>
      </c>
      <c r="H2722" s="60" t="s">
        <v>5061</v>
      </c>
    </row>
    <row r="2723" spans="1:8">
      <c r="A2723" s="59" t="s">
        <v>3636</v>
      </c>
      <c r="B2723" s="62">
        <v>18</v>
      </c>
      <c r="C2723" s="60" t="s">
        <v>5058</v>
      </c>
      <c r="D2723" s="64">
        <f>IFERROR(VLOOKUP(C2723,測定点マスタ!$E$2:$F$28,2,FALSE)/VLOOKUP(A2723,'焼鈍条件-3CGL'!$A$2:$B$197,2,FALSE)*60,"")</f>
        <v>68.844158459517075</v>
      </c>
      <c r="E2723" s="66">
        <v>135.1</v>
      </c>
      <c r="F2723" s="64">
        <f t="shared" si="42"/>
        <v>-16.824501380671457</v>
      </c>
      <c r="G2723" s="60" t="s">
        <v>9</v>
      </c>
      <c r="H2723" s="60" t="s">
        <v>5061</v>
      </c>
    </row>
    <row r="2724" spans="1:8">
      <c r="A2724" s="59" t="s">
        <v>3636</v>
      </c>
      <c r="B2724" s="62">
        <v>19</v>
      </c>
      <c r="C2724" s="60" t="s">
        <v>5059</v>
      </c>
      <c r="D2724" s="64">
        <f>IFERROR(VLOOKUP(C2724,測定点マスタ!$E$2:$F$28,2,FALSE)/VLOOKUP(A2724,'焼鈍条件-3CGL'!$A$2:$B$197,2,FALSE)*60,"")</f>
        <v>71.275136892375386</v>
      </c>
      <c r="E2724" s="66">
        <v>60.5</v>
      </c>
      <c r="F2724" s="64">
        <f t="shared" si="42"/>
        <v>-30.687232347136192</v>
      </c>
      <c r="G2724" s="60" t="s">
        <v>9</v>
      </c>
      <c r="H2724" s="60" t="s">
        <v>5061</v>
      </c>
    </row>
    <row r="2725" spans="1:8">
      <c r="A2725" s="59" t="s">
        <v>3643</v>
      </c>
      <c r="B2725" s="62">
        <v>1</v>
      </c>
      <c r="C2725" s="60" t="s">
        <v>5041</v>
      </c>
      <c r="D2725" s="64">
        <f>IFERROR(VLOOKUP(C2725,測定点マスタ!$E$2:$F$28,2,FALSE)/VLOOKUP(A2725,'焼鈍条件-3CGL'!$A$2:$B$197,2,FALSE)*60,"")</f>
        <v>0</v>
      </c>
      <c r="E2725" s="66">
        <v>31.3</v>
      </c>
      <c r="F2725" s="64" t="str">
        <f t="shared" si="42"/>
        <v/>
      </c>
      <c r="G2725" s="60" t="s">
        <v>12</v>
      </c>
      <c r="H2725" s="60" t="s">
        <v>5064</v>
      </c>
    </row>
    <row r="2726" spans="1:8">
      <c r="A2726" s="59" t="s">
        <v>3643</v>
      </c>
      <c r="B2726" s="62">
        <v>2</v>
      </c>
      <c r="C2726" s="60" t="s">
        <v>5043</v>
      </c>
      <c r="D2726" s="64">
        <f>IFERROR(VLOOKUP(C2726,測定点マスタ!$E$2:$F$28,2,FALSE)/VLOOKUP(A2726,'焼鈍条件-3CGL'!$A$2:$B$197,2,FALSE)*60,"")</f>
        <v>7.3477785216269611</v>
      </c>
      <c r="E2726" s="66">
        <v>167.3</v>
      </c>
      <c r="F2726" s="64">
        <f t="shared" si="42"/>
        <v>18.508995555555558</v>
      </c>
      <c r="G2726" s="60" t="s">
        <v>12</v>
      </c>
      <c r="H2726" s="60" t="s">
        <v>5064</v>
      </c>
    </row>
    <row r="2727" spans="1:8">
      <c r="A2727" s="59" t="s">
        <v>3643</v>
      </c>
      <c r="B2727" s="62">
        <v>3</v>
      </c>
      <c r="C2727" s="60" t="s">
        <v>5067</v>
      </c>
      <c r="D2727" s="64">
        <f>IFERROR(VLOOKUP(C2727,測定点マスタ!$E$2:$F$28,2,FALSE)/VLOOKUP(A2727,'焼鈍条件-3CGL'!$A$2:$B$197,2,FALSE)*60,"")</f>
        <v>12.246297536044935</v>
      </c>
      <c r="E2727" s="66">
        <v>367.3</v>
      </c>
      <c r="F2727" s="64">
        <f t="shared" si="42"/>
        <v>40.82866666666667</v>
      </c>
      <c r="G2727" s="60" t="s">
        <v>12</v>
      </c>
      <c r="H2727" s="60" t="s">
        <v>5064</v>
      </c>
    </row>
    <row r="2728" spans="1:8">
      <c r="A2728" s="59" t="s">
        <v>3643</v>
      </c>
      <c r="B2728" s="62">
        <v>4</v>
      </c>
      <c r="C2728" s="60" t="s">
        <v>5044</v>
      </c>
      <c r="D2728" s="64">
        <f>IFERROR(VLOOKUP(C2728,測定点マスタ!$E$2:$F$28,2,FALSE)/VLOOKUP(A2728,'焼鈍条件-3CGL'!$A$2:$B$197,2,FALSE)*60,"")</f>
        <v>16.654964649021114</v>
      </c>
      <c r="E2728" s="66">
        <v>635.9</v>
      </c>
      <c r="F2728" s="64">
        <f t="shared" si="42"/>
        <v>60.925443703703664</v>
      </c>
      <c r="G2728" s="60" t="s">
        <v>12</v>
      </c>
      <c r="H2728" s="60" t="s">
        <v>5064</v>
      </c>
    </row>
    <row r="2729" spans="1:8">
      <c r="A2729" s="59" t="s">
        <v>3643</v>
      </c>
      <c r="B2729" s="62">
        <v>5</v>
      </c>
      <c r="C2729" s="60" t="s">
        <v>5045</v>
      </c>
      <c r="D2729" s="64">
        <f>IFERROR(VLOOKUP(C2729,測定点マスタ!$E$2:$F$28,2,FALSE)/VLOOKUP(A2729,'焼鈍条件-3CGL'!$A$2:$B$197,2,FALSE)*60,"")</f>
        <v>21.553483663439089</v>
      </c>
      <c r="E2729" s="66">
        <v>784.6</v>
      </c>
      <c r="F2729" s="64">
        <f t="shared" si="42"/>
        <v>30.356113666666673</v>
      </c>
      <c r="G2729" s="60" t="s">
        <v>12</v>
      </c>
      <c r="H2729" s="60" t="s">
        <v>5064</v>
      </c>
    </row>
    <row r="2730" spans="1:8">
      <c r="A2730" s="59" t="s">
        <v>3643</v>
      </c>
      <c r="B2730" s="62">
        <v>6</v>
      </c>
      <c r="C2730" s="60" t="s">
        <v>5047</v>
      </c>
      <c r="D2730" s="64">
        <f>IFERROR(VLOOKUP(C2730,測定点マスタ!$E$2:$F$28,2,FALSE)/VLOOKUP(A2730,'焼鈍条件-3CGL'!$A$2:$B$197,2,FALSE)*60,"")</f>
        <v>29.391114086507844</v>
      </c>
      <c r="E2730" s="66">
        <v>724.5</v>
      </c>
      <c r="F2730" s="64">
        <f t="shared" si="42"/>
        <v>-7.668133958333339</v>
      </c>
      <c r="G2730" s="60" t="s">
        <v>12</v>
      </c>
      <c r="H2730" s="60" t="s">
        <v>5064</v>
      </c>
    </row>
    <row r="2731" spans="1:8">
      <c r="A2731" s="59" t="s">
        <v>3643</v>
      </c>
      <c r="B2731" s="62">
        <v>7</v>
      </c>
      <c r="C2731" s="60" t="s">
        <v>5048</v>
      </c>
      <c r="D2731" s="64">
        <f>IFERROR(VLOOKUP(C2731,測定点マスタ!$E$2:$F$28,2,FALSE)/VLOOKUP(A2731,'焼鈍条件-3CGL'!$A$2:$B$197,2,FALSE)*60,"")</f>
        <v>32.330225495158629</v>
      </c>
      <c r="E2731" s="66">
        <v>686</v>
      </c>
      <c r="F2731" s="64">
        <f t="shared" si="42"/>
        <v>-13.099197222222221</v>
      </c>
      <c r="G2731" s="60" t="s">
        <v>12</v>
      </c>
      <c r="H2731" s="60" t="s">
        <v>5064</v>
      </c>
    </row>
    <row r="2732" spans="1:8">
      <c r="A2732" s="59" t="s">
        <v>3643</v>
      </c>
      <c r="B2732" s="62">
        <v>8</v>
      </c>
      <c r="C2732" s="60" t="s">
        <v>5049</v>
      </c>
      <c r="D2732" s="64">
        <f>IFERROR(VLOOKUP(C2732,測定点マスタ!$E$2:$F$28,2,FALSE)/VLOOKUP(A2732,'焼鈍条件-3CGL'!$A$2:$B$197,2,FALSE)*60,"")</f>
        <v>35.759188805251213</v>
      </c>
      <c r="E2732" s="66">
        <v>579.70000000000005</v>
      </c>
      <c r="F2732" s="64">
        <f t="shared" si="42"/>
        <v>-31.000623333333301</v>
      </c>
      <c r="G2732" s="60" t="s">
        <v>12</v>
      </c>
      <c r="H2732" s="60" t="s">
        <v>5064</v>
      </c>
    </row>
    <row r="2733" spans="1:8">
      <c r="A2733" s="59" t="s">
        <v>3643</v>
      </c>
      <c r="B2733" s="62">
        <v>9</v>
      </c>
      <c r="C2733" s="60" t="s">
        <v>5050</v>
      </c>
      <c r="D2733" s="64">
        <f>IFERROR(VLOOKUP(C2733,測定点マスタ!$E$2:$F$28,2,FALSE)/VLOOKUP(A2733,'焼鈍条件-3CGL'!$A$2:$B$197,2,FALSE)*60,"")</f>
        <v>39.678004016785593</v>
      </c>
      <c r="E2733" s="66">
        <v>459.6</v>
      </c>
      <c r="F2733" s="64">
        <f t="shared" si="42"/>
        <v>-30.64701791666667</v>
      </c>
      <c r="G2733" s="60" t="s">
        <v>12</v>
      </c>
      <c r="H2733" s="60" t="s">
        <v>5064</v>
      </c>
    </row>
    <row r="2734" spans="1:8">
      <c r="A2734" s="59" t="s">
        <v>3643</v>
      </c>
      <c r="B2734" s="62">
        <v>10</v>
      </c>
      <c r="C2734" s="60" t="s">
        <v>5051</v>
      </c>
      <c r="D2734" s="64">
        <f>IFERROR(VLOOKUP(C2734,測定点マスタ!$E$2:$F$28,2,FALSE)/VLOOKUP(A2734,'焼鈍条件-3CGL'!$A$2:$B$197,2,FALSE)*60,"")</f>
        <v>43.106967326878177</v>
      </c>
      <c r="E2734" s="66">
        <v>444.3</v>
      </c>
      <c r="F2734" s="64">
        <f t="shared" si="42"/>
        <v>-4.461990000000001</v>
      </c>
      <c r="G2734" s="60" t="s">
        <v>12</v>
      </c>
      <c r="H2734" s="60" t="s">
        <v>5064</v>
      </c>
    </row>
    <row r="2735" spans="1:8">
      <c r="A2735" s="59" t="s">
        <v>3643</v>
      </c>
      <c r="B2735" s="62">
        <v>11</v>
      </c>
      <c r="C2735" s="60" t="s">
        <v>5052</v>
      </c>
      <c r="D2735" s="64">
        <f>IFERROR(VLOOKUP(C2735,測定点マスタ!$E$2:$F$28,2,FALSE)/VLOOKUP(A2735,'焼鈍条件-3CGL'!$A$2:$B$197,2,FALSE)*60,"")</f>
        <v>47.515634439854345</v>
      </c>
      <c r="E2735" s="66">
        <v>335.3</v>
      </c>
      <c r="F2735" s="64">
        <f t="shared" si="42"/>
        <v>-24.724025925925975</v>
      </c>
      <c r="G2735" s="60" t="s">
        <v>12</v>
      </c>
      <c r="H2735" s="60" t="s">
        <v>5064</v>
      </c>
    </row>
    <row r="2736" spans="1:8">
      <c r="A2736" s="59" t="s">
        <v>3643</v>
      </c>
      <c r="B2736" s="62">
        <v>12</v>
      </c>
      <c r="C2736" s="60" t="s">
        <v>5053</v>
      </c>
      <c r="D2736" s="64">
        <f>IFERROR(VLOOKUP(C2736,測定点マスタ!$E$2:$F$28,2,FALSE)/VLOOKUP(A2736,'焼鈍条件-3CGL'!$A$2:$B$197,2,FALSE)*60,"")</f>
        <v>53.393857257155915</v>
      </c>
      <c r="E2736" s="66">
        <v>525.6</v>
      </c>
      <c r="F2736" s="64">
        <f t="shared" si="42"/>
        <v>32.373730277777774</v>
      </c>
      <c r="G2736" s="60" t="s">
        <v>12</v>
      </c>
      <c r="H2736" s="60" t="s">
        <v>5064</v>
      </c>
    </row>
    <row r="2737" spans="1:8">
      <c r="A2737" s="59" t="s">
        <v>3643</v>
      </c>
      <c r="B2737" s="62">
        <v>13</v>
      </c>
      <c r="C2737" s="60" t="s">
        <v>5054</v>
      </c>
      <c r="D2737" s="64">
        <f>IFERROR(VLOOKUP(C2737,測定点マスタ!$E$2:$F$28,2,FALSE)/VLOOKUP(A2737,'焼鈍条件-3CGL'!$A$2:$B$197,2,FALSE)*60,"")</f>
        <v>59.761931975899287</v>
      </c>
      <c r="E2737" s="66">
        <v>512.5</v>
      </c>
      <c r="F2737" s="64">
        <f t="shared" si="42"/>
        <v>-2.0571366666666684</v>
      </c>
      <c r="G2737" s="60" t="s">
        <v>12</v>
      </c>
      <c r="H2737" s="60" t="s">
        <v>5064</v>
      </c>
    </row>
    <row r="2738" spans="1:8">
      <c r="A2738" s="59" t="s">
        <v>3643</v>
      </c>
      <c r="B2738" s="62">
        <v>14</v>
      </c>
      <c r="C2738" s="60" t="s">
        <v>5056</v>
      </c>
      <c r="D2738" s="64">
        <f>IFERROR(VLOOKUP(C2738,測定点マスタ!$E$2:$F$28,2,FALSE)/VLOOKUP(A2738,'焼鈍条件-3CGL'!$A$2:$B$197,2,FALSE)*60,"")</f>
        <v>65.150302891759054</v>
      </c>
      <c r="E2738" s="66">
        <v>275.89999999999998</v>
      </c>
      <c r="F2738" s="64">
        <f t="shared" si="42"/>
        <v>-43.909375151515199</v>
      </c>
      <c r="G2738" s="60" t="s">
        <v>12</v>
      </c>
      <c r="H2738" s="60" t="s">
        <v>5064</v>
      </c>
    </row>
    <row r="2739" spans="1:8">
      <c r="A2739" s="59" t="s">
        <v>3643</v>
      </c>
      <c r="B2739" s="62">
        <v>15</v>
      </c>
      <c r="C2739" s="60" t="s">
        <v>5062</v>
      </c>
      <c r="D2739" s="64">
        <f>IFERROR(VLOOKUP(C2739,測定点マスタ!$E$2:$F$28,2,FALSE)/VLOOKUP(A2739,'焼鈍条件-3CGL'!$A$2:$B$197,2,FALSE)*60,"")</f>
        <v>71.028525709060631</v>
      </c>
      <c r="E2739" s="66">
        <v>466.2</v>
      </c>
      <c r="F2739" s="64">
        <f t="shared" si="42"/>
        <v>32.373730277777739</v>
      </c>
      <c r="G2739" s="60" t="s">
        <v>12</v>
      </c>
      <c r="H2739" s="60" t="s">
        <v>5064</v>
      </c>
    </row>
    <row r="2740" spans="1:8">
      <c r="A2740" s="59" t="s">
        <v>3643</v>
      </c>
      <c r="B2740" s="62">
        <v>16</v>
      </c>
      <c r="C2740" s="60" t="s">
        <v>5065</v>
      </c>
      <c r="D2740" s="64">
        <f>IFERROR(VLOOKUP(C2740,測定点マスタ!$E$2:$F$28,2,FALSE)/VLOOKUP(A2740,'焼鈍条件-3CGL'!$A$2:$B$197,2,FALSE)*60,"")</f>
        <v>71.903261247349405</v>
      </c>
      <c r="E2740" s="66">
        <v>510.8</v>
      </c>
      <c r="F2740" s="64">
        <f t="shared" si="42"/>
        <v>50.986838933342064</v>
      </c>
      <c r="G2740" s="60" t="s">
        <v>12</v>
      </c>
      <c r="H2740" s="60" t="s">
        <v>5064</v>
      </c>
    </row>
    <row r="2741" spans="1:8">
      <c r="A2741" s="59" t="s">
        <v>3643</v>
      </c>
      <c r="B2741" s="62">
        <v>17</v>
      </c>
      <c r="C2741" s="60" t="s">
        <v>5066</v>
      </c>
      <c r="D2741" s="64">
        <f>IFERROR(VLOOKUP(C2741,測定点マスタ!$E$2:$F$28,2,FALSE)/VLOOKUP(A2741,'焼鈍条件-3CGL'!$A$2:$B$197,2,FALSE)*60,"")</f>
        <v>74.859867366766323</v>
      </c>
      <c r="E2741" s="66">
        <v>497.2</v>
      </c>
      <c r="F2741" s="64">
        <f t="shared" si="42"/>
        <v>-4.5998687179481736</v>
      </c>
      <c r="G2741" s="60" t="s">
        <v>12</v>
      </c>
      <c r="H2741" s="60" t="s">
        <v>5064</v>
      </c>
    </row>
    <row r="2742" spans="1:8">
      <c r="A2742" s="59" t="s">
        <v>3643</v>
      </c>
      <c r="B2742" s="62">
        <v>18</v>
      </c>
      <c r="C2742" s="60" t="s">
        <v>5057</v>
      </c>
      <c r="D2742" s="64">
        <f>IFERROR(VLOOKUP(C2742,測定点マスタ!$E$2:$F$28,2,FALSE)/VLOOKUP(A2742,'焼鈍条件-3CGL'!$A$2:$B$197,2,FALSE)*60,"")</f>
        <v>80.773079605599165</v>
      </c>
      <c r="E2742" s="66">
        <v>192.8</v>
      </c>
      <c r="F2742" s="64">
        <f t="shared" si="42"/>
        <v>-51.477942564105042</v>
      </c>
      <c r="G2742" s="60" t="s">
        <v>12</v>
      </c>
      <c r="H2742" s="60" t="s">
        <v>5064</v>
      </c>
    </row>
    <row r="2743" spans="1:8">
      <c r="A2743" s="59" t="s">
        <v>3643</v>
      </c>
      <c r="B2743" s="62">
        <v>19</v>
      </c>
      <c r="C2743" s="60" t="s">
        <v>5059</v>
      </c>
      <c r="D2743" s="64">
        <f>IFERROR(VLOOKUP(C2743,測定点マスタ!$E$2:$F$28,2,FALSE)/VLOOKUP(A2743,'焼鈍条件-3CGL'!$A$2:$B$197,2,FALSE)*60,"")</f>
        <v>86.686291844432503</v>
      </c>
      <c r="E2743" s="66">
        <v>47.6</v>
      </c>
      <c r="F2743" s="64">
        <f t="shared" si="42"/>
        <v>-24.555181538460658</v>
      </c>
      <c r="G2743" s="60" t="s">
        <v>12</v>
      </c>
      <c r="H2743" s="60" t="s">
        <v>5064</v>
      </c>
    </row>
    <row r="2744" spans="1:8">
      <c r="A2744" s="59" t="s">
        <v>3648</v>
      </c>
      <c r="B2744" s="62">
        <v>1</v>
      </c>
      <c r="C2744" s="60" t="s">
        <v>5041</v>
      </c>
      <c r="D2744" s="64">
        <f>IFERROR(VLOOKUP(C2744,測定点マスタ!$E$2:$F$28,2,FALSE)/VLOOKUP(A2744,'焼鈍条件-3CGL'!$A$2:$B$197,2,FALSE)*60,"")</f>
        <v>0</v>
      </c>
      <c r="E2744" s="66">
        <v>25.2</v>
      </c>
      <c r="F2744" s="64" t="str">
        <f t="shared" si="42"/>
        <v/>
      </c>
      <c r="G2744" s="60" t="s">
        <v>9</v>
      </c>
      <c r="H2744" s="60" t="s">
        <v>5061</v>
      </c>
    </row>
    <row r="2745" spans="1:8">
      <c r="A2745" s="59" t="s">
        <v>3648</v>
      </c>
      <c r="B2745" s="62">
        <v>2</v>
      </c>
      <c r="C2745" s="60" t="s">
        <v>5043</v>
      </c>
      <c r="D2745" s="64">
        <f>IFERROR(VLOOKUP(C2745,測定点マスタ!$E$2:$F$28,2,FALSE)/VLOOKUP(A2745,'焼鈍条件-3CGL'!$A$2:$B$197,2,FALSE)*60,"")</f>
        <v>8.7757788503729692</v>
      </c>
      <c r="E2745" s="66">
        <v>197.4</v>
      </c>
      <c r="F2745" s="64">
        <f t="shared" si="42"/>
        <v>19.622190000000003</v>
      </c>
      <c r="G2745" s="60" t="s">
        <v>9</v>
      </c>
      <c r="H2745" s="60" t="s">
        <v>5061</v>
      </c>
    </row>
    <row r="2746" spans="1:8">
      <c r="A2746" s="59" t="s">
        <v>3648</v>
      </c>
      <c r="B2746" s="62">
        <v>3</v>
      </c>
      <c r="C2746" s="60" t="s">
        <v>5067</v>
      </c>
      <c r="D2746" s="64">
        <f>IFERROR(VLOOKUP(C2746,測定点マスタ!$E$2:$F$28,2,FALSE)/VLOOKUP(A2746,'焼鈍条件-3CGL'!$A$2:$B$197,2,FALSE)*60,"")</f>
        <v>14.62629808395495</v>
      </c>
      <c r="E2746" s="66">
        <v>406</v>
      </c>
      <c r="F2746" s="64">
        <f t="shared" si="42"/>
        <v>35.654954999999994</v>
      </c>
      <c r="G2746" s="60" t="s">
        <v>9</v>
      </c>
      <c r="H2746" s="60" t="s">
        <v>5061</v>
      </c>
    </row>
    <row r="2747" spans="1:8">
      <c r="A2747" s="59" t="s">
        <v>3648</v>
      </c>
      <c r="B2747" s="62">
        <v>4</v>
      </c>
      <c r="C2747" s="60" t="s">
        <v>5044</v>
      </c>
      <c r="D2747" s="64">
        <f>IFERROR(VLOOKUP(C2747,測定点マスタ!$E$2:$F$28,2,FALSE)/VLOOKUP(A2747,'焼鈍条件-3CGL'!$A$2:$B$197,2,FALSE)*60,"")</f>
        <v>19.89176539417873</v>
      </c>
      <c r="E2747" s="66">
        <v>683.7</v>
      </c>
      <c r="F2747" s="64">
        <f t="shared" si="42"/>
        <v>52.739858333333366</v>
      </c>
      <c r="G2747" s="60" t="s">
        <v>9</v>
      </c>
      <c r="H2747" s="60" t="s">
        <v>5061</v>
      </c>
    </row>
    <row r="2748" spans="1:8">
      <c r="A2748" s="59" t="s">
        <v>3648</v>
      </c>
      <c r="B2748" s="62">
        <v>5</v>
      </c>
      <c r="C2748" s="60" t="s">
        <v>5045</v>
      </c>
      <c r="D2748" s="64">
        <f>IFERROR(VLOOKUP(C2748,測定点マスタ!$E$2:$F$28,2,FALSE)/VLOOKUP(A2748,'焼鈍条件-3CGL'!$A$2:$B$197,2,FALSE)*60,"")</f>
        <v>25.742284627760714</v>
      </c>
      <c r="E2748" s="66">
        <v>827.6</v>
      </c>
      <c r="F2748" s="64">
        <f t="shared" si="42"/>
        <v>24.596107499999981</v>
      </c>
      <c r="G2748" s="60" t="s">
        <v>9</v>
      </c>
      <c r="H2748" s="60" t="s">
        <v>5061</v>
      </c>
    </row>
    <row r="2749" spans="1:8">
      <c r="A2749" s="59" t="s">
        <v>3648</v>
      </c>
      <c r="B2749" s="62">
        <v>6</v>
      </c>
      <c r="C2749" s="60" t="s">
        <v>5047</v>
      </c>
      <c r="D2749" s="64">
        <f>IFERROR(VLOOKUP(C2749,測定点マスタ!$E$2:$F$28,2,FALSE)/VLOOKUP(A2749,'焼鈍条件-3CGL'!$A$2:$B$197,2,FALSE)*60,"")</f>
        <v>35.103115401491877</v>
      </c>
      <c r="E2749" s="66">
        <v>748.2</v>
      </c>
      <c r="F2749" s="64">
        <f t="shared" si="42"/>
        <v>-8.4821531250000035</v>
      </c>
      <c r="G2749" s="60" t="s">
        <v>9</v>
      </c>
      <c r="H2749" s="60" t="s">
        <v>5061</v>
      </c>
    </row>
    <row r="2750" spans="1:8">
      <c r="A2750" s="59" t="s">
        <v>3648</v>
      </c>
      <c r="B2750" s="62">
        <v>7</v>
      </c>
      <c r="C2750" s="60" t="s">
        <v>5049</v>
      </c>
      <c r="D2750" s="64">
        <f>IFERROR(VLOOKUP(C2750,測定点マスタ!$E$2:$F$28,2,FALSE)/VLOOKUP(A2750,'焼鈍条件-3CGL'!$A$2:$B$197,2,FALSE)*60,"")</f>
        <v>42.708790405148449</v>
      </c>
      <c r="E2750" s="66">
        <v>597.4</v>
      </c>
      <c r="F2750" s="64">
        <f t="shared" si="42"/>
        <v>-19.827300000000015</v>
      </c>
      <c r="G2750" s="60" t="s">
        <v>9</v>
      </c>
      <c r="H2750" s="60" t="s">
        <v>5061</v>
      </c>
    </row>
    <row r="2751" spans="1:8">
      <c r="A2751" s="59" t="s">
        <v>3648</v>
      </c>
      <c r="B2751" s="62">
        <v>8</v>
      </c>
      <c r="C2751" s="60" t="s">
        <v>5050</v>
      </c>
      <c r="D2751" s="64">
        <f>IFERROR(VLOOKUP(C2751,測定点マスタ!$E$2:$F$28,2,FALSE)/VLOOKUP(A2751,'焼鈍条件-3CGL'!$A$2:$B$197,2,FALSE)*60,"")</f>
        <v>47.389205792014039</v>
      </c>
      <c r="E2751" s="66">
        <v>494</v>
      </c>
      <c r="F2751" s="64">
        <f t="shared" si="42"/>
        <v>-22.092056249999967</v>
      </c>
      <c r="G2751" s="60" t="s">
        <v>9</v>
      </c>
      <c r="H2751" s="60" t="s">
        <v>5061</v>
      </c>
    </row>
    <row r="2752" spans="1:8">
      <c r="A2752" s="59" t="s">
        <v>3648</v>
      </c>
      <c r="B2752" s="62">
        <v>9</v>
      </c>
      <c r="C2752" s="60" t="s">
        <v>5051</v>
      </c>
      <c r="D2752" s="64">
        <f>IFERROR(VLOOKUP(C2752,測定点マスタ!$E$2:$F$28,2,FALSE)/VLOOKUP(A2752,'焼鈍条件-3CGL'!$A$2:$B$197,2,FALSE)*60,"")</f>
        <v>51.484569255521428</v>
      </c>
      <c r="E2752" s="66">
        <v>462</v>
      </c>
      <c r="F2752" s="64">
        <f t="shared" si="42"/>
        <v>-7.813714285714279</v>
      </c>
      <c r="G2752" s="60" t="s">
        <v>9</v>
      </c>
      <c r="H2752" s="60" t="s">
        <v>5061</v>
      </c>
    </row>
    <row r="2753" spans="1:8">
      <c r="A2753" s="59" t="s">
        <v>3648</v>
      </c>
      <c r="B2753" s="62">
        <v>10</v>
      </c>
      <c r="C2753" s="60" t="s">
        <v>5052</v>
      </c>
      <c r="D2753" s="64">
        <f>IFERROR(VLOOKUP(C2753,測定点マスタ!$E$2:$F$28,2,FALSE)/VLOOKUP(A2753,'焼鈍条件-3CGL'!$A$2:$B$197,2,FALSE)*60,"")</f>
        <v>56.750036565745205</v>
      </c>
      <c r="E2753" s="66">
        <v>371.6</v>
      </c>
      <c r="F2753" s="64">
        <f t="shared" si="42"/>
        <v>-17.168466666666681</v>
      </c>
      <c r="G2753" s="60" t="s">
        <v>9</v>
      </c>
      <c r="H2753" s="60" t="s">
        <v>5061</v>
      </c>
    </row>
    <row r="2754" spans="1:8">
      <c r="A2754" s="59" t="s">
        <v>3648</v>
      </c>
      <c r="B2754" s="62">
        <v>11</v>
      </c>
      <c r="C2754" s="60" t="s">
        <v>5053</v>
      </c>
      <c r="D2754" s="64">
        <f>IFERROR(VLOOKUP(C2754,測定点マスタ!$E$2:$F$28,2,FALSE)/VLOOKUP(A2754,'焼鈍条件-3CGL'!$A$2:$B$197,2,FALSE)*60,"")</f>
        <v>63.770659646043583</v>
      </c>
      <c r="E2754" s="66">
        <v>540.1</v>
      </c>
      <c r="F2754" s="64">
        <f t="shared" ref="F2754:F2817" si="43">IF(A2754=A2753,IFERROR((E2754-E2753)/(D2754-D2753),""),"")</f>
        <v>24.000718749999994</v>
      </c>
      <c r="G2754" s="60" t="s">
        <v>9</v>
      </c>
      <c r="H2754" s="60" t="s">
        <v>5061</v>
      </c>
    </row>
    <row r="2755" spans="1:8">
      <c r="A2755" s="59" t="s">
        <v>3648</v>
      </c>
      <c r="B2755" s="62">
        <v>12</v>
      </c>
      <c r="C2755" s="60" t="s">
        <v>5054</v>
      </c>
      <c r="D2755" s="64">
        <f>IFERROR(VLOOKUP(C2755,測定点マスタ!$E$2:$F$28,2,FALSE)/VLOOKUP(A2755,'焼鈍条件-3CGL'!$A$2:$B$197,2,FALSE)*60,"")</f>
        <v>71.376334649700155</v>
      </c>
      <c r="E2755" s="66">
        <v>520.5</v>
      </c>
      <c r="F2755" s="64">
        <f t="shared" si="43"/>
        <v>-2.5770230769230809</v>
      </c>
      <c r="G2755" s="60" t="s">
        <v>9</v>
      </c>
      <c r="H2755" s="60" t="s">
        <v>5061</v>
      </c>
    </row>
    <row r="2756" spans="1:8">
      <c r="A2756" s="59" t="s">
        <v>3648</v>
      </c>
      <c r="B2756" s="62">
        <v>13</v>
      </c>
      <c r="C2756" s="60" t="s">
        <v>5056</v>
      </c>
      <c r="D2756" s="64">
        <f>IFERROR(VLOOKUP(C2756,測定点マスタ!$E$2:$F$28,2,FALSE)/VLOOKUP(A2756,'焼鈍条件-3CGL'!$A$2:$B$197,2,FALSE)*60,"")</f>
        <v>77.81190580664034</v>
      </c>
      <c r="E2756" s="66">
        <v>260.2</v>
      </c>
      <c r="F2756" s="64">
        <f t="shared" si="43"/>
        <v>-40.447070454545418</v>
      </c>
      <c r="G2756" s="60" t="s">
        <v>9</v>
      </c>
      <c r="H2756" s="60" t="s">
        <v>5061</v>
      </c>
    </row>
    <row r="2757" spans="1:8">
      <c r="A2757" s="59" t="s">
        <v>3648</v>
      </c>
      <c r="B2757" s="62">
        <v>14</v>
      </c>
      <c r="C2757" s="60" t="s">
        <v>5062</v>
      </c>
      <c r="D2757" s="64">
        <f>IFERROR(VLOOKUP(C2757,測定点マスタ!$E$2:$F$28,2,FALSE)/VLOOKUP(A2757,'焼鈍条件-3CGL'!$A$2:$B$197,2,FALSE)*60,"")</f>
        <v>84.832528886938704</v>
      </c>
      <c r="E2757" s="66">
        <v>456.4</v>
      </c>
      <c r="F2757" s="64">
        <f t="shared" si="43"/>
        <v>27.946237500000048</v>
      </c>
      <c r="G2757" s="60" t="s">
        <v>9</v>
      </c>
      <c r="H2757" s="60" t="s">
        <v>5061</v>
      </c>
    </row>
    <row r="2758" spans="1:8">
      <c r="A2758" s="59" t="s">
        <v>3648</v>
      </c>
      <c r="B2758" s="62">
        <v>15</v>
      </c>
      <c r="C2758" s="60" t="s">
        <v>5057</v>
      </c>
      <c r="D2758" s="64">
        <f>IFERROR(VLOOKUP(C2758,測定点マスタ!$E$2:$F$28,2,FALSE)/VLOOKUP(A2758,'焼鈍条件-3CGL'!$A$2:$B$197,2,FALSE)*60,"")</f>
        <v>96.47088321945705</v>
      </c>
      <c r="E2758" s="66">
        <v>175.8</v>
      </c>
      <c r="F2758" s="64">
        <f t="shared" si="43"/>
        <v>-24.109937881508269</v>
      </c>
      <c r="G2758" s="60" t="s">
        <v>9</v>
      </c>
      <c r="H2758" s="60" t="s">
        <v>5061</v>
      </c>
    </row>
    <row r="2759" spans="1:8">
      <c r="A2759" s="59" t="s">
        <v>3648</v>
      </c>
      <c r="B2759" s="62">
        <v>16</v>
      </c>
      <c r="C2759" s="60" t="s">
        <v>5058</v>
      </c>
      <c r="D2759" s="64">
        <f>IFERROR(VLOOKUP(C2759,測定点マスタ!$E$2:$F$28,2,FALSE)/VLOOKUP(A2759,'焼鈍条件-3CGL'!$A$2:$B$197,2,FALSE)*60,"")</f>
        <v>100.00208947115458</v>
      </c>
      <c r="E2759" s="66">
        <v>109.7</v>
      </c>
      <c r="F2759" s="64">
        <f t="shared" si="43"/>
        <v>-18.718815976332262</v>
      </c>
      <c r="G2759" s="60" t="s">
        <v>9</v>
      </c>
      <c r="H2759" s="60" t="s">
        <v>5061</v>
      </c>
    </row>
    <row r="2760" spans="1:8">
      <c r="A2760" s="59" t="s">
        <v>3648</v>
      </c>
      <c r="B2760" s="62">
        <v>17</v>
      </c>
      <c r="C2760" s="60" t="s">
        <v>5059</v>
      </c>
      <c r="D2760" s="64">
        <f>IFERROR(VLOOKUP(C2760,測定点マスタ!$E$2:$F$28,2,FALSE)/VLOOKUP(A2760,'焼鈍条件-3CGL'!$A$2:$B$197,2,FALSE)*60,"")</f>
        <v>103.53329572285271</v>
      </c>
      <c r="E2760" s="66">
        <v>64.5</v>
      </c>
      <c r="F2760" s="64">
        <f t="shared" si="43"/>
        <v>-12.800158579880057</v>
      </c>
      <c r="G2760" s="60" t="s">
        <v>9</v>
      </c>
      <c r="H2760" s="60" t="s">
        <v>5061</v>
      </c>
    </row>
    <row r="2761" spans="1:8">
      <c r="A2761" s="59" t="s">
        <v>3649</v>
      </c>
      <c r="B2761" s="62">
        <v>1</v>
      </c>
      <c r="C2761" s="60" t="s">
        <v>5041</v>
      </c>
      <c r="D2761" s="64">
        <f>IFERROR(VLOOKUP(C2761,測定点マスタ!$E$2:$F$28,2,FALSE)/VLOOKUP(A2761,'焼鈍条件-3CGL'!$A$2:$B$197,2,FALSE)*60,"")</f>
        <v>0</v>
      </c>
      <c r="E2761" s="66">
        <v>32</v>
      </c>
      <c r="F2761" s="64" t="str">
        <f t="shared" si="43"/>
        <v/>
      </c>
      <c r="G2761" s="60" t="s">
        <v>12</v>
      </c>
      <c r="H2761" s="60" t="s">
        <v>5064</v>
      </c>
    </row>
    <row r="2762" spans="1:8">
      <c r="A2762" s="59" t="s">
        <v>3649</v>
      </c>
      <c r="B2762" s="62">
        <v>2</v>
      </c>
      <c r="C2762" s="60" t="s">
        <v>5043</v>
      </c>
      <c r="D2762" s="64">
        <f>IFERROR(VLOOKUP(C2762,測定点マスタ!$E$2:$F$28,2,FALSE)/VLOOKUP(A2762,'焼鈍条件-3CGL'!$A$2:$B$197,2,FALSE)*60,"")</f>
        <v>10.460372621718058</v>
      </c>
      <c r="E2762" s="66">
        <v>175.2</v>
      </c>
      <c r="F2762" s="64">
        <f t="shared" si="43"/>
        <v>13.689760888888888</v>
      </c>
      <c r="G2762" s="60" t="s">
        <v>12</v>
      </c>
      <c r="H2762" s="60" t="s">
        <v>5064</v>
      </c>
    </row>
    <row r="2763" spans="1:8">
      <c r="A2763" s="59" t="s">
        <v>3649</v>
      </c>
      <c r="B2763" s="62">
        <v>3</v>
      </c>
      <c r="C2763" s="60" t="s">
        <v>5067</v>
      </c>
      <c r="D2763" s="64">
        <f>IFERROR(VLOOKUP(C2763,測定点マスタ!$E$2:$F$28,2,FALSE)/VLOOKUP(A2763,'焼鈍条件-3CGL'!$A$2:$B$197,2,FALSE)*60,"")</f>
        <v>17.433954369530095</v>
      </c>
      <c r="E2763" s="66">
        <v>402.6</v>
      </c>
      <c r="F2763" s="64">
        <f t="shared" si="43"/>
        <v>32.608781000000008</v>
      </c>
      <c r="G2763" s="60" t="s">
        <v>12</v>
      </c>
      <c r="H2763" s="60" t="s">
        <v>5064</v>
      </c>
    </row>
    <row r="2764" spans="1:8">
      <c r="A2764" s="59" t="s">
        <v>3649</v>
      </c>
      <c r="B2764" s="62">
        <v>4</v>
      </c>
      <c r="C2764" s="60" t="s">
        <v>5044</v>
      </c>
      <c r="D2764" s="64">
        <f>IFERROR(VLOOKUP(C2764,測定点マスタ!$E$2:$F$28,2,FALSE)/VLOOKUP(A2764,'焼鈍条件-3CGL'!$A$2:$B$197,2,FALSE)*60,"")</f>
        <v>23.710177942560932</v>
      </c>
      <c r="E2764" s="66">
        <v>710.7</v>
      </c>
      <c r="F2764" s="64">
        <f t="shared" si="43"/>
        <v>49.090029444444433</v>
      </c>
      <c r="G2764" s="60" t="s">
        <v>12</v>
      </c>
      <c r="H2764" s="60" t="s">
        <v>5064</v>
      </c>
    </row>
    <row r="2765" spans="1:8">
      <c r="A2765" s="59" t="s">
        <v>3649</v>
      </c>
      <c r="B2765" s="62">
        <v>5</v>
      </c>
      <c r="C2765" s="60" t="s">
        <v>5045</v>
      </c>
      <c r="D2765" s="64">
        <f>IFERROR(VLOOKUP(C2765,測定点マスタ!$E$2:$F$28,2,FALSE)/VLOOKUP(A2765,'焼鈍条件-3CGL'!$A$2:$B$197,2,FALSE)*60,"")</f>
        <v>30.683759690372966</v>
      </c>
      <c r="E2765" s="66">
        <v>847.3</v>
      </c>
      <c r="F2765" s="64">
        <f t="shared" si="43"/>
        <v>19.588212333333335</v>
      </c>
      <c r="G2765" s="60" t="s">
        <v>12</v>
      </c>
      <c r="H2765" s="60" t="s">
        <v>5064</v>
      </c>
    </row>
    <row r="2766" spans="1:8">
      <c r="A2766" s="59" t="s">
        <v>3649</v>
      </c>
      <c r="B2766" s="62">
        <v>6</v>
      </c>
      <c r="C2766" s="60" t="s">
        <v>5046</v>
      </c>
      <c r="D2766" s="64">
        <f>IFERROR(VLOOKUP(C2766,測定点マスタ!$E$2:$F$28,2,FALSE)/VLOOKUP(A2766,'焼鈍条件-3CGL'!$A$2:$B$197,2,FALSE)*60,"")</f>
        <v>37.657341438185007</v>
      </c>
      <c r="E2766" s="66">
        <v>823.3</v>
      </c>
      <c r="F2766" s="64">
        <f t="shared" si="43"/>
        <v>-3.4415599999999991</v>
      </c>
      <c r="G2766" s="60" t="s">
        <v>12</v>
      </c>
      <c r="H2766" s="60" t="s">
        <v>5064</v>
      </c>
    </row>
    <row r="2767" spans="1:8">
      <c r="A2767" s="59" t="s">
        <v>3649</v>
      </c>
      <c r="B2767" s="62">
        <v>7</v>
      </c>
      <c r="C2767" s="60" t="s">
        <v>5047</v>
      </c>
      <c r="D2767" s="64">
        <f>IFERROR(VLOOKUP(C2767,測定点マスタ!$E$2:$F$28,2,FALSE)/VLOOKUP(A2767,'焼鈍条件-3CGL'!$A$2:$B$197,2,FALSE)*60,"")</f>
        <v>41.841490486872232</v>
      </c>
      <c r="E2767" s="66">
        <v>769.3</v>
      </c>
      <c r="F2767" s="64">
        <f t="shared" si="43"/>
        <v>-12.905849999999996</v>
      </c>
      <c r="G2767" s="60" t="s">
        <v>12</v>
      </c>
      <c r="H2767" s="60" t="s">
        <v>5064</v>
      </c>
    </row>
    <row r="2768" spans="1:8">
      <c r="A2768" s="59" t="s">
        <v>3649</v>
      </c>
      <c r="B2768" s="62">
        <v>8</v>
      </c>
      <c r="C2768" s="60" t="s">
        <v>5049</v>
      </c>
      <c r="D2768" s="64">
        <f>IFERROR(VLOOKUP(C2768,測定点マスタ!$E$2:$F$28,2,FALSE)/VLOOKUP(A2768,'焼鈍条件-3CGL'!$A$2:$B$197,2,FALSE)*60,"")</f>
        <v>50.907146759027881</v>
      </c>
      <c r="E2768" s="66">
        <v>627.6</v>
      </c>
      <c r="F2768" s="64">
        <f t="shared" si="43"/>
        <v>-15.630418333333328</v>
      </c>
      <c r="G2768" s="60" t="s">
        <v>12</v>
      </c>
      <c r="H2768" s="60" t="s">
        <v>5064</v>
      </c>
    </row>
    <row r="2769" spans="1:8">
      <c r="A2769" s="59" t="s">
        <v>3649</v>
      </c>
      <c r="B2769" s="62">
        <v>9</v>
      </c>
      <c r="C2769" s="60" t="s">
        <v>5050</v>
      </c>
      <c r="D2769" s="64">
        <f>IFERROR(VLOOKUP(C2769,測定点マスタ!$E$2:$F$28,2,FALSE)/VLOOKUP(A2769,'焼鈍条件-3CGL'!$A$2:$B$197,2,FALSE)*60,"")</f>
        <v>56.486012157277514</v>
      </c>
      <c r="E2769" s="66">
        <v>533.29999999999995</v>
      </c>
      <c r="F2769" s="64">
        <f t="shared" si="43"/>
        <v>-16.903078541666673</v>
      </c>
      <c r="G2769" s="60" t="s">
        <v>12</v>
      </c>
      <c r="H2769" s="60" t="s">
        <v>5064</v>
      </c>
    </row>
    <row r="2770" spans="1:8">
      <c r="A2770" s="59" t="s">
        <v>3649</v>
      </c>
      <c r="B2770" s="62">
        <v>10</v>
      </c>
      <c r="C2770" s="60" t="s">
        <v>5051</v>
      </c>
      <c r="D2770" s="64">
        <f>IFERROR(VLOOKUP(C2770,測定点マスタ!$E$2:$F$28,2,FALSE)/VLOOKUP(A2770,'焼鈍条件-3CGL'!$A$2:$B$197,2,FALSE)*60,"")</f>
        <v>61.367519380745932</v>
      </c>
      <c r="E2770" s="66">
        <v>490.8</v>
      </c>
      <c r="F2770" s="64">
        <f t="shared" si="43"/>
        <v>-8.706327380952386</v>
      </c>
      <c r="G2770" s="60" t="s">
        <v>12</v>
      </c>
      <c r="H2770" s="60" t="s">
        <v>5064</v>
      </c>
    </row>
    <row r="2771" spans="1:8">
      <c r="A2771" s="59" t="s">
        <v>3649</v>
      </c>
      <c r="B2771" s="62">
        <v>11</v>
      </c>
      <c r="C2771" s="60" t="s">
        <v>5052</v>
      </c>
      <c r="D2771" s="64">
        <f>IFERROR(VLOOKUP(C2771,測定点マスタ!$E$2:$F$28,2,FALSE)/VLOOKUP(A2771,'焼鈍条件-3CGL'!$A$2:$B$197,2,FALSE)*60,"")</f>
        <v>67.643742953776766</v>
      </c>
      <c r="E2771" s="66">
        <v>376.5</v>
      </c>
      <c r="F2771" s="64">
        <f t="shared" si="43"/>
        <v>-18.211588333333339</v>
      </c>
      <c r="G2771" s="60" t="s">
        <v>12</v>
      </c>
      <c r="H2771" s="60" t="s">
        <v>5064</v>
      </c>
    </row>
    <row r="2772" spans="1:8">
      <c r="A2772" s="59" t="s">
        <v>3649</v>
      </c>
      <c r="B2772" s="62">
        <v>12</v>
      </c>
      <c r="C2772" s="60" t="s">
        <v>5053</v>
      </c>
      <c r="D2772" s="64">
        <f>IFERROR(VLOOKUP(C2772,測定点マスタ!$E$2:$F$28,2,FALSE)/VLOOKUP(A2772,'焼鈍条件-3CGL'!$A$2:$B$197,2,FALSE)*60,"")</f>
        <v>76.012041051151215</v>
      </c>
      <c r="E2772" s="66">
        <v>560.5</v>
      </c>
      <c r="F2772" s="64">
        <f t="shared" si="43"/>
        <v>21.987744444444438</v>
      </c>
      <c r="G2772" s="60" t="s">
        <v>12</v>
      </c>
      <c r="H2772" s="60" t="s">
        <v>5064</v>
      </c>
    </row>
    <row r="2773" spans="1:8">
      <c r="A2773" s="59" t="s">
        <v>3649</v>
      </c>
      <c r="B2773" s="62">
        <v>13</v>
      </c>
      <c r="C2773" s="60" t="s">
        <v>5054</v>
      </c>
      <c r="D2773" s="64">
        <f>IFERROR(VLOOKUP(C2773,測定点マスタ!$E$2:$F$28,2,FALSE)/VLOOKUP(A2773,'焼鈍条件-3CGL'!$A$2:$B$197,2,FALSE)*60,"")</f>
        <v>85.077697323306879</v>
      </c>
      <c r="E2773" s="66">
        <v>552</v>
      </c>
      <c r="F2773" s="64">
        <f t="shared" si="43"/>
        <v>-0.93760448717948575</v>
      </c>
      <c r="G2773" s="60" t="s">
        <v>12</v>
      </c>
      <c r="H2773" s="60" t="s">
        <v>5064</v>
      </c>
    </row>
    <row r="2774" spans="1:8">
      <c r="A2774" s="59" t="s">
        <v>3649</v>
      </c>
      <c r="B2774" s="62">
        <v>14</v>
      </c>
      <c r="C2774" s="60" t="s">
        <v>5055</v>
      </c>
      <c r="D2774" s="64">
        <f>IFERROR(VLOOKUP(C2774,測定点マスタ!$E$2:$F$28,2,FALSE)/VLOOKUP(A2774,'焼鈍条件-3CGL'!$A$2:$B$197,2,FALSE)*60,"")</f>
        <v>88.564488197212896</v>
      </c>
      <c r="E2774" s="66">
        <v>588.4</v>
      </c>
      <c r="F2774" s="64">
        <f t="shared" si="43"/>
        <v>10.439398666666667</v>
      </c>
      <c r="G2774" s="60" t="s">
        <v>12</v>
      </c>
      <c r="H2774" s="60" t="s">
        <v>5064</v>
      </c>
    </row>
    <row r="2775" spans="1:8">
      <c r="A2775" s="59" t="s">
        <v>3649</v>
      </c>
      <c r="B2775" s="62">
        <v>15</v>
      </c>
      <c r="C2775" s="60" t="s">
        <v>5056</v>
      </c>
      <c r="D2775" s="64">
        <f>IFERROR(VLOOKUP(C2775,測定点マスタ!$E$2:$F$28,2,FALSE)/VLOOKUP(A2775,'焼鈍条件-3CGL'!$A$2:$B$197,2,FALSE)*60,"")</f>
        <v>92.748637245900113</v>
      </c>
      <c r="E2775" s="66">
        <v>291.2</v>
      </c>
      <c r="F2775" s="64">
        <f t="shared" si="43"/>
        <v>-71.029974444444534</v>
      </c>
      <c r="G2775" s="60" t="s">
        <v>12</v>
      </c>
      <c r="H2775" s="60" t="s">
        <v>5064</v>
      </c>
    </row>
    <row r="2776" spans="1:8">
      <c r="A2776" s="59" t="s">
        <v>3649</v>
      </c>
      <c r="B2776" s="62">
        <v>16</v>
      </c>
      <c r="C2776" s="60" t="s">
        <v>5062</v>
      </c>
      <c r="D2776" s="64">
        <f>IFERROR(VLOOKUP(C2776,測定点マスタ!$E$2:$F$28,2,FALSE)/VLOOKUP(A2776,'焼鈍条件-3CGL'!$A$2:$B$197,2,FALSE)*60,"")</f>
        <v>101.11693534327455</v>
      </c>
      <c r="E2776" s="66">
        <v>465.3</v>
      </c>
      <c r="F2776" s="64">
        <f t="shared" si="43"/>
        <v>20.804708194444476</v>
      </c>
      <c r="G2776" s="60" t="s">
        <v>12</v>
      </c>
      <c r="H2776" s="60" t="s">
        <v>5064</v>
      </c>
    </row>
    <row r="2777" spans="1:8">
      <c r="A2777" s="59" t="s">
        <v>3649</v>
      </c>
      <c r="B2777" s="62">
        <v>17</v>
      </c>
      <c r="C2777" s="60" t="s">
        <v>5065</v>
      </c>
      <c r="D2777" s="64">
        <f>IFERROR(VLOOKUP(C2777,測定点マスタ!$E$2:$F$28,2,FALSE)/VLOOKUP(A2777,'焼鈍条件-3CGL'!$A$2:$B$197,2,FALSE)*60,"")</f>
        <v>102.36221779824079</v>
      </c>
      <c r="E2777" s="66">
        <v>553.9</v>
      </c>
      <c r="F2777" s="64">
        <f t="shared" si="43"/>
        <v>71.148517066677599</v>
      </c>
      <c r="G2777" s="60" t="s">
        <v>12</v>
      </c>
      <c r="H2777" s="60" t="s">
        <v>5064</v>
      </c>
    </row>
    <row r="2778" spans="1:8">
      <c r="A2778" s="59" t="s">
        <v>3649</v>
      </c>
      <c r="B2778" s="62">
        <v>18</v>
      </c>
      <c r="C2778" s="60" t="s">
        <v>5066</v>
      </c>
      <c r="D2778" s="64">
        <f>IFERROR(VLOOKUP(C2778,測定点マスタ!$E$2:$F$28,2,FALSE)/VLOOKUP(A2778,'焼鈍条件-3CGL'!$A$2:$B$197,2,FALSE)*60,"")</f>
        <v>106.57127249602786</v>
      </c>
      <c r="E2778" s="66">
        <v>540.70000000000005</v>
      </c>
      <c r="F2778" s="64">
        <f t="shared" si="43"/>
        <v>-3.1360960946741558</v>
      </c>
      <c r="G2778" s="60" t="s">
        <v>12</v>
      </c>
      <c r="H2778" s="60" t="s">
        <v>5064</v>
      </c>
    </row>
    <row r="2779" spans="1:8">
      <c r="A2779" s="59" t="s">
        <v>3649</v>
      </c>
      <c r="B2779" s="62">
        <v>19</v>
      </c>
      <c r="C2779" s="60" t="s">
        <v>5057</v>
      </c>
      <c r="D2779" s="64">
        <f>IFERROR(VLOOKUP(C2779,測定点マスタ!$E$2:$F$28,2,FALSE)/VLOOKUP(A2779,'焼鈍条件-3CGL'!$A$2:$B$197,2,FALSE)*60,"")</f>
        <v>114.98938189160056</v>
      </c>
      <c r="E2779" s="66">
        <v>234</v>
      </c>
      <c r="F2779" s="64">
        <f t="shared" si="43"/>
        <v>-36.433358796845937</v>
      </c>
      <c r="G2779" s="60" t="s">
        <v>12</v>
      </c>
      <c r="H2779" s="60" t="s">
        <v>5064</v>
      </c>
    </row>
    <row r="2780" spans="1:8">
      <c r="A2780" s="59" t="s">
        <v>3649</v>
      </c>
      <c r="B2780" s="62">
        <v>20</v>
      </c>
      <c r="C2780" s="60" t="s">
        <v>5059</v>
      </c>
      <c r="D2780" s="64">
        <f>IFERROR(VLOOKUP(C2780,測定点マスタ!$E$2:$F$28,2,FALSE)/VLOOKUP(A2780,'焼鈍条件-3CGL'!$A$2:$B$197,2,FALSE)*60,"")</f>
        <v>123.40749128717394</v>
      </c>
      <c r="E2780" s="66">
        <v>60.7</v>
      </c>
      <c r="F2780" s="64">
        <f t="shared" si="43"/>
        <v>-20.586570197237982</v>
      </c>
      <c r="G2780" s="60" t="s">
        <v>12</v>
      </c>
      <c r="H2780" s="60" t="s">
        <v>5064</v>
      </c>
    </row>
    <row r="2781" spans="1:8">
      <c r="A2781" s="59" t="s">
        <v>3656</v>
      </c>
      <c r="B2781" s="62">
        <v>1</v>
      </c>
      <c r="C2781" s="60" t="s">
        <v>5041</v>
      </c>
      <c r="D2781" s="64">
        <f>IFERROR(VLOOKUP(C2781,測定点マスタ!$E$2:$F$28,2,FALSE)/VLOOKUP(A2781,'焼鈍条件-3CGL'!$A$2:$B$197,2,FALSE)*60,"")</f>
        <v>0</v>
      </c>
      <c r="E2781" s="66">
        <v>37.299999999999997</v>
      </c>
      <c r="F2781" s="64" t="str">
        <f t="shared" si="43"/>
        <v/>
      </c>
      <c r="G2781" s="60" t="s">
        <v>9</v>
      </c>
      <c r="H2781" s="60" t="s">
        <v>5042</v>
      </c>
    </row>
    <row r="2782" spans="1:8">
      <c r="A2782" s="59" t="s">
        <v>3656</v>
      </c>
      <c r="B2782" s="62">
        <v>2</v>
      </c>
      <c r="C2782" s="60" t="s">
        <v>5043</v>
      </c>
      <c r="D2782" s="64">
        <f>IFERROR(VLOOKUP(C2782,測定点マスタ!$E$2:$F$28,2,FALSE)/VLOOKUP(A2782,'焼鈍条件-3CGL'!$A$2:$B$197,2,FALSE)*60,"")</f>
        <v>12.791540527864239</v>
      </c>
      <c r="E2782" s="66">
        <v>174.9</v>
      </c>
      <c r="F2782" s="64">
        <f t="shared" si="43"/>
        <v>10.757109333333336</v>
      </c>
      <c r="G2782" s="60" t="s">
        <v>9</v>
      </c>
      <c r="H2782" s="60" t="s">
        <v>5042</v>
      </c>
    </row>
    <row r="2783" spans="1:8">
      <c r="A2783" s="59" t="s">
        <v>3656</v>
      </c>
      <c r="B2783" s="62">
        <v>3</v>
      </c>
      <c r="C2783" s="60" t="s">
        <v>5044</v>
      </c>
      <c r="D2783" s="64">
        <f>IFERROR(VLOOKUP(C2783,測定点マスタ!$E$2:$F$28,2,FALSE)/VLOOKUP(A2783,'焼鈍条件-3CGL'!$A$2:$B$197,2,FALSE)*60,"")</f>
        <v>28.994158529825611</v>
      </c>
      <c r="E2783" s="66">
        <v>668</v>
      </c>
      <c r="F2783" s="64">
        <f t="shared" si="43"/>
        <v>30.433353421052626</v>
      </c>
      <c r="G2783" s="60" t="s">
        <v>9</v>
      </c>
      <c r="H2783" s="60" t="s">
        <v>5042</v>
      </c>
    </row>
    <row r="2784" spans="1:8">
      <c r="A2784" s="59" t="s">
        <v>3656</v>
      </c>
      <c r="B2784" s="62">
        <v>4</v>
      </c>
      <c r="C2784" s="60" t="s">
        <v>5045</v>
      </c>
      <c r="D2784" s="64">
        <f>IFERROR(VLOOKUP(C2784,測定点マスタ!$E$2:$F$28,2,FALSE)/VLOOKUP(A2784,'焼鈍条件-3CGL'!$A$2:$B$197,2,FALSE)*60,"")</f>
        <v>37.521852215068435</v>
      </c>
      <c r="E2784" s="66">
        <v>840.1</v>
      </c>
      <c r="F2784" s="64">
        <f t="shared" si="43"/>
        <v>20.181306500000009</v>
      </c>
      <c r="G2784" s="60" t="s">
        <v>9</v>
      </c>
      <c r="H2784" s="60" t="s">
        <v>5042</v>
      </c>
    </row>
    <row r="2785" spans="1:8">
      <c r="A2785" s="59" t="s">
        <v>3656</v>
      </c>
      <c r="B2785" s="62">
        <v>5</v>
      </c>
      <c r="C2785" s="60" t="s">
        <v>5047</v>
      </c>
      <c r="D2785" s="64">
        <f>IFERROR(VLOOKUP(C2785,測定点マスタ!$E$2:$F$28,2,FALSE)/VLOOKUP(A2785,'焼鈍条件-3CGL'!$A$2:$B$197,2,FALSE)*60,"")</f>
        <v>51.166162111456956</v>
      </c>
      <c r="E2785" s="66">
        <v>775.7</v>
      </c>
      <c r="F2785" s="64">
        <f t="shared" si="43"/>
        <v>-4.7199162499999989</v>
      </c>
      <c r="G2785" s="60" t="s">
        <v>9</v>
      </c>
      <c r="H2785" s="60" t="s">
        <v>5042</v>
      </c>
    </row>
    <row r="2786" spans="1:8">
      <c r="A2786" s="59" t="s">
        <v>3656</v>
      </c>
      <c r="B2786" s="62">
        <v>6</v>
      </c>
      <c r="C2786" s="60" t="s">
        <v>5048</v>
      </c>
      <c r="D2786" s="64">
        <f>IFERROR(VLOOKUP(C2786,測定点マスタ!$E$2:$F$28,2,FALSE)/VLOOKUP(A2786,'焼鈍条件-3CGL'!$A$2:$B$197,2,FALSE)*60,"")</f>
        <v>56.28277832260266</v>
      </c>
      <c r="E2786" s="66">
        <v>725.8</v>
      </c>
      <c r="F2786" s="64">
        <f t="shared" si="43"/>
        <v>-9.7525391666666685</v>
      </c>
      <c r="G2786" s="60" t="s">
        <v>9</v>
      </c>
      <c r="H2786" s="60" t="s">
        <v>5042</v>
      </c>
    </row>
    <row r="2787" spans="1:8">
      <c r="A2787" s="59" t="s">
        <v>3656</v>
      </c>
      <c r="B2787" s="62">
        <v>7</v>
      </c>
      <c r="C2787" s="60" t="s">
        <v>5049</v>
      </c>
      <c r="D2787" s="64">
        <f>IFERROR(VLOOKUP(C2787,測定点マスタ!$E$2:$F$28,2,FALSE)/VLOOKUP(A2787,'焼鈍条件-3CGL'!$A$2:$B$197,2,FALSE)*60,"")</f>
        <v>62.252163902272642</v>
      </c>
      <c r="E2787" s="66">
        <v>623.1</v>
      </c>
      <c r="F2787" s="64">
        <f t="shared" si="43"/>
        <v>-17.204450714285692</v>
      </c>
      <c r="G2787" s="60" t="s">
        <v>9</v>
      </c>
      <c r="H2787" s="60" t="s">
        <v>5042</v>
      </c>
    </row>
    <row r="2788" spans="1:8">
      <c r="A2788" s="59" t="s">
        <v>3656</v>
      </c>
      <c r="B2788" s="62">
        <v>8</v>
      </c>
      <c r="C2788" s="60" t="s">
        <v>5050</v>
      </c>
      <c r="D2788" s="64">
        <f>IFERROR(VLOOKUP(C2788,測定点マスタ!$E$2:$F$28,2,FALSE)/VLOOKUP(A2788,'焼鈍条件-3CGL'!$A$2:$B$197,2,FALSE)*60,"")</f>
        <v>69.074318850466895</v>
      </c>
      <c r="E2788" s="66">
        <v>494.7</v>
      </c>
      <c r="F2788" s="64">
        <f t="shared" si="43"/>
        <v>-18.821032500000026</v>
      </c>
      <c r="G2788" s="60" t="s">
        <v>9</v>
      </c>
      <c r="H2788" s="60" t="s">
        <v>5042</v>
      </c>
    </row>
    <row r="2789" spans="1:8">
      <c r="A2789" s="59" t="s">
        <v>3656</v>
      </c>
      <c r="B2789" s="62">
        <v>9</v>
      </c>
      <c r="C2789" s="60" t="s">
        <v>5051</v>
      </c>
      <c r="D2789" s="64">
        <f>IFERROR(VLOOKUP(C2789,測定点マスタ!$E$2:$F$28,2,FALSE)/VLOOKUP(A2789,'焼鈍条件-3CGL'!$A$2:$B$197,2,FALSE)*60,"")</f>
        <v>75.04370443013687</v>
      </c>
      <c r="E2789" s="66">
        <v>453.3</v>
      </c>
      <c r="F2789" s="64">
        <f t="shared" si="43"/>
        <v>-6.9353871428571425</v>
      </c>
      <c r="G2789" s="60" t="s">
        <v>9</v>
      </c>
      <c r="H2789" s="60" t="s">
        <v>5042</v>
      </c>
    </row>
    <row r="2790" spans="1:8">
      <c r="A2790" s="59" t="s">
        <v>3656</v>
      </c>
      <c r="B2790" s="62">
        <v>10</v>
      </c>
      <c r="C2790" s="60" t="s">
        <v>5060</v>
      </c>
      <c r="D2790" s="64">
        <f>IFERROR(VLOOKUP(C2790,測定点マスタ!$E$2:$F$28,2,FALSE)/VLOOKUP(A2790,'焼鈍条件-3CGL'!$A$2:$B$197,2,FALSE)*60,"")</f>
        <v>78.454781904234011</v>
      </c>
      <c r="E2790" s="66">
        <v>437</v>
      </c>
      <c r="F2790" s="64">
        <f t="shared" si="43"/>
        <v>-4.778548749999989</v>
      </c>
      <c r="G2790" s="60" t="s">
        <v>9</v>
      </c>
      <c r="H2790" s="60" t="s">
        <v>5042</v>
      </c>
    </row>
    <row r="2791" spans="1:8">
      <c r="A2791" s="59" t="s">
        <v>3656</v>
      </c>
      <c r="B2791" s="62">
        <v>11</v>
      </c>
      <c r="C2791" s="60" t="s">
        <v>5052</v>
      </c>
      <c r="D2791" s="64">
        <f>IFERROR(VLOOKUP(C2791,測定点マスタ!$E$2:$F$28,2,FALSE)/VLOOKUP(A2791,'焼鈍条件-3CGL'!$A$2:$B$197,2,FALSE)*60,"")</f>
        <v>82.718628746855416</v>
      </c>
      <c r="E2791" s="66">
        <v>368.4</v>
      </c>
      <c r="F2791" s="64">
        <f t="shared" si="43"/>
        <v>-16.088758000000038</v>
      </c>
      <c r="G2791" s="60" t="s">
        <v>9</v>
      </c>
      <c r="H2791" s="60" t="s">
        <v>5042</v>
      </c>
    </row>
    <row r="2792" spans="1:8">
      <c r="A2792" s="59" t="s">
        <v>3656</v>
      </c>
      <c r="B2792" s="62">
        <v>12</v>
      </c>
      <c r="C2792" s="60" t="s">
        <v>5053</v>
      </c>
      <c r="D2792" s="64">
        <f>IFERROR(VLOOKUP(C2792,測定点マスタ!$E$2:$F$28,2,FALSE)/VLOOKUP(A2792,'焼鈍条件-3CGL'!$A$2:$B$197,2,FALSE)*60,"")</f>
        <v>92.95186116914681</v>
      </c>
      <c r="E2792" s="66">
        <v>550.4</v>
      </c>
      <c r="F2792" s="64">
        <f t="shared" si="43"/>
        <v>17.785191666666663</v>
      </c>
      <c r="G2792" s="60" t="s">
        <v>9</v>
      </c>
      <c r="H2792" s="60" t="s">
        <v>5042</v>
      </c>
    </row>
    <row r="2793" spans="1:8">
      <c r="A2793" s="59" t="s">
        <v>3656</v>
      </c>
      <c r="B2793" s="62">
        <v>13</v>
      </c>
      <c r="C2793" s="60" t="s">
        <v>5054</v>
      </c>
      <c r="D2793" s="64">
        <f>IFERROR(VLOOKUP(C2793,測定点マスタ!$E$2:$F$28,2,FALSE)/VLOOKUP(A2793,'焼鈍条件-3CGL'!$A$2:$B$197,2,FALSE)*60,"")</f>
        <v>104.03786295996248</v>
      </c>
      <c r="E2793" s="66">
        <v>522.6</v>
      </c>
      <c r="F2793" s="64">
        <f t="shared" si="43"/>
        <v>-2.5076669230769193</v>
      </c>
      <c r="G2793" s="60" t="s">
        <v>9</v>
      </c>
      <c r="H2793" s="60" t="s">
        <v>5042</v>
      </c>
    </row>
    <row r="2794" spans="1:8">
      <c r="A2794" s="59" t="s">
        <v>3656</v>
      </c>
      <c r="B2794" s="62">
        <v>14</v>
      </c>
      <c r="C2794" s="60" t="s">
        <v>5056</v>
      </c>
      <c r="D2794" s="64">
        <f>IFERROR(VLOOKUP(C2794,測定点マスタ!$E$2:$F$28,2,FALSE)/VLOOKUP(A2794,'焼鈍条件-3CGL'!$A$2:$B$197,2,FALSE)*60,"")</f>
        <v>113.4183260137296</v>
      </c>
      <c r="E2794" s="66">
        <v>277.2</v>
      </c>
      <c r="F2794" s="64">
        <f t="shared" si="43"/>
        <v>-26.160755454545438</v>
      </c>
      <c r="G2794" s="60" t="s">
        <v>9</v>
      </c>
      <c r="H2794" s="60" t="s">
        <v>5042</v>
      </c>
    </row>
    <row r="2795" spans="1:8">
      <c r="A2795" s="59" t="s">
        <v>3656</v>
      </c>
      <c r="B2795" s="62">
        <v>15</v>
      </c>
      <c r="C2795" s="60" t="s">
        <v>5057</v>
      </c>
      <c r="D2795" s="64">
        <f>IFERROR(VLOOKUP(C2795,測定点マスタ!$E$2:$F$28,2,FALSE)/VLOOKUP(A2795,'焼鈍条件-3CGL'!$A$2:$B$197,2,FALSE)*60,"")</f>
        <v>140.61557765987891</v>
      </c>
      <c r="E2795" s="66">
        <v>201.5</v>
      </c>
      <c r="F2795" s="64">
        <f t="shared" si="43"/>
        <v>-2.7833694736842234</v>
      </c>
      <c r="G2795" s="60" t="s">
        <v>9</v>
      </c>
      <c r="H2795" s="60" t="s">
        <v>5042</v>
      </c>
    </row>
    <row r="2796" spans="1:8">
      <c r="A2796" s="59" t="s">
        <v>3656</v>
      </c>
      <c r="B2796" s="62">
        <v>16</v>
      </c>
      <c r="C2796" s="60" t="s">
        <v>5058</v>
      </c>
      <c r="D2796" s="64">
        <f>IFERROR(VLOOKUP(C2796,測定点マスタ!$E$2:$F$28,2,FALSE)/VLOOKUP(A2796,'焼鈍条件-3CGL'!$A$2:$B$197,2,FALSE)*60,"")</f>
        <v>145.76264991990021</v>
      </c>
      <c r="E2796" s="66">
        <v>139.80000000000001</v>
      </c>
      <c r="F2796" s="64">
        <f t="shared" si="43"/>
        <v>-11.98739727810711</v>
      </c>
      <c r="G2796" s="60" t="s">
        <v>9</v>
      </c>
      <c r="H2796" s="60" t="s">
        <v>5042</v>
      </c>
    </row>
    <row r="2797" spans="1:8">
      <c r="A2797" s="59" t="s">
        <v>3656</v>
      </c>
      <c r="B2797" s="62">
        <v>17</v>
      </c>
      <c r="C2797" s="60" t="s">
        <v>5059</v>
      </c>
      <c r="D2797" s="64">
        <f>IFERROR(VLOOKUP(C2797,測定点マスタ!$E$2:$F$28,2,FALSE)/VLOOKUP(A2797,'焼鈍条件-3CGL'!$A$2:$B$197,2,FALSE)*60,"")</f>
        <v>150.9097221799224</v>
      </c>
      <c r="E2797" s="66">
        <v>58.6</v>
      </c>
      <c r="F2797" s="64">
        <f t="shared" si="43"/>
        <v>-15.775958816566144</v>
      </c>
      <c r="G2797" s="60" t="s">
        <v>9</v>
      </c>
      <c r="H2797" s="60" t="s">
        <v>5042</v>
      </c>
    </row>
    <row r="2798" spans="1:8">
      <c r="A2798" s="59" t="s">
        <v>3663</v>
      </c>
      <c r="B2798" s="62">
        <v>1</v>
      </c>
      <c r="C2798" s="60" t="s">
        <v>5041</v>
      </c>
      <c r="D2798" s="64">
        <f>IFERROR(VLOOKUP(C2798,測定点マスタ!$E$2:$F$28,2,FALSE)/VLOOKUP(A2798,'焼鈍条件-3CGL'!$A$2:$B$197,2,FALSE)*60,"")</f>
        <v>0</v>
      </c>
      <c r="E2798" s="66">
        <v>29.6</v>
      </c>
      <c r="F2798" s="64" t="str">
        <f t="shared" si="43"/>
        <v/>
      </c>
      <c r="G2798" s="60" t="s">
        <v>9</v>
      </c>
      <c r="H2798" s="60" t="s">
        <v>5061</v>
      </c>
    </row>
    <row r="2799" spans="1:8">
      <c r="A2799" s="59" t="s">
        <v>3663</v>
      </c>
      <c r="B2799" s="62">
        <v>2</v>
      </c>
      <c r="C2799" s="60" t="s">
        <v>5043</v>
      </c>
      <c r="D2799" s="64">
        <f>IFERROR(VLOOKUP(C2799,測定点マスタ!$E$2:$F$28,2,FALSE)/VLOOKUP(A2799,'焼鈍条件-3CGL'!$A$2:$B$197,2,FALSE)*60,"")</f>
        <v>9.8349907113976602</v>
      </c>
      <c r="E2799" s="66">
        <v>196.1</v>
      </c>
      <c r="F2799" s="64">
        <f t="shared" si="43"/>
        <v>16.929350000000003</v>
      </c>
      <c r="G2799" s="60" t="s">
        <v>9</v>
      </c>
      <c r="H2799" s="60" t="s">
        <v>5061</v>
      </c>
    </row>
    <row r="2800" spans="1:8">
      <c r="A2800" s="59" t="s">
        <v>3663</v>
      </c>
      <c r="B2800" s="62">
        <v>3</v>
      </c>
      <c r="C2800" s="60" t="s">
        <v>5044</v>
      </c>
      <c r="D2800" s="64">
        <f>IFERROR(VLOOKUP(C2800,測定点マスタ!$E$2:$F$28,2,FALSE)/VLOOKUP(A2800,'焼鈍条件-3CGL'!$A$2:$B$197,2,FALSE)*60,"")</f>
        <v>22.292645612501367</v>
      </c>
      <c r="E2800" s="66">
        <v>703.1</v>
      </c>
      <c r="F2800" s="64">
        <f t="shared" si="43"/>
        <v>40.697868421052625</v>
      </c>
      <c r="G2800" s="60" t="s">
        <v>9</v>
      </c>
      <c r="H2800" s="60" t="s">
        <v>5061</v>
      </c>
    </row>
    <row r="2801" spans="1:8">
      <c r="A2801" s="59" t="s">
        <v>3663</v>
      </c>
      <c r="B2801" s="62">
        <v>4</v>
      </c>
      <c r="C2801" s="60" t="s">
        <v>5045</v>
      </c>
      <c r="D2801" s="64">
        <f>IFERROR(VLOOKUP(C2801,測定点マスタ!$E$2:$F$28,2,FALSE)/VLOOKUP(A2801,'焼鈍条件-3CGL'!$A$2:$B$197,2,FALSE)*60,"")</f>
        <v>28.849306086766472</v>
      </c>
      <c r="E2801" s="66">
        <v>843.9</v>
      </c>
      <c r="F2801" s="64">
        <f t="shared" si="43"/>
        <v>21.474346666666669</v>
      </c>
      <c r="G2801" s="60" t="s">
        <v>9</v>
      </c>
      <c r="H2801" s="60" t="s">
        <v>5061</v>
      </c>
    </row>
    <row r="2802" spans="1:8">
      <c r="A2802" s="59" t="s">
        <v>3663</v>
      </c>
      <c r="B2802" s="62">
        <v>5</v>
      </c>
      <c r="C2802" s="60" t="s">
        <v>5047</v>
      </c>
      <c r="D2802" s="64">
        <f>IFERROR(VLOOKUP(C2802,測定点マスタ!$E$2:$F$28,2,FALSE)/VLOOKUP(A2802,'焼鈍条件-3CGL'!$A$2:$B$197,2,FALSE)*60,"")</f>
        <v>39.339962845590641</v>
      </c>
      <c r="E2802" s="66">
        <v>755.4</v>
      </c>
      <c r="F2802" s="64">
        <f t="shared" si="43"/>
        <v>-8.4360781250000016</v>
      </c>
      <c r="G2802" s="60" t="s">
        <v>9</v>
      </c>
      <c r="H2802" s="60" t="s">
        <v>5061</v>
      </c>
    </row>
    <row r="2803" spans="1:8">
      <c r="A2803" s="59" t="s">
        <v>3663</v>
      </c>
      <c r="B2803" s="62">
        <v>6</v>
      </c>
      <c r="C2803" s="60" t="s">
        <v>5049</v>
      </c>
      <c r="D2803" s="64">
        <f>IFERROR(VLOOKUP(C2803,測定点マスタ!$E$2:$F$28,2,FALSE)/VLOOKUP(A2803,'焼鈍条件-3CGL'!$A$2:$B$197,2,FALSE)*60,"")</f>
        <v>47.863621462135285</v>
      </c>
      <c r="E2803" s="66">
        <v>625.6</v>
      </c>
      <c r="F2803" s="64">
        <f t="shared" si="43"/>
        <v>-15.228202564102551</v>
      </c>
      <c r="G2803" s="60" t="s">
        <v>9</v>
      </c>
      <c r="H2803" s="60" t="s">
        <v>5061</v>
      </c>
    </row>
    <row r="2804" spans="1:8">
      <c r="A2804" s="59" t="s">
        <v>3663</v>
      </c>
      <c r="B2804" s="62">
        <v>7</v>
      </c>
      <c r="C2804" s="60" t="s">
        <v>5050</v>
      </c>
      <c r="D2804" s="64">
        <f>IFERROR(VLOOKUP(C2804,測定点マスタ!$E$2:$F$28,2,FALSE)/VLOOKUP(A2804,'焼鈍条件-3CGL'!$A$2:$B$197,2,FALSE)*60,"")</f>
        <v>53.108949841547371</v>
      </c>
      <c r="E2804" s="66">
        <v>529.5</v>
      </c>
      <c r="F2804" s="64">
        <f t="shared" si="43"/>
        <v>-18.321064583333335</v>
      </c>
      <c r="G2804" s="60" t="s">
        <v>9</v>
      </c>
      <c r="H2804" s="60" t="s">
        <v>5061</v>
      </c>
    </row>
    <row r="2805" spans="1:8">
      <c r="A2805" s="59" t="s">
        <v>3663</v>
      </c>
      <c r="B2805" s="62">
        <v>8</v>
      </c>
      <c r="C2805" s="60" t="s">
        <v>5051</v>
      </c>
      <c r="D2805" s="64">
        <f>IFERROR(VLOOKUP(C2805,測定点マスタ!$E$2:$F$28,2,FALSE)/VLOOKUP(A2805,'焼鈍条件-3CGL'!$A$2:$B$197,2,FALSE)*60,"")</f>
        <v>57.698612173532943</v>
      </c>
      <c r="E2805" s="66">
        <v>477.2</v>
      </c>
      <c r="F2805" s="64">
        <f t="shared" si="43"/>
        <v>-11.39517380952382</v>
      </c>
      <c r="G2805" s="60" t="s">
        <v>9</v>
      </c>
      <c r="H2805" s="60" t="s">
        <v>5061</v>
      </c>
    </row>
    <row r="2806" spans="1:8">
      <c r="A2806" s="59" t="s">
        <v>3663</v>
      </c>
      <c r="B2806" s="62">
        <v>9</v>
      </c>
      <c r="C2806" s="60" t="s">
        <v>5052</v>
      </c>
      <c r="D2806" s="64">
        <f>IFERROR(VLOOKUP(C2806,測定点マスタ!$E$2:$F$28,2,FALSE)/VLOOKUP(A2806,'焼鈍条件-3CGL'!$A$2:$B$197,2,FALSE)*60,"")</f>
        <v>63.599606600371544</v>
      </c>
      <c r="E2806" s="66">
        <v>355.3</v>
      </c>
      <c r="F2806" s="64">
        <f t="shared" si="43"/>
        <v>-20.657535185185168</v>
      </c>
      <c r="G2806" s="60" t="s">
        <v>9</v>
      </c>
      <c r="H2806" s="60" t="s">
        <v>5061</v>
      </c>
    </row>
    <row r="2807" spans="1:8">
      <c r="A2807" s="59" t="s">
        <v>3663</v>
      </c>
      <c r="B2807" s="62">
        <v>10</v>
      </c>
      <c r="C2807" s="60" t="s">
        <v>5053</v>
      </c>
      <c r="D2807" s="64">
        <f>IFERROR(VLOOKUP(C2807,測定点マスタ!$E$2:$F$28,2,FALSE)/VLOOKUP(A2807,'焼鈍条件-3CGL'!$A$2:$B$197,2,FALSE)*60,"")</f>
        <v>71.467599169489674</v>
      </c>
      <c r="E2807" s="66">
        <v>550.29999999999995</v>
      </c>
      <c r="F2807" s="64">
        <f t="shared" si="43"/>
        <v>24.783958333333324</v>
      </c>
      <c r="G2807" s="60" t="s">
        <v>9</v>
      </c>
      <c r="H2807" s="60" t="s">
        <v>5061</v>
      </c>
    </row>
    <row r="2808" spans="1:8">
      <c r="A2808" s="59" t="s">
        <v>3663</v>
      </c>
      <c r="B2808" s="62">
        <v>11</v>
      </c>
      <c r="C2808" s="60" t="s">
        <v>5063</v>
      </c>
      <c r="D2808" s="64">
        <f>IFERROR(VLOOKUP(C2808,測定点マスタ!$E$2:$F$28,2,FALSE)/VLOOKUP(A2808,'焼鈍条件-3CGL'!$A$2:$B$197,2,FALSE)*60,"")</f>
        <v>75.401595454048731</v>
      </c>
      <c r="E2808" s="66">
        <v>552.70000000000005</v>
      </c>
      <c r="F2808" s="64">
        <f t="shared" si="43"/>
        <v>0.61006666666669085</v>
      </c>
      <c r="G2808" s="60" t="s">
        <v>9</v>
      </c>
      <c r="H2808" s="60" t="s">
        <v>5061</v>
      </c>
    </row>
    <row r="2809" spans="1:8">
      <c r="A2809" s="59" t="s">
        <v>3663</v>
      </c>
      <c r="B2809" s="62">
        <v>12</v>
      </c>
      <c r="C2809" s="60" t="s">
        <v>5054</v>
      </c>
      <c r="D2809" s="64">
        <f>IFERROR(VLOOKUP(C2809,測定点マスタ!$E$2:$F$28,2,FALSE)/VLOOKUP(A2809,'焼鈍条件-3CGL'!$A$2:$B$197,2,FALSE)*60,"")</f>
        <v>79.991257786034311</v>
      </c>
      <c r="E2809" s="66">
        <v>530.4</v>
      </c>
      <c r="F2809" s="64">
        <f t="shared" si="43"/>
        <v>-4.8587452380952492</v>
      </c>
      <c r="G2809" s="60" t="s">
        <v>9</v>
      </c>
      <c r="H2809" s="60" t="s">
        <v>5061</v>
      </c>
    </row>
    <row r="2810" spans="1:8">
      <c r="A2810" s="59" t="s">
        <v>3663</v>
      </c>
      <c r="B2810" s="62">
        <v>13</v>
      </c>
      <c r="C2810" s="60" t="s">
        <v>5056</v>
      </c>
      <c r="D2810" s="64">
        <f>IFERROR(VLOOKUP(C2810,測定点マスタ!$E$2:$F$28,2,FALSE)/VLOOKUP(A2810,'焼鈍条件-3CGL'!$A$2:$B$197,2,FALSE)*60,"")</f>
        <v>87.203584307725933</v>
      </c>
      <c r="E2810" s="66">
        <v>292.8</v>
      </c>
      <c r="F2810" s="64">
        <f t="shared" si="43"/>
        <v>-32.943599999999975</v>
      </c>
      <c r="G2810" s="60" t="s">
        <v>9</v>
      </c>
      <c r="H2810" s="60" t="s">
        <v>5061</v>
      </c>
    </row>
    <row r="2811" spans="1:8">
      <c r="A2811" s="59" t="s">
        <v>3663</v>
      </c>
      <c r="B2811" s="62">
        <v>14</v>
      </c>
      <c r="C2811" s="60" t="s">
        <v>5062</v>
      </c>
      <c r="D2811" s="64">
        <f>IFERROR(VLOOKUP(C2811,測定点マスタ!$E$2:$F$28,2,FALSE)/VLOOKUP(A2811,'焼鈍条件-3CGL'!$A$2:$B$197,2,FALSE)*60,"")</f>
        <v>95.071576876844063</v>
      </c>
      <c r="E2811" s="66">
        <v>460.8</v>
      </c>
      <c r="F2811" s="64">
        <f t="shared" si="43"/>
        <v>21.352333333333331</v>
      </c>
      <c r="G2811" s="60" t="s">
        <v>9</v>
      </c>
      <c r="H2811" s="60" t="s">
        <v>5061</v>
      </c>
    </row>
    <row r="2812" spans="1:8">
      <c r="A2812" s="59" t="s">
        <v>3663</v>
      </c>
      <c r="B2812" s="62">
        <v>15</v>
      </c>
      <c r="C2812" s="60" t="s">
        <v>5057</v>
      </c>
      <c r="D2812" s="64">
        <f>IFERROR(VLOOKUP(C2812,測定点マスタ!$E$2:$F$28,2,FALSE)/VLOOKUP(A2812,'焼鈍条件-3CGL'!$A$2:$B$197,2,FALSE)*60,"")</f>
        <v>108.11464789172133</v>
      </c>
      <c r="E2812" s="66">
        <v>195.6</v>
      </c>
      <c r="F2812" s="64">
        <f t="shared" si="43"/>
        <v>-20.332634829443613</v>
      </c>
      <c r="G2812" s="60" t="s">
        <v>9</v>
      </c>
      <c r="H2812" s="60" t="s">
        <v>5061</v>
      </c>
    </row>
    <row r="2813" spans="1:8">
      <c r="A2813" s="59" t="s">
        <v>3663</v>
      </c>
      <c r="B2813" s="62">
        <v>16</v>
      </c>
      <c r="C2813" s="60" t="s">
        <v>5058</v>
      </c>
      <c r="D2813" s="64">
        <f>IFERROR(VLOOKUP(C2813,測定点マスタ!$E$2:$F$28,2,FALSE)/VLOOKUP(A2813,'焼鈍条件-3CGL'!$A$2:$B$197,2,FALSE)*60,"")</f>
        <v>112.07206082083115</v>
      </c>
      <c r="E2813" s="66">
        <v>139.4</v>
      </c>
      <c r="F2813" s="64">
        <f t="shared" si="43"/>
        <v>-14.201196844182137</v>
      </c>
      <c r="G2813" s="60" t="s">
        <v>9</v>
      </c>
      <c r="H2813" s="60" t="s">
        <v>5061</v>
      </c>
    </row>
    <row r="2814" spans="1:8">
      <c r="A2814" s="59" t="s">
        <v>3663</v>
      </c>
      <c r="B2814" s="62">
        <v>17</v>
      </c>
      <c r="C2814" s="60" t="s">
        <v>5059</v>
      </c>
      <c r="D2814" s="64">
        <f>IFERROR(VLOOKUP(C2814,測定点マスタ!$E$2:$F$28,2,FALSE)/VLOOKUP(A2814,'焼鈍条件-3CGL'!$A$2:$B$197,2,FALSE)*60,"")</f>
        <v>116.02947374994164</v>
      </c>
      <c r="E2814" s="66">
        <v>49.3</v>
      </c>
      <c r="F2814" s="64">
        <f t="shared" si="43"/>
        <v>-22.767399211042616</v>
      </c>
      <c r="G2814" s="60" t="s">
        <v>9</v>
      </c>
      <c r="H2814" s="60" t="s">
        <v>5061</v>
      </c>
    </row>
    <row r="2815" spans="1:8">
      <c r="A2815" s="59" t="s">
        <v>3670</v>
      </c>
      <c r="B2815" s="62">
        <v>1</v>
      </c>
      <c r="C2815" s="60" t="s">
        <v>5041</v>
      </c>
      <c r="D2815" s="64">
        <f>IFERROR(VLOOKUP(C2815,測定点マスタ!$E$2:$F$28,2,FALSE)/VLOOKUP(A2815,'焼鈍条件-3CGL'!$A$2:$B$197,2,FALSE)*60,"")</f>
        <v>0</v>
      </c>
      <c r="E2815" s="66">
        <v>34.700000000000003</v>
      </c>
      <c r="F2815" s="64" t="str">
        <f t="shared" si="43"/>
        <v/>
      </c>
      <c r="G2815" s="60" t="s">
        <v>12</v>
      </c>
      <c r="H2815" s="60" t="s">
        <v>5064</v>
      </c>
    </row>
    <row r="2816" spans="1:8">
      <c r="A2816" s="59" t="s">
        <v>3670</v>
      </c>
      <c r="B2816" s="62">
        <v>2</v>
      </c>
      <c r="C2816" s="60" t="s">
        <v>5043</v>
      </c>
      <c r="D2816" s="64">
        <f>IFERROR(VLOOKUP(C2816,測定点マスタ!$E$2:$F$28,2,FALSE)/VLOOKUP(A2816,'焼鈍条件-3CGL'!$A$2:$B$197,2,FALSE)*60,"")</f>
        <v>6.5218336497630407</v>
      </c>
      <c r="E2816" s="66">
        <v>176</v>
      </c>
      <c r="F2816" s="64">
        <f t="shared" si="43"/>
        <v>21.665686000000001</v>
      </c>
      <c r="G2816" s="60" t="s">
        <v>12</v>
      </c>
      <c r="H2816" s="60" t="s">
        <v>5064</v>
      </c>
    </row>
    <row r="2817" spans="1:8">
      <c r="A2817" s="59" t="s">
        <v>3670</v>
      </c>
      <c r="B2817" s="62">
        <v>3</v>
      </c>
      <c r="C2817" s="60" t="s">
        <v>5044</v>
      </c>
      <c r="D2817" s="64">
        <f>IFERROR(VLOOKUP(C2817,測定点マスタ!$E$2:$F$28,2,FALSE)/VLOOKUP(A2817,'焼鈍条件-3CGL'!$A$2:$B$197,2,FALSE)*60,"")</f>
        <v>14.782822939462893</v>
      </c>
      <c r="E2817" s="66">
        <v>667.2</v>
      </c>
      <c r="F2817" s="64">
        <f t="shared" si="43"/>
        <v>59.460190877192979</v>
      </c>
      <c r="G2817" s="60" t="s">
        <v>12</v>
      </c>
      <c r="H2817" s="60" t="s">
        <v>5064</v>
      </c>
    </row>
    <row r="2818" spans="1:8">
      <c r="A2818" s="59" t="s">
        <v>3670</v>
      </c>
      <c r="B2818" s="62">
        <v>4</v>
      </c>
      <c r="C2818" s="60" t="s">
        <v>5045</v>
      </c>
      <c r="D2818" s="64">
        <f>IFERROR(VLOOKUP(C2818,測定点マスタ!$E$2:$F$28,2,FALSE)/VLOOKUP(A2818,'焼鈍条件-3CGL'!$A$2:$B$197,2,FALSE)*60,"")</f>
        <v>19.130712039304917</v>
      </c>
      <c r="E2818" s="66">
        <v>799.5</v>
      </c>
      <c r="F2818" s="64">
        <f t="shared" ref="F2818:F2881" si="44">IF(A2818=A2817,IFERROR((E2818-E2817)/(D2818-D2817),""),"")</f>
        <v>30.428559000000003</v>
      </c>
      <c r="G2818" s="60" t="s">
        <v>12</v>
      </c>
      <c r="H2818" s="60" t="s">
        <v>5064</v>
      </c>
    </row>
    <row r="2819" spans="1:8">
      <c r="A2819" s="59" t="s">
        <v>3670</v>
      </c>
      <c r="B2819" s="62">
        <v>5</v>
      </c>
      <c r="C2819" s="60" t="s">
        <v>5047</v>
      </c>
      <c r="D2819" s="64">
        <f>IFERROR(VLOOKUP(C2819,測定点マスタ!$E$2:$F$28,2,FALSE)/VLOOKUP(A2819,'焼鈍条件-3CGL'!$A$2:$B$197,2,FALSE)*60,"")</f>
        <v>26.087334599052163</v>
      </c>
      <c r="E2819" s="66">
        <v>741.2</v>
      </c>
      <c r="F2819" s="64">
        <f t="shared" si="44"/>
        <v>-8.3805035416666573</v>
      </c>
      <c r="G2819" s="60" t="s">
        <v>12</v>
      </c>
      <c r="H2819" s="60" t="s">
        <v>5064</v>
      </c>
    </row>
    <row r="2820" spans="1:8">
      <c r="A2820" s="59" t="s">
        <v>3670</v>
      </c>
      <c r="B2820" s="62">
        <v>6</v>
      </c>
      <c r="C2820" s="60" t="s">
        <v>5049</v>
      </c>
      <c r="D2820" s="64">
        <f>IFERROR(VLOOKUP(C2820,測定点マスタ!$E$2:$F$28,2,FALSE)/VLOOKUP(A2820,'焼鈍条件-3CGL'!$A$2:$B$197,2,FALSE)*60,"")</f>
        <v>31.739590428846796</v>
      </c>
      <c r="E2820" s="66">
        <v>615</v>
      </c>
      <c r="F2820" s="64">
        <f t="shared" si="44"/>
        <v>-22.327368717948733</v>
      </c>
      <c r="G2820" s="60" t="s">
        <v>12</v>
      </c>
      <c r="H2820" s="60" t="s">
        <v>5064</v>
      </c>
    </row>
    <row r="2821" spans="1:8">
      <c r="A2821" s="59" t="s">
        <v>3670</v>
      </c>
      <c r="B2821" s="62">
        <v>7</v>
      </c>
      <c r="C2821" s="60" t="s">
        <v>5050</v>
      </c>
      <c r="D2821" s="64">
        <f>IFERROR(VLOOKUP(C2821,測定点マスタ!$E$2:$F$28,2,FALSE)/VLOOKUP(A2821,'焼鈍条件-3CGL'!$A$2:$B$197,2,FALSE)*60,"")</f>
        <v>35.217901708720419</v>
      </c>
      <c r="E2821" s="66">
        <v>508.3</v>
      </c>
      <c r="F2821" s="64">
        <f t="shared" si="44"/>
        <v>-30.675805416666652</v>
      </c>
      <c r="G2821" s="60" t="s">
        <v>12</v>
      </c>
      <c r="H2821" s="60" t="s">
        <v>5064</v>
      </c>
    </row>
    <row r="2822" spans="1:8">
      <c r="A2822" s="59" t="s">
        <v>3670</v>
      </c>
      <c r="B2822" s="62">
        <v>8</v>
      </c>
      <c r="C2822" s="60" t="s">
        <v>5051</v>
      </c>
      <c r="D2822" s="64">
        <f>IFERROR(VLOOKUP(C2822,測定点マスタ!$E$2:$F$28,2,FALSE)/VLOOKUP(A2822,'焼鈍条件-3CGL'!$A$2:$B$197,2,FALSE)*60,"")</f>
        <v>38.261424078609835</v>
      </c>
      <c r="E2822" s="66">
        <v>429.6</v>
      </c>
      <c r="F2822" s="64">
        <f t="shared" si="44"/>
        <v>-25.858196666666682</v>
      </c>
      <c r="G2822" s="60" t="s">
        <v>12</v>
      </c>
      <c r="H2822" s="60" t="s">
        <v>5064</v>
      </c>
    </row>
    <row r="2823" spans="1:8">
      <c r="A2823" s="59" t="s">
        <v>3670</v>
      </c>
      <c r="B2823" s="62">
        <v>9</v>
      </c>
      <c r="C2823" s="60" t="s">
        <v>5052</v>
      </c>
      <c r="D2823" s="64">
        <f>IFERROR(VLOOKUP(C2823,測定点マスタ!$E$2:$F$28,2,FALSE)/VLOOKUP(A2823,'焼鈍条件-3CGL'!$A$2:$B$197,2,FALSE)*60,"")</f>
        <v>42.174524268467664</v>
      </c>
      <c r="E2823" s="66">
        <v>357</v>
      </c>
      <c r="F2823" s="64">
        <f t="shared" si="44"/>
        <v>-18.553064444444427</v>
      </c>
      <c r="G2823" s="60" t="s">
        <v>12</v>
      </c>
      <c r="H2823" s="60" t="s">
        <v>5064</v>
      </c>
    </row>
    <row r="2824" spans="1:8">
      <c r="A2824" s="59" t="s">
        <v>3670</v>
      </c>
      <c r="B2824" s="62">
        <v>10</v>
      </c>
      <c r="C2824" s="60" t="s">
        <v>5069</v>
      </c>
      <c r="D2824" s="64">
        <f>IFERROR(VLOOKUP(C2824,測定点マスタ!$E$2:$F$28,2,FALSE)/VLOOKUP(A2824,'焼鈍条件-3CGL'!$A$2:$B$197,2,FALSE)*60,"")</f>
        <v>45.21804663835708</v>
      </c>
      <c r="E2824" s="66">
        <v>508.3</v>
      </c>
      <c r="F2824" s="64">
        <f t="shared" si="44"/>
        <v>49.712136666666709</v>
      </c>
      <c r="G2824" s="60" t="s">
        <v>12</v>
      </c>
      <c r="H2824" s="60" t="s">
        <v>5064</v>
      </c>
    </row>
    <row r="2825" spans="1:8">
      <c r="A2825" s="59" t="s">
        <v>3670</v>
      </c>
      <c r="B2825" s="62">
        <v>11</v>
      </c>
      <c r="C2825" s="60" t="s">
        <v>5053</v>
      </c>
      <c r="D2825" s="64">
        <f>IFERROR(VLOOKUP(C2825,測定点マスタ!$E$2:$F$28,2,FALSE)/VLOOKUP(A2825,'焼鈍条件-3CGL'!$A$2:$B$197,2,FALSE)*60,"")</f>
        <v>47.391991188278098</v>
      </c>
      <c r="E2825" s="66">
        <v>507.8</v>
      </c>
      <c r="F2825" s="64">
        <f t="shared" si="44"/>
        <v>-0.22999666666666621</v>
      </c>
      <c r="G2825" s="60" t="s">
        <v>12</v>
      </c>
      <c r="H2825" s="60" t="s">
        <v>5064</v>
      </c>
    </row>
    <row r="2826" spans="1:8">
      <c r="A2826" s="59" t="s">
        <v>3670</v>
      </c>
      <c r="B2826" s="62">
        <v>12</v>
      </c>
      <c r="C2826" s="60" t="s">
        <v>5054</v>
      </c>
      <c r="D2826" s="64">
        <f>IFERROR(VLOOKUP(C2826,測定点マスタ!$E$2:$F$28,2,FALSE)/VLOOKUP(A2826,'焼鈍条件-3CGL'!$A$2:$B$197,2,FALSE)*60,"")</f>
        <v>53.044247018072731</v>
      </c>
      <c r="E2826" s="66">
        <v>490.5</v>
      </c>
      <c r="F2826" s="64">
        <f t="shared" si="44"/>
        <v>-3.0607248717948745</v>
      </c>
      <c r="G2826" s="60" t="s">
        <v>12</v>
      </c>
      <c r="H2826" s="60" t="s">
        <v>5064</v>
      </c>
    </row>
    <row r="2827" spans="1:8">
      <c r="A2827" s="59" t="s">
        <v>3670</v>
      </c>
      <c r="B2827" s="62">
        <v>13</v>
      </c>
      <c r="C2827" s="60" t="s">
        <v>5056</v>
      </c>
      <c r="D2827" s="64">
        <f>IFERROR(VLOOKUP(C2827,測定点マスタ!$E$2:$F$28,2,FALSE)/VLOOKUP(A2827,'焼鈍条件-3CGL'!$A$2:$B$197,2,FALSE)*60,"")</f>
        <v>57.826925027898959</v>
      </c>
      <c r="E2827" s="66">
        <v>262.8</v>
      </c>
      <c r="F2827" s="64">
        <f t="shared" si="44"/>
        <v>-47.609310000000015</v>
      </c>
      <c r="G2827" s="60" t="s">
        <v>12</v>
      </c>
      <c r="H2827" s="60" t="s">
        <v>5064</v>
      </c>
    </row>
    <row r="2828" spans="1:8">
      <c r="A2828" s="59" t="s">
        <v>3670</v>
      </c>
      <c r="B2828" s="62">
        <v>14</v>
      </c>
      <c r="C2828" s="60" t="s">
        <v>5062</v>
      </c>
      <c r="D2828" s="64">
        <f>IFERROR(VLOOKUP(C2828,測定点マスタ!$E$2:$F$28,2,FALSE)/VLOOKUP(A2828,'焼鈍条件-3CGL'!$A$2:$B$197,2,FALSE)*60,"")</f>
        <v>63.044391947709393</v>
      </c>
      <c r="E2828" s="66">
        <v>463.7</v>
      </c>
      <c r="F2828" s="64">
        <f t="shared" si="44"/>
        <v>38.505275277777756</v>
      </c>
      <c r="G2828" s="60" t="s">
        <v>12</v>
      </c>
      <c r="H2828" s="60" t="s">
        <v>5064</v>
      </c>
    </row>
    <row r="2829" spans="1:8">
      <c r="A2829" s="59" t="s">
        <v>3670</v>
      </c>
      <c r="B2829" s="62">
        <v>15</v>
      </c>
      <c r="C2829" s="60" t="s">
        <v>5065</v>
      </c>
      <c r="D2829" s="64">
        <f>IFERROR(VLOOKUP(C2829,測定点マスタ!$E$2:$F$28,2,FALSE)/VLOOKUP(A2829,'焼鈍条件-3CGL'!$A$2:$B$197,2,FALSE)*60,"")</f>
        <v>63.820800715538198</v>
      </c>
      <c r="E2829" s="66">
        <v>540</v>
      </c>
      <c r="F2829" s="64">
        <f t="shared" si="44"/>
        <v>98.272975733349597</v>
      </c>
      <c r="G2829" s="60" t="s">
        <v>12</v>
      </c>
      <c r="H2829" s="60" t="s">
        <v>5064</v>
      </c>
    </row>
    <row r="2830" spans="1:8">
      <c r="A2830" s="59" t="s">
        <v>3670</v>
      </c>
      <c r="B2830" s="62">
        <v>16</v>
      </c>
      <c r="C2830" s="60" t="s">
        <v>5066</v>
      </c>
      <c r="D2830" s="64">
        <f>IFERROR(VLOOKUP(C2830,測定点マスタ!$E$2:$F$28,2,FALSE)/VLOOKUP(A2830,'焼鈍条件-3CGL'!$A$2:$B$197,2,FALSE)*60,"")</f>
        <v>66.445062350800313</v>
      </c>
      <c r="E2830" s="66">
        <v>528.70000000000005</v>
      </c>
      <c r="F2830" s="64">
        <f t="shared" si="44"/>
        <v>-4.3059730966463992</v>
      </c>
      <c r="G2830" s="60" t="s">
        <v>12</v>
      </c>
      <c r="H2830" s="60" t="s">
        <v>5064</v>
      </c>
    </row>
    <row r="2831" spans="1:8">
      <c r="A2831" s="59" t="s">
        <v>3670</v>
      </c>
      <c r="B2831" s="62">
        <v>17</v>
      </c>
      <c r="C2831" s="60" t="s">
        <v>5057</v>
      </c>
      <c r="D2831" s="64">
        <f>IFERROR(VLOOKUP(C2831,測定点マスタ!$E$2:$F$28,2,FALSE)/VLOOKUP(A2831,'焼鈍条件-3CGL'!$A$2:$B$197,2,FALSE)*60,"")</f>
        <v>71.693585621323649</v>
      </c>
      <c r="E2831" s="66">
        <v>190.3</v>
      </c>
      <c r="F2831" s="64">
        <f t="shared" si="44"/>
        <v>-64.475278579884773</v>
      </c>
      <c r="G2831" s="60" t="s">
        <v>12</v>
      </c>
      <c r="H2831" s="60" t="s">
        <v>5064</v>
      </c>
    </row>
    <row r="2832" spans="1:8">
      <c r="A2832" s="59" t="s">
        <v>3670</v>
      </c>
      <c r="B2832" s="62">
        <v>18</v>
      </c>
      <c r="C2832" s="60" t="s">
        <v>5058</v>
      </c>
      <c r="D2832" s="64">
        <f>IFERROR(VLOOKUP(C2832,測定点マスタ!$E$2:$F$28,2,FALSE)/VLOOKUP(A2832,'焼鈍条件-3CGL'!$A$2:$B$197,2,FALSE)*60,"")</f>
        <v>74.317847256585324</v>
      </c>
      <c r="E2832" s="66">
        <v>89.8</v>
      </c>
      <c r="F2832" s="64">
        <f t="shared" si="44"/>
        <v>-38.296486390534298</v>
      </c>
      <c r="G2832" s="60" t="s">
        <v>12</v>
      </c>
      <c r="H2832" s="60" t="s">
        <v>5064</v>
      </c>
    </row>
    <row r="2833" spans="1:8">
      <c r="A2833" s="59" t="s">
        <v>3670</v>
      </c>
      <c r="B2833" s="62">
        <v>19</v>
      </c>
      <c r="C2833" s="60" t="s">
        <v>5059</v>
      </c>
      <c r="D2833" s="64">
        <f>IFERROR(VLOOKUP(C2833,測定点マスタ!$E$2:$F$28,2,FALSE)/VLOOKUP(A2833,'焼鈍条件-3CGL'!$A$2:$B$197,2,FALSE)*60,"")</f>
        <v>76.942108891847425</v>
      </c>
      <c r="E2833" s="66">
        <v>58.1</v>
      </c>
      <c r="F2833" s="64">
        <f t="shared" si="44"/>
        <v>-12.079588244574524</v>
      </c>
      <c r="G2833" s="60" t="s">
        <v>12</v>
      </c>
      <c r="H2833" s="60" t="s">
        <v>5064</v>
      </c>
    </row>
    <row r="2834" spans="1:8">
      <c r="A2834" s="59" t="s">
        <v>3676</v>
      </c>
      <c r="B2834" s="62">
        <v>1</v>
      </c>
      <c r="C2834" s="60" t="s">
        <v>5041</v>
      </c>
      <c r="D2834" s="64">
        <f>IFERROR(VLOOKUP(C2834,測定点マスタ!$E$2:$F$28,2,FALSE)/VLOOKUP(A2834,'焼鈍条件-3CGL'!$A$2:$B$197,2,FALSE)*60,"")</f>
        <v>0</v>
      </c>
      <c r="E2834" s="66">
        <v>37.700000000000003</v>
      </c>
      <c r="F2834" s="64" t="str">
        <f t="shared" si="44"/>
        <v/>
      </c>
      <c r="G2834" s="60" t="s">
        <v>12</v>
      </c>
      <c r="H2834" s="60" t="s">
        <v>5061</v>
      </c>
    </row>
    <row r="2835" spans="1:8">
      <c r="A2835" s="59" t="s">
        <v>3676</v>
      </c>
      <c r="B2835" s="62">
        <v>2</v>
      </c>
      <c r="C2835" s="60" t="s">
        <v>5043</v>
      </c>
      <c r="D2835" s="64">
        <f>IFERROR(VLOOKUP(C2835,測定点マスタ!$E$2:$F$28,2,FALSE)/VLOOKUP(A2835,'焼鈍条件-3CGL'!$A$2:$B$197,2,FALSE)*60,"")</f>
        <v>7.0634771143341499</v>
      </c>
      <c r="E2835" s="66">
        <v>182.5</v>
      </c>
      <c r="F2835" s="64">
        <f t="shared" si="44"/>
        <v>20.499818666666666</v>
      </c>
      <c r="G2835" s="60" t="s">
        <v>12</v>
      </c>
      <c r="H2835" s="60" t="s">
        <v>5061</v>
      </c>
    </row>
    <row r="2836" spans="1:8">
      <c r="A2836" s="59" t="s">
        <v>3676</v>
      </c>
      <c r="B2836" s="62">
        <v>3</v>
      </c>
      <c r="C2836" s="60" t="s">
        <v>5067</v>
      </c>
      <c r="D2836" s="64">
        <f>IFERROR(VLOOKUP(C2836,測定点マスタ!$E$2:$F$28,2,FALSE)/VLOOKUP(A2836,'焼鈍条件-3CGL'!$A$2:$B$197,2,FALSE)*60,"")</f>
        <v>11.772461857223583</v>
      </c>
      <c r="E2836" s="66">
        <v>356.9</v>
      </c>
      <c r="F2836" s="64">
        <f t="shared" si="44"/>
        <v>37.035584</v>
      </c>
      <c r="G2836" s="60" t="s">
        <v>12</v>
      </c>
      <c r="H2836" s="60" t="s">
        <v>5061</v>
      </c>
    </row>
    <row r="2837" spans="1:8">
      <c r="A2837" s="59" t="s">
        <v>3676</v>
      </c>
      <c r="B2837" s="62">
        <v>4</v>
      </c>
      <c r="C2837" s="60" t="s">
        <v>5044</v>
      </c>
      <c r="D2837" s="64">
        <f>IFERROR(VLOOKUP(C2837,測定点マスタ!$E$2:$F$28,2,FALSE)/VLOOKUP(A2837,'焼鈍条件-3CGL'!$A$2:$B$197,2,FALSE)*60,"")</f>
        <v>16.010548125824073</v>
      </c>
      <c r="E2837" s="66">
        <v>605.4</v>
      </c>
      <c r="F2837" s="64">
        <f t="shared" si="44"/>
        <v>58.63495555555555</v>
      </c>
      <c r="G2837" s="60" t="s">
        <v>12</v>
      </c>
      <c r="H2837" s="60" t="s">
        <v>5061</v>
      </c>
    </row>
    <row r="2838" spans="1:8">
      <c r="A2838" s="59" t="s">
        <v>3676</v>
      </c>
      <c r="B2838" s="62">
        <v>5</v>
      </c>
      <c r="C2838" s="60" t="s">
        <v>5045</v>
      </c>
      <c r="D2838" s="64">
        <f>IFERROR(VLOOKUP(C2838,測定点マスタ!$E$2:$F$28,2,FALSE)/VLOOKUP(A2838,'焼鈍条件-3CGL'!$A$2:$B$197,2,FALSE)*60,"")</f>
        <v>20.719532868713507</v>
      </c>
      <c r="E2838" s="66">
        <v>754.7</v>
      </c>
      <c r="F2838" s="64">
        <f t="shared" si="44"/>
        <v>31.705348000000004</v>
      </c>
      <c r="G2838" s="60" t="s">
        <v>12</v>
      </c>
      <c r="H2838" s="60" t="s">
        <v>5061</v>
      </c>
    </row>
    <row r="2839" spans="1:8">
      <c r="A2839" s="59" t="s">
        <v>3676</v>
      </c>
      <c r="B2839" s="62">
        <v>6</v>
      </c>
      <c r="C2839" s="60" t="s">
        <v>5047</v>
      </c>
      <c r="D2839" s="64">
        <f>IFERROR(VLOOKUP(C2839,測定点マスタ!$E$2:$F$28,2,FALSE)/VLOOKUP(A2839,'焼鈍条件-3CGL'!$A$2:$B$197,2,FALSE)*60,"")</f>
        <v>28.2539084573366</v>
      </c>
      <c r="E2839" s="66">
        <v>705</v>
      </c>
      <c r="F2839" s="64">
        <f t="shared" si="44"/>
        <v>-6.5964325000000068</v>
      </c>
      <c r="G2839" s="60" t="s">
        <v>12</v>
      </c>
      <c r="H2839" s="60" t="s">
        <v>5061</v>
      </c>
    </row>
    <row r="2840" spans="1:8">
      <c r="A2840" s="59" t="s">
        <v>3676</v>
      </c>
      <c r="B2840" s="62">
        <v>7</v>
      </c>
      <c r="C2840" s="60" t="s">
        <v>5049</v>
      </c>
      <c r="D2840" s="64">
        <f>IFERROR(VLOOKUP(C2840,測定点マスタ!$E$2:$F$28,2,FALSE)/VLOOKUP(A2840,'焼鈍条件-3CGL'!$A$2:$B$197,2,FALSE)*60,"")</f>
        <v>34.375588623092867</v>
      </c>
      <c r="E2840" s="66">
        <v>547.20000000000005</v>
      </c>
      <c r="F2840" s="64">
        <f t="shared" si="44"/>
        <v>-25.777236923076899</v>
      </c>
      <c r="G2840" s="60" t="s">
        <v>12</v>
      </c>
      <c r="H2840" s="60" t="s">
        <v>5061</v>
      </c>
    </row>
    <row r="2841" spans="1:8">
      <c r="A2841" s="59" t="s">
        <v>3676</v>
      </c>
      <c r="B2841" s="62">
        <v>8</v>
      </c>
      <c r="C2841" s="60" t="s">
        <v>5050</v>
      </c>
      <c r="D2841" s="64">
        <f>IFERROR(VLOOKUP(C2841,測定点マスタ!$E$2:$F$28,2,FALSE)/VLOOKUP(A2841,'焼鈍条件-3CGL'!$A$2:$B$197,2,FALSE)*60,"")</f>
        <v>38.142776417404413</v>
      </c>
      <c r="E2841" s="66">
        <v>437.4</v>
      </c>
      <c r="F2841" s="64">
        <f t="shared" si="44"/>
        <v>-29.146410000000021</v>
      </c>
      <c r="G2841" s="60" t="s">
        <v>12</v>
      </c>
      <c r="H2841" s="60" t="s">
        <v>5061</v>
      </c>
    </row>
    <row r="2842" spans="1:8">
      <c r="A2842" s="59" t="s">
        <v>3676</v>
      </c>
      <c r="B2842" s="62">
        <v>9</v>
      </c>
      <c r="C2842" s="60" t="s">
        <v>5051</v>
      </c>
      <c r="D2842" s="64">
        <f>IFERROR(VLOOKUP(C2842,測定点マスタ!$E$2:$F$28,2,FALSE)/VLOOKUP(A2842,'焼鈍条件-3CGL'!$A$2:$B$197,2,FALSE)*60,"")</f>
        <v>41.439065737427015</v>
      </c>
      <c r="E2842" s="66">
        <v>405.3</v>
      </c>
      <c r="F2842" s="64">
        <f t="shared" si="44"/>
        <v>-9.7382228571428495</v>
      </c>
      <c r="G2842" s="60" t="s">
        <v>12</v>
      </c>
      <c r="H2842" s="60" t="s">
        <v>5061</v>
      </c>
    </row>
    <row r="2843" spans="1:8">
      <c r="A2843" s="59" t="s">
        <v>3676</v>
      </c>
      <c r="B2843" s="62">
        <v>10</v>
      </c>
      <c r="C2843" s="60" t="s">
        <v>5060</v>
      </c>
      <c r="D2843" s="64">
        <f>IFERROR(VLOOKUP(C2843,測定点マスタ!$E$2:$F$28,2,FALSE)/VLOOKUP(A2843,'焼鈍条件-3CGL'!$A$2:$B$197,2,FALSE)*60,"")</f>
        <v>43.322659634582784</v>
      </c>
      <c r="E2843" s="66">
        <v>381.3</v>
      </c>
      <c r="F2843" s="64">
        <f t="shared" si="44"/>
        <v>-12.741600000000025</v>
      </c>
      <c r="G2843" s="60" t="s">
        <v>12</v>
      </c>
      <c r="H2843" s="60" t="s">
        <v>5061</v>
      </c>
    </row>
    <row r="2844" spans="1:8">
      <c r="A2844" s="59" t="s">
        <v>3676</v>
      </c>
      <c r="B2844" s="62">
        <v>11</v>
      </c>
      <c r="C2844" s="60" t="s">
        <v>5052</v>
      </c>
      <c r="D2844" s="64">
        <f>IFERROR(VLOOKUP(C2844,測定点マスタ!$E$2:$F$28,2,FALSE)/VLOOKUP(A2844,'焼鈍条件-3CGL'!$A$2:$B$197,2,FALSE)*60,"")</f>
        <v>45.677152006027505</v>
      </c>
      <c r="E2844" s="66">
        <v>342.1</v>
      </c>
      <c r="F2844" s="64">
        <f t="shared" si="44"/>
        <v>-16.649023999999965</v>
      </c>
      <c r="G2844" s="60" t="s">
        <v>12</v>
      </c>
      <c r="H2844" s="60" t="s">
        <v>5061</v>
      </c>
    </row>
    <row r="2845" spans="1:8">
      <c r="A2845" s="59" t="s">
        <v>3676</v>
      </c>
      <c r="B2845" s="62">
        <v>12</v>
      </c>
      <c r="C2845" s="60" t="s">
        <v>5053</v>
      </c>
      <c r="D2845" s="64">
        <f>IFERROR(VLOOKUP(C2845,測定点マスタ!$E$2:$F$28,2,FALSE)/VLOOKUP(A2845,'焼鈍条件-3CGL'!$A$2:$B$197,2,FALSE)*60,"")</f>
        <v>51.327933697494821</v>
      </c>
      <c r="E2845" s="66">
        <v>482.8</v>
      </c>
      <c r="F2845" s="64">
        <f t="shared" si="44"/>
        <v>24.899210000000014</v>
      </c>
      <c r="G2845" s="60" t="s">
        <v>12</v>
      </c>
      <c r="H2845" s="60" t="s">
        <v>5061</v>
      </c>
    </row>
    <row r="2846" spans="1:8">
      <c r="A2846" s="59" t="s">
        <v>3676</v>
      </c>
      <c r="B2846" s="62">
        <v>13</v>
      </c>
      <c r="C2846" s="60" t="s">
        <v>5054</v>
      </c>
      <c r="D2846" s="64">
        <f>IFERROR(VLOOKUP(C2846,測定点マスタ!$E$2:$F$28,2,FALSE)/VLOOKUP(A2846,'焼鈍条件-3CGL'!$A$2:$B$197,2,FALSE)*60,"")</f>
        <v>57.449613863251088</v>
      </c>
      <c r="E2846" s="66">
        <v>463.6</v>
      </c>
      <c r="F2846" s="64">
        <f t="shared" si="44"/>
        <v>-3.1363938461538421</v>
      </c>
      <c r="G2846" s="60" t="s">
        <v>12</v>
      </c>
      <c r="H2846" s="60" t="s">
        <v>5061</v>
      </c>
    </row>
    <row r="2847" spans="1:8">
      <c r="A2847" s="59" t="s">
        <v>3676</v>
      </c>
      <c r="B2847" s="62">
        <v>14</v>
      </c>
      <c r="C2847" s="60" t="s">
        <v>5055</v>
      </c>
      <c r="D2847" s="64">
        <f>IFERROR(VLOOKUP(C2847,測定点マスタ!$E$2:$F$28,2,FALSE)/VLOOKUP(A2847,'焼鈍条件-3CGL'!$A$2:$B$197,2,FALSE)*60,"")</f>
        <v>59.804106234695801</v>
      </c>
      <c r="E2847" s="66">
        <v>512.9</v>
      </c>
      <c r="F2847" s="64">
        <f t="shared" si="44"/>
        <v>20.938696000000007</v>
      </c>
      <c r="G2847" s="60" t="s">
        <v>12</v>
      </c>
      <c r="H2847" s="60" t="s">
        <v>5061</v>
      </c>
    </row>
    <row r="2848" spans="1:8">
      <c r="A2848" s="59" t="s">
        <v>3676</v>
      </c>
      <c r="B2848" s="62">
        <v>15</v>
      </c>
      <c r="C2848" s="60" t="s">
        <v>5056</v>
      </c>
      <c r="D2848" s="64">
        <f>IFERROR(VLOOKUP(C2848,測定点マスタ!$E$2:$F$28,2,FALSE)/VLOOKUP(A2848,'焼鈍条件-3CGL'!$A$2:$B$197,2,FALSE)*60,"")</f>
        <v>62.629497080429452</v>
      </c>
      <c r="E2848" s="66">
        <v>236.8</v>
      </c>
      <c r="F2848" s="64">
        <f t="shared" si="44"/>
        <v>-97.720993333333638</v>
      </c>
      <c r="G2848" s="60" t="s">
        <v>12</v>
      </c>
      <c r="H2848" s="60" t="s">
        <v>5061</v>
      </c>
    </row>
    <row r="2849" spans="1:8">
      <c r="A2849" s="59" t="s">
        <v>3676</v>
      </c>
      <c r="B2849" s="62">
        <v>16</v>
      </c>
      <c r="C2849" s="60" t="s">
        <v>5062</v>
      </c>
      <c r="D2849" s="64">
        <f>IFERROR(VLOOKUP(C2849,測定点マスタ!$E$2:$F$28,2,FALSE)/VLOOKUP(A2849,'焼鈍条件-3CGL'!$A$2:$B$197,2,FALSE)*60,"")</f>
        <v>68.280278771896789</v>
      </c>
      <c r="E2849" s="66">
        <v>466.8</v>
      </c>
      <c r="F2849" s="64">
        <f t="shared" si="44"/>
        <v>40.702333333333208</v>
      </c>
      <c r="G2849" s="60" t="s">
        <v>12</v>
      </c>
      <c r="H2849" s="60" t="s">
        <v>5061</v>
      </c>
    </row>
    <row r="2850" spans="1:8">
      <c r="A2850" s="59" t="s">
        <v>3676</v>
      </c>
      <c r="B2850" s="62">
        <v>17</v>
      </c>
      <c r="C2850" s="60" t="s">
        <v>5057</v>
      </c>
      <c r="D2850" s="64">
        <f>IFERROR(VLOOKUP(C2850,測定点マスタ!$E$2:$F$28,2,FALSE)/VLOOKUP(A2850,'焼鈍条件-3CGL'!$A$2:$B$197,2,FALSE)*60,"")</f>
        <v>77.64779484971605</v>
      </c>
      <c r="E2850" s="66">
        <v>270.2</v>
      </c>
      <c r="F2850" s="64">
        <f t="shared" si="44"/>
        <v>-20.9874206104131</v>
      </c>
      <c r="G2850" s="60" t="s">
        <v>12</v>
      </c>
      <c r="H2850" s="60" t="s">
        <v>5061</v>
      </c>
    </row>
    <row r="2851" spans="1:8">
      <c r="A2851" s="59" t="s">
        <v>3676</v>
      </c>
      <c r="B2851" s="62">
        <v>18</v>
      </c>
      <c r="C2851" s="60" t="s">
        <v>5058</v>
      </c>
      <c r="D2851" s="64">
        <f>IFERROR(VLOOKUP(C2851,測定点マスタ!$E$2:$F$28,2,FALSE)/VLOOKUP(A2851,'焼鈍条件-3CGL'!$A$2:$B$197,2,FALSE)*60,"")</f>
        <v>80.490003498102752</v>
      </c>
      <c r="E2851" s="66">
        <v>140.9</v>
      </c>
      <c r="F2851" s="64">
        <f t="shared" si="44"/>
        <v>-45.492789585800963</v>
      </c>
      <c r="G2851" s="60" t="s">
        <v>12</v>
      </c>
      <c r="H2851" s="60" t="s">
        <v>5061</v>
      </c>
    </row>
    <row r="2852" spans="1:8">
      <c r="A2852" s="59" t="s">
        <v>3676</v>
      </c>
      <c r="B2852" s="62">
        <v>19</v>
      </c>
      <c r="C2852" s="60" t="s">
        <v>5059</v>
      </c>
      <c r="D2852" s="64">
        <f>IFERROR(VLOOKUP(C2852,測定点マスタ!$E$2:$F$28,2,FALSE)/VLOOKUP(A2852,'焼鈍条件-3CGL'!$A$2:$B$197,2,FALSE)*60,"")</f>
        <v>83.332212146489923</v>
      </c>
      <c r="E2852" s="66">
        <v>69.7</v>
      </c>
      <c r="F2852" s="64">
        <f t="shared" si="44"/>
        <v>-25.050940591713029</v>
      </c>
      <c r="G2852" s="60" t="s">
        <v>12</v>
      </c>
      <c r="H2852" s="60" t="s">
        <v>5061</v>
      </c>
    </row>
    <row r="2853" spans="1:8">
      <c r="A2853" s="59" t="s">
        <v>3683</v>
      </c>
      <c r="B2853" s="62">
        <v>1</v>
      </c>
      <c r="C2853" s="60" t="s">
        <v>5041</v>
      </c>
      <c r="D2853" s="64">
        <f>IFERROR(VLOOKUP(C2853,測定点マスタ!$E$2:$F$28,2,FALSE)/VLOOKUP(A2853,'焼鈍条件-3CGL'!$A$2:$B$197,2,FALSE)*60,"")</f>
        <v>0</v>
      </c>
      <c r="E2853" s="66">
        <v>28.9</v>
      </c>
      <c r="F2853" s="64" t="str">
        <f t="shared" si="44"/>
        <v/>
      </c>
      <c r="G2853" s="60" t="s">
        <v>9</v>
      </c>
      <c r="H2853" s="60" t="s">
        <v>5042</v>
      </c>
    </row>
    <row r="2854" spans="1:8">
      <c r="A2854" s="59" t="s">
        <v>3683</v>
      </c>
      <c r="B2854" s="62">
        <v>2</v>
      </c>
      <c r="C2854" s="60" t="s">
        <v>5043</v>
      </c>
      <c r="D2854" s="64">
        <f>IFERROR(VLOOKUP(C2854,測定点マスタ!$E$2:$F$28,2,FALSE)/VLOOKUP(A2854,'焼鈍条件-3CGL'!$A$2:$B$197,2,FALSE)*60,"")</f>
        <v>6.6814152722305531</v>
      </c>
      <c r="E2854" s="66">
        <v>174.5</v>
      </c>
      <c r="F2854" s="64">
        <f t="shared" si="44"/>
        <v>21.791790222222222</v>
      </c>
      <c r="G2854" s="60" t="s">
        <v>9</v>
      </c>
      <c r="H2854" s="60" t="s">
        <v>5042</v>
      </c>
    </row>
    <row r="2855" spans="1:8">
      <c r="A2855" s="59" t="s">
        <v>3683</v>
      </c>
      <c r="B2855" s="62">
        <v>3</v>
      </c>
      <c r="C2855" s="60" t="s">
        <v>5044</v>
      </c>
      <c r="D2855" s="64">
        <f>IFERROR(VLOOKUP(C2855,測定点マスタ!$E$2:$F$28,2,FALSE)/VLOOKUP(A2855,'焼鈍条件-3CGL'!$A$2:$B$197,2,FALSE)*60,"")</f>
        <v>15.144541283722589</v>
      </c>
      <c r="E2855" s="66">
        <v>673.8</v>
      </c>
      <c r="F2855" s="64">
        <f t="shared" si="44"/>
        <v>58.997112807017523</v>
      </c>
      <c r="G2855" s="60" t="s">
        <v>9</v>
      </c>
      <c r="H2855" s="60" t="s">
        <v>5042</v>
      </c>
    </row>
    <row r="2856" spans="1:8">
      <c r="A2856" s="59" t="s">
        <v>3683</v>
      </c>
      <c r="B2856" s="62">
        <v>4</v>
      </c>
      <c r="C2856" s="60" t="s">
        <v>5045</v>
      </c>
      <c r="D2856" s="64">
        <f>IFERROR(VLOOKUP(C2856,測定点マスタ!$E$2:$F$28,2,FALSE)/VLOOKUP(A2856,'焼鈍条件-3CGL'!$A$2:$B$197,2,FALSE)*60,"")</f>
        <v>19.598818131876289</v>
      </c>
      <c r="E2856" s="66">
        <v>810.8</v>
      </c>
      <c r="F2856" s="64">
        <f t="shared" si="44"/>
        <v>30.756956666666682</v>
      </c>
      <c r="G2856" s="60" t="s">
        <v>9</v>
      </c>
      <c r="H2856" s="60" t="s">
        <v>5042</v>
      </c>
    </row>
    <row r="2857" spans="1:8">
      <c r="A2857" s="59" t="s">
        <v>3683</v>
      </c>
      <c r="B2857" s="62">
        <v>5</v>
      </c>
      <c r="C2857" s="60" t="s">
        <v>5047</v>
      </c>
      <c r="D2857" s="64">
        <f>IFERROR(VLOOKUP(C2857,測定点マスタ!$E$2:$F$28,2,FALSE)/VLOOKUP(A2857,'焼鈍条件-3CGL'!$A$2:$B$197,2,FALSE)*60,"")</f>
        <v>26.725661088922212</v>
      </c>
      <c r="E2857" s="66">
        <v>730.5</v>
      </c>
      <c r="F2857" s="64">
        <f t="shared" si="44"/>
        <v>-11.267261041666661</v>
      </c>
      <c r="G2857" s="60" t="s">
        <v>9</v>
      </c>
      <c r="H2857" s="60" t="s">
        <v>5042</v>
      </c>
    </row>
    <row r="2858" spans="1:8">
      <c r="A2858" s="59" t="s">
        <v>3683</v>
      </c>
      <c r="B2858" s="62">
        <v>6</v>
      </c>
      <c r="C2858" s="60" t="s">
        <v>5048</v>
      </c>
      <c r="D2858" s="64">
        <f>IFERROR(VLOOKUP(C2858,測定点マスタ!$E$2:$F$28,2,FALSE)/VLOOKUP(A2858,'焼鈍条件-3CGL'!$A$2:$B$197,2,FALSE)*60,"")</f>
        <v>29.398227197814435</v>
      </c>
      <c r="E2858" s="66">
        <v>693.5</v>
      </c>
      <c r="F2858" s="64">
        <f t="shared" si="44"/>
        <v>-13.844372222222214</v>
      </c>
      <c r="G2858" s="60" t="s">
        <v>9</v>
      </c>
      <c r="H2858" s="60" t="s">
        <v>5042</v>
      </c>
    </row>
    <row r="2859" spans="1:8">
      <c r="A2859" s="59" t="s">
        <v>3683</v>
      </c>
      <c r="B2859" s="62">
        <v>7</v>
      </c>
      <c r="C2859" s="60" t="s">
        <v>5049</v>
      </c>
      <c r="D2859" s="64">
        <f>IFERROR(VLOOKUP(C2859,測定点マスタ!$E$2:$F$28,2,FALSE)/VLOOKUP(A2859,'焼鈍条件-3CGL'!$A$2:$B$197,2,FALSE)*60,"")</f>
        <v>32.516220991522026</v>
      </c>
      <c r="E2859" s="66">
        <v>584.20000000000005</v>
      </c>
      <c r="F2859" s="64">
        <f t="shared" si="44"/>
        <v>-35.054591904761899</v>
      </c>
      <c r="G2859" s="60" t="s">
        <v>9</v>
      </c>
      <c r="H2859" s="60" t="s">
        <v>5042</v>
      </c>
    </row>
    <row r="2860" spans="1:8">
      <c r="A2860" s="59" t="s">
        <v>3683</v>
      </c>
      <c r="B2860" s="62">
        <v>8</v>
      </c>
      <c r="C2860" s="60" t="s">
        <v>5050</v>
      </c>
      <c r="D2860" s="64">
        <f>IFERROR(VLOOKUP(C2860,測定点マスタ!$E$2:$F$28,2,FALSE)/VLOOKUP(A2860,'焼鈍条件-3CGL'!$A$2:$B$197,2,FALSE)*60,"")</f>
        <v>36.079642470044988</v>
      </c>
      <c r="E2860" s="66">
        <v>517.29999999999995</v>
      </c>
      <c r="F2860" s="64">
        <f t="shared" si="44"/>
        <v>-18.774091250000026</v>
      </c>
      <c r="G2860" s="60" t="s">
        <v>9</v>
      </c>
      <c r="H2860" s="60" t="s">
        <v>5042</v>
      </c>
    </row>
    <row r="2861" spans="1:8">
      <c r="A2861" s="59" t="s">
        <v>3683</v>
      </c>
      <c r="B2861" s="62">
        <v>9</v>
      </c>
      <c r="C2861" s="60" t="s">
        <v>5051</v>
      </c>
      <c r="D2861" s="64">
        <f>IFERROR(VLOOKUP(C2861,測定点マスタ!$E$2:$F$28,2,FALSE)/VLOOKUP(A2861,'焼鈍条件-3CGL'!$A$2:$B$197,2,FALSE)*60,"")</f>
        <v>39.197636263752578</v>
      </c>
      <c r="E2861" s="66">
        <v>479.1</v>
      </c>
      <c r="F2861" s="64">
        <f t="shared" si="44"/>
        <v>-12.251467619047601</v>
      </c>
      <c r="G2861" s="60" t="s">
        <v>9</v>
      </c>
      <c r="H2861" s="60" t="s">
        <v>5042</v>
      </c>
    </row>
    <row r="2862" spans="1:8">
      <c r="A2862" s="59" t="s">
        <v>3683</v>
      </c>
      <c r="B2862" s="62">
        <v>10</v>
      </c>
      <c r="C2862" s="60" t="s">
        <v>5052</v>
      </c>
      <c r="D2862" s="64">
        <f>IFERROR(VLOOKUP(C2862,測定点マスタ!$E$2:$F$28,2,FALSE)/VLOOKUP(A2862,'焼鈍条件-3CGL'!$A$2:$B$197,2,FALSE)*60,"")</f>
        <v>43.206485427090918</v>
      </c>
      <c r="E2862" s="66">
        <v>340.6</v>
      </c>
      <c r="F2862" s="64">
        <f t="shared" si="44"/>
        <v>-34.548568518518451</v>
      </c>
      <c r="G2862" s="60" t="s">
        <v>9</v>
      </c>
      <c r="H2862" s="60" t="s">
        <v>5042</v>
      </c>
    </row>
    <row r="2863" spans="1:8">
      <c r="A2863" s="59" t="s">
        <v>3683</v>
      </c>
      <c r="B2863" s="62">
        <v>11</v>
      </c>
      <c r="C2863" s="60" t="s">
        <v>5069</v>
      </c>
      <c r="D2863" s="64">
        <f>IFERROR(VLOOKUP(C2863,測定点マスタ!$E$2:$F$28,2,FALSE)/VLOOKUP(A2863,'焼鈍条件-3CGL'!$A$2:$B$197,2,FALSE)*60,"")</f>
        <v>46.324479220798501</v>
      </c>
      <c r="E2863" s="66">
        <v>500.4</v>
      </c>
      <c r="F2863" s="64">
        <f t="shared" si="44"/>
        <v>51.250903809523926</v>
      </c>
      <c r="G2863" s="60" t="s">
        <v>9</v>
      </c>
      <c r="H2863" s="60" t="s">
        <v>5042</v>
      </c>
    </row>
    <row r="2864" spans="1:8">
      <c r="A2864" s="59" t="s">
        <v>3683</v>
      </c>
      <c r="B2864" s="62">
        <v>12</v>
      </c>
      <c r="C2864" s="60" t="s">
        <v>5053</v>
      </c>
      <c r="D2864" s="64">
        <f>IFERROR(VLOOKUP(C2864,測定点マスタ!$E$2:$F$28,2,FALSE)/VLOOKUP(A2864,'焼鈍条件-3CGL'!$A$2:$B$197,2,FALSE)*60,"")</f>
        <v>48.55161764487535</v>
      </c>
      <c r="E2864" s="66">
        <v>534.70000000000005</v>
      </c>
      <c r="F2864" s="64">
        <f t="shared" si="44"/>
        <v>15.400928666666717</v>
      </c>
      <c r="G2864" s="60" t="s">
        <v>9</v>
      </c>
      <c r="H2864" s="60" t="s">
        <v>5042</v>
      </c>
    </row>
    <row r="2865" spans="1:8">
      <c r="A2865" s="59" t="s">
        <v>3683</v>
      </c>
      <c r="B2865" s="62">
        <v>13</v>
      </c>
      <c r="C2865" s="60" t="s">
        <v>5054</v>
      </c>
      <c r="D2865" s="64">
        <f>IFERROR(VLOOKUP(C2865,測定点マスタ!$E$2:$F$28,2,FALSE)/VLOOKUP(A2865,'焼鈍条件-3CGL'!$A$2:$B$197,2,FALSE)*60,"")</f>
        <v>54.342177547475167</v>
      </c>
      <c r="E2865" s="66">
        <v>530.1</v>
      </c>
      <c r="F2865" s="64">
        <f t="shared" si="44"/>
        <v>-0.79439641025641361</v>
      </c>
      <c r="G2865" s="60" t="s">
        <v>9</v>
      </c>
      <c r="H2865" s="60" t="s">
        <v>5042</v>
      </c>
    </row>
    <row r="2866" spans="1:8">
      <c r="A2866" s="59" t="s">
        <v>3683</v>
      </c>
      <c r="B2866" s="62">
        <v>14</v>
      </c>
      <c r="C2866" s="60" t="s">
        <v>5056</v>
      </c>
      <c r="D2866" s="64">
        <f>IFERROR(VLOOKUP(C2866,測定点マスタ!$E$2:$F$28,2,FALSE)/VLOOKUP(A2866,'焼鈍条件-3CGL'!$A$2:$B$197,2,FALSE)*60,"")</f>
        <v>59.241882080444242</v>
      </c>
      <c r="E2866" s="66">
        <v>269</v>
      </c>
      <c r="F2866" s="64">
        <f t="shared" si="44"/>
        <v>-53.288927575757555</v>
      </c>
      <c r="G2866" s="60" t="s">
        <v>9</v>
      </c>
      <c r="H2866" s="60" t="s">
        <v>5042</v>
      </c>
    </row>
    <row r="2867" spans="1:8">
      <c r="A2867" s="59" t="s">
        <v>3683</v>
      </c>
      <c r="B2867" s="62">
        <v>15</v>
      </c>
      <c r="C2867" s="60" t="s">
        <v>5057</v>
      </c>
      <c r="D2867" s="64">
        <f>IFERROR(VLOOKUP(C2867,測定点マスタ!$E$2:$F$28,2,FALSE)/VLOOKUP(A2867,'焼鈍条件-3CGL'!$A$2:$B$197,2,FALSE)*60,"")</f>
        <v>73.447843599734384</v>
      </c>
      <c r="E2867" s="66">
        <v>276</v>
      </c>
      <c r="F2867" s="64">
        <f t="shared" si="44"/>
        <v>0.49275087719298449</v>
      </c>
      <c r="G2867" s="60" t="s">
        <v>9</v>
      </c>
      <c r="H2867" s="60" t="s">
        <v>5042</v>
      </c>
    </row>
    <row r="2868" spans="1:8">
      <c r="A2868" s="59" t="s">
        <v>3683</v>
      </c>
      <c r="B2868" s="62">
        <v>16</v>
      </c>
      <c r="C2868" s="60" t="s">
        <v>5059</v>
      </c>
      <c r="D2868" s="64">
        <f>IFERROR(VLOOKUP(C2868,測定点マスタ!$E$2:$F$28,2,FALSE)/VLOOKUP(A2868,'焼鈍条件-3CGL'!$A$2:$B$197,2,FALSE)*60,"")</f>
        <v>78.824792080720115</v>
      </c>
      <c r="E2868" s="66">
        <v>67.7</v>
      </c>
      <c r="F2868" s="64">
        <f t="shared" si="44"/>
        <v>-38.73944500986056</v>
      </c>
      <c r="G2868" s="60" t="s">
        <v>9</v>
      </c>
      <c r="H2868" s="60" t="s">
        <v>5042</v>
      </c>
    </row>
    <row r="2869" spans="1:8">
      <c r="A2869" s="59" t="s">
        <v>3690</v>
      </c>
      <c r="B2869" s="62">
        <v>1</v>
      </c>
      <c r="C2869" s="60" t="s">
        <v>5041</v>
      </c>
      <c r="D2869" s="64">
        <f>IFERROR(VLOOKUP(C2869,測定点マスタ!$E$2:$F$28,2,FALSE)/VLOOKUP(A2869,'焼鈍条件-3CGL'!$A$2:$B$197,2,FALSE)*60,"")</f>
        <v>0</v>
      </c>
      <c r="E2869" s="66">
        <v>39.1</v>
      </c>
      <c r="F2869" s="64" t="str">
        <f t="shared" si="44"/>
        <v/>
      </c>
      <c r="G2869" s="60" t="s">
        <v>12</v>
      </c>
      <c r="H2869" s="60" t="s">
        <v>5064</v>
      </c>
    </row>
    <row r="2870" spans="1:8">
      <c r="A2870" s="59" t="s">
        <v>3690</v>
      </c>
      <c r="B2870" s="62">
        <v>2</v>
      </c>
      <c r="C2870" s="60" t="s">
        <v>5043</v>
      </c>
      <c r="D2870" s="64">
        <f>IFERROR(VLOOKUP(C2870,測定点マスタ!$E$2:$F$28,2,FALSE)/VLOOKUP(A2870,'焼鈍条件-3CGL'!$A$2:$B$197,2,FALSE)*60,"")</f>
        <v>8.3121680905102746</v>
      </c>
      <c r="E2870" s="66">
        <v>160.30000000000001</v>
      </c>
      <c r="F2870" s="64">
        <f t="shared" si="44"/>
        <v>14.581033333333336</v>
      </c>
      <c r="G2870" s="60" t="s">
        <v>12</v>
      </c>
      <c r="H2870" s="60" t="s">
        <v>5064</v>
      </c>
    </row>
    <row r="2871" spans="1:8">
      <c r="A2871" s="59" t="s">
        <v>3690</v>
      </c>
      <c r="B2871" s="62">
        <v>3</v>
      </c>
      <c r="C2871" s="60" t="s">
        <v>5044</v>
      </c>
      <c r="D2871" s="64">
        <f>IFERROR(VLOOKUP(C2871,測定点マスタ!$E$2:$F$28,2,FALSE)/VLOOKUP(A2871,'焼鈍条件-3CGL'!$A$2:$B$197,2,FALSE)*60,"")</f>
        <v>18.840914338489956</v>
      </c>
      <c r="E2871" s="66">
        <v>653.29999999999995</v>
      </c>
      <c r="F2871" s="64">
        <f t="shared" si="44"/>
        <v>46.824188596491226</v>
      </c>
      <c r="G2871" s="60" t="s">
        <v>12</v>
      </c>
      <c r="H2871" s="60" t="s">
        <v>5064</v>
      </c>
    </row>
    <row r="2872" spans="1:8">
      <c r="A2872" s="59" t="s">
        <v>3690</v>
      </c>
      <c r="B2872" s="62">
        <v>4</v>
      </c>
      <c r="C2872" s="60" t="s">
        <v>5045</v>
      </c>
      <c r="D2872" s="64">
        <f>IFERROR(VLOOKUP(C2872,測定点マスタ!$E$2:$F$28,2,FALSE)/VLOOKUP(A2872,'焼鈍条件-3CGL'!$A$2:$B$197,2,FALSE)*60,"")</f>
        <v>24.382359732163469</v>
      </c>
      <c r="E2872" s="66">
        <v>788.7</v>
      </c>
      <c r="F2872" s="64">
        <f t="shared" si="44"/>
        <v>24.434058333333365</v>
      </c>
      <c r="G2872" s="60" t="s">
        <v>12</v>
      </c>
      <c r="H2872" s="60" t="s">
        <v>5064</v>
      </c>
    </row>
    <row r="2873" spans="1:8">
      <c r="A2873" s="59" t="s">
        <v>3690</v>
      </c>
      <c r="B2873" s="62">
        <v>5</v>
      </c>
      <c r="C2873" s="60" t="s">
        <v>5046</v>
      </c>
      <c r="D2873" s="64">
        <f>IFERROR(VLOOKUP(C2873,測定点マスタ!$E$2:$F$28,2,FALSE)/VLOOKUP(A2873,'焼鈍条件-3CGL'!$A$2:$B$197,2,FALSE)*60,"")</f>
        <v>29.923805125836989</v>
      </c>
      <c r="E2873" s="66">
        <v>739.1</v>
      </c>
      <c r="F2873" s="64">
        <f t="shared" si="44"/>
        <v>-8.9507333333333321</v>
      </c>
      <c r="G2873" s="60" t="s">
        <v>12</v>
      </c>
      <c r="H2873" s="60" t="s">
        <v>5064</v>
      </c>
    </row>
    <row r="2874" spans="1:8">
      <c r="A2874" s="59" t="s">
        <v>3690</v>
      </c>
      <c r="B2874" s="62">
        <v>6</v>
      </c>
      <c r="C2874" s="60" t="s">
        <v>5047</v>
      </c>
      <c r="D2874" s="64">
        <f>IFERROR(VLOOKUP(C2874,測定点マスタ!$E$2:$F$28,2,FALSE)/VLOOKUP(A2874,'焼鈍条件-3CGL'!$A$2:$B$197,2,FALSE)*60,"")</f>
        <v>33.248672362041098</v>
      </c>
      <c r="E2874" s="66">
        <v>702.6</v>
      </c>
      <c r="F2874" s="64">
        <f t="shared" si="44"/>
        <v>-10.977881944444444</v>
      </c>
      <c r="G2874" s="60" t="s">
        <v>12</v>
      </c>
      <c r="H2874" s="60" t="s">
        <v>5064</v>
      </c>
    </row>
    <row r="2875" spans="1:8">
      <c r="A2875" s="59" t="s">
        <v>3690</v>
      </c>
      <c r="B2875" s="62">
        <v>7</v>
      </c>
      <c r="C2875" s="60" t="s">
        <v>5049</v>
      </c>
      <c r="D2875" s="64">
        <f>IFERROR(VLOOKUP(C2875,測定点マスタ!$E$2:$F$28,2,FALSE)/VLOOKUP(A2875,'焼鈍条件-3CGL'!$A$2:$B$197,2,FALSE)*60,"")</f>
        <v>40.452551373816668</v>
      </c>
      <c r="E2875" s="66">
        <v>600.20000000000005</v>
      </c>
      <c r="F2875" s="64">
        <f t="shared" si="44"/>
        <v>-14.214564102564102</v>
      </c>
      <c r="G2875" s="60" t="s">
        <v>12</v>
      </c>
      <c r="H2875" s="60" t="s">
        <v>5064</v>
      </c>
    </row>
    <row r="2876" spans="1:8">
      <c r="A2876" s="59" t="s">
        <v>3690</v>
      </c>
      <c r="B2876" s="62">
        <v>8</v>
      </c>
      <c r="C2876" s="60" t="s">
        <v>5050</v>
      </c>
      <c r="D2876" s="64">
        <f>IFERROR(VLOOKUP(C2876,測定点マスタ!$E$2:$F$28,2,FALSE)/VLOOKUP(A2876,'焼鈍条件-3CGL'!$A$2:$B$197,2,FALSE)*60,"")</f>
        <v>44.885707688755481</v>
      </c>
      <c r="E2876" s="66">
        <v>466</v>
      </c>
      <c r="F2876" s="64">
        <f t="shared" si="44"/>
        <v>-30.271885416666677</v>
      </c>
      <c r="G2876" s="60" t="s">
        <v>12</v>
      </c>
      <c r="H2876" s="60" t="s">
        <v>5064</v>
      </c>
    </row>
    <row r="2877" spans="1:8">
      <c r="A2877" s="59" t="s">
        <v>3690</v>
      </c>
      <c r="B2877" s="62">
        <v>9</v>
      </c>
      <c r="C2877" s="60" t="s">
        <v>5051</v>
      </c>
      <c r="D2877" s="64">
        <f>IFERROR(VLOOKUP(C2877,測定点マスタ!$E$2:$F$28,2,FALSE)/VLOOKUP(A2877,'焼鈍条件-3CGL'!$A$2:$B$197,2,FALSE)*60,"")</f>
        <v>48.764719464326937</v>
      </c>
      <c r="E2877" s="66">
        <v>465.3</v>
      </c>
      <c r="F2877" s="64">
        <f t="shared" si="44"/>
        <v>-0.18045833333333067</v>
      </c>
      <c r="G2877" s="60" t="s">
        <v>12</v>
      </c>
      <c r="H2877" s="60" t="s">
        <v>5064</v>
      </c>
    </row>
    <row r="2878" spans="1:8">
      <c r="A2878" s="59" t="s">
        <v>3690</v>
      </c>
      <c r="B2878" s="62">
        <v>10</v>
      </c>
      <c r="C2878" s="60" t="s">
        <v>5052</v>
      </c>
      <c r="D2878" s="64">
        <f>IFERROR(VLOOKUP(C2878,測定点マスタ!$E$2:$F$28,2,FALSE)/VLOOKUP(A2878,'焼鈍条件-3CGL'!$A$2:$B$197,2,FALSE)*60,"")</f>
        <v>53.752020318633107</v>
      </c>
      <c r="E2878" s="66">
        <v>358.1</v>
      </c>
      <c r="F2878" s="64">
        <f t="shared" si="44"/>
        <v>-21.494592592592568</v>
      </c>
      <c r="G2878" s="60" t="s">
        <v>12</v>
      </c>
      <c r="H2878" s="60" t="s">
        <v>5064</v>
      </c>
    </row>
    <row r="2879" spans="1:8">
      <c r="A2879" s="59" t="s">
        <v>3690</v>
      </c>
      <c r="B2879" s="62">
        <v>11</v>
      </c>
      <c r="C2879" s="60" t="s">
        <v>5053</v>
      </c>
      <c r="D2879" s="64">
        <f>IFERROR(VLOOKUP(C2879,測定点マスタ!$E$2:$F$28,2,FALSE)/VLOOKUP(A2879,'焼鈍条件-3CGL'!$A$2:$B$197,2,FALSE)*60,"")</f>
        <v>60.401754791041327</v>
      </c>
      <c r="E2879" s="66">
        <v>510.5</v>
      </c>
      <c r="F2879" s="64">
        <f t="shared" si="44"/>
        <v>22.918208333333329</v>
      </c>
      <c r="G2879" s="60" t="s">
        <v>12</v>
      </c>
      <c r="H2879" s="60" t="s">
        <v>5064</v>
      </c>
    </row>
    <row r="2880" spans="1:8">
      <c r="A2880" s="59" t="s">
        <v>3690</v>
      </c>
      <c r="B2880" s="62">
        <v>12</v>
      </c>
      <c r="C2880" s="60" t="s">
        <v>5063</v>
      </c>
      <c r="D2880" s="64">
        <f>IFERROR(VLOOKUP(C2880,測定点マスタ!$E$2:$F$28,2,FALSE)/VLOOKUP(A2880,'焼鈍条件-3CGL'!$A$2:$B$197,2,FALSE)*60,"")</f>
        <v>63.726622027245433</v>
      </c>
      <c r="E2880" s="66">
        <v>515.4</v>
      </c>
      <c r="F2880" s="64">
        <f t="shared" si="44"/>
        <v>1.4737430555555504</v>
      </c>
      <c r="G2880" s="60" t="s">
        <v>12</v>
      </c>
      <c r="H2880" s="60" t="s">
        <v>5064</v>
      </c>
    </row>
    <row r="2881" spans="1:8">
      <c r="A2881" s="59" t="s">
        <v>3690</v>
      </c>
      <c r="B2881" s="62">
        <v>13</v>
      </c>
      <c r="C2881" s="60" t="s">
        <v>5054</v>
      </c>
      <c r="D2881" s="64">
        <f>IFERROR(VLOOKUP(C2881,測定点マスタ!$E$2:$F$28,2,FALSE)/VLOOKUP(A2881,'焼鈍条件-3CGL'!$A$2:$B$197,2,FALSE)*60,"")</f>
        <v>67.605633802816897</v>
      </c>
      <c r="E2881" s="66">
        <v>499.9</v>
      </c>
      <c r="F2881" s="64">
        <f t="shared" si="44"/>
        <v>-3.9958630952380934</v>
      </c>
      <c r="G2881" s="60" t="s">
        <v>12</v>
      </c>
      <c r="H2881" s="60" t="s">
        <v>5064</v>
      </c>
    </row>
    <row r="2882" spans="1:8">
      <c r="A2882" s="59" t="s">
        <v>3690</v>
      </c>
      <c r="B2882" s="62">
        <v>14</v>
      </c>
      <c r="C2882" s="60" t="s">
        <v>5056</v>
      </c>
      <c r="D2882" s="64">
        <f>IFERROR(VLOOKUP(C2882,測定点マスタ!$E$2:$F$28,2,FALSE)/VLOOKUP(A2882,'焼鈍条件-3CGL'!$A$2:$B$197,2,FALSE)*60,"")</f>
        <v>73.701223735857766</v>
      </c>
      <c r="E2882" s="66">
        <v>265</v>
      </c>
      <c r="F2882" s="64">
        <f t="shared" ref="F2882:F2945" si="45">IF(A2882=A2881,IFERROR((E2882-E2881)/(D2882-D2881),""),"")</f>
        <v>-38.536056818181805</v>
      </c>
      <c r="G2882" s="60" t="s">
        <v>12</v>
      </c>
      <c r="H2882" s="60" t="s">
        <v>5064</v>
      </c>
    </row>
    <row r="2883" spans="1:8">
      <c r="A2883" s="59" t="s">
        <v>3690</v>
      </c>
      <c r="B2883" s="62">
        <v>15</v>
      </c>
      <c r="C2883" s="60" t="s">
        <v>5062</v>
      </c>
      <c r="D2883" s="64">
        <f>IFERROR(VLOOKUP(C2883,測定点マスタ!$E$2:$F$28,2,FALSE)/VLOOKUP(A2883,'焼鈍条件-3CGL'!$A$2:$B$197,2,FALSE)*60,"")</f>
        <v>80.350958208265979</v>
      </c>
      <c r="E2883" s="66">
        <v>463.7</v>
      </c>
      <c r="F2883" s="64">
        <f t="shared" si="45"/>
        <v>29.88089236111114</v>
      </c>
      <c r="G2883" s="60" t="s">
        <v>12</v>
      </c>
      <c r="H2883" s="60" t="s">
        <v>5064</v>
      </c>
    </row>
    <row r="2884" spans="1:8">
      <c r="A2884" s="59" t="s">
        <v>3690</v>
      </c>
      <c r="B2884" s="62">
        <v>16</v>
      </c>
      <c r="C2884" s="60" t="s">
        <v>5065</v>
      </c>
      <c r="D2884" s="64">
        <f>IFERROR(VLOOKUP(C2884,測定点マスタ!$E$2:$F$28,2,FALSE)/VLOOKUP(A2884,'焼鈍条件-3CGL'!$A$2:$B$197,2,FALSE)*60,"")</f>
        <v>81.340502028564657</v>
      </c>
      <c r="E2884" s="66">
        <v>530.79999999999995</v>
      </c>
      <c r="F2884" s="64">
        <f t="shared" si="45"/>
        <v>67.809023333344541</v>
      </c>
      <c r="G2884" s="60" t="s">
        <v>12</v>
      </c>
      <c r="H2884" s="60" t="s">
        <v>5064</v>
      </c>
    </row>
    <row r="2885" spans="1:8">
      <c r="A2885" s="59" t="s">
        <v>3690</v>
      </c>
      <c r="B2885" s="62">
        <v>17</v>
      </c>
      <c r="C2885" s="60" t="s">
        <v>5066</v>
      </c>
      <c r="D2885" s="64">
        <f>IFERROR(VLOOKUP(C2885,測定点マスタ!$E$2:$F$28,2,FALSE)/VLOOKUP(A2885,'焼鈍条件-3CGL'!$A$2:$B$197,2,FALSE)*60,"")</f>
        <v>84.685160141175146</v>
      </c>
      <c r="E2885" s="66">
        <v>522.20000000000005</v>
      </c>
      <c r="F2885" s="64">
        <f t="shared" si="45"/>
        <v>-2.5712642998024249</v>
      </c>
      <c r="G2885" s="60" t="s">
        <v>12</v>
      </c>
      <c r="H2885" s="60" t="s">
        <v>5064</v>
      </c>
    </row>
    <row r="2886" spans="1:8">
      <c r="A2886" s="59" t="s">
        <v>3690</v>
      </c>
      <c r="B2886" s="62">
        <v>18</v>
      </c>
      <c r="C2886" s="60" t="s">
        <v>5057</v>
      </c>
      <c r="D2886" s="64">
        <f>IFERROR(VLOOKUP(C2886,測定点マスタ!$E$2:$F$28,2,FALSE)/VLOOKUP(A2886,'焼鈍条件-3CGL'!$A$2:$B$197,2,FALSE)*60,"")</f>
        <v>91.374476366395001</v>
      </c>
      <c r="E2886" s="66">
        <v>279.60000000000002</v>
      </c>
      <c r="F2886" s="64">
        <f t="shared" si="45"/>
        <v>-36.26678599605696</v>
      </c>
      <c r="G2886" s="60" t="s">
        <v>12</v>
      </c>
      <c r="H2886" s="60" t="s">
        <v>5064</v>
      </c>
    </row>
    <row r="2887" spans="1:8">
      <c r="A2887" s="59" t="s">
        <v>3690</v>
      </c>
      <c r="B2887" s="62">
        <v>19</v>
      </c>
      <c r="C2887" s="60" t="s">
        <v>5058</v>
      </c>
      <c r="D2887" s="64">
        <f>IFERROR(VLOOKUP(C2887,測定点マスタ!$E$2:$F$28,2,FALSE)/VLOOKUP(A2887,'焼鈍条件-3CGL'!$A$2:$B$197,2,FALSE)*60,"")</f>
        <v>94.719134479004921</v>
      </c>
      <c r="E2887" s="66">
        <v>108.4</v>
      </c>
      <c r="F2887" s="64">
        <f t="shared" si="45"/>
        <v>-51.186098619331936</v>
      </c>
      <c r="G2887" s="60" t="s">
        <v>12</v>
      </c>
      <c r="H2887" s="60" t="s">
        <v>5064</v>
      </c>
    </row>
    <row r="2888" spans="1:8">
      <c r="A2888" s="59" t="s">
        <v>3690</v>
      </c>
      <c r="B2888" s="62">
        <v>20</v>
      </c>
      <c r="C2888" s="60" t="s">
        <v>5059</v>
      </c>
      <c r="D2888" s="64">
        <f>IFERROR(VLOOKUP(C2888,測定点マスタ!$E$2:$F$28,2,FALSE)/VLOOKUP(A2888,'焼鈍条件-3CGL'!$A$2:$B$197,2,FALSE)*60,"")</f>
        <v>98.063792591615424</v>
      </c>
      <c r="E2888" s="66">
        <v>63.7</v>
      </c>
      <c r="F2888" s="64">
        <f t="shared" si="45"/>
        <v>-13.364594674554551</v>
      </c>
      <c r="G2888" s="60" t="s">
        <v>12</v>
      </c>
      <c r="H2888" s="60" t="s">
        <v>5064</v>
      </c>
    </row>
    <row r="2889" spans="1:8">
      <c r="A2889" s="59" t="s">
        <v>3697</v>
      </c>
      <c r="B2889" s="62">
        <v>1</v>
      </c>
      <c r="C2889" s="60" t="s">
        <v>5041</v>
      </c>
      <c r="D2889" s="64">
        <f>IFERROR(VLOOKUP(C2889,測定点マスタ!$E$2:$F$28,2,FALSE)/VLOOKUP(A2889,'焼鈍条件-3CGL'!$A$2:$B$197,2,FALSE)*60,"")</f>
        <v>0</v>
      </c>
      <c r="E2889" s="66">
        <v>25.4</v>
      </c>
      <c r="F2889" s="64" t="str">
        <f t="shared" si="45"/>
        <v/>
      </c>
      <c r="G2889" s="60" t="s">
        <v>9</v>
      </c>
      <c r="H2889" s="60" t="s">
        <v>5064</v>
      </c>
    </row>
    <row r="2890" spans="1:8">
      <c r="A2890" s="59" t="s">
        <v>3697</v>
      </c>
      <c r="B2890" s="62">
        <v>2</v>
      </c>
      <c r="C2890" s="60" t="s">
        <v>5043</v>
      </c>
      <c r="D2890" s="64">
        <f>IFERROR(VLOOKUP(C2890,測定点マスタ!$E$2:$F$28,2,FALSE)/VLOOKUP(A2890,'焼鈍条件-3CGL'!$A$2:$B$197,2,FALSE)*60,"")</f>
        <v>9.1078367875647661</v>
      </c>
      <c r="E2890" s="66">
        <v>194.1</v>
      </c>
      <c r="F2890" s="64">
        <f t="shared" si="45"/>
        <v>18.522510222222223</v>
      </c>
      <c r="G2890" s="60" t="s">
        <v>9</v>
      </c>
      <c r="H2890" s="60" t="s">
        <v>5064</v>
      </c>
    </row>
    <row r="2891" spans="1:8">
      <c r="A2891" s="59" t="s">
        <v>3697</v>
      </c>
      <c r="B2891" s="62">
        <v>3</v>
      </c>
      <c r="C2891" s="60" t="s">
        <v>5044</v>
      </c>
      <c r="D2891" s="64">
        <f>IFERROR(VLOOKUP(C2891,測定点マスタ!$E$2:$F$28,2,FALSE)/VLOOKUP(A2891,'焼鈍条件-3CGL'!$A$2:$B$197,2,FALSE)*60,"")</f>
        <v>20.644430051813472</v>
      </c>
      <c r="E2891" s="66">
        <v>677.7</v>
      </c>
      <c r="F2891" s="64">
        <f t="shared" si="45"/>
        <v>41.91878736842105</v>
      </c>
      <c r="G2891" s="60" t="s">
        <v>9</v>
      </c>
      <c r="H2891" s="60" t="s">
        <v>5064</v>
      </c>
    </row>
    <row r="2892" spans="1:8">
      <c r="A2892" s="59" t="s">
        <v>3697</v>
      </c>
      <c r="B2892" s="62">
        <v>4</v>
      </c>
      <c r="C2892" s="60" t="s">
        <v>5045</v>
      </c>
      <c r="D2892" s="64">
        <f>IFERROR(VLOOKUP(C2892,測定点マスタ!$E$2:$F$28,2,FALSE)/VLOOKUP(A2892,'焼鈍条件-3CGL'!$A$2:$B$197,2,FALSE)*60,"")</f>
        <v>26.716321243523314</v>
      </c>
      <c r="E2892" s="66">
        <v>825.4</v>
      </c>
      <c r="F2892" s="64">
        <f t="shared" si="45"/>
        <v>24.325205333333333</v>
      </c>
      <c r="G2892" s="60" t="s">
        <v>9</v>
      </c>
      <c r="H2892" s="60" t="s">
        <v>5064</v>
      </c>
    </row>
    <row r="2893" spans="1:8">
      <c r="A2893" s="59" t="s">
        <v>3697</v>
      </c>
      <c r="B2893" s="62">
        <v>5</v>
      </c>
      <c r="C2893" s="60" t="s">
        <v>5047</v>
      </c>
      <c r="D2893" s="64">
        <f>IFERROR(VLOOKUP(C2893,測定点マスタ!$E$2:$F$28,2,FALSE)/VLOOKUP(A2893,'焼鈍条件-3CGL'!$A$2:$B$197,2,FALSE)*60,"")</f>
        <v>36.431347150259064</v>
      </c>
      <c r="E2893" s="66">
        <v>760.7</v>
      </c>
      <c r="F2893" s="64">
        <f t="shared" si="45"/>
        <v>-6.6597866666666601</v>
      </c>
      <c r="G2893" s="60" t="s">
        <v>9</v>
      </c>
      <c r="H2893" s="60" t="s">
        <v>5064</v>
      </c>
    </row>
    <row r="2894" spans="1:8">
      <c r="A2894" s="59" t="s">
        <v>3697</v>
      </c>
      <c r="B2894" s="62">
        <v>6</v>
      </c>
      <c r="C2894" s="60" t="s">
        <v>5049</v>
      </c>
      <c r="D2894" s="64">
        <f>IFERROR(VLOOKUP(C2894,測定点マスタ!$E$2:$F$28,2,FALSE)/VLOOKUP(A2894,'焼鈍条件-3CGL'!$A$2:$B$197,2,FALSE)*60,"")</f>
        <v>44.324805699481864</v>
      </c>
      <c r="E2894" s="66">
        <v>621.6</v>
      </c>
      <c r="F2894" s="64">
        <f t="shared" si="45"/>
        <v>-17.622186666666664</v>
      </c>
      <c r="G2894" s="60" t="s">
        <v>9</v>
      </c>
      <c r="H2894" s="60" t="s">
        <v>5064</v>
      </c>
    </row>
    <row r="2895" spans="1:8">
      <c r="A2895" s="59" t="s">
        <v>3697</v>
      </c>
      <c r="B2895" s="62">
        <v>7</v>
      </c>
      <c r="C2895" s="60" t="s">
        <v>5050</v>
      </c>
      <c r="D2895" s="64">
        <f>IFERROR(VLOOKUP(C2895,測定点マスタ!$E$2:$F$28,2,FALSE)/VLOOKUP(A2895,'焼鈍条件-3CGL'!$A$2:$B$197,2,FALSE)*60,"")</f>
        <v>49.182318652849737</v>
      </c>
      <c r="E2895" s="66">
        <v>516.70000000000005</v>
      </c>
      <c r="F2895" s="64">
        <f t="shared" si="45"/>
        <v>-21.59541333333334</v>
      </c>
      <c r="G2895" s="60" t="s">
        <v>9</v>
      </c>
      <c r="H2895" s="60" t="s">
        <v>5064</v>
      </c>
    </row>
    <row r="2896" spans="1:8">
      <c r="A2896" s="59" t="s">
        <v>3697</v>
      </c>
      <c r="B2896" s="62">
        <v>8</v>
      </c>
      <c r="C2896" s="60" t="s">
        <v>5051</v>
      </c>
      <c r="D2896" s="64">
        <f>IFERROR(VLOOKUP(C2896,測定点マスタ!$E$2:$F$28,2,FALSE)/VLOOKUP(A2896,'焼鈍条件-3CGL'!$A$2:$B$197,2,FALSE)*60,"")</f>
        <v>53.432642487046628</v>
      </c>
      <c r="E2896" s="66">
        <v>482</v>
      </c>
      <c r="F2896" s="64">
        <f t="shared" si="45"/>
        <v>-8.1640838095238202</v>
      </c>
      <c r="G2896" s="60" t="s">
        <v>9</v>
      </c>
      <c r="H2896" s="60" t="s">
        <v>5064</v>
      </c>
    </row>
    <row r="2897" spans="1:8">
      <c r="A2897" s="59" t="s">
        <v>3697</v>
      </c>
      <c r="B2897" s="62">
        <v>9</v>
      </c>
      <c r="C2897" s="60" t="s">
        <v>5052</v>
      </c>
      <c r="D2897" s="64">
        <f>IFERROR(VLOOKUP(C2897,測定点マスタ!$E$2:$F$28,2,FALSE)/VLOOKUP(A2897,'焼鈍条件-3CGL'!$A$2:$B$197,2,FALSE)*60,"")</f>
        <v>58.897344559585491</v>
      </c>
      <c r="E2897" s="66">
        <v>374.7</v>
      </c>
      <c r="F2897" s="64">
        <f t="shared" si="45"/>
        <v>-19.635105185185179</v>
      </c>
      <c r="G2897" s="60" t="s">
        <v>9</v>
      </c>
      <c r="H2897" s="60" t="s">
        <v>5064</v>
      </c>
    </row>
    <row r="2898" spans="1:8">
      <c r="A2898" s="59" t="s">
        <v>3697</v>
      </c>
      <c r="B2898" s="62">
        <v>10</v>
      </c>
      <c r="C2898" s="60" t="s">
        <v>5053</v>
      </c>
      <c r="D2898" s="64">
        <f>IFERROR(VLOOKUP(C2898,測定点マスタ!$E$2:$F$28,2,FALSE)/VLOOKUP(A2898,'焼鈍条件-3CGL'!$A$2:$B$197,2,FALSE)*60,"")</f>
        <v>66.183613989637294</v>
      </c>
      <c r="E2898" s="66">
        <v>529</v>
      </c>
      <c r="F2898" s="64">
        <f t="shared" si="45"/>
        <v>21.17681777777781</v>
      </c>
      <c r="G2898" s="60" t="s">
        <v>9</v>
      </c>
      <c r="H2898" s="60" t="s">
        <v>5064</v>
      </c>
    </row>
    <row r="2899" spans="1:8">
      <c r="A2899" s="59" t="s">
        <v>3697</v>
      </c>
      <c r="B2899" s="62">
        <v>11</v>
      </c>
      <c r="C2899" s="60" t="s">
        <v>5054</v>
      </c>
      <c r="D2899" s="64">
        <f>IFERROR(VLOOKUP(C2899,測定点マスタ!$E$2:$F$28,2,FALSE)/VLOOKUP(A2899,'焼鈍条件-3CGL'!$A$2:$B$197,2,FALSE)*60,"")</f>
        <v>74.077072538860108</v>
      </c>
      <c r="E2899" s="66">
        <v>516.5</v>
      </c>
      <c r="F2899" s="64">
        <f t="shared" si="45"/>
        <v>-1.5835897435897404</v>
      </c>
      <c r="G2899" s="60" t="s">
        <v>9</v>
      </c>
      <c r="H2899" s="60" t="s">
        <v>5064</v>
      </c>
    </row>
    <row r="2900" spans="1:8">
      <c r="A2900" s="59" t="s">
        <v>3697</v>
      </c>
      <c r="B2900" s="62">
        <v>12</v>
      </c>
      <c r="C2900" s="60" t="s">
        <v>5056</v>
      </c>
      <c r="D2900" s="64">
        <f>IFERROR(VLOOKUP(C2900,測定点マスタ!$E$2:$F$28,2,FALSE)/VLOOKUP(A2900,'焼鈍条件-3CGL'!$A$2:$B$197,2,FALSE)*60,"")</f>
        <v>80.756152849740943</v>
      </c>
      <c r="E2900" s="66">
        <v>262.2</v>
      </c>
      <c r="F2900" s="64">
        <f t="shared" si="45"/>
        <v>-38.074104242424212</v>
      </c>
      <c r="G2900" s="60" t="s">
        <v>9</v>
      </c>
      <c r="H2900" s="60" t="s">
        <v>5064</v>
      </c>
    </row>
    <row r="2901" spans="1:8">
      <c r="A2901" s="59" t="s">
        <v>3697</v>
      </c>
      <c r="B2901" s="62">
        <v>13</v>
      </c>
      <c r="C2901" s="60" t="s">
        <v>5062</v>
      </c>
      <c r="D2901" s="64">
        <f>IFERROR(VLOOKUP(C2901,測定点マスタ!$E$2:$F$28,2,FALSE)/VLOOKUP(A2901,'焼鈍条件-3CGL'!$A$2:$B$197,2,FALSE)*60,"")</f>
        <v>88.042422279792746</v>
      </c>
      <c r="E2901" s="66">
        <v>461.2</v>
      </c>
      <c r="F2901" s="64">
        <f t="shared" si="45"/>
        <v>27.311644444444482</v>
      </c>
      <c r="G2901" s="60" t="s">
        <v>9</v>
      </c>
      <c r="H2901" s="60" t="s">
        <v>5064</v>
      </c>
    </row>
    <row r="2902" spans="1:8">
      <c r="A2902" s="59" t="s">
        <v>3697</v>
      </c>
      <c r="B2902" s="62">
        <v>14</v>
      </c>
      <c r="C2902" s="60" t="s">
        <v>5065</v>
      </c>
      <c r="D2902" s="64">
        <f>IFERROR(VLOOKUP(C2902,測定点マスタ!$E$2:$F$28,2,FALSE)/VLOOKUP(A2902,'焼鈍条件-3CGL'!$A$2:$B$197,2,FALSE)*60,"")</f>
        <v>89.126688564026466</v>
      </c>
      <c r="E2902" s="66">
        <v>531.9</v>
      </c>
      <c r="F2902" s="64">
        <f t="shared" si="45"/>
        <v>65.205384533344173</v>
      </c>
      <c r="G2902" s="60" t="s">
        <v>9</v>
      </c>
      <c r="H2902" s="60" t="s">
        <v>5064</v>
      </c>
    </row>
    <row r="2903" spans="1:8">
      <c r="A2903" s="59" t="s">
        <v>3697</v>
      </c>
      <c r="B2903" s="62">
        <v>15</v>
      </c>
      <c r="C2903" s="60" t="s">
        <v>5066</v>
      </c>
      <c r="D2903" s="64">
        <f>IFERROR(VLOOKUP(C2903,測定点マスタ!$E$2:$F$28,2,FALSE)/VLOOKUP(A2903,'焼鈍条件-3CGL'!$A$2:$B$197,2,FALSE)*60,"")</f>
        <v>92.791508604737487</v>
      </c>
      <c r="E2903" s="66">
        <v>519.9</v>
      </c>
      <c r="F2903" s="64">
        <f t="shared" si="45"/>
        <v>-3.2743763313605569</v>
      </c>
      <c r="G2903" s="60" t="s">
        <v>9</v>
      </c>
      <c r="H2903" s="60" t="s">
        <v>5064</v>
      </c>
    </row>
    <row r="2904" spans="1:8">
      <c r="A2904" s="59" t="s">
        <v>3697</v>
      </c>
      <c r="B2904" s="62">
        <v>16</v>
      </c>
      <c r="C2904" s="60" t="s">
        <v>5057</v>
      </c>
      <c r="D2904" s="64">
        <f>IFERROR(VLOOKUP(C2904,測定点マスタ!$E$2:$F$28,2,FALSE)/VLOOKUP(A2904,'焼鈍条件-3CGL'!$A$2:$B$197,2,FALSE)*60,"")</f>
        <v>100.12114868615831</v>
      </c>
      <c r="E2904" s="66">
        <v>253.6</v>
      </c>
      <c r="F2904" s="64">
        <f t="shared" si="45"/>
        <v>-36.331934043394234</v>
      </c>
      <c r="G2904" s="60" t="s">
        <v>9</v>
      </c>
      <c r="H2904" s="60" t="s">
        <v>5064</v>
      </c>
    </row>
    <row r="2905" spans="1:8">
      <c r="A2905" s="59" t="s">
        <v>3697</v>
      </c>
      <c r="B2905" s="62">
        <v>17</v>
      </c>
      <c r="C2905" s="60" t="s">
        <v>5059</v>
      </c>
      <c r="D2905" s="64">
        <f>IFERROR(VLOOKUP(C2905,測定点マスタ!$E$2:$F$28,2,FALSE)/VLOOKUP(A2905,'焼鈍条件-3CGL'!$A$2:$B$197,2,FALSE)*60,"")</f>
        <v>107.45078876757974</v>
      </c>
      <c r="E2905" s="66">
        <v>58.2</v>
      </c>
      <c r="F2905" s="64">
        <f t="shared" si="45"/>
        <v>-26.658880631162756</v>
      </c>
      <c r="G2905" s="60" t="s">
        <v>9</v>
      </c>
      <c r="H2905" s="60" t="s">
        <v>5064</v>
      </c>
    </row>
    <row r="2906" spans="1:8">
      <c r="A2906" s="59" t="s">
        <v>3717</v>
      </c>
      <c r="B2906" s="62">
        <v>1</v>
      </c>
      <c r="C2906" s="60" t="s">
        <v>5041</v>
      </c>
      <c r="D2906" s="64">
        <f>IFERROR(VLOOKUP(C2906,測定点マスタ!$E$2:$F$28,2,FALSE)/VLOOKUP(A2906,'焼鈍条件-3CGL'!$A$2:$B$197,2,FALSE)*60,"")</f>
        <v>0</v>
      </c>
      <c r="E2906" s="66">
        <v>28.1</v>
      </c>
      <c r="F2906" s="64" t="str">
        <f t="shared" si="45"/>
        <v/>
      </c>
      <c r="G2906" s="60" t="s">
        <v>12</v>
      </c>
      <c r="H2906" s="60" t="s">
        <v>5042</v>
      </c>
    </row>
    <row r="2907" spans="1:8">
      <c r="A2907" s="59" t="s">
        <v>3717</v>
      </c>
      <c r="B2907" s="62">
        <v>2</v>
      </c>
      <c r="C2907" s="60" t="s">
        <v>5043</v>
      </c>
      <c r="D2907" s="64">
        <f>IFERROR(VLOOKUP(C2907,測定点マスタ!$E$2:$F$28,2,FALSE)/VLOOKUP(A2907,'焼鈍条件-3CGL'!$A$2:$B$197,2,FALSE)*60,"")</f>
        <v>10.353872348258248</v>
      </c>
      <c r="E2907" s="66">
        <v>187.9</v>
      </c>
      <c r="F2907" s="64">
        <f t="shared" si="45"/>
        <v>15.433839111111114</v>
      </c>
      <c r="G2907" s="60" t="s">
        <v>12</v>
      </c>
      <c r="H2907" s="60" t="s">
        <v>5042</v>
      </c>
    </row>
    <row r="2908" spans="1:8">
      <c r="A2908" s="59" t="s">
        <v>3717</v>
      </c>
      <c r="B2908" s="62">
        <v>3</v>
      </c>
      <c r="C2908" s="60" t="s">
        <v>5044</v>
      </c>
      <c r="D2908" s="64">
        <f>IFERROR(VLOOKUP(C2908,測定点マスタ!$E$2:$F$28,2,FALSE)/VLOOKUP(A2908,'焼鈍条件-3CGL'!$A$2:$B$197,2,FALSE)*60,"")</f>
        <v>23.468777322718697</v>
      </c>
      <c r="E2908" s="66">
        <v>672.3</v>
      </c>
      <c r="F2908" s="64">
        <f t="shared" si="45"/>
        <v>36.935075087719291</v>
      </c>
      <c r="G2908" s="60" t="s">
        <v>12</v>
      </c>
      <c r="H2908" s="60" t="s">
        <v>5042</v>
      </c>
    </row>
    <row r="2909" spans="1:8">
      <c r="A2909" s="59" t="s">
        <v>3717</v>
      </c>
      <c r="B2909" s="62">
        <v>4</v>
      </c>
      <c r="C2909" s="60" t="s">
        <v>5045</v>
      </c>
      <c r="D2909" s="64">
        <f>IFERROR(VLOOKUP(C2909,測定点マスタ!$E$2:$F$28,2,FALSE)/VLOOKUP(A2909,'焼鈍条件-3CGL'!$A$2:$B$197,2,FALSE)*60,"")</f>
        <v>30.37135888822419</v>
      </c>
      <c r="E2909" s="66">
        <v>821.8</v>
      </c>
      <c r="F2909" s="64">
        <f t="shared" si="45"/>
        <v>21.658563333333355</v>
      </c>
      <c r="G2909" s="60" t="s">
        <v>12</v>
      </c>
      <c r="H2909" s="60" t="s">
        <v>5042</v>
      </c>
    </row>
    <row r="2910" spans="1:8">
      <c r="A2910" s="59" t="s">
        <v>3717</v>
      </c>
      <c r="B2910" s="62">
        <v>5</v>
      </c>
      <c r="C2910" s="60" t="s">
        <v>5046</v>
      </c>
      <c r="D2910" s="64">
        <f>IFERROR(VLOOKUP(C2910,測定点マスタ!$E$2:$F$28,2,FALSE)/VLOOKUP(A2910,'焼鈍条件-3CGL'!$A$2:$B$197,2,FALSE)*60,"")</f>
        <v>37.273940453729693</v>
      </c>
      <c r="E2910" s="66">
        <v>768.7</v>
      </c>
      <c r="F2910" s="64">
        <f t="shared" si="45"/>
        <v>-7.6927739999999822</v>
      </c>
      <c r="G2910" s="60" t="s">
        <v>12</v>
      </c>
      <c r="H2910" s="60" t="s">
        <v>5042</v>
      </c>
    </row>
    <row r="2911" spans="1:8">
      <c r="A2911" s="59" t="s">
        <v>3717</v>
      </c>
      <c r="B2911" s="62">
        <v>6</v>
      </c>
      <c r="C2911" s="60" t="s">
        <v>5047</v>
      </c>
      <c r="D2911" s="64">
        <f>IFERROR(VLOOKUP(C2911,測定点マスタ!$E$2:$F$28,2,FALSE)/VLOOKUP(A2911,'焼鈍条件-3CGL'!$A$2:$B$197,2,FALSE)*60,"")</f>
        <v>41.415489393032992</v>
      </c>
      <c r="E2911" s="66">
        <v>757</v>
      </c>
      <c r="F2911" s="64">
        <f t="shared" si="45"/>
        <v>-2.8250300000000115</v>
      </c>
      <c r="G2911" s="60" t="s">
        <v>12</v>
      </c>
      <c r="H2911" s="60" t="s">
        <v>5042</v>
      </c>
    </row>
    <row r="2912" spans="1:8">
      <c r="A2912" s="59" t="s">
        <v>3717</v>
      </c>
      <c r="B2912" s="62">
        <v>7</v>
      </c>
      <c r="C2912" s="60" t="s">
        <v>5048</v>
      </c>
      <c r="D2912" s="64">
        <f>IFERROR(VLOOKUP(C2912,測定点マスタ!$E$2:$F$28,2,FALSE)/VLOOKUP(A2912,'焼鈍条件-3CGL'!$A$2:$B$197,2,FALSE)*60,"")</f>
        <v>45.55703833233629</v>
      </c>
      <c r="E2912" s="66">
        <v>694.6</v>
      </c>
      <c r="F2912" s="64">
        <f t="shared" si="45"/>
        <v>-15.066826666666664</v>
      </c>
      <c r="G2912" s="60" t="s">
        <v>12</v>
      </c>
      <c r="H2912" s="60" t="s">
        <v>5042</v>
      </c>
    </row>
    <row r="2913" spans="1:8">
      <c r="A2913" s="59" t="s">
        <v>3717</v>
      </c>
      <c r="B2913" s="62">
        <v>8</v>
      </c>
      <c r="C2913" s="60" t="s">
        <v>5049</v>
      </c>
      <c r="D2913" s="64">
        <f>IFERROR(VLOOKUP(C2913,測定点マスタ!$E$2:$F$28,2,FALSE)/VLOOKUP(A2913,'焼鈍条件-3CGL'!$A$2:$B$197,2,FALSE)*60,"")</f>
        <v>50.388845428190137</v>
      </c>
      <c r="E2913" s="66">
        <v>600.29999999999995</v>
      </c>
      <c r="F2913" s="64">
        <f t="shared" si="45"/>
        <v>-19.516507619047644</v>
      </c>
      <c r="G2913" s="60" t="s">
        <v>12</v>
      </c>
      <c r="H2913" s="60" t="s">
        <v>5042</v>
      </c>
    </row>
    <row r="2914" spans="1:8">
      <c r="A2914" s="59" t="s">
        <v>3717</v>
      </c>
      <c r="B2914" s="62">
        <v>9</v>
      </c>
      <c r="C2914" s="60" t="s">
        <v>5050</v>
      </c>
      <c r="D2914" s="64">
        <f>IFERROR(VLOOKUP(C2914,測定点マスタ!$E$2:$F$28,2,FALSE)/VLOOKUP(A2914,'焼鈍条件-3CGL'!$A$2:$B$197,2,FALSE)*60,"")</f>
        <v>55.91091068059454</v>
      </c>
      <c r="E2914" s="66">
        <v>511.2</v>
      </c>
      <c r="F2914" s="64">
        <f t="shared" si="45"/>
        <v>-16.135267499999983</v>
      </c>
      <c r="G2914" s="60" t="s">
        <v>12</v>
      </c>
      <c r="H2914" s="60" t="s">
        <v>5042</v>
      </c>
    </row>
    <row r="2915" spans="1:8">
      <c r="A2915" s="59" t="s">
        <v>3717</v>
      </c>
      <c r="B2915" s="62">
        <v>10</v>
      </c>
      <c r="C2915" s="60" t="s">
        <v>5051</v>
      </c>
      <c r="D2915" s="64">
        <f>IFERROR(VLOOKUP(C2915,測定点マスタ!$E$2:$F$28,2,FALSE)/VLOOKUP(A2915,'焼鈍条件-3CGL'!$A$2:$B$197,2,FALSE)*60,"")</f>
        <v>60.74271777644838</v>
      </c>
      <c r="E2915" s="66">
        <v>447.5</v>
      </c>
      <c r="F2915" s="64">
        <f t="shared" si="45"/>
        <v>-13.183473333333357</v>
      </c>
      <c r="G2915" s="60" t="s">
        <v>12</v>
      </c>
      <c r="H2915" s="60" t="s">
        <v>5042</v>
      </c>
    </row>
    <row r="2916" spans="1:8">
      <c r="A2916" s="59" t="s">
        <v>3717</v>
      </c>
      <c r="B2916" s="62">
        <v>11</v>
      </c>
      <c r="C2916" s="60" t="s">
        <v>5060</v>
      </c>
      <c r="D2916" s="64">
        <f>IFERROR(VLOOKUP(C2916,測定点マスタ!$E$2:$F$28,2,FALSE)/VLOOKUP(A2916,'焼鈍条件-3CGL'!$A$2:$B$197,2,FALSE)*60,"")</f>
        <v>63.503750402650581</v>
      </c>
      <c r="E2916" s="66">
        <v>405.5</v>
      </c>
      <c r="F2916" s="64">
        <f t="shared" si="45"/>
        <v>-15.21169999999999</v>
      </c>
      <c r="G2916" s="60" t="s">
        <v>12</v>
      </c>
      <c r="H2916" s="60" t="s">
        <v>5042</v>
      </c>
    </row>
    <row r="2917" spans="1:8">
      <c r="A2917" s="59" t="s">
        <v>3717</v>
      </c>
      <c r="B2917" s="62">
        <v>12</v>
      </c>
      <c r="C2917" s="60" t="s">
        <v>5052</v>
      </c>
      <c r="D2917" s="64">
        <f>IFERROR(VLOOKUP(C2917,測定点マスタ!$E$2:$F$28,2,FALSE)/VLOOKUP(A2917,'焼鈍条件-3CGL'!$A$2:$B$197,2,FALSE)*60,"")</f>
        <v>66.955041185403346</v>
      </c>
      <c r="E2917" s="66">
        <v>362.2</v>
      </c>
      <c r="F2917" s="64">
        <f t="shared" si="45"/>
        <v>-12.546030666666617</v>
      </c>
      <c r="G2917" s="60" t="s">
        <v>12</v>
      </c>
      <c r="H2917" s="60" t="s">
        <v>5042</v>
      </c>
    </row>
    <row r="2918" spans="1:8">
      <c r="A2918" s="59" t="s">
        <v>3717</v>
      </c>
      <c r="B2918" s="62">
        <v>13</v>
      </c>
      <c r="C2918" s="60" t="s">
        <v>5053</v>
      </c>
      <c r="D2918" s="64">
        <f>IFERROR(VLOOKUP(C2918,測定点マスタ!$E$2:$F$28,2,FALSE)/VLOOKUP(A2918,'焼鈍条件-3CGL'!$A$2:$B$197,2,FALSE)*60,"")</f>
        <v>75.238139064009928</v>
      </c>
      <c r="E2918" s="66">
        <v>534.20000000000005</v>
      </c>
      <c r="F2918" s="64">
        <f t="shared" si="45"/>
        <v>20.765177777777826</v>
      </c>
      <c r="G2918" s="60" t="s">
        <v>12</v>
      </c>
      <c r="H2918" s="60" t="s">
        <v>5042</v>
      </c>
    </row>
    <row r="2919" spans="1:8">
      <c r="A2919" s="59" t="s">
        <v>3717</v>
      </c>
      <c r="B2919" s="62">
        <v>14</v>
      </c>
      <c r="C2919" s="60" t="s">
        <v>5054</v>
      </c>
      <c r="D2919" s="64">
        <f>IFERROR(VLOOKUP(C2919,測定点マスタ!$E$2:$F$28,2,FALSE)/VLOOKUP(A2919,'焼鈍条件-3CGL'!$A$2:$B$197,2,FALSE)*60,"")</f>
        <v>84.211495099167081</v>
      </c>
      <c r="E2919" s="66">
        <v>528.4</v>
      </c>
      <c r="F2919" s="64">
        <f t="shared" si="45"/>
        <v>-0.64635794871795604</v>
      </c>
      <c r="G2919" s="60" t="s">
        <v>12</v>
      </c>
      <c r="H2919" s="60" t="s">
        <v>5042</v>
      </c>
    </row>
    <row r="2920" spans="1:8">
      <c r="A2920" s="59" t="s">
        <v>3717</v>
      </c>
      <c r="B2920" s="62">
        <v>15</v>
      </c>
      <c r="C2920" s="60" t="s">
        <v>5056</v>
      </c>
      <c r="D2920" s="64">
        <f>IFERROR(VLOOKUP(C2920,測定点マスタ!$E$2:$F$28,2,FALSE)/VLOOKUP(A2920,'焼鈍条件-3CGL'!$A$2:$B$197,2,FALSE)*60,"")</f>
        <v>91.804334821223136</v>
      </c>
      <c r="E2920" s="66">
        <v>257.2</v>
      </c>
      <c r="F2920" s="64">
        <f t="shared" si="45"/>
        <v>-35.717861818181788</v>
      </c>
      <c r="G2920" s="60" t="s">
        <v>12</v>
      </c>
      <c r="H2920" s="60" t="s">
        <v>5042</v>
      </c>
    </row>
    <row r="2921" spans="1:8">
      <c r="A2921" s="59" t="s">
        <v>3717</v>
      </c>
      <c r="B2921" s="62">
        <v>16</v>
      </c>
      <c r="C2921" s="60" t="s">
        <v>5068</v>
      </c>
      <c r="D2921" s="64">
        <f>IFERROR(VLOOKUP(C2921,測定点マスタ!$E$2:$F$28,2,FALSE)/VLOOKUP(A2921,'焼鈍条件-3CGL'!$A$2:$B$197,2,FALSE)*60,"")</f>
        <v>109.65243858345887</v>
      </c>
      <c r="E2921" s="66">
        <v>338.5</v>
      </c>
      <c r="F2921" s="64">
        <f t="shared" si="45"/>
        <v>4.5551057458563315</v>
      </c>
      <c r="G2921" s="60" t="s">
        <v>12</v>
      </c>
      <c r="H2921" s="60" t="s">
        <v>5042</v>
      </c>
    </row>
    <row r="2922" spans="1:8">
      <c r="A2922" s="59" t="s">
        <v>3717</v>
      </c>
      <c r="B2922" s="62">
        <v>17</v>
      </c>
      <c r="C2922" s="60" t="s">
        <v>5057</v>
      </c>
      <c r="D2922" s="64">
        <f>IFERROR(VLOOKUP(C2922,測定点マスタ!$E$2:$F$28,2,FALSE)/VLOOKUP(A2922,'焼鈍条件-3CGL'!$A$2:$B$197,2,FALSE)*60,"")</f>
        <v>113.81863959978163</v>
      </c>
      <c r="E2922" s="66">
        <v>197.4</v>
      </c>
      <c r="F2922" s="64">
        <f t="shared" si="45"/>
        <v>-33.867784930968114</v>
      </c>
      <c r="G2922" s="60" t="s">
        <v>12</v>
      </c>
      <c r="H2922" s="60" t="s">
        <v>5042</v>
      </c>
    </row>
    <row r="2923" spans="1:8">
      <c r="A2923" s="59" t="s">
        <v>3717</v>
      </c>
      <c r="B2923" s="62">
        <v>18</v>
      </c>
      <c r="C2923" s="60" t="s">
        <v>5059</v>
      </c>
      <c r="D2923" s="64">
        <f>IFERROR(VLOOKUP(C2923,測定点マスタ!$E$2:$F$28,2,FALSE)/VLOOKUP(A2923,'焼鈍条件-3CGL'!$A$2:$B$197,2,FALSE)*60,"")</f>
        <v>122.15104163242788</v>
      </c>
      <c r="E2923" s="66">
        <v>54.4</v>
      </c>
      <c r="F2923" s="64">
        <f t="shared" si="45"/>
        <v>-17.161917948717292</v>
      </c>
      <c r="G2923" s="60" t="s">
        <v>12</v>
      </c>
      <c r="H2923" s="60" t="s">
        <v>5042</v>
      </c>
    </row>
    <row r="2924" spans="1:8">
      <c r="A2924" s="59" t="s">
        <v>3736</v>
      </c>
      <c r="B2924" s="62">
        <v>1</v>
      </c>
      <c r="C2924" s="60" t="s">
        <v>5041</v>
      </c>
      <c r="D2924" s="64">
        <f>IFERROR(VLOOKUP(C2924,測定点マスタ!$E$2:$F$28,2,FALSE)/VLOOKUP(A2924,'焼鈍条件-3CGL'!$A$2:$B$197,2,FALSE)*60,"")</f>
        <v>0</v>
      </c>
      <c r="E2924" s="66">
        <v>37.4</v>
      </c>
      <c r="F2924" s="64" t="str">
        <f t="shared" si="45"/>
        <v/>
      </c>
      <c r="G2924" s="60" t="s">
        <v>9</v>
      </c>
      <c r="H2924" s="60" t="s">
        <v>5042</v>
      </c>
    </row>
    <row r="2925" spans="1:8">
      <c r="A2925" s="59" t="s">
        <v>3736</v>
      </c>
      <c r="B2925" s="62">
        <v>2</v>
      </c>
      <c r="C2925" s="60" t="s">
        <v>5043</v>
      </c>
      <c r="D2925" s="64">
        <f>IFERROR(VLOOKUP(C2925,測定点マスタ!$E$2:$F$28,2,FALSE)/VLOOKUP(A2925,'焼鈍条件-3CGL'!$A$2:$B$197,2,FALSE)*60,"")</f>
        <v>6.3860585246785684</v>
      </c>
      <c r="E2925" s="66">
        <v>177.3</v>
      </c>
      <c r="F2925" s="64">
        <f t="shared" si="45"/>
        <v>21.907096444444445</v>
      </c>
      <c r="G2925" s="60" t="s">
        <v>9</v>
      </c>
      <c r="H2925" s="60" t="s">
        <v>5042</v>
      </c>
    </row>
    <row r="2926" spans="1:8">
      <c r="A2926" s="59" t="s">
        <v>3736</v>
      </c>
      <c r="B2926" s="62">
        <v>3</v>
      </c>
      <c r="C2926" s="60" t="s">
        <v>5067</v>
      </c>
      <c r="D2926" s="64">
        <f>IFERROR(VLOOKUP(C2926,測定点マスタ!$E$2:$F$28,2,FALSE)/VLOOKUP(A2926,'焼鈍条件-3CGL'!$A$2:$B$197,2,FALSE)*60,"")</f>
        <v>10.643430874464281</v>
      </c>
      <c r="E2926" s="66">
        <v>343.7</v>
      </c>
      <c r="F2926" s="64">
        <f t="shared" si="45"/>
        <v>39.085141333333326</v>
      </c>
      <c r="G2926" s="60" t="s">
        <v>9</v>
      </c>
      <c r="H2926" s="60" t="s">
        <v>5042</v>
      </c>
    </row>
    <row r="2927" spans="1:8">
      <c r="A2927" s="59" t="s">
        <v>3736</v>
      </c>
      <c r="B2927" s="62">
        <v>4</v>
      </c>
      <c r="C2927" s="60" t="s">
        <v>5044</v>
      </c>
      <c r="D2927" s="64">
        <f>IFERROR(VLOOKUP(C2927,測定点マスタ!$E$2:$F$28,2,FALSE)/VLOOKUP(A2927,'焼鈍条件-3CGL'!$A$2:$B$197,2,FALSE)*60,"")</f>
        <v>14.475065989271423</v>
      </c>
      <c r="E2927" s="66">
        <v>596.29999999999995</v>
      </c>
      <c r="F2927" s="64">
        <f t="shared" si="45"/>
        <v>65.92485777777776</v>
      </c>
      <c r="G2927" s="60" t="s">
        <v>9</v>
      </c>
      <c r="H2927" s="60" t="s">
        <v>5042</v>
      </c>
    </row>
    <row r="2928" spans="1:8">
      <c r="A2928" s="59" t="s">
        <v>3736</v>
      </c>
      <c r="B2928" s="62">
        <v>5</v>
      </c>
      <c r="C2928" s="60" t="s">
        <v>5045</v>
      </c>
      <c r="D2928" s="64">
        <f>IFERROR(VLOOKUP(C2928,測定点マスタ!$E$2:$F$28,2,FALSE)/VLOOKUP(A2928,'焼鈍条件-3CGL'!$A$2:$B$197,2,FALSE)*60,"")</f>
        <v>18.732438339057136</v>
      </c>
      <c r="E2928" s="66">
        <v>744.3</v>
      </c>
      <c r="F2928" s="64">
        <f t="shared" si="45"/>
        <v>34.763226666666654</v>
      </c>
      <c r="G2928" s="60" t="s">
        <v>9</v>
      </c>
      <c r="H2928" s="60" t="s">
        <v>5042</v>
      </c>
    </row>
    <row r="2929" spans="1:8">
      <c r="A2929" s="59" t="s">
        <v>3736</v>
      </c>
      <c r="B2929" s="62">
        <v>6</v>
      </c>
      <c r="C2929" s="60" t="s">
        <v>5047</v>
      </c>
      <c r="D2929" s="64">
        <f>IFERROR(VLOOKUP(C2929,測定点マスタ!$E$2:$F$28,2,FALSE)/VLOOKUP(A2929,'焼鈍条件-3CGL'!$A$2:$B$197,2,FALSE)*60,"")</f>
        <v>25.544234098714274</v>
      </c>
      <c r="E2929" s="66">
        <v>677.2</v>
      </c>
      <c r="F2929" s="64">
        <f t="shared" si="45"/>
        <v>-9.8505595833333235</v>
      </c>
      <c r="G2929" s="60" t="s">
        <v>9</v>
      </c>
      <c r="H2929" s="60" t="s">
        <v>5042</v>
      </c>
    </row>
    <row r="2930" spans="1:8">
      <c r="A2930" s="59" t="s">
        <v>3736</v>
      </c>
      <c r="B2930" s="62">
        <v>7</v>
      </c>
      <c r="C2930" s="60" t="s">
        <v>5049</v>
      </c>
      <c r="D2930" s="64">
        <f>IFERROR(VLOOKUP(C2930,測定点マスタ!$E$2:$F$28,2,FALSE)/VLOOKUP(A2930,'焼鈍条件-3CGL'!$A$2:$B$197,2,FALSE)*60,"")</f>
        <v>31.078818153435702</v>
      </c>
      <c r="E2930" s="66">
        <v>558.5</v>
      </c>
      <c r="F2930" s="64">
        <f t="shared" si="45"/>
        <v>-21.446959487179488</v>
      </c>
      <c r="G2930" s="60" t="s">
        <v>9</v>
      </c>
      <c r="H2930" s="60" t="s">
        <v>5042</v>
      </c>
    </row>
    <row r="2931" spans="1:8">
      <c r="A2931" s="59" t="s">
        <v>3736</v>
      </c>
      <c r="B2931" s="62">
        <v>8</v>
      </c>
      <c r="C2931" s="60" t="s">
        <v>5050</v>
      </c>
      <c r="D2931" s="64">
        <f>IFERROR(VLOOKUP(C2931,測定点マスタ!$E$2:$F$28,2,FALSE)/VLOOKUP(A2931,'焼鈍条件-3CGL'!$A$2:$B$197,2,FALSE)*60,"")</f>
        <v>34.48471603326427</v>
      </c>
      <c r="E2931" s="66">
        <v>452.7</v>
      </c>
      <c r="F2931" s="64">
        <f t="shared" si="45"/>
        <v>-31.063761666666682</v>
      </c>
      <c r="G2931" s="60" t="s">
        <v>9</v>
      </c>
      <c r="H2931" s="60" t="s">
        <v>5042</v>
      </c>
    </row>
    <row r="2932" spans="1:8">
      <c r="A2932" s="59" t="s">
        <v>3736</v>
      </c>
      <c r="B2932" s="62">
        <v>9</v>
      </c>
      <c r="C2932" s="60" t="s">
        <v>5051</v>
      </c>
      <c r="D2932" s="64">
        <f>IFERROR(VLOOKUP(C2932,測定点マスタ!$E$2:$F$28,2,FALSE)/VLOOKUP(A2932,'焼鈍条件-3CGL'!$A$2:$B$197,2,FALSE)*60,"")</f>
        <v>37.464876678114273</v>
      </c>
      <c r="E2932" s="66">
        <v>438.6</v>
      </c>
      <c r="F2932" s="64">
        <f t="shared" si="45"/>
        <v>-4.7312885714285535</v>
      </c>
      <c r="G2932" s="60" t="s">
        <v>9</v>
      </c>
      <c r="H2932" s="60" t="s">
        <v>5042</v>
      </c>
    </row>
    <row r="2933" spans="1:8">
      <c r="A2933" s="59" t="s">
        <v>3736</v>
      </c>
      <c r="B2933" s="62">
        <v>10</v>
      </c>
      <c r="C2933" s="60" t="s">
        <v>5060</v>
      </c>
      <c r="D2933" s="64">
        <f>IFERROR(VLOOKUP(C2933,測定点マスタ!$E$2:$F$28,2,FALSE)/VLOOKUP(A2933,'焼鈍条件-3CGL'!$A$2:$B$197,2,FALSE)*60,"")</f>
        <v>39.167825618028552</v>
      </c>
      <c r="E2933" s="66">
        <v>372.5</v>
      </c>
      <c r="F2933" s="64">
        <f t="shared" si="45"/>
        <v>-38.815021666666816</v>
      </c>
      <c r="G2933" s="60" t="s">
        <v>9</v>
      </c>
      <c r="H2933" s="60" t="s">
        <v>5042</v>
      </c>
    </row>
    <row r="2934" spans="1:8">
      <c r="A2934" s="59" t="s">
        <v>3736</v>
      </c>
      <c r="B2934" s="62">
        <v>11</v>
      </c>
      <c r="C2934" s="60" t="s">
        <v>5052</v>
      </c>
      <c r="D2934" s="64">
        <f>IFERROR(VLOOKUP(C2934,測定点マスタ!$E$2:$F$28,2,FALSE)/VLOOKUP(A2934,'焼鈍条件-3CGL'!$A$2:$B$197,2,FALSE)*60,"")</f>
        <v>41.296511792921407</v>
      </c>
      <c r="E2934" s="66">
        <v>333.9</v>
      </c>
      <c r="F2934" s="64">
        <f t="shared" si="45"/>
        <v>-18.13325066666668</v>
      </c>
      <c r="G2934" s="60" t="s">
        <v>9</v>
      </c>
      <c r="H2934" s="60" t="s">
        <v>5042</v>
      </c>
    </row>
    <row r="2935" spans="1:8">
      <c r="A2935" s="59" t="s">
        <v>3736</v>
      </c>
      <c r="B2935" s="62">
        <v>12</v>
      </c>
      <c r="C2935" s="60" t="s">
        <v>5069</v>
      </c>
      <c r="D2935" s="64">
        <f>IFERROR(VLOOKUP(C2935,測定点マスタ!$E$2:$F$28,2,FALSE)/VLOOKUP(A2935,'焼鈍条件-3CGL'!$A$2:$B$197,2,FALSE)*60,"")</f>
        <v>44.27667243777141</v>
      </c>
      <c r="E2935" s="66">
        <v>450.4</v>
      </c>
      <c r="F2935" s="64">
        <f t="shared" si="45"/>
        <v>39.091852380952332</v>
      </c>
      <c r="G2935" s="60" t="s">
        <v>9</v>
      </c>
      <c r="H2935" s="60" t="s">
        <v>5042</v>
      </c>
    </row>
    <row r="2936" spans="1:8">
      <c r="A2936" s="59" t="s">
        <v>3736</v>
      </c>
      <c r="B2936" s="62">
        <v>13</v>
      </c>
      <c r="C2936" s="60" t="s">
        <v>5053</v>
      </c>
      <c r="D2936" s="64">
        <f>IFERROR(VLOOKUP(C2936,測定点マスタ!$E$2:$F$28,2,FALSE)/VLOOKUP(A2936,'焼鈍条件-3CGL'!$A$2:$B$197,2,FALSE)*60,"")</f>
        <v>46.405358612664273</v>
      </c>
      <c r="E2936" s="66">
        <v>479.4</v>
      </c>
      <c r="F2936" s="64">
        <f t="shared" si="45"/>
        <v>13.623426666666623</v>
      </c>
      <c r="G2936" s="60" t="s">
        <v>9</v>
      </c>
      <c r="H2936" s="60" t="s">
        <v>5042</v>
      </c>
    </row>
    <row r="2937" spans="1:8">
      <c r="A2937" s="59" t="s">
        <v>3736</v>
      </c>
      <c r="B2937" s="62">
        <v>14</v>
      </c>
      <c r="C2937" s="60" t="s">
        <v>5063</v>
      </c>
      <c r="D2937" s="64">
        <f>IFERROR(VLOOKUP(C2937,測定点マスタ!$E$2:$F$28,2,FALSE)/VLOOKUP(A2937,'焼鈍条件-3CGL'!$A$2:$B$197,2,FALSE)*60,"")</f>
        <v>48.959782022535698</v>
      </c>
      <c r="E2937" s="66">
        <v>489.2</v>
      </c>
      <c r="F2937" s="64">
        <f t="shared" si="45"/>
        <v>3.8364822222222292</v>
      </c>
      <c r="G2937" s="60" t="s">
        <v>9</v>
      </c>
      <c r="H2937" s="60" t="s">
        <v>5042</v>
      </c>
    </row>
    <row r="2938" spans="1:8">
      <c r="A2938" s="59" t="s">
        <v>3736</v>
      </c>
      <c r="B2938" s="62">
        <v>15</v>
      </c>
      <c r="C2938" s="60" t="s">
        <v>5054</v>
      </c>
      <c r="D2938" s="64">
        <f>IFERROR(VLOOKUP(C2938,測定点マスタ!$E$2:$F$28,2,FALSE)/VLOOKUP(A2938,'焼鈍条件-3CGL'!$A$2:$B$197,2,FALSE)*60,"")</f>
        <v>51.939942667385694</v>
      </c>
      <c r="E2938" s="66">
        <v>465.7</v>
      </c>
      <c r="F2938" s="64">
        <f t="shared" si="45"/>
        <v>-7.885480952380961</v>
      </c>
      <c r="G2938" s="60" t="s">
        <v>9</v>
      </c>
      <c r="H2938" s="60" t="s">
        <v>5042</v>
      </c>
    </row>
    <row r="2939" spans="1:8">
      <c r="A2939" s="59" t="s">
        <v>3736</v>
      </c>
      <c r="B2939" s="62">
        <v>16</v>
      </c>
      <c r="C2939" s="60" t="s">
        <v>5055</v>
      </c>
      <c r="D2939" s="64">
        <f>IFERROR(VLOOKUP(C2939,測定点マスタ!$E$2:$F$28,2,FALSE)/VLOOKUP(A2939,'焼鈍条件-3CGL'!$A$2:$B$197,2,FALSE)*60,"")</f>
        <v>54.068628842278549</v>
      </c>
      <c r="E2939" s="66">
        <v>510.5</v>
      </c>
      <c r="F2939" s="64">
        <f t="shared" si="45"/>
        <v>21.045845333333343</v>
      </c>
      <c r="G2939" s="60" t="s">
        <v>9</v>
      </c>
      <c r="H2939" s="60" t="s">
        <v>5042</v>
      </c>
    </row>
    <row r="2940" spans="1:8">
      <c r="A2940" s="59" t="s">
        <v>3736</v>
      </c>
      <c r="B2940" s="62">
        <v>17</v>
      </c>
      <c r="C2940" s="60" t="s">
        <v>5056</v>
      </c>
      <c r="D2940" s="64">
        <f>IFERROR(VLOOKUP(C2940,測定点マスタ!$E$2:$F$28,2,FALSE)/VLOOKUP(A2940,'焼鈍条件-3CGL'!$A$2:$B$197,2,FALSE)*60,"")</f>
        <v>56.623052252149982</v>
      </c>
      <c r="E2940" s="66">
        <v>245.7</v>
      </c>
      <c r="F2940" s="64">
        <f t="shared" si="45"/>
        <v>-103.66331555555534</v>
      </c>
      <c r="G2940" s="60" t="s">
        <v>9</v>
      </c>
      <c r="H2940" s="60" t="s">
        <v>5042</v>
      </c>
    </row>
    <row r="2941" spans="1:8">
      <c r="A2941" s="59" t="s">
        <v>3736</v>
      </c>
      <c r="B2941" s="62">
        <v>18</v>
      </c>
      <c r="C2941" s="60" t="s">
        <v>5057</v>
      </c>
      <c r="D2941" s="64">
        <f>IFERROR(VLOOKUP(C2941,測定点マスタ!$E$2:$F$28,2,FALSE)/VLOOKUP(A2941,'焼鈍条件-3CGL'!$A$2:$B$197,2,FALSE)*60,"")</f>
        <v>70.20102906771649</v>
      </c>
      <c r="E2941" s="66">
        <v>235.3</v>
      </c>
      <c r="F2941" s="64">
        <f t="shared" si="45"/>
        <v>-0.76594621873833735</v>
      </c>
      <c r="G2941" s="60" t="s">
        <v>9</v>
      </c>
      <c r="H2941" s="60" t="s">
        <v>5042</v>
      </c>
    </row>
    <row r="2942" spans="1:8">
      <c r="A2942" s="59" t="s">
        <v>3736</v>
      </c>
      <c r="B2942" s="62">
        <v>19</v>
      </c>
      <c r="C2942" s="60" t="s">
        <v>5059</v>
      </c>
      <c r="D2942" s="64">
        <f>IFERROR(VLOOKUP(C2942,測定点マスタ!$E$2:$F$28,2,FALSE)/VLOOKUP(A2942,'焼鈍条件-3CGL'!$A$2:$B$197,2,FALSE)*60,"")</f>
        <v>75.340285689957994</v>
      </c>
      <c r="E2942" s="66">
        <v>50.4</v>
      </c>
      <c r="F2942" s="64">
        <f t="shared" si="45"/>
        <v>-35.977965996053968</v>
      </c>
      <c r="G2942" s="60" t="s">
        <v>9</v>
      </c>
      <c r="H2942" s="60" t="s">
        <v>5042</v>
      </c>
    </row>
    <row r="2943" spans="1:8">
      <c r="A2943" s="59" t="s">
        <v>3757</v>
      </c>
      <c r="B2943" s="62">
        <v>1</v>
      </c>
      <c r="C2943" s="60" t="s">
        <v>5041</v>
      </c>
      <c r="D2943" s="64">
        <f>IFERROR(VLOOKUP(C2943,測定点マスタ!$E$2:$F$28,2,FALSE)/VLOOKUP(A2943,'焼鈍条件-3CGL'!$A$2:$B$197,2,FALSE)*60,"")</f>
        <v>0</v>
      </c>
      <c r="E2943" s="66">
        <v>29.9</v>
      </c>
      <c r="F2943" s="64" t="str">
        <f t="shared" si="45"/>
        <v/>
      </c>
      <c r="G2943" s="60" t="s">
        <v>9</v>
      </c>
      <c r="H2943" s="60" t="s">
        <v>5064</v>
      </c>
    </row>
    <row r="2944" spans="1:8">
      <c r="A2944" s="59" t="s">
        <v>3757</v>
      </c>
      <c r="B2944" s="62">
        <v>2</v>
      </c>
      <c r="C2944" s="60" t="s">
        <v>5043</v>
      </c>
      <c r="D2944" s="64">
        <f>IFERROR(VLOOKUP(C2944,測定点マスタ!$E$2:$F$28,2,FALSE)/VLOOKUP(A2944,'焼鈍条件-3CGL'!$A$2:$B$197,2,FALSE)*60,"")</f>
        <v>8.1526908409047678</v>
      </c>
      <c r="E2944" s="66">
        <v>173.5</v>
      </c>
      <c r="F2944" s="64">
        <f t="shared" si="45"/>
        <v>17.613816444444442</v>
      </c>
      <c r="G2944" s="60" t="s">
        <v>9</v>
      </c>
      <c r="H2944" s="60" t="s">
        <v>5064</v>
      </c>
    </row>
    <row r="2945" spans="1:8">
      <c r="A2945" s="59" t="s">
        <v>3757</v>
      </c>
      <c r="B2945" s="62">
        <v>3</v>
      </c>
      <c r="C2945" s="60" t="s">
        <v>5044</v>
      </c>
      <c r="D2945" s="64">
        <f>IFERROR(VLOOKUP(C2945,測定点マスタ!$E$2:$F$28,2,FALSE)/VLOOKUP(A2945,'焼鈍条件-3CGL'!$A$2:$B$197,2,FALSE)*60,"")</f>
        <v>18.479432572717471</v>
      </c>
      <c r="E2945" s="66">
        <v>651.70000000000005</v>
      </c>
      <c r="F2945" s="64">
        <f t="shared" si="45"/>
        <v>46.306958421052649</v>
      </c>
      <c r="G2945" s="60" t="s">
        <v>9</v>
      </c>
      <c r="H2945" s="60" t="s">
        <v>5064</v>
      </c>
    </row>
    <row r="2946" spans="1:8">
      <c r="A2946" s="59" t="s">
        <v>3757</v>
      </c>
      <c r="B2946" s="62">
        <v>4</v>
      </c>
      <c r="C2946" s="60" t="s">
        <v>5045</v>
      </c>
      <c r="D2946" s="64">
        <f>IFERROR(VLOOKUP(C2946,測定点マスタ!$E$2:$F$28,2,FALSE)/VLOOKUP(A2946,'焼鈍条件-3CGL'!$A$2:$B$197,2,FALSE)*60,"")</f>
        <v>23.91455979998732</v>
      </c>
      <c r="E2946" s="66">
        <v>785.9</v>
      </c>
      <c r="F2946" s="64">
        <f t="shared" ref="F2946:F3009" si="46">IF(A2946=A2945,IFERROR((E2946-E2945)/(D2946-D2945),""),"")</f>
        <v>24.691234333333302</v>
      </c>
      <c r="G2946" s="60" t="s">
        <v>9</v>
      </c>
      <c r="H2946" s="60" t="s">
        <v>5064</v>
      </c>
    </row>
    <row r="2947" spans="1:8">
      <c r="A2947" s="59" t="s">
        <v>3757</v>
      </c>
      <c r="B2947" s="62">
        <v>5</v>
      </c>
      <c r="C2947" s="60" t="s">
        <v>5046</v>
      </c>
      <c r="D2947" s="64">
        <f>IFERROR(VLOOKUP(C2947,測定点マスタ!$E$2:$F$28,2,FALSE)/VLOOKUP(A2947,'焼鈍条件-3CGL'!$A$2:$B$197,2,FALSE)*60,"")</f>
        <v>29.349687027257161</v>
      </c>
      <c r="E2947" s="66">
        <v>760.2</v>
      </c>
      <c r="F2947" s="64">
        <f t="shared" si="46"/>
        <v>-4.7285001666666568</v>
      </c>
      <c r="G2947" s="60" t="s">
        <v>9</v>
      </c>
      <c r="H2947" s="60" t="s">
        <v>5064</v>
      </c>
    </row>
    <row r="2948" spans="1:8">
      <c r="A2948" s="59" t="s">
        <v>3757</v>
      </c>
      <c r="B2948" s="62">
        <v>6</v>
      </c>
      <c r="C2948" s="60" t="s">
        <v>5047</v>
      </c>
      <c r="D2948" s="64">
        <f>IFERROR(VLOOKUP(C2948,測定点マスタ!$E$2:$F$28,2,FALSE)/VLOOKUP(A2948,'焼鈍条件-3CGL'!$A$2:$B$197,2,FALSE)*60,"")</f>
        <v>32.610763363619071</v>
      </c>
      <c r="E2948" s="66">
        <v>728.5</v>
      </c>
      <c r="F2948" s="64">
        <f t="shared" si="46"/>
        <v>-9.7207169444444492</v>
      </c>
      <c r="G2948" s="60" t="s">
        <v>9</v>
      </c>
      <c r="H2948" s="60" t="s">
        <v>5064</v>
      </c>
    </row>
    <row r="2949" spans="1:8">
      <c r="A2949" s="59" t="s">
        <v>3757</v>
      </c>
      <c r="B2949" s="62">
        <v>7</v>
      </c>
      <c r="C2949" s="60" t="s">
        <v>5048</v>
      </c>
      <c r="D2949" s="64">
        <f>IFERROR(VLOOKUP(C2949,測定点マスタ!$E$2:$F$28,2,FALSE)/VLOOKUP(A2949,'焼鈍条件-3CGL'!$A$2:$B$197,2,FALSE)*60,"")</f>
        <v>35.871839699980974</v>
      </c>
      <c r="E2949" s="66">
        <v>679.4</v>
      </c>
      <c r="F2949" s="64">
        <f t="shared" si="46"/>
        <v>-15.056378611111137</v>
      </c>
      <c r="G2949" s="60" t="s">
        <v>9</v>
      </c>
      <c r="H2949" s="60" t="s">
        <v>5064</v>
      </c>
    </row>
    <row r="2950" spans="1:8">
      <c r="A2950" s="59" t="s">
        <v>3757</v>
      </c>
      <c r="B2950" s="62">
        <v>8</v>
      </c>
      <c r="C2950" s="60" t="s">
        <v>5049</v>
      </c>
      <c r="D2950" s="64">
        <f>IFERROR(VLOOKUP(C2950,測定点マスタ!$E$2:$F$28,2,FALSE)/VLOOKUP(A2950,'焼鈍条件-3CGL'!$A$2:$B$197,2,FALSE)*60,"")</f>
        <v>39.676428759069871</v>
      </c>
      <c r="E2950" s="66">
        <v>604.1</v>
      </c>
      <c r="F2950" s="64">
        <f t="shared" si="46"/>
        <v>-19.791887857142815</v>
      </c>
      <c r="G2950" s="60" t="s">
        <v>9</v>
      </c>
      <c r="H2950" s="60" t="s">
        <v>5064</v>
      </c>
    </row>
    <row r="2951" spans="1:8">
      <c r="A2951" s="59" t="s">
        <v>3757</v>
      </c>
      <c r="B2951" s="62">
        <v>9</v>
      </c>
      <c r="C2951" s="60" t="s">
        <v>5050</v>
      </c>
      <c r="D2951" s="64">
        <f>IFERROR(VLOOKUP(C2951,測定点マスタ!$E$2:$F$28,2,FALSE)/VLOOKUP(A2951,'焼鈍条件-3CGL'!$A$2:$B$197,2,FALSE)*60,"")</f>
        <v>44.024530540885742</v>
      </c>
      <c r="E2951" s="66">
        <v>476</v>
      </c>
      <c r="F2951" s="64">
        <f t="shared" si="46"/>
        <v>-29.461131875000042</v>
      </c>
      <c r="G2951" s="60" t="s">
        <v>9</v>
      </c>
      <c r="H2951" s="60" t="s">
        <v>5064</v>
      </c>
    </row>
    <row r="2952" spans="1:8">
      <c r="A2952" s="59" t="s">
        <v>3757</v>
      </c>
      <c r="B2952" s="62">
        <v>10</v>
      </c>
      <c r="C2952" s="60" t="s">
        <v>5051</v>
      </c>
      <c r="D2952" s="64">
        <f>IFERROR(VLOOKUP(C2952,測定点マスタ!$E$2:$F$28,2,FALSE)/VLOOKUP(A2952,'焼鈍条件-3CGL'!$A$2:$B$197,2,FALSE)*60,"")</f>
        <v>47.829119599974639</v>
      </c>
      <c r="E2952" s="66">
        <v>454.4</v>
      </c>
      <c r="F2952" s="64">
        <f t="shared" si="46"/>
        <v>-5.6773542857142827</v>
      </c>
      <c r="G2952" s="60" t="s">
        <v>9</v>
      </c>
      <c r="H2952" s="60" t="s">
        <v>5064</v>
      </c>
    </row>
    <row r="2953" spans="1:8">
      <c r="A2953" s="59" t="s">
        <v>3757</v>
      </c>
      <c r="B2953" s="62">
        <v>11</v>
      </c>
      <c r="C2953" s="60" t="s">
        <v>5052</v>
      </c>
      <c r="D2953" s="64">
        <f>IFERROR(VLOOKUP(C2953,測定点マスタ!$E$2:$F$28,2,FALSE)/VLOOKUP(A2953,'焼鈍条件-3CGL'!$A$2:$B$197,2,FALSE)*60,"")</f>
        <v>52.720734104517497</v>
      </c>
      <c r="E2953" s="66">
        <v>323.5</v>
      </c>
      <c r="F2953" s="64">
        <f t="shared" si="46"/>
        <v>-26.760080925925937</v>
      </c>
      <c r="G2953" s="60" t="s">
        <v>9</v>
      </c>
      <c r="H2953" s="60" t="s">
        <v>5064</v>
      </c>
    </row>
    <row r="2954" spans="1:8">
      <c r="A2954" s="59" t="s">
        <v>3757</v>
      </c>
      <c r="B2954" s="62">
        <v>12</v>
      </c>
      <c r="C2954" s="60" t="s">
        <v>5053</v>
      </c>
      <c r="D2954" s="64">
        <f>IFERROR(VLOOKUP(C2954,測定点マスタ!$E$2:$F$28,2,FALSE)/VLOOKUP(A2954,'焼鈍条件-3CGL'!$A$2:$B$197,2,FALSE)*60,"")</f>
        <v>59.24288677724131</v>
      </c>
      <c r="E2954" s="66">
        <v>505.5</v>
      </c>
      <c r="F2954" s="64">
        <f t="shared" si="46"/>
        <v>27.904897222222228</v>
      </c>
      <c r="G2954" s="60" t="s">
        <v>9</v>
      </c>
      <c r="H2954" s="60" t="s">
        <v>5064</v>
      </c>
    </row>
    <row r="2955" spans="1:8">
      <c r="A2955" s="59" t="s">
        <v>3757</v>
      </c>
      <c r="B2955" s="62">
        <v>13</v>
      </c>
      <c r="C2955" s="60" t="s">
        <v>5054</v>
      </c>
      <c r="D2955" s="64">
        <f>IFERROR(VLOOKUP(C2955,測定点マスタ!$E$2:$F$28,2,FALSE)/VLOOKUP(A2955,'焼鈍条件-3CGL'!$A$2:$B$197,2,FALSE)*60,"")</f>
        <v>66.308552172692117</v>
      </c>
      <c r="E2955" s="66">
        <v>475.2</v>
      </c>
      <c r="F2955" s="64">
        <f t="shared" si="46"/>
        <v>-4.2883434615384575</v>
      </c>
      <c r="G2955" s="60" t="s">
        <v>9</v>
      </c>
      <c r="H2955" s="60" t="s">
        <v>5064</v>
      </c>
    </row>
    <row r="2956" spans="1:8">
      <c r="A2956" s="59" t="s">
        <v>3757</v>
      </c>
      <c r="B2956" s="62">
        <v>14</v>
      </c>
      <c r="C2956" s="60" t="s">
        <v>5056</v>
      </c>
      <c r="D2956" s="64">
        <f>IFERROR(VLOOKUP(C2956,測定点マスタ!$E$2:$F$28,2,FALSE)/VLOOKUP(A2956,'焼鈍条件-3CGL'!$A$2:$B$197,2,FALSE)*60,"")</f>
        <v>72.28719212268895</v>
      </c>
      <c r="E2956" s="66">
        <v>270.39999999999998</v>
      </c>
      <c r="F2956" s="64">
        <f t="shared" si="46"/>
        <v>-34.255282424242409</v>
      </c>
      <c r="G2956" s="60" t="s">
        <v>9</v>
      </c>
      <c r="H2956" s="60" t="s">
        <v>5064</v>
      </c>
    </row>
    <row r="2957" spans="1:8">
      <c r="A2957" s="59" t="s">
        <v>3757</v>
      </c>
      <c r="B2957" s="62">
        <v>15</v>
      </c>
      <c r="C2957" s="60" t="s">
        <v>5062</v>
      </c>
      <c r="D2957" s="64">
        <f>IFERROR(VLOOKUP(C2957,測定点マスタ!$E$2:$F$28,2,FALSE)/VLOOKUP(A2957,'焼鈍条件-3CGL'!$A$2:$B$197,2,FALSE)*60,"")</f>
        <v>78.809344795412756</v>
      </c>
      <c r="E2957" s="66">
        <v>456.4</v>
      </c>
      <c r="F2957" s="64">
        <f t="shared" si="46"/>
        <v>28.518191666666702</v>
      </c>
      <c r="G2957" s="60" t="s">
        <v>9</v>
      </c>
      <c r="H2957" s="60" t="s">
        <v>5064</v>
      </c>
    </row>
    <row r="2958" spans="1:8">
      <c r="A2958" s="59" t="s">
        <v>3757</v>
      </c>
      <c r="B2958" s="62">
        <v>16</v>
      </c>
      <c r="C2958" s="60" t="s">
        <v>5065</v>
      </c>
      <c r="D2958" s="64">
        <f>IFERROR(VLOOKUP(C2958,測定点マスタ!$E$2:$F$28,2,FALSE)/VLOOKUP(A2958,'焼鈍条件-3CGL'!$A$2:$B$197,2,FALSE)*60,"")</f>
        <v>79.779903228853641</v>
      </c>
      <c r="E2958" s="66">
        <v>521.9</v>
      </c>
      <c r="F2958" s="64">
        <f t="shared" si="46"/>
        <v>67.486920666677676</v>
      </c>
      <c r="G2958" s="60" t="s">
        <v>9</v>
      </c>
      <c r="H2958" s="60" t="s">
        <v>5064</v>
      </c>
    </row>
    <row r="2959" spans="1:8">
      <c r="A2959" s="59" t="s">
        <v>3757</v>
      </c>
      <c r="B2959" s="62">
        <v>17</v>
      </c>
      <c r="C2959" s="60" t="s">
        <v>5066</v>
      </c>
      <c r="D2959" s="64">
        <f>IFERROR(VLOOKUP(C2959,測定点マスタ!$E$2:$F$28,2,FALSE)/VLOOKUP(A2959,'焼鈍条件-3CGL'!$A$2:$B$197,2,FALSE)*60,"")</f>
        <v>83.060390733884759</v>
      </c>
      <c r="E2959" s="66">
        <v>508.7</v>
      </c>
      <c r="F2959" s="64">
        <f t="shared" si="46"/>
        <v>-4.0237921893486304</v>
      </c>
      <c r="G2959" s="60" t="s">
        <v>9</v>
      </c>
      <c r="H2959" s="60" t="s">
        <v>5064</v>
      </c>
    </row>
    <row r="2960" spans="1:8">
      <c r="A2960" s="59" t="s">
        <v>3757</v>
      </c>
      <c r="B2960" s="62">
        <v>18</v>
      </c>
      <c r="C2960" s="60" t="s">
        <v>5057</v>
      </c>
      <c r="D2960" s="64">
        <f>IFERROR(VLOOKUP(C2960,測定点マスタ!$E$2:$F$28,2,FALSE)/VLOOKUP(A2960,'焼鈍条件-3CGL'!$A$2:$B$197,2,FALSE)*60,"")</f>
        <v>89.621365743945901</v>
      </c>
      <c r="E2960" s="66">
        <v>241.1</v>
      </c>
      <c r="F2960" s="64">
        <f t="shared" si="46"/>
        <v>-40.786620828404317</v>
      </c>
      <c r="G2960" s="60" t="s">
        <v>9</v>
      </c>
      <c r="H2960" s="60" t="s">
        <v>5064</v>
      </c>
    </row>
    <row r="2961" spans="1:8">
      <c r="A2961" s="59" t="s">
        <v>3757</v>
      </c>
      <c r="B2961" s="62">
        <v>19</v>
      </c>
      <c r="C2961" s="60" t="s">
        <v>5059</v>
      </c>
      <c r="D2961" s="64">
        <f>IFERROR(VLOOKUP(C2961,測定点マスタ!$E$2:$F$28,2,FALSE)/VLOOKUP(A2961,'焼鈍条件-3CGL'!$A$2:$B$197,2,FALSE)*60,"")</f>
        <v>96.182340754007598</v>
      </c>
      <c r="E2961" s="66">
        <v>65.5</v>
      </c>
      <c r="F2961" s="64">
        <f t="shared" si="46"/>
        <v>-26.764314714002964</v>
      </c>
      <c r="G2961" s="60" t="s">
        <v>9</v>
      </c>
      <c r="H2961" s="60" t="s">
        <v>5064</v>
      </c>
    </row>
    <row r="2962" spans="1:8">
      <c r="A2962" s="59" t="s">
        <v>3766</v>
      </c>
      <c r="B2962" s="62">
        <v>1</v>
      </c>
      <c r="C2962" s="60" t="s">
        <v>5041</v>
      </c>
      <c r="D2962" s="64">
        <f>IFERROR(VLOOKUP(C2962,測定点マスタ!$E$2:$F$28,2,FALSE)/VLOOKUP(A2962,'焼鈍条件-3CGL'!$A$2:$B$197,2,FALSE)*60,"")</f>
        <v>0</v>
      </c>
      <c r="E2962" s="66">
        <v>39.299999999999997</v>
      </c>
      <c r="F2962" s="64" t="str">
        <f t="shared" si="46"/>
        <v/>
      </c>
      <c r="G2962" s="60" t="s">
        <v>12</v>
      </c>
      <c r="H2962" s="60" t="s">
        <v>5042</v>
      </c>
    </row>
    <row r="2963" spans="1:8">
      <c r="A2963" s="59" t="s">
        <v>3766</v>
      </c>
      <c r="B2963" s="62">
        <v>2</v>
      </c>
      <c r="C2963" s="60" t="s">
        <v>5043</v>
      </c>
      <c r="D2963" s="64">
        <f>IFERROR(VLOOKUP(C2963,測定点マスタ!$E$2:$F$28,2,FALSE)/VLOOKUP(A2963,'焼鈍条件-3CGL'!$A$2:$B$197,2,FALSE)*60,"")</f>
        <v>7.7242610456932956</v>
      </c>
      <c r="E2963" s="66">
        <v>181.5</v>
      </c>
      <c r="F2963" s="64">
        <f t="shared" si="46"/>
        <v>18.409527999999998</v>
      </c>
      <c r="G2963" s="60" t="s">
        <v>12</v>
      </c>
      <c r="H2963" s="60" t="s">
        <v>5042</v>
      </c>
    </row>
    <row r="2964" spans="1:8">
      <c r="A2964" s="59" t="s">
        <v>3766</v>
      </c>
      <c r="B2964" s="62">
        <v>3</v>
      </c>
      <c r="C2964" s="60" t="s">
        <v>5044</v>
      </c>
      <c r="D2964" s="64">
        <f>IFERROR(VLOOKUP(C2964,測定点マスタ!$E$2:$F$28,2,FALSE)/VLOOKUP(A2964,'焼鈍条件-3CGL'!$A$2:$B$197,2,FALSE)*60,"")</f>
        <v>17.5083250369048</v>
      </c>
      <c r="E2964" s="66">
        <v>638.4</v>
      </c>
      <c r="F2964" s="64">
        <f t="shared" si="46"/>
        <v>46.698386315789492</v>
      </c>
      <c r="G2964" s="60" t="s">
        <v>12</v>
      </c>
      <c r="H2964" s="60" t="s">
        <v>5042</v>
      </c>
    </row>
    <row r="2965" spans="1:8">
      <c r="A2965" s="59" t="s">
        <v>3766</v>
      </c>
      <c r="B2965" s="62">
        <v>4</v>
      </c>
      <c r="C2965" s="60" t="s">
        <v>5045</v>
      </c>
      <c r="D2965" s="64">
        <f>IFERROR(VLOOKUP(C2965,測定点マスタ!$E$2:$F$28,2,FALSE)/VLOOKUP(A2965,'焼鈍条件-3CGL'!$A$2:$B$197,2,FALSE)*60,"")</f>
        <v>22.657832400700329</v>
      </c>
      <c r="E2965" s="66">
        <v>786</v>
      </c>
      <c r="F2965" s="64">
        <f t="shared" si="46"/>
        <v>28.662936000000013</v>
      </c>
      <c r="G2965" s="60" t="s">
        <v>12</v>
      </c>
      <c r="H2965" s="60" t="s">
        <v>5042</v>
      </c>
    </row>
    <row r="2966" spans="1:8">
      <c r="A2966" s="59" t="s">
        <v>3766</v>
      </c>
      <c r="B2966" s="62">
        <v>5</v>
      </c>
      <c r="C2966" s="60" t="s">
        <v>5047</v>
      </c>
      <c r="D2966" s="64">
        <f>IFERROR(VLOOKUP(C2966,測定点マスタ!$E$2:$F$28,2,FALSE)/VLOOKUP(A2966,'焼鈍条件-3CGL'!$A$2:$B$197,2,FALSE)*60,"")</f>
        <v>30.897044182773183</v>
      </c>
      <c r="E2966" s="66">
        <v>718.3</v>
      </c>
      <c r="F2966" s="64">
        <f t="shared" si="46"/>
        <v>-8.2168054166666664</v>
      </c>
      <c r="G2966" s="60" t="s">
        <v>12</v>
      </c>
      <c r="H2966" s="60" t="s">
        <v>5042</v>
      </c>
    </row>
    <row r="2967" spans="1:8">
      <c r="A2967" s="59" t="s">
        <v>3766</v>
      </c>
      <c r="B2967" s="62">
        <v>6</v>
      </c>
      <c r="C2967" s="60" t="s">
        <v>5049</v>
      </c>
      <c r="D2967" s="64">
        <f>IFERROR(VLOOKUP(C2967,測定点マスタ!$E$2:$F$28,2,FALSE)/VLOOKUP(A2967,'焼鈍条件-3CGL'!$A$2:$B$197,2,FALSE)*60,"")</f>
        <v>37.591403755707368</v>
      </c>
      <c r="E2967" s="66">
        <v>566.1</v>
      </c>
      <c r="F2967" s="64">
        <f t="shared" si="46"/>
        <v>-22.73555794871795</v>
      </c>
      <c r="G2967" s="60" t="s">
        <v>12</v>
      </c>
      <c r="H2967" s="60" t="s">
        <v>5042</v>
      </c>
    </row>
    <row r="2968" spans="1:8">
      <c r="A2968" s="59" t="s">
        <v>3766</v>
      </c>
      <c r="B2968" s="62">
        <v>7</v>
      </c>
      <c r="C2968" s="60" t="s">
        <v>5050</v>
      </c>
      <c r="D2968" s="64">
        <f>IFERROR(VLOOKUP(C2968,測定点マスタ!$E$2:$F$28,2,FALSE)/VLOOKUP(A2968,'焼鈍条件-3CGL'!$A$2:$B$197,2,FALSE)*60,"")</f>
        <v>41.71100964674379</v>
      </c>
      <c r="E2968" s="66">
        <v>474</v>
      </c>
      <c r="F2968" s="64">
        <f t="shared" si="46"/>
        <v>-22.356507500000021</v>
      </c>
      <c r="G2968" s="60" t="s">
        <v>12</v>
      </c>
      <c r="H2968" s="60" t="s">
        <v>5042</v>
      </c>
    </row>
    <row r="2969" spans="1:8">
      <c r="A2969" s="59" t="s">
        <v>3766</v>
      </c>
      <c r="B2969" s="62">
        <v>8</v>
      </c>
      <c r="C2969" s="60" t="s">
        <v>5051</v>
      </c>
      <c r="D2969" s="64">
        <f>IFERROR(VLOOKUP(C2969,測定点マスタ!$E$2:$F$28,2,FALSE)/VLOOKUP(A2969,'焼鈍条件-3CGL'!$A$2:$B$197,2,FALSE)*60,"")</f>
        <v>45.315664801400658</v>
      </c>
      <c r="E2969" s="66">
        <v>458.2</v>
      </c>
      <c r="F2969" s="64">
        <f t="shared" si="46"/>
        <v>-4.3832209523809595</v>
      </c>
      <c r="G2969" s="60" t="s">
        <v>12</v>
      </c>
      <c r="H2969" s="60" t="s">
        <v>5042</v>
      </c>
    </row>
    <row r="2970" spans="1:8">
      <c r="A2970" s="59" t="s">
        <v>3766</v>
      </c>
      <c r="B2970" s="62">
        <v>9</v>
      </c>
      <c r="C2970" s="60" t="s">
        <v>5052</v>
      </c>
      <c r="D2970" s="64">
        <f>IFERROR(VLOOKUP(C2970,測定点マスタ!$E$2:$F$28,2,FALSE)/VLOOKUP(A2970,'焼鈍条件-3CGL'!$A$2:$B$197,2,FALSE)*60,"")</f>
        <v>49.950221428816647</v>
      </c>
      <c r="E2970" s="66">
        <v>331.4</v>
      </c>
      <c r="F2970" s="64">
        <f t="shared" si="46"/>
        <v>-27.359682962962893</v>
      </c>
      <c r="G2970" s="60" t="s">
        <v>12</v>
      </c>
      <c r="H2970" s="60" t="s">
        <v>5042</v>
      </c>
    </row>
    <row r="2971" spans="1:8">
      <c r="A2971" s="59" t="s">
        <v>3766</v>
      </c>
      <c r="B2971" s="62">
        <v>10</v>
      </c>
      <c r="C2971" s="60" t="s">
        <v>5069</v>
      </c>
      <c r="D2971" s="64">
        <f>IFERROR(VLOOKUP(C2971,測定点マスタ!$E$2:$F$28,2,FALSE)/VLOOKUP(A2971,'焼鈍条件-3CGL'!$A$2:$B$197,2,FALSE)*60,"")</f>
        <v>53.554876583473515</v>
      </c>
      <c r="E2971" s="66">
        <v>509.3</v>
      </c>
      <c r="F2971" s="64">
        <f t="shared" si="46"/>
        <v>49.352848571428623</v>
      </c>
      <c r="G2971" s="60" t="s">
        <v>12</v>
      </c>
      <c r="H2971" s="60" t="s">
        <v>5042</v>
      </c>
    </row>
    <row r="2972" spans="1:8">
      <c r="A2972" s="59" t="s">
        <v>3766</v>
      </c>
      <c r="B2972" s="62">
        <v>11</v>
      </c>
      <c r="C2972" s="60" t="s">
        <v>5053</v>
      </c>
      <c r="D2972" s="64">
        <f>IFERROR(VLOOKUP(C2972,測定点マスタ!$E$2:$F$28,2,FALSE)/VLOOKUP(A2972,'焼鈍条件-3CGL'!$A$2:$B$197,2,FALSE)*60,"")</f>
        <v>56.129630265371283</v>
      </c>
      <c r="E2972" s="66">
        <v>516.29999999999995</v>
      </c>
      <c r="F2972" s="64">
        <f t="shared" si="46"/>
        <v>2.7187066666666415</v>
      </c>
      <c r="G2972" s="60" t="s">
        <v>12</v>
      </c>
      <c r="H2972" s="60" t="s">
        <v>5042</v>
      </c>
    </row>
    <row r="2973" spans="1:8">
      <c r="A2973" s="59" t="s">
        <v>3766</v>
      </c>
      <c r="B2973" s="62">
        <v>12</v>
      </c>
      <c r="C2973" s="60" t="s">
        <v>5054</v>
      </c>
      <c r="D2973" s="64">
        <f>IFERROR(VLOOKUP(C2973,測定点マスタ!$E$2:$F$28,2,FALSE)/VLOOKUP(A2973,'焼鈍条件-3CGL'!$A$2:$B$197,2,FALSE)*60,"")</f>
        <v>62.823989838305472</v>
      </c>
      <c r="E2973" s="66">
        <v>504.2</v>
      </c>
      <c r="F2973" s="64">
        <f t="shared" si="46"/>
        <v>-1.8074917948717897</v>
      </c>
      <c r="G2973" s="60" t="s">
        <v>12</v>
      </c>
      <c r="H2973" s="60" t="s">
        <v>5042</v>
      </c>
    </row>
    <row r="2974" spans="1:8">
      <c r="A2974" s="59" t="s">
        <v>3766</v>
      </c>
      <c r="B2974" s="62">
        <v>13</v>
      </c>
      <c r="C2974" s="60" t="s">
        <v>5056</v>
      </c>
      <c r="D2974" s="64">
        <f>IFERROR(VLOOKUP(C2974,測定点マスタ!$E$2:$F$28,2,FALSE)/VLOOKUP(A2974,'焼鈍条件-3CGL'!$A$2:$B$197,2,FALSE)*60,"")</f>
        <v>68.488447938480547</v>
      </c>
      <c r="E2974" s="66">
        <v>269.5</v>
      </c>
      <c r="F2974" s="64">
        <f t="shared" si="46"/>
        <v>-41.433795757575815</v>
      </c>
      <c r="G2974" s="60" t="s">
        <v>12</v>
      </c>
      <c r="H2974" s="60" t="s">
        <v>5042</v>
      </c>
    </row>
    <row r="2975" spans="1:8">
      <c r="A2975" s="59" t="s">
        <v>3766</v>
      </c>
      <c r="B2975" s="62">
        <v>14</v>
      </c>
      <c r="C2975" s="60" t="s">
        <v>5057</v>
      </c>
      <c r="D2975" s="64">
        <f>IFERROR(VLOOKUP(C2975,測定点マスタ!$E$2:$F$28,2,FALSE)/VLOOKUP(A2975,'焼鈍条件-3CGL'!$A$2:$B$197,2,FALSE)*60,"")</f>
        <v>84.911698209442648</v>
      </c>
      <c r="E2975" s="66">
        <v>236.1</v>
      </c>
      <c r="F2975" s="64">
        <f t="shared" si="46"/>
        <v>-2.0337021873833612</v>
      </c>
      <c r="G2975" s="60" t="s">
        <v>12</v>
      </c>
      <c r="H2975" s="60" t="s">
        <v>5042</v>
      </c>
    </row>
    <row r="2976" spans="1:8">
      <c r="A2976" s="59" t="s">
        <v>3766</v>
      </c>
      <c r="B2976" s="62">
        <v>15</v>
      </c>
      <c r="C2976" s="60" t="s">
        <v>5059</v>
      </c>
      <c r="D2976" s="64">
        <f>IFERROR(VLOOKUP(C2976,測定点マスタ!$E$2:$F$28,2,FALSE)/VLOOKUP(A2976,'焼鈍条件-3CGL'!$A$2:$B$197,2,FALSE)*60,"")</f>
        <v>91.12788924145319</v>
      </c>
      <c r="E2976" s="66">
        <v>66.900000000000006</v>
      </c>
      <c r="F2976" s="64">
        <f t="shared" si="46"/>
        <v>-27.219240710058191</v>
      </c>
      <c r="G2976" s="60" t="s">
        <v>12</v>
      </c>
      <c r="H2976" s="60" t="s">
        <v>5042</v>
      </c>
    </row>
    <row r="2977" spans="1:8">
      <c r="A2977" s="59" t="s">
        <v>3778</v>
      </c>
      <c r="B2977" s="62">
        <v>1</v>
      </c>
      <c r="C2977" s="60" t="s">
        <v>5041</v>
      </c>
      <c r="D2977" s="64">
        <f>IFERROR(VLOOKUP(C2977,測定点マスタ!$E$2:$F$28,2,FALSE)/VLOOKUP(A2977,'焼鈍条件-3CGL'!$A$2:$B$197,2,FALSE)*60,"")</f>
        <v>0</v>
      </c>
      <c r="E2977" s="66">
        <v>29.3</v>
      </c>
      <c r="F2977" s="64" t="str">
        <f t="shared" si="46"/>
        <v/>
      </c>
      <c r="G2977" s="60" t="s">
        <v>9</v>
      </c>
      <c r="H2977" s="60" t="s">
        <v>5042</v>
      </c>
    </row>
    <row r="2978" spans="1:8">
      <c r="A2978" s="59" t="s">
        <v>3778</v>
      </c>
      <c r="B2978" s="62">
        <v>2</v>
      </c>
      <c r="C2978" s="60" t="s">
        <v>5043</v>
      </c>
      <c r="D2978" s="64">
        <f>IFERROR(VLOOKUP(C2978,測定点マスタ!$E$2:$F$28,2,FALSE)/VLOOKUP(A2978,'焼鈍条件-3CGL'!$A$2:$B$197,2,FALSE)*60,"")</f>
        <v>15.378043571123451</v>
      </c>
      <c r="E2978" s="66">
        <v>180.1</v>
      </c>
      <c r="F2978" s="64">
        <f t="shared" si="46"/>
        <v>9.8061888888888884</v>
      </c>
      <c r="G2978" s="60" t="s">
        <v>9</v>
      </c>
      <c r="H2978" s="60" t="s">
        <v>5042</v>
      </c>
    </row>
    <row r="2979" spans="1:8">
      <c r="A2979" s="59" t="s">
        <v>3778</v>
      </c>
      <c r="B2979" s="62">
        <v>3</v>
      </c>
      <c r="C2979" s="60" t="s">
        <v>5044</v>
      </c>
      <c r="D2979" s="64">
        <f>IFERROR(VLOOKUP(C2979,測定点マスタ!$E$2:$F$28,2,FALSE)/VLOOKUP(A2979,'焼鈍条件-3CGL'!$A$2:$B$197,2,FALSE)*60,"")</f>
        <v>34.856898761213159</v>
      </c>
      <c r="E2979" s="66">
        <v>713.5</v>
      </c>
      <c r="F2979" s="64">
        <f t="shared" si="46"/>
        <v>27.383539473684202</v>
      </c>
      <c r="G2979" s="60" t="s">
        <v>9</v>
      </c>
      <c r="H2979" s="60" t="s">
        <v>5042</v>
      </c>
    </row>
    <row r="2980" spans="1:8">
      <c r="A2980" s="59" t="s">
        <v>3778</v>
      </c>
      <c r="B2980" s="62">
        <v>4</v>
      </c>
      <c r="C2980" s="60" t="s">
        <v>5045</v>
      </c>
      <c r="D2980" s="64">
        <f>IFERROR(VLOOKUP(C2980,測定点マスタ!$E$2:$F$28,2,FALSE)/VLOOKUP(A2980,'焼鈍条件-3CGL'!$A$2:$B$197,2,FALSE)*60,"")</f>
        <v>45.108927808628792</v>
      </c>
      <c r="E2980" s="66">
        <v>867.5</v>
      </c>
      <c r="F2980" s="64">
        <f t="shared" si="46"/>
        <v>15.021416666666669</v>
      </c>
      <c r="G2980" s="60" t="s">
        <v>9</v>
      </c>
      <c r="H2980" s="60" t="s">
        <v>5042</v>
      </c>
    </row>
    <row r="2981" spans="1:8">
      <c r="A2981" s="59" t="s">
        <v>3778</v>
      </c>
      <c r="B2981" s="62">
        <v>5</v>
      </c>
      <c r="C2981" s="60" t="s">
        <v>5046</v>
      </c>
      <c r="D2981" s="64">
        <f>IFERROR(VLOOKUP(C2981,測定点マスタ!$E$2:$F$28,2,FALSE)/VLOOKUP(A2981,'焼鈍条件-3CGL'!$A$2:$B$197,2,FALSE)*60,"")</f>
        <v>55.360956856044432</v>
      </c>
      <c r="E2981" s="66">
        <v>822.6</v>
      </c>
      <c r="F2981" s="64">
        <f t="shared" si="46"/>
        <v>-4.3796208333333286</v>
      </c>
      <c r="G2981" s="60" t="s">
        <v>9</v>
      </c>
      <c r="H2981" s="60" t="s">
        <v>5042</v>
      </c>
    </row>
    <row r="2982" spans="1:8">
      <c r="A2982" s="59" t="s">
        <v>3778</v>
      </c>
      <c r="B2982" s="62">
        <v>6</v>
      </c>
      <c r="C2982" s="60" t="s">
        <v>5047</v>
      </c>
      <c r="D2982" s="64">
        <f>IFERROR(VLOOKUP(C2982,測定点マスタ!$E$2:$F$28,2,FALSE)/VLOOKUP(A2982,'焼鈍条件-3CGL'!$A$2:$B$197,2,FALSE)*60,"")</f>
        <v>61.512174284493803</v>
      </c>
      <c r="E2982" s="66">
        <v>820.8</v>
      </c>
      <c r="F2982" s="64">
        <f t="shared" si="46"/>
        <v>-0.29262500000001157</v>
      </c>
      <c r="G2982" s="60" t="s">
        <v>9</v>
      </c>
      <c r="H2982" s="60" t="s">
        <v>5042</v>
      </c>
    </row>
    <row r="2983" spans="1:8">
      <c r="A2983" s="59" t="s">
        <v>3778</v>
      </c>
      <c r="B2983" s="62">
        <v>7</v>
      </c>
      <c r="C2983" s="60" t="s">
        <v>5049</v>
      </c>
      <c r="D2983" s="64">
        <f>IFERROR(VLOOKUP(C2983,測定点マスタ!$E$2:$F$28,2,FALSE)/VLOOKUP(A2983,'焼鈍条件-3CGL'!$A$2:$B$197,2,FALSE)*60,"")</f>
        <v>74.839812046134128</v>
      </c>
      <c r="E2983" s="66">
        <v>629.1</v>
      </c>
      <c r="F2983" s="64">
        <f t="shared" si="46"/>
        <v>-14.383644230769224</v>
      </c>
      <c r="G2983" s="60" t="s">
        <v>9</v>
      </c>
      <c r="H2983" s="60" t="s">
        <v>5042</v>
      </c>
    </row>
    <row r="2984" spans="1:8">
      <c r="A2984" s="59" t="s">
        <v>3778</v>
      </c>
      <c r="B2984" s="62">
        <v>8</v>
      </c>
      <c r="C2984" s="60" t="s">
        <v>5050</v>
      </c>
      <c r="D2984" s="64">
        <f>IFERROR(VLOOKUP(C2984,測定点マスタ!$E$2:$F$28,2,FALSE)/VLOOKUP(A2984,'焼鈍条件-3CGL'!$A$2:$B$197,2,FALSE)*60,"")</f>
        <v>83.041435284066651</v>
      </c>
      <c r="E2984" s="66">
        <v>528.9</v>
      </c>
      <c r="F2984" s="64">
        <f t="shared" si="46"/>
        <v>-12.217093749999982</v>
      </c>
      <c r="G2984" s="60" t="s">
        <v>9</v>
      </c>
      <c r="H2984" s="60" t="s">
        <v>5042</v>
      </c>
    </row>
    <row r="2985" spans="1:8">
      <c r="A2985" s="59" t="s">
        <v>3778</v>
      </c>
      <c r="B2985" s="62">
        <v>9</v>
      </c>
      <c r="C2985" s="60" t="s">
        <v>5051</v>
      </c>
      <c r="D2985" s="64">
        <f>IFERROR(VLOOKUP(C2985,測定点マスタ!$E$2:$F$28,2,FALSE)/VLOOKUP(A2985,'焼鈍条件-3CGL'!$A$2:$B$197,2,FALSE)*60,"")</f>
        <v>90.217855617257584</v>
      </c>
      <c r="E2985" s="66">
        <v>493.9</v>
      </c>
      <c r="F2985" s="64">
        <f t="shared" si="46"/>
        <v>-4.8770833333333412</v>
      </c>
      <c r="G2985" s="60" t="s">
        <v>9</v>
      </c>
      <c r="H2985" s="60" t="s">
        <v>5042</v>
      </c>
    </row>
    <row r="2986" spans="1:8">
      <c r="A2986" s="59" t="s">
        <v>3778</v>
      </c>
      <c r="B2986" s="62">
        <v>10</v>
      </c>
      <c r="C2986" s="60" t="s">
        <v>5052</v>
      </c>
      <c r="D2986" s="64">
        <f>IFERROR(VLOOKUP(C2986,測定点マスタ!$E$2:$F$28,2,FALSE)/VLOOKUP(A2986,'焼鈍条件-3CGL'!$A$2:$B$197,2,FALSE)*60,"")</f>
        <v>99.444681759931655</v>
      </c>
      <c r="E2986" s="66">
        <v>374.4</v>
      </c>
      <c r="F2986" s="64">
        <f t="shared" si="46"/>
        <v>-12.951365740740741</v>
      </c>
      <c r="G2986" s="60" t="s">
        <v>9</v>
      </c>
      <c r="H2986" s="60" t="s">
        <v>5042</v>
      </c>
    </row>
    <row r="2987" spans="1:8">
      <c r="A2987" s="59" t="s">
        <v>3778</v>
      </c>
      <c r="B2987" s="62">
        <v>11</v>
      </c>
      <c r="C2987" s="60" t="s">
        <v>5053</v>
      </c>
      <c r="D2987" s="64">
        <f>IFERROR(VLOOKUP(C2987,測定点マスタ!$E$2:$F$28,2,FALSE)/VLOOKUP(A2987,'焼鈍条件-3CGL'!$A$2:$B$197,2,FALSE)*60,"")</f>
        <v>111.74711661683041</v>
      </c>
      <c r="E2987" s="66">
        <v>558.4</v>
      </c>
      <c r="F2987" s="64">
        <f t="shared" si="46"/>
        <v>14.956388888888895</v>
      </c>
      <c r="G2987" s="60" t="s">
        <v>9</v>
      </c>
      <c r="H2987" s="60" t="s">
        <v>5042</v>
      </c>
    </row>
    <row r="2988" spans="1:8">
      <c r="A2988" s="59" t="s">
        <v>3778</v>
      </c>
      <c r="B2988" s="62">
        <v>12</v>
      </c>
      <c r="C2988" s="60" t="s">
        <v>5063</v>
      </c>
      <c r="D2988" s="64">
        <f>IFERROR(VLOOKUP(C2988,測定点マスタ!$E$2:$F$28,2,FALSE)/VLOOKUP(A2988,'焼鈍条件-3CGL'!$A$2:$B$197,2,FALSE)*60,"")</f>
        <v>117.8983340452798</v>
      </c>
      <c r="E2988" s="66">
        <v>568.20000000000005</v>
      </c>
      <c r="F2988" s="64">
        <f t="shared" si="46"/>
        <v>1.5931805555555654</v>
      </c>
      <c r="G2988" s="60" t="s">
        <v>9</v>
      </c>
      <c r="H2988" s="60" t="s">
        <v>5042</v>
      </c>
    </row>
    <row r="2989" spans="1:8">
      <c r="A2989" s="59" t="s">
        <v>3778</v>
      </c>
      <c r="B2989" s="62">
        <v>13</v>
      </c>
      <c r="C2989" s="60" t="s">
        <v>5054</v>
      </c>
      <c r="D2989" s="64">
        <f>IFERROR(VLOOKUP(C2989,測定点マスタ!$E$2:$F$28,2,FALSE)/VLOOKUP(A2989,'焼鈍条件-3CGL'!$A$2:$B$197,2,FALSE)*60,"")</f>
        <v>125.07475437847074</v>
      </c>
      <c r="E2989" s="66">
        <v>562.9</v>
      </c>
      <c r="F2989" s="64">
        <f t="shared" si="46"/>
        <v>-0.73852976190477104</v>
      </c>
      <c r="G2989" s="60" t="s">
        <v>9</v>
      </c>
      <c r="H2989" s="60" t="s">
        <v>5042</v>
      </c>
    </row>
    <row r="2990" spans="1:8">
      <c r="A2990" s="59" t="s">
        <v>3778</v>
      </c>
      <c r="B2990" s="62">
        <v>14</v>
      </c>
      <c r="C2990" s="60" t="s">
        <v>5055</v>
      </c>
      <c r="D2990" s="64">
        <f>IFERROR(VLOOKUP(C2990,測定点マスタ!$E$2:$F$28,2,FALSE)/VLOOKUP(A2990,'焼鈍条件-3CGL'!$A$2:$B$197,2,FALSE)*60,"")</f>
        <v>130.20076890217857</v>
      </c>
      <c r="E2990" s="66">
        <v>582</v>
      </c>
      <c r="F2990" s="64">
        <f t="shared" si="46"/>
        <v>3.7260916666666666</v>
      </c>
      <c r="G2990" s="60" t="s">
        <v>9</v>
      </c>
      <c r="H2990" s="60" t="s">
        <v>5042</v>
      </c>
    </row>
    <row r="2991" spans="1:8">
      <c r="A2991" s="59" t="s">
        <v>3778</v>
      </c>
      <c r="B2991" s="62">
        <v>15</v>
      </c>
      <c r="C2991" s="60" t="s">
        <v>5056</v>
      </c>
      <c r="D2991" s="64">
        <f>IFERROR(VLOOKUP(C2991,測定点マスタ!$E$2:$F$28,2,FALSE)/VLOOKUP(A2991,'焼鈍条件-3CGL'!$A$2:$B$197,2,FALSE)*60,"")</f>
        <v>136.35198633062794</v>
      </c>
      <c r="E2991" s="66">
        <v>300.5</v>
      </c>
      <c r="F2991" s="64">
        <f t="shared" si="46"/>
        <v>-45.763298611111182</v>
      </c>
      <c r="G2991" s="60" t="s">
        <v>9</v>
      </c>
      <c r="H2991" s="60" t="s">
        <v>5042</v>
      </c>
    </row>
    <row r="2992" spans="1:8">
      <c r="A2992" s="59" t="s">
        <v>3778</v>
      </c>
      <c r="B2992" s="62">
        <v>16</v>
      </c>
      <c r="C2992" s="60" t="s">
        <v>5057</v>
      </c>
      <c r="D2992" s="64">
        <f>IFERROR(VLOOKUP(C2992,測定点マスタ!$E$2:$F$28,2,FALSE)/VLOOKUP(A2992,'焼鈍条件-3CGL'!$A$2:$B$197,2,FALSE)*60,"")</f>
        <v>169.04863611399267</v>
      </c>
      <c r="E2992" s="66">
        <v>184.5</v>
      </c>
      <c r="F2992" s="64">
        <f t="shared" si="46"/>
        <v>-3.5477640910787747</v>
      </c>
      <c r="G2992" s="60" t="s">
        <v>9</v>
      </c>
      <c r="H2992" s="60" t="s">
        <v>5042</v>
      </c>
    </row>
    <row r="2993" spans="1:8">
      <c r="A2993" s="59" t="s">
        <v>3778</v>
      </c>
      <c r="B2993" s="62">
        <v>17</v>
      </c>
      <c r="C2993" s="60" t="s">
        <v>5059</v>
      </c>
      <c r="D2993" s="64">
        <f>IFERROR(VLOOKUP(C2993,測定点マスタ!$E$2:$F$28,2,FALSE)/VLOOKUP(A2993,'焼鈍条件-3CGL'!$A$2:$B$197,2,FALSE)*60,"")</f>
        <v>181.42429974980197</v>
      </c>
      <c r="E2993" s="66">
        <v>72.400000000000006</v>
      </c>
      <c r="F2993" s="64">
        <f t="shared" si="46"/>
        <v>-9.0581000986190148</v>
      </c>
      <c r="G2993" s="60" t="s">
        <v>9</v>
      </c>
      <c r="H2993" s="60" t="s">
        <v>5042</v>
      </c>
    </row>
    <row r="2994" spans="1:8">
      <c r="A2994" s="59" t="s">
        <v>3797</v>
      </c>
      <c r="B2994" s="62">
        <v>1</v>
      </c>
      <c r="C2994" s="60" t="s">
        <v>5041</v>
      </c>
      <c r="D2994" s="64">
        <f>IFERROR(VLOOKUP(C2994,測定点マスタ!$E$2:$F$28,2,FALSE)/VLOOKUP(A2994,'焼鈍条件-3CGL'!$A$2:$B$197,2,FALSE)*60,"")</f>
        <v>0</v>
      </c>
      <c r="E2994" s="66">
        <v>36.700000000000003</v>
      </c>
      <c r="F2994" s="64" t="str">
        <f t="shared" si="46"/>
        <v/>
      </c>
      <c r="G2994" s="60" t="s">
        <v>12</v>
      </c>
      <c r="H2994" s="60" t="s">
        <v>5042</v>
      </c>
    </row>
    <row r="2995" spans="1:8">
      <c r="A2995" s="59" t="s">
        <v>3797</v>
      </c>
      <c r="B2995" s="62">
        <v>2</v>
      </c>
      <c r="C2995" s="60" t="s">
        <v>5043</v>
      </c>
      <c r="D2995" s="64">
        <f>IFERROR(VLOOKUP(C2995,測定点マスタ!$E$2:$F$28,2,FALSE)/VLOOKUP(A2995,'焼鈍条件-3CGL'!$A$2:$B$197,2,FALSE)*60,"")</f>
        <v>5.9072560795510487</v>
      </c>
      <c r="E2995" s="66">
        <v>166.9</v>
      </c>
      <c r="F2995" s="64">
        <f t="shared" si="46"/>
        <v>22.040689999999998</v>
      </c>
      <c r="G2995" s="60" t="s">
        <v>12</v>
      </c>
      <c r="H2995" s="60" t="s">
        <v>5042</v>
      </c>
    </row>
    <row r="2996" spans="1:8">
      <c r="A2996" s="59" t="s">
        <v>3797</v>
      </c>
      <c r="B2996" s="62">
        <v>3</v>
      </c>
      <c r="C2996" s="60" t="s">
        <v>5044</v>
      </c>
      <c r="D2996" s="64">
        <f>IFERROR(VLOOKUP(C2996,測定点マスタ!$E$2:$F$28,2,FALSE)/VLOOKUP(A2996,'焼鈍条件-3CGL'!$A$2:$B$197,2,FALSE)*60,"")</f>
        <v>13.389780446982378</v>
      </c>
      <c r="E2996" s="66">
        <v>651.70000000000005</v>
      </c>
      <c r="F2996" s="64">
        <f t="shared" si="46"/>
        <v>64.790968421052625</v>
      </c>
      <c r="G2996" s="60" t="s">
        <v>12</v>
      </c>
      <c r="H2996" s="60" t="s">
        <v>5042</v>
      </c>
    </row>
    <row r="2997" spans="1:8">
      <c r="A2997" s="59" t="s">
        <v>3797</v>
      </c>
      <c r="B2997" s="62">
        <v>4</v>
      </c>
      <c r="C2997" s="60" t="s">
        <v>5045</v>
      </c>
      <c r="D2997" s="64">
        <f>IFERROR(VLOOKUP(C2997,測定点マスタ!$E$2:$F$28,2,FALSE)/VLOOKUP(A2997,'焼鈍条件-3CGL'!$A$2:$B$197,2,FALSE)*60,"")</f>
        <v>17.327951166683075</v>
      </c>
      <c r="E2997" s="66">
        <v>784.2</v>
      </c>
      <c r="F2997" s="64">
        <f t="shared" si="46"/>
        <v>33.645062500000016</v>
      </c>
      <c r="G2997" s="60" t="s">
        <v>12</v>
      </c>
      <c r="H2997" s="60" t="s">
        <v>5042</v>
      </c>
    </row>
    <row r="2998" spans="1:8">
      <c r="A2998" s="59" t="s">
        <v>3797</v>
      </c>
      <c r="B2998" s="62">
        <v>5</v>
      </c>
      <c r="C2998" s="60" t="s">
        <v>5047</v>
      </c>
      <c r="D2998" s="64">
        <f>IFERROR(VLOOKUP(C2998,測定点マスタ!$E$2:$F$28,2,FALSE)/VLOOKUP(A2998,'焼鈍条件-3CGL'!$A$2:$B$197,2,FALSE)*60,"")</f>
        <v>23.629024318204195</v>
      </c>
      <c r="E2998" s="66">
        <v>701.1</v>
      </c>
      <c r="F2998" s="64">
        <f t="shared" si="46"/>
        <v>-13.188229687500002</v>
      </c>
      <c r="G2998" s="60" t="s">
        <v>12</v>
      </c>
      <c r="H2998" s="60" t="s">
        <v>5042</v>
      </c>
    </row>
    <row r="2999" spans="1:8">
      <c r="A2999" s="59" t="s">
        <v>3797</v>
      </c>
      <c r="B2999" s="62">
        <v>6</v>
      </c>
      <c r="C2999" s="60" t="s">
        <v>5049</v>
      </c>
      <c r="D2999" s="64">
        <f>IFERROR(VLOOKUP(C2999,測定点マスタ!$E$2:$F$28,2,FALSE)/VLOOKUP(A2999,'焼鈍条件-3CGL'!$A$2:$B$197,2,FALSE)*60,"")</f>
        <v>28.748646253815103</v>
      </c>
      <c r="E2999" s="66">
        <v>559.20000000000005</v>
      </c>
      <c r="F2999" s="64">
        <f t="shared" si="46"/>
        <v>-27.716890384615382</v>
      </c>
      <c r="G2999" s="60" t="s">
        <v>12</v>
      </c>
      <c r="H2999" s="60" t="s">
        <v>5042</v>
      </c>
    </row>
    <row r="3000" spans="1:8">
      <c r="A3000" s="59" t="s">
        <v>3797</v>
      </c>
      <c r="B3000" s="62">
        <v>7</v>
      </c>
      <c r="C3000" s="60" t="s">
        <v>5050</v>
      </c>
      <c r="D3000" s="64">
        <f>IFERROR(VLOOKUP(C3000,測定点マスタ!$E$2:$F$28,2,FALSE)/VLOOKUP(A3000,'焼鈍条件-3CGL'!$A$2:$B$197,2,FALSE)*60,"")</f>
        <v>31.899182829575665</v>
      </c>
      <c r="E3000" s="66">
        <v>464.7</v>
      </c>
      <c r="F3000" s="64">
        <f t="shared" si="46"/>
        <v>-29.994890624999993</v>
      </c>
      <c r="G3000" s="60" t="s">
        <v>12</v>
      </c>
      <c r="H3000" s="60" t="s">
        <v>5042</v>
      </c>
    </row>
    <row r="3001" spans="1:8">
      <c r="A3001" s="59" t="s">
        <v>3797</v>
      </c>
      <c r="B3001" s="62">
        <v>8</v>
      </c>
      <c r="C3001" s="60" t="s">
        <v>5051</v>
      </c>
      <c r="D3001" s="64">
        <f>IFERROR(VLOOKUP(C3001,測定点マスタ!$E$2:$F$28,2,FALSE)/VLOOKUP(A3001,'焼鈍条件-3CGL'!$A$2:$B$197,2,FALSE)*60,"")</f>
        <v>34.65590233336615</v>
      </c>
      <c r="E3001" s="66">
        <v>430.9</v>
      </c>
      <c r="F3001" s="64">
        <f t="shared" si="46"/>
        <v>-12.260950000000022</v>
      </c>
      <c r="G3001" s="60" t="s">
        <v>12</v>
      </c>
      <c r="H3001" s="60" t="s">
        <v>5042</v>
      </c>
    </row>
    <row r="3002" spans="1:8">
      <c r="A3002" s="59" t="s">
        <v>3797</v>
      </c>
      <c r="B3002" s="62">
        <v>9</v>
      </c>
      <c r="C3002" s="60" t="s">
        <v>5060</v>
      </c>
      <c r="D3002" s="64">
        <f>IFERROR(VLOOKUP(C3002,測定点マスタ!$E$2:$F$28,2,FALSE)/VLOOKUP(A3002,'焼鈍条件-3CGL'!$A$2:$B$197,2,FALSE)*60,"")</f>
        <v>36.231170621246434</v>
      </c>
      <c r="E3002" s="66">
        <v>388.6</v>
      </c>
      <c r="F3002" s="64">
        <f t="shared" si="46"/>
        <v>-26.85256874999989</v>
      </c>
      <c r="G3002" s="60" t="s">
        <v>12</v>
      </c>
      <c r="H3002" s="60" t="s">
        <v>5042</v>
      </c>
    </row>
    <row r="3003" spans="1:8">
      <c r="A3003" s="59" t="s">
        <v>3797</v>
      </c>
      <c r="B3003" s="62">
        <v>10</v>
      </c>
      <c r="C3003" s="60" t="s">
        <v>5052</v>
      </c>
      <c r="D3003" s="64">
        <f>IFERROR(VLOOKUP(C3003,測定点マスタ!$E$2:$F$28,2,FALSE)/VLOOKUP(A3003,'焼鈍条件-3CGL'!$A$2:$B$197,2,FALSE)*60,"")</f>
        <v>38.200255981096781</v>
      </c>
      <c r="E3003" s="66">
        <v>343.6</v>
      </c>
      <c r="F3003" s="64">
        <f t="shared" si="46"/>
        <v>-22.853250000000035</v>
      </c>
      <c r="G3003" s="60" t="s">
        <v>12</v>
      </c>
      <c r="H3003" s="60" t="s">
        <v>5042</v>
      </c>
    </row>
    <row r="3004" spans="1:8">
      <c r="A3004" s="59" t="s">
        <v>3797</v>
      </c>
      <c r="B3004" s="62">
        <v>11</v>
      </c>
      <c r="C3004" s="60" t="s">
        <v>5069</v>
      </c>
      <c r="D3004" s="64">
        <f>IFERROR(VLOOKUP(C3004,測定点マスタ!$E$2:$F$28,2,FALSE)/VLOOKUP(A3004,'焼鈍条件-3CGL'!$A$2:$B$197,2,FALSE)*60,"")</f>
        <v>40.956975484887273</v>
      </c>
      <c r="E3004" s="66">
        <v>491.3</v>
      </c>
      <c r="F3004" s="64">
        <f t="shared" si="46"/>
        <v>53.578174999999938</v>
      </c>
      <c r="G3004" s="60" t="s">
        <v>12</v>
      </c>
      <c r="H3004" s="60" t="s">
        <v>5042</v>
      </c>
    </row>
    <row r="3005" spans="1:8">
      <c r="A3005" s="59" t="s">
        <v>3797</v>
      </c>
      <c r="B3005" s="62">
        <v>12</v>
      </c>
      <c r="C3005" s="60" t="s">
        <v>5053</v>
      </c>
      <c r="D3005" s="64">
        <f>IFERROR(VLOOKUP(C3005,測定点マスタ!$E$2:$F$28,2,FALSE)/VLOOKUP(A3005,'焼鈍条件-3CGL'!$A$2:$B$197,2,FALSE)*60,"")</f>
        <v>42.92606084473762</v>
      </c>
      <c r="E3005" s="66">
        <v>511.8</v>
      </c>
      <c r="F3005" s="64">
        <f t="shared" si="46"/>
        <v>10.410925000000015</v>
      </c>
      <c r="G3005" s="60" t="s">
        <v>12</v>
      </c>
      <c r="H3005" s="60" t="s">
        <v>5042</v>
      </c>
    </row>
    <row r="3006" spans="1:8">
      <c r="A3006" s="59" t="s">
        <v>3797</v>
      </c>
      <c r="B3006" s="62">
        <v>13</v>
      </c>
      <c r="C3006" s="60" t="s">
        <v>5063</v>
      </c>
      <c r="D3006" s="64">
        <f>IFERROR(VLOOKUP(C3006,測定点マスタ!$E$2:$F$28,2,FALSE)/VLOOKUP(A3006,'焼鈍条件-3CGL'!$A$2:$B$197,2,FALSE)*60,"")</f>
        <v>45.288963276558043</v>
      </c>
      <c r="E3006" s="66">
        <v>516.5</v>
      </c>
      <c r="F3006" s="64">
        <f t="shared" si="46"/>
        <v>1.9890791666666587</v>
      </c>
      <c r="G3006" s="60" t="s">
        <v>12</v>
      </c>
      <c r="H3006" s="60" t="s">
        <v>5042</v>
      </c>
    </row>
    <row r="3007" spans="1:8">
      <c r="A3007" s="59" t="s">
        <v>3797</v>
      </c>
      <c r="B3007" s="62">
        <v>14</v>
      </c>
      <c r="C3007" s="60" t="s">
        <v>5054</v>
      </c>
      <c r="D3007" s="64">
        <f>IFERROR(VLOOKUP(C3007,測定点マスタ!$E$2:$F$28,2,FALSE)/VLOOKUP(A3007,'焼鈍条件-3CGL'!$A$2:$B$197,2,FALSE)*60,"")</f>
        <v>48.045682780348528</v>
      </c>
      <c r="E3007" s="66">
        <v>506.3</v>
      </c>
      <c r="F3007" s="64">
        <f t="shared" si="46"/>
        <v>-3.7000500000000014</v>
      </c>
      <c r="G3007" s="60" t="s">
        <v>12</v>
      </c>
      <c r="H3007" s="60" t="s">
        <v>5042</v>
      </c>
    </row>
    <row r="3008" spans="1:8">
      <c r="A3008" s="59" t="s">
        <v>3797</v>
      </c>
      <c r="B3008" s="62">
        <v>15</v>
      </c>
      <c r="C3008" s="60" t="s">
        <v>5056</v>
      </c>
      <c r="D3008" s="64">
        <f>IFERROR(VLOOKUP(C3008,測定点マスタ!$E$2:$F$28,2,FALSE)/VLOOKUP(A3008,'焼鈍条件-3CGL'!$A$2:$B$197,2,FALSE)*60,"")</f>
        <v>52.377670572019298</v>
      </c>
      <c r="E3008" s="66">
        <v>259.3</v>
      </c>
      <c r="F3008" s="64">
        <f t="shared" si="46"/>
        <v>-57.017704545454535</v>
      </c>
      <c r="G3008" s="60" t="s">
        <v>12</v>
      </c>
      <c r="H3008" s="60" t="s">
        <v>5042</v>
      </c>
    </row>
    <row r="3009" spans="1:8">
      <c r="A3009" s="59" t="s">
        <v>3797</v>
      </c>
      <c r="B3009" s="62">
        <v>16</v>
      </c>
      <c r="C3009" s="60" t="s">
        <v>5068</v>
      </c>
      <c r="D3009" s="64">
        <f>IFERROR(VLOOKUP(C3009,測定点マスタ!$E$2:$F$28,2,FALSE)/VLOOKUP(A3009,'焼鈍条件-3CGL'!$A$2:$B$197,2,FALSE)*60,"")</f>
        <v>62.560654861531162</v>
      </c>
      <c r="E3009" s="66">
        <v>391.8</v>
      </c>
      <c r="F3009" s="64">
        <f t="shared" si="46"/>
        <v>13.01190262430932</v>
      </c>
      <c r="G3009" s="60" t="s">
        <v>12</v>
      </c>
      <c r="H3009" s="60" t="s">
        <v>5042</v>
      </c>
    </row>
    <row r="3010" spans="1:8">
      <c r="A3010" s="59" t="s">
        <v>3797</v>
      </c>
      <c r="B3010" s="62">
        <v>17</v>
      </c>
      <c r="C3010" s="60" t="s">
        <v>5057</v>
      </c>
      <c r="D3010" s="64">
        <f>IFERROR(VLOOKUP(C3010,測定点マスタ!$E$2:$F$28,2,FALSE)/VLOOKUP(A3010,'焼鈍条件-3CGL'!$A$2:$B$197,2,FALSE)*60,"")</f>
        <v>64.937622188778974</v>
      </c>
      <c r="E3010" s="66">
        <v>176.1</v>
      </c>
      <c r="F3010" s="64">
        <f t="shared" ref="F3010:F3073" si="47">IF(A3010=A3009,IFERROR((E3010-E3009)/(D3010-D3009),""),"")</f>
        <v>-90.745883431956884</v>
      </c>
      <c r="G3010" s="60" t="s">
        <v>12</v>
      </c>
      <c r="H3010" s="60" t="s">
        <v>5042</v>
      </c>
    </row>
    <row r="3011" spans="1:8">
      <c r="A3011" s="59" t="s">
        <v>3797</v>
      </c>
      <c r="B3011" s="62">
        <v>18</v>
      </c>
      <c r="C3011" s="60" t="s">
        <v>5058</v>
      </c>
      <c r="D3011" s="64">
        <f>IFERROR(VLOOKUP(C3011,測定点マスタ!$E$2:$F$28,2,FALSE)/VLOOKUP(A3011,'焼鈍条件-3CGL'!$A$2:$B$197,2,FALSE)*60,"")</f>
        <v>67.314589516026771</v>
      </c>
      <c r="E3011" s="66">
        <v>101.9</v>
      </c>
      <c r="F3011" s="64">
        <f t="shared" si="47"/>
        <v>-31.216247337279736</v>
      </c>
      <c r="G3011" s="60" t="s">
        <v>12</v>
      </c>
      <c r="H3011" s="60" t="s">
        <v>5042</v>
      </c>
    </row>
    <row r="3012" spans="1:8">
      <c r="A3012" s="59" t="s">
        <v>3797</v>
      </c>
      <c r="B3012" s="62">
        <v>19</v>
      </c>
      <c r="C3012" s="60" t="s">
        <v>5059</v>
      </c>
      <c r="D3012" s="64">
        <f>IFERROR(VLOOKUP(C3012,測定点マスタ!$E$2:$F$28,2,FALSE)/VLOOKUP(A3012,'焼鈍条件-3CGL'!$A$2:$B$197,2,FALSE)*60,"")</f>
        <v>69.691556843274995</v>
      </c>
      <c r="E3012" s="66">
        <v>47.5</v>
      </c>
      <c r="F3012" s="64">
        <f t="shared" si="47"/>
        <v>-22.886305325440883</v>
      </c>
      <c r="G3012" s="60" t="s">
        <v>12</v>
      </c>
      <c r="H3012" s="60" t="s">
        <v>5042</v>
      </c>
    </row>
    <row r="3013" spans="1:8">
      <c r="A3013" s="59" t="s">
        <v>3802</v>
      </c>
      <c r="B3013" s="62">
        <v>1</v>
      </c>
      <c r="C3013" s="60" t="s">
        <v>5041</v>
      </c>
      <c r="D3013" s="64">
        <f>IFERROR(VLOOKUP(C3013,測定点マスタ!$E$2:$F$28,2,FALSE)/VLOOKUP(A3013,'焼鈍条件-3CGL'!$A$2:$B$197,2,FALSE)*60,"")</f>
        <v>0</v>
      </c>
      <c r="E3013" s="66">
        <v>35.200000000000003</v>
      </c>
      <c r="F3013" s="64" t="str">
        <f t="shared" si="47"/>
        <v/>
      </c>
      <c r="G3013" s="60" t="s">
        <v>9</v>
      </c>
      <c r="H3013" s="60" t="s">
        <v>5042</v>
      </c>
    </row>
    <row r="3014" spans="1:8">
      <c r="A3014" s="59" t="s">
        <v>3802</v>
      </c>
      <c r="B3014" s="62">
        <v>2</v>
      </c>
      <c r="C3014" s="60" t="s">
        <v>5043</v>
      </c>
      <c r="D3014" s="64">
        <f>IFERROR(VLOOKUP(C3014,測定点マスタ!$E$2:$F$28,2,FALSE)/VLOOKUP(A3014,'焼鈍条件-3CGL'!$A$2:$B$197,2,FALSE)*60,"")</f>
        <v>7.398517008368545</v>
      </c>
      <c r="E3014" s="66">
        <v>187.7</v>
      </c>
      <c r="F3014" s="64">
        <f t="shared" si="47"/>
        <v>20.612238888888889</v>
      </c>
      <c r="G3014" s="60" t="s">
        <v>9</v>
      </c>
      <c r="H3014" s="60" t="s">
        <v>5042</v>
      </c>
    </row>
    <row r="3015" spans="1:8">
      <c r="A3015" s="59" t="s">
        <v>3802</v>
      </c>
      <c r="B3015" s="62">
        <v>3</v>
      </c>
      <c r="C3015" s="60" t="s">
        <v>5044</v>
      </c>
      <c r="D3015" s="64">
        <f>IFERROR(VLOOKUP(C3015,測定点マスタ!$E$2:$F$28,2,FALSE)/VLOOKUP(A3015,'焼鈍条件-3CGL'!$A$2:$B$197,2,FALSE)*60,"")</f>
        <v>16.769971885635368</v>
      </c>
      <c r="E3015" s="66">
        <v>615.29999999999995</v>
      </c>
      <c r="F3015" s="64">
        <f t="shared" si="47"/>
        <v>45.627920701754384</v>
      </c>
      <c r="G3015" s="60" t="s">
        <v>9</v>
      </c>
      <c r="H3015" s="60" t="s">
        <v>5042</v>
      </c>
    </row>
    <row r="3016" spans="1:8">
      <c r="A3016" s="59" t="s">
        <v>3802</v>
      </c>
      <c r="B3016" s="62">
        <v>4</v>
      </c>
      <c r="C3016" s="60" t="s">
        <v>5045</v>
      </c>
      <c r="D3016" s="64">
        <f>IFERROR(VLOOKUP(C3016,測定点マスタ!$E$2:$F$28,2,FALSE)/VLOOKUP(A3016,'焼鈍条件-3CGL'!$A$2:$B$197,2,FALSE)*60,"")</f>
        <v>21.702316557881066</v>
      </c>
      <c r="E3016" s="66">
        <v>771.4</v>
      </c>
      <c r="F3016" s="64">
        <f t="shared" si="47"/>
        <v>31.648234333333331</v>
      </c>
      <c r="G3016" s="60" t="s">
        <v>9</v>
      </c>
      <c r="H3016" s="60" t="s">
        <v>5042</v>
      </c>
    </row>
    <row r="3017" spans="1:8">
      <c r="A3017" s="59" t="s">
        <v>3802</v>
      </c>
      <c r="B3017" s="62">
        <v>5</v>
      </c>
      <c r="C3017" s="60" t="s">
        <v>5047</v>
      </c>
      <c r="D3017" s="64">
        <f>IFERROR(VLOOKUP(C3017,測定点マスタ!$E$2:$F$28,2,FALSE)/VLOOKUP(A3017,'焼鈍条件-3CGL'!$A$2:$B$197,2,FALSE)*60,"")</f>
        <v>29.59406803347418</v>
      </c>
      <c r="E3017" s="66">
        <v>689.7</v>
      </c>
      <c r="F3017" s="64">
        <f t="shared" si="47"/>
        <v>-10.352581458333324</v>
      </c>
      <c r="G3017" s="60" t="s">
        <v>9</v>
      </c>
      <c r="H3017" s="60" t="s">
        <v>5042</v>
      </c>
    </row>
    <row r="3018" spans="1:8">
      <c r="A3018" s="59" t="s">
        <v>3802</v>
      </c>
      <c r="B3018" s="62">
        <v>6</v>
      </c>
      <c r="C3018" s="60" t="s">
        <v>5048</v>
      </c>
      <c r="D3018" s="64">
        <f>IFERROR(VLOOKUP(C3018,測定点マスタ!$E$2:$F$28,2,FALSE)/VLOOKUP(A3018,'焼鈍条件-3CGL'!$A$2:$B$197,2,FALSE)*60,"")</f>
        <v>32.553474836821593</v>
      </c>
      <c r="E3018" s="66">
        <v>697.3</v>
      </c>
      <c r="F3018" s="64">
        <f t="shared" si="47"/>
        <v>2.5680822222221957</v>
      </c>
      <c r="G3018" s="60" t="s">
        <v>9</v>
      </c>
      <c r="H3018" s="60" t="s">
        <v>5042</v>
      </c>
    </row>
    <row r="3019" spans="1:8">
      <c r="A3019" s="59" t="s">
        <v>3802</v>
      </c>
      <c r="B3019" s="62">
        <v>7</v>
      </c>
      <c r="C3019" s="60" t="s">
        <v>5049</v>
      </c>
      <c r="D3019" s="64">
        <f>IFERROR(VLOOKUP(C3019,測定点マスタ!$E$2:$F$28,2,FALSE)/VLOOKUP(A3019,'焼鈍条件-3CGL'!$A$2:$B$197,2,FALSE)*60,"")</f>
        <v>36.006116107393581</v>
      </c>
      <c r="E3019" s="66">
        <v>560.6</v>
      </c>
      <c r="F3019" s="64">
        <f t="shared" si="47"/>
        <v>-39.592876666666648</v>
      </c>
      <c r="G3019" s="60" t="s">
        <v>9</v>
      </c>
      <c r="H3019" s="60" t="s">
        <v>5042</v>
      </c>
    </row>
    <row r="3020" spans="1:8">
      <c r="A3020" s="59" t="s">
        <v>3802</v>
      </c>
      <c r="B3020" s="62">
        <v>8</v>
      </c>
      <c r="C3020" s="60" t="s">
        <v>5050</v>
      </c>
      <c r="D3020" s="64">
        <f>IFERROR(VLOOKUP(C3020,測定点マスタ!$E$2:$F$28,2,FALSE)/VLOOKUP(A3020,'焼鈍条件-3CGL'!$A$2:$B$197,2,FALSE)*60,"")</f>
        <v>39.951991845190143</v>
      </c>
      <c r="E3020" s="66">
        <v>458.1</v>
      </c>
      <c r="F3020" s="64">
        <f t="shared" si="47"/>
        <v>-25.976489583333297</v>
      </c>
      <c r="G3020" s="60" t="s">
        <v>9</v>
      </c>
      <c r="H3020" s="60" t="s">
        <v>5042</v>
      </c>
    </row>
    <row r="3021" spans="1:8">
      <c r="A3021" s="59" t="s">
        <v>3802</v>
      </c>
      <c r="B3021" s="62">
        <v>9</v>
      </c>
      <c r="C3021" s="60" t="s">
        <v>5051</v>
      </c>
      <c r="D3021" s="64">
        <f>IFERROR(VLOOKUP(C3021,測定点マスタ!$E$2:$F$28,2,FALSE)/VLOOKUP(A3021,'焼鈍条件-3CGL'!$A$2:$B$197,2,FALSE)*60,"")</f>
        <v>43.404633115762131</v>
      </c>
      <c r="E3021" s="66">
        <v>438.9</v>
      </c>
      <c r="F3021" s="64">
        <f t="shared" si="47"/>
        <v>-5.560960000000013</v>
      </c>
      <c r="G3021" s="60" t="s">
        <v>9</v>
      </c>
      <c r="H3021" s="60" t="s">
        <v>5042</v>
      </c>
    </row>
    <row r="3022" spans="1:8">
      <c r="A3022" s="59" t="s">
        <v>3802</v>
      </c>
      <c r="B3022" s="62">
        <v>10</v>
      </c>
      <c r="C3022" s="60" t="s">
        <v>5052</v>
      </c>
      <c r="D3022" s="64">
        <f>IFERROR(VLOOKUP(C3022,測定点マスタ!$E$2:$F$28,2,FALSE)/VLOOKUP(A3022,'焼鈍条件-3CGL'!$A$2:$B$197,2,FALSE)*60,"")</f>
        <v>47.843743320783261</v>
      </c>
      <c r="E3022" s="66">
        <v>338</v>
      </c>
      <c r="F3022" s="64">
        <f t="shared" si="47"/>
        <v>-22.729780370370349</v>
      </c>
      <c r="G3022" s="60" t="s">
        <v>9</v>
      </c>
      <c r="H3022" s="60" t="s">
        <v>5042</v>
      </c>
    </row>
    <row r="3023" spans="1:8">
      <c r="A3023" s="59" t="s">
        <v>3802</v>
      </c>
      <c r="B3023" s="62">
        <v>11</v>
      </c>
      <c r="C3023" s="60" t="s">
        <v>5053</v>
      </c>
      <c r="D3023" s="64">
        <f>IFERROR(VLOOKUP(C3023,測定点マスタ!$E$2:$F$28,2,FALSE)/VLOOKUP(A3023,'焼鈍条件-3CGL'!$A$2:$B$197,2,FALSE)*60,"")</f>
        <v>53.762556927478087</v>
      </c>
      <c r="E3023" s="66">
        <v>501.6</v>
      </c>
      <c r="F3023" s="64">
        <f t="shared" si="47"/>
        <v>27.640674444444493</v>
      </c>
      <c r="G3023" s="60" t="s">
        <v>9</v>
      </c>
      <c r="H3023" s="60" t="s">
        <v>5042</v>
      </c>
    </row>
    <row r="3024" spans="1:8">
      <c r="A3024" s="59" t="s">
        <v>3802</v>
      </c>
      <c r="B3024" s="62">
        <v>12</v>
      </c>
      <c r="C3024" s="60" t="s">
        <v>5054</v>
      </c>
      <c r="D3024" s="64">
        <f>IFERROR(VLOOKUP(C3024,測定点マスタ!$E$2:$F$28,2,FALSE)/VLOOKUP(A3024,'焼鈍条件-3CGL'!$A$2:$B$197,2,FALSE)*60,"")</f>
        <v>60.174605001397495</v>
      </c>
      <c r="E3024" s="66">
        <v>491.8</v>
      </c>
      <c r="F3024" s="64">
        <f t="shared" si="47"/>
        <v>-1.5283728205128218</v>
      </c>
      <c r="G3024" s="60" t="s">
        <v>9</v>
      </c>
      <c r="H3024" s="60" t="s">
        <v>5042</v>
      </c>
    </row>
    <row r="3025" spans="1:8">
      <c r="A3025" s="59" t="s">
        <v>3802</v>
      </c>
      <c r="B3025" s="62">
        <v>13</v>
      </c>
      <c r="C3025" s="60" t="s">
        <v>5056</v>
      </c>
      <c r="D3025" s="64">
        <f>IFERROR(VLOOKUP(C3025,測定点マスタ!$E$2:$F$28,2,FALSE)/VLOOKUP(A3025,'焼鈍条件-3CGL'!$A$2:$B$197,2,FALSE)*60,"")</f>
        <v>65.600184140867768</v>
      </c>
      <c r="E3025" s="66">
        <v>260.2</v>
      </c>
      <c r="F3025" s="64">
        <f t="shared" si="47"/>
        <v>-42.686687272727227</v>
      </c>
      <c r="G3025" s="60" t="s">
        <v>9</v>
      </c>
      <c r="H3025" s="60" t="s">
        <v>5042</v>
      </c>
    </row>
    <row r="3026" spans="1:8">
      <c r="A3026" s="59" t="s">
        <v>3802</v>
      </c>
      <c r="B3026" s="62">
        <v>14</v>
      </c>
      <c r="C3026" s="60" t="s">
        <v>5057</v>
      </c>
      <c r="D3026" s="64">
        <f>IFERROR(VLOOKUP(C3026,測定点マスタ!$E$2:$F$28,2,FALSE)/VLOOKUP(A3026,'焼鈍条件-3CGL'!$A$2:$B$197,2,FALSE)*60,"")</f>
        <v>81.330840541994149</v>
      </c>
      <c r="E3026" s="66">
        <v>203.9</v>
      </c>
      <c r="F3026" s="64">
        <f t="shared" si="47"/>
        <v>-3.5789987756625758</v>
      </c>
      <c r="G3026" s="60" t="s">
        <v>9</v>
      </c>
      <c r="H3026" s="60" t="s">
        <v>5042</v>
      </c>
    </row>
    <row r="3027" spans="1:8">
      <c r="A3027" s="59" t="s">
        <v>3802</v>
      </c>
      <c r="B3027" s="62">
        <v>15</v>
      </c>
      <c r="C3027" s="60" t="s">
        <v>5059</v>
      </c>
      <c r="D3027" s="64">
        <f>IFERROR(VLOOKUP(C3027,測定点マスタ!$E$2:$F$28,2,FALSE)/VLOOKUP(A3027,'焼鈍条件-3CGL'!$A$2:$B$197,2,FALSE)*60,"")</f>
        <v>87.284885182062368</v>
      </c>
      <c r="E3027" s="66">
        <v>44.1</v>
      </c>
      <c r="F3027" s="64">
        <f t="shared" si="47"/>
        <v>-26.838898540433028</v>
      </c>
      <c r="G3027" s="60" t="s">
        <v>9</v>
      </c>
      <c r="H3027" s="60" t="s">
        <v>5042</v>
      </c>
    </row>
    <row r="3028" spans="1:8">
      <c r="A3028" s="59" t="s">
        <v>3817</v>
      </c>
      <c r="B3028" s="62">
        <v>1</v>
      </c>
      <c r="C3028" s="60" t="s">
        <v>5041</v>
      </c>
      <c r="D3028" s="64">
        <f>IFERROR(VLOOKUP(C3028,測定点マスタ!$E$2:$F$28,2,FALSE)/VLOOKUP(A3028,'焼鈍条件-3CGL'!$A$2:$B$197,2,FALSE)*60,"")</f>
        <v>0</v>
      </c>
      <c r="E3028" s="66">
        <v>35.6</v>
      </c>
      <c r="F3028" s="64" t="str">
        <f t="shared" si="47"/>
        <v/>
      </c>
      <c r="G3028" s="60" t="s">
        <v>12</v>
      </c>
      <c r="H3028" s="60" t="s">
        <v>5061</v>
      </c>
    </row>
    <row r="3029" spans="1:8">
      <c r="A3029" s="59" t="s">
        <v>3817</v>
      </c>
      <c r="B3029" s="62">
        <v>2</v>
      </c>
      <c r="C3029" s="60" t="s">
        <v>5043</v>
      </c>
      <c r="D3029" s="64">
        <f>IFERROR(VLOOKUP(C3029,測定点マスタ!$E$2:$F$28,2,FALSE)/VLOOKUP(A3029,'焼鈍条件-3CGL'!$A$2:$B$197,2,FALSE)*60,"")</f>
        <v>10.424871426585739</v>
      </c>
      <c r="E3029" s="66">
        <v>170.6</v>
      </c>
      <c r="F3029" s="64">
        <f t="shared" si="47"/>
        <v>12.9498</v>
      </c>
      <c r="G3029" s="60" t="s">
        <v>12</v>
      </c>
      <c r="H3029" s="60" t="s">
        <v>5061</v>
      </c>
    </row>
    <row r="3030" spans="1:8">
      <c r="A3030" s="59" t="s">
        <v>3817</v>
      </c>
      <c r="B3030" s="62">
        <v>3</v>
      </c>
      <c r="C3030" s="60" t="s">
        <v>5067</v>
      </c>
      <c r="D3030" s="64">
        <f>IFERROR(VLOOKUP(C3030,測定点マスタ!$E$2:$F$28,2,FALSE)/VLOOKUP(A3030,'焼鈍条件-3CGL'!$A$2:$B$197,2,FALSE)*60,"")</f>
        <v>17.374785710976234</v>
      </c>
      <c r="E3030" s="66">
        <v>396.5</v>
      </c>
      <c r="F3030" s="64">
        <f t="shared" si="47"/>
        <v>32.503997999999989</v>
      </c>
      <c r="G3030" s="60" t="s">
        <v>12</v>
      </c>
      <c r="H3030" s="60" t="s">
        <v>5061</v>
      </c>
    </row>
    <row r="3031" spans="1:8">
      <c r="A3031" s="59" t="s">
        <v>3817</v>
      </c>
      <c r="B3031" s="62">
        <v>4</v>
      </c>
      <c r="C3031" s="60" t="s">
        <v>5044</v>
      </c>
      <c r="D3031" s="64">
        <f>IFERROR(VLOOKUP(C3031,測定点マスタ!$E$2:$F$28,2,FALSE)/VLOOKUP(A3031,'焼鈍条件-3CGL'!$A$2:$B$197,2,FALSE)*60,"")</f>
        <v>23.629708566927679</v>
      </c>
      <c r="E3031" s="66">
        <v>681.9</v>
      </c>
      <c r="F3031" s="64">
        <f t="shared" si="47"/>
        <v>45.628060740740722</v>
      </c>
      <c r="G3031" s="60" t="s">
        <v>12</v>
      </c>
      <c r="H3031" s="60" t="s">
        <v>5061</v>
      </c>
    </row>
    <row r="3032" spans="1:8">
      <c r="A3032" s="59" t="s">
        <v>3817</v>
      </c>
      <c r="B3032" s="62">
        <v>5</v>
      </c>
      <c r="C3032" s="60" t="s">
        <v>5045</v>
      </c>
      <c r="D3032" s="64">
        <f>IFERROR(VLOOKUP(C3032,測定点マスタ!$E$2:$F$28,2,FALSE)/VLOOKUP(A3032,'焼鈍条件-3CGL'!$A$2:$B$197,2,FALSE)*60,"")</f>
        <v>30.57962285131817</v>
      </c>
      <c r="E3032" s="66">
        <v>819.3</v>
      </c>
      <c r="F3032" s="64">
        <f t="shared" si="47"/>
        <v>19.770028</v>
      </c>
      <c r="G3032" s="60" t="s">
        <v>12</v>
      </c>
      <c r="H3032" s="60" t="s">
        <v>5061</v>
      </c>
    </row>
    <row r="3033" spans="1:8">
      <c r="A3033" s="59" t="s">
        <v>3817</v>
      </c>
      <c r="B3033" s="62">
        <v>6</v>
      </c>
      <c r="C3033" s="60" t="s">
        <v>5046</v>
      </c>
      <c r="D3033" s="64">
        <f>IFERROR(VLOOKUP(C3033,測定点マスタ!$E$2:$F$28,2,FALSE)/VLOOKUP(A3033,'焼鈍条件-3CGL'!$A$2:$B$197,2,FALSE)*60,"")</f>
        <v>37.529537135708665</v>
      </c>
      <c r="E3033" s="66">
        <v>780.9</v>
      </c>
      <c r="F3033" s="64">
        <f t="shared" si="47"/>
        <v>-5.5252479999999951</v>
      </c>
      <c r="G3033" s="60" t="s">
        <v>12</v>
      </c>
      <c r="H3033" s="60" t="s">
        <v>5061</v>
      </c>
    </row>
    <row r="3034" spans="1:8">
      <c r="A3034" s="59" t="s">
        <v>3817</v>
      </c>
      <c r="B3034" s="62">
        <v>7</v>
      </c>
      <c r="C3034" s="60" t="s">
        <v>5047</v>
      </c>
      <c r="D3034" s="64">
        <f>IFERROR(VLOOKUP(C3034,測定点マスタ!$E$2:$F$28,2,FALSE)/VLOOKUP(A3034,'焼鈍条件-3CGL'!$A$2:$B$197,2,FALSE)*60,"")</f>
        <v>41.699485706342955</v>
      </c>
      <c r="E3034" s="66">
        <v>765.7</v>
      </c>
      <c r="F3034" s="64">
        <f t="shared" si="47"/>
        <v>-3.6451288888888773</v>
      </c>
      <c r="G3034" s="60" t="s">
        <v>12</v>
      </c>
      <c r="H3034" s="60" t="s">
        <v>5061</v>
      </c>
    </row>
    <row r="3035" spans="1:8">
      <c r="A3035" s="59" t="s">
        <v>3817</v>
      </c>
      <c r="B3035" s="62">
        <v>8</v>
      </c>
      <c r="C3035" s="60" t="s">
        <v>5049</v>
      </c>
      <c r="D3035" s="64">
        <f>IFERROR(VLOOKUP(C3035,測定点マスタ!$E$2:$F$28,2,FALSE)/VLOOKUP(A3035,'焼鈍条件-3CGL'!$A$2:$B$197,2,FALSE)*60,"")</f>
        <v>50.734374276050602</v>
      </c>
      <c r="E3035" s="66">
        <v>614.1</v>
      </c>
      <c r="F3035" s="64">
        <f t="shared" si="47"/>
        <v>-16.779398974358966</v>
      </c>
      <c r="G3035" s="60" t="s">
        <v>12</v>
      </c>
      <c r="H3035" s="60" t="s">
        <v>5061</v>
      </c>
    </row>
    <row r="3036" spans="1:8">
      <c r="A3036" s="59" t="s">
        <v>3817</v>
      </c>
      <c r="B3036" s="62">
        <v>9</v>
      </c>
      <c r="C3036" s="60" t="s">
        <v>5050</v>
      </c>
      <c r="D3036" s="64">
        <f>IFERROR(VLOOKUP(C3036,測定点マスタ!$E$2:$F$28,2,FALSE)/VLOOKUP(A3036,'焼鈍条件-3CGL'!$A$2:$B$197,2,FALSE)*60,"")</f>
        <v>56.294305703562991</v>
      </c>
      <c r="E3036" s="66">
        <v>516.6</v>
      </c>
      <c r="F3036" s="64">
        <f t="shared" si="47"/>
        <v>-17.536187500000018</v>
      </c>
      <c r="G3036" s="60" t="s">
        <v>12</v>
      </c>
      <c r="H3036" s="60" t="s">
        <v>5061</v>
      </c>
    </row>
    <row r="3037" spans="1:8">
      <c r="A3037" s="59" t="s">
        <v>3817</v>
      </c>
      <c r="B3037" s="62">
        <v>10</v>
      </c>
      <c r="C3037" s="60" t="s">
        <v>5051</v>
      </c>
      <c r="D3037" s="64">
        <f>IFERROR(VLOOKUP(C3037,測定点マスタ!$E$2:$F$28,2,FALSE)/VLOOKUP(A3037,'焼鈍条件-3CGL'!$A$2:$B$197,2,FALSE)*60,"")</f>
        <v>61.159245702636341</v>
      </c>
      <c r="E3037" s="66">
        <v>460.3</v>
      </c>
      <c r="F3037" s="64">
        <f t="shared" si="47"/>
        <v>-11.572599047619038</v>
      </c>
      <c r="G3037" s="60" t="s">
        <v>12</v>
      </c>
      <c r="H3037" s="60" t="s">
        <v>5061</v>
      </c>
    </row>
    <row r="3038" spans="1:8">
      <c r="A3038" s="59" t="s">
        <v>3817</v>
      </c>
      <c r="B3038" s="62">
        <v>11</v>
      </c>
      <c r="C3038" s="60" t="s">
        <v>5052</v>
      </c>
      <c r="D3038" s="64">
        <f>IFERROR(VLOOKUP(C3038,測定点マスタ!$E$2:$F$28,2,FALSE)/VLOOKUP(A3038,'焼鈍条件-3CGL'!$A$2:$B$197,2,FALSE)*60,"")</f>
        <v>67.414168558587775</v>
      </c>
      <c r="E3038" s="66">
        <v>334.9</v>
      </c>
      <c r="F3038" s="64">
        <f t="shared" si="47"/>
        <v>-20.048208888888922</v>
      </c>
      <c r="G3038" s="60" t="s">
        <v>12</v>
      </c>
      <c r="H3038" s="60" t="s">
        <v>5061</v>
      </c>
    </row>
    <row r="3039" spans="1:8">
      <c r="A3039" s="59" t="s">
        <v>3817</v>
      </c>
      <c r="B3039" s="62">
        <v>12</v>
      </c>
      <c r="C3039" s="60" t="s">
        <v>5069</v>
      </c>
      <c r="D3039" s="64">
        <f>IFERROR(VLOOKUP(C3039,測定点マスタ!$E$2:$F$28,2,FALSE)/VLOOKUP(A3039,'焼鈍条件-3CGL'!$A$2:$B$197,2,FALSE)*60,"")</f>
        <v>72.279108557661132</v>
      </c>
      <c r="E3039" s="66">
        <v>512.9</v>
      </c>
      <c r="F3039" s="64">
        <f t="shared" si="47"/>
        <v>36.588323809523715</v>
      </c>
      <c r="G3039" s="60" t="s">
        <v>12</v>
      </c>
      <c r="H3039" s="60" t="s">
        <v>5061</v>
      </c>
    </row>
    <row r="3040" spans="1:8">
      <c r="A3040" s="59" t="s">
        <v>3817</v>
      </c>
      <c r="B3040" s="62">
        <v>13</v>
      </c>
      <c r="C3040" s="60" t="s">
        <v>5053</v>
      </c>
      <c r="D3040" s="64">
        <f>IFERROR(VLOOKUP(C3040,測定点マスタ!$E$2:$F$28,2,FALSE)/VLOOKUP(A3040,'焼鈍条件-3CGL'!$A$2:$B$197,2,FALSE)*60,"")</f>
        <v>75.754065699856383</v>
      </c>
      <c r="E3040" s="66">
        <v>521.4</v>
      </c>
      <c r="F3040" s="64">
        <f t="shared" si="47"/>
        <v>2.44607333333333</v>
      </c>
      <c r="G3040" s="60" t="s">
        <v>12</v>
      </c>
      <c r="H3040" s="60" t="s">
        <v>5061</v>
      </c>
    </row>
    <row r="3041" spans="1:8">
      <c r="A3041" s="59" t="s">
        <v>3817</v>
      </c>
      <c r="B3041" s="62">
        <v>14</v>
      </c>
      <c r="C3041" s="60" t="s">
        <v>5054</v>
      </c>
      <c r="D3041" s="64">
        <f>IFERROR(VLOOKUP(C3041,測定点マスタ!$E$2:$F$28,2,FALSE)/VLOOKUP(A3041,'焼鈍条件-3CGL'!$A$2:$B$197,2,FALSE)*60,"")</f>
        <v>84.788954269564016</v>
      </c>
      <c r="E3041" s="66">
        <v>506.6</v>
      </c>
      <c r="F3041" s="64">
        <f t="shared" si="47"/>
        <v>-1.6380943589743553</v>
      </c>
      <c r="G3041" s="60" t="s">
        <v>12</v>
      </c>
      <c r="H3041" s="60" t="s">
        <v>5061</v>
      </c>
    </row>
    <row r="3042" spans="1:8">
      <c r="A3042" s="59" t="s">
        <v>3817</v>
      </c>
      <c r="B3042" s="62">
        <v>15</v>
      </c>
      <c r="C3042" s="60" t="s">
        <v>5056</v>
      </c>
      <c r="D3042" s="64">
        <f>IFERROR(VLOOKUP(C3042,測定点マスタ!$E$2:$F$28,2,FALSE)/VLOOKUP(A3042,'焼鈍条件-3CGL'!$A$2:$B$197,2,FALSE)*60,"")</f>
        <v>92.433859982393557</v>
      </c>
      <c r="E3042" s="66">
        <v>257.89999999999998</v>
      </c>
      <c r="F3042" s="64">
        <f t="shared" si="47"/>
        <v>-32.531467272727284</v>
      </c>
      <c r="G3042" s="60" t="s">
        <v>12</v>
      </c>
      <c r="H3042" s="60" t="s">
        <v>5061</v>
      </c>
    </row>
    <row r="3043" spans="1:8">
      <c r="A3043" s="59" t="s">
        <v>3817</v>
      </c>
      <c r="B3043" s="62">
        <v>16</v>
      </c>
      <c r="C3043" s="60" t="s">
        <v>5062</v>
      </c>
      <c r="D3043" s="64">
        <f>IFERROR(VLOOKUP(C3043,測定点マスタ!$E$2:$F$28,2,FALSE)/VLOOKUP(A3043,'焼鈍条件-3CGL'!$A$2:$B$197,2,FALSE)*60,"")</f>
        <v>100.77375712366215</v>
      </c>
      <c r="E3043" s="66">
        <v>465.8</v>
      </c>
      <c r="F3043" s="64">
        <f t="shared" si="47"/>
        <v>24.928364999999996</v>
      </c>
      <c r="G3043" s="60" t="s">
        <v>12</v>
      </c>
      <c r="H3043" s="60" t="s">
        <v>5061</v>
      </c>
    </row>
    <row r="3044" spans="1:8">
      <c r="A3044" s="59" t="s">
        <v>3817</v>
      </c>
      <c r="B3044" s="62">
        <v>17</v>
      </c>
      <c r="C3044" s="60" t="s">
        <v>5057</v>
      </c>
      <c r="D3044" s="64">
        <f>IFERROR(VLOOKUP(C3044,測定点マスタ!$E$2:$F$28,2,FALSE)/VLOOKUP(A3044,'焼鈍条件-3CGL'!$A$2:$B$197,2,FALSE)*60,"")</f>
        <v>114.59912232511029</v>
      </c>
      <c r="E3044" s="66">
        <v>283</v>
      </c>
      <c r="F3044" s="64">
        <f t="shared" si="47"/>
        <v>-13.222073871933064</v>
      </c>
      <c r="G3044" s="60" t="s">
        <v>12</v>
      </c>
      <c r="H3044" s="60" t="s">
        <v>5061</v>
      </c>
    </row>
    <row r="3045" spans="1:8">
      <c r="A3045" s="59" t="s">
        <v>3817</v>
      </c>
      <c r="B3045" s="62">
        <v>18</v>
      </c>
      <c r="C3045" s="60" t="s">
        <v>5059</v>
      </c>
      <c r="D3045" s="64">
        <f>IFERROR(VLOOKUP(C3045,測定点マスタ!$E$2:$F$28,2,FALSE)/VLOOKUP(A3045,'焼鈍条件-3CGL'!$A$2:$B$197,2,FALSE)*60,"")</f>
        <v>122.9886617112677</v>
      </c>
      <c r="E3045" s="66">
        <v>70.400000000000006</v>
      </c>
      <c r="F3045" s="64">
        <f t="shared" si="47"/>
        <v>-25.34108134122193</v>
      </c>
      <c r="G3045" s="60" t="s">
        <v>12</v>
      </c>
      <c r="H3045" s="60" t="s">
        <v>5061</v>
      </c>
    </row>
    <row r="3046" spans="1:8">
      <c r="A3046" s="59" t="s">
        <v>3819</v>
      </c>
      <c r="B3046" s="62">
        <v>1</v>
      </c>
      <c r="C3046" s="60" t="s">
        <v>5041</v>
      </c>
      <c r="D3046" s="64">
        <f>IFERROR(VLOOKUP(C3046,測定点マスタ!$E$2:$F$28,2,FALSE)/VLOOKUP(A3046,'焼鈍条件-3CGL'!$A$2:$B$197,2,FALSE)*60,"")</f>
        <v>0</v>
      </c>
      <c r="E3046" s="66">
        <v>26.4</v>
      </c>
      <c r="F3046" s="64" t="str">
        <f t="shared" si="47"/>
        <v/>
      </c>
      <c r="G3046" s="60" t="s">
        <v>9</v>
      </c>
      <c r="H3046" s="60" t="s">
        <v>5061</v>
      </c>
    </row>
    <row r="3047" spans="1:8">
      <c r="A3047" s="59" t="s">
        <v>3819</v>
      </c>
      <c r="B3047" s="62">
        <v>2</v>
      </c>
      <c r="C3047" s="60" t="s">
        <v>5043</v>
      </c>
      <c r="D3047" s="64">
        <f>IFERROR(VLOOKUP(C3047,測定点マスタ!$E$2:$F$28,2,FALSE)/VLOOKUP(A3047,'焼鈍条件-3CGL'!$A$2:$B$197,2,FALSE)*60,"")</f>
        <v>10.568093750733894</v>
      </c>
      <c r="E3047" s="66">
        <v>195.3</v>
      </c>
      <c r="F3047" s="64">
        <f t="shared" si="47"/>
        <v>15.98206866666667</v>
      </c>
      <c r="G3047" s="60" t="s">
        <v>9</v>
      </c>
      <c r="H3047" s="60" t="s">
        <v>5061</v>
      </c>
    </row>
    <row r="3048" spans="1:8">
      <c r="A3048" s="59" t="s">
        <v>3819</v>
      </c>
      <c r="B3048" s="62">
        <v>3</v>
      </c>
      <c r="C3048" s="60" t="s">
        <v>5044</v>
      </c>
      <c r="D3048" s="64">
        <f>IFERROR(VLOOKUP(C3048,測定点マスタ!$E$2:$F$28,2,FALSE)/VLOOKUP(A3048,'焼鈍条件-3CGL'!$A$2:$B$197,2,FALSE)*60,"")</f>
        <v>23.954345834996825</v>
      </c>
      <c r="E3048" s="66">
        <v>677.9</v>
      </c>
      <c r="F3048" s="64">
        <f t="shared" si="47"/>
        <v>36.051913333333339</v>
      </c>
      <c r="G3048" s="60" t="s">
        <v>9</v>
      </c>
      <c r="H3048" s="60" t="s">
        <v>5061</v>
      </c>
    </row>
    <row r="3049" spans="1:8">
      <c r="A3049" s="59" t="s">
        <v>3819</v>
      </c>
      <c r="B3049" s="62">
        <v>4</v>
      </c>
      <c r="C3049" s="60" t="s">
        <v>5045</v>
      </c>
      <c r="D3049" s="64">
        <f>IFERROR(VLOOKUP(C3049,測定点マスタ!$E$2:$F$28,2,FALSE)/VLOOKUP(A3049,'焼鈍条件-3CGL'!$A$2:$B$197,2,FALSE)*60,"")</f>
        <v>30.999741668819421</v>
      </c>
      <c r="E3049" s="66">
        <v>827.5</v>
      </c>
      <c r="F3049" s="64">
        <f t="shared" si="47"/>
        <v>21.233725333333339</v>
      </c>
      <c r="G3049" s="60" t="s">
        <v>9</v>
      </c>
      <c r="H3049" s="60" t="s">
        <v>5061</v>
      </c>
    </row>
    <row r="3050" spans="1:8">
      <c r="A3050" s="59" t="s">
        <v>3819</v>
      </c>
      <c r="B3050" s="62">
        <v>5</v>
      </c>
      <c r="C3050" s="60" t="s">
        <v>5047</v>
      </c>
      <c r="D3050" s="64">
        <f>IFERROR(VLOOKUP(C3050,測定点マスタ!$E$2:$F$28,2,FALSE)/VLOOKUP(A3050,'焼鈍条件-3CGL'!$A$2:$B$197,2,FALSE)*60,"")</f>
        <v>42.272375002935576</v>
      </c>
      <c r="E3050" s="66">
        <v>738.5</v>
      </c>
      <c r="F3050" s="64">
        <f t="shared" si="47"/>
        <v>-7.8952270833333342</v>
      </c>
      <c r="G3050" s="60" t="s">
        <v>9</v>
      </c>
      <c r="H3050" s="60" t="s">
        <v>5061</v>
      </c>
    </row>
    <row r="3051" spans="1:8">
      <c r="A3051" s="59" t="s">
        <v>3819</v>
      </c>
      <c r="B3051" s="62">
        <v>6</v>
      </c>
      <c r="C3051" s="60" t="s">
        <v>5049</v>
      </c>
      <c r="D3051" s="64">
        <f>IFERROR(VLOOKUP(C3051,測定点マスタ!$E$2:$F$28,2,FALSE)/VLOOKUP(A3051,'焼鈍条件-3CGL'!$A$2:$B$197,2,FALSE)*60,"")</f>
        <v>51.431389586904956</v>
      </c>
      <c r="E3051" s="66">
        <v>589.20000000000005</v>
      </c>
      <c r="F3051" s="64">
        <f t="shared" si="47"/>
        <v>-16.300880256410245</v>
      </c>
      <c r="G3051" s="60" t="s">
        <v>9</v>
      </c>
      <c r="H3051" s="60" t="s">
        <v>5061</v>
      </c>
    </row>
    <row r="3052" spans="1:8">
      <c r="A3052" s="59" t="s">
        <v>3819</v>
      </c>
      <c r="B3052" s="62">
        <v>7</v>
      </c>
      <c r="C3052" s="60" t="s">
        <v>5050</v>
      </c>
      <c r="D3052" s="64">
        <f>IFERROR(VLOOKUP(C3052,測定点マスタ!$E$2:$F$28,2,FALSE)/VLOOKUP(A3052,'焼鈍条件-3CGL'!$A$2:$B$197,2,FALSE)*60,"")</f>
        <v>57.067706253963031</v>
      </c>
      <c r="E3052" s="66">
        <v>520.6</v>
      </c>
      <c r="F3052" s="64">
        <f t="shared" si="47"/>
        <v>-12.171069166666676</v>
      </c>
      <c r="G3052" s="60" t="s">
        <v>9</v>
      </c>
      <c r="H3052" s="60" t="s">
        <v>5061</v>
      </c>
    </row>
    <row r="3053" spans="1:8">
      <c r="A3053" s="59" t="s">
        <v>3819</v>
      </c>
      <c r="B3053" s="62">
        <v>8</v>
      </c>
      <c r="C3053" s="60" t="s">
        <v>5051</v>
      </c>
      <c r="D3053" s="64">
        <f>IFERROR(VLOOKUP(C3053,測定点マスタ!$E$2:$F$28,2,FALSE)/VLOOKUP(A3053,'焼鈍条件-3CGL'!$A$2:$B$197,2,FALSE)*60,"")</f>
        <v>61.999483337638843</v>
      </c>
      <c r="E3053" s="66">
        <v>474.7</v>
      </c>
      <c r="F3053" s="64">
        <f t="shared" si="47"/>
        <v>-9.3069900000000185</v>
      </c>
      <c r="G3053" s="60" t="s">
        <v>9</v>
      </c>
      <c r="H3053" s="60" t="s">
        <v>5061</v>
      </c>
    </row>
    <row r="3054" spans="1:8">
      <c r="A3054" s="59" t="s">
        <v>3819</v>
      </c>
      <c r="B3054" s="62">
        <v>9</v>
      </c>
      <c r="C3054" s="60" t="s">
        <v>5052</v>
      </c>
      <c r="D3054" s="64">
        <f>IFERROR(VLOOKUP(C3054,測定点マスタ!$E$2:$F$28,2,FALSE)/VLOOKUP(A3054,'焼鈍条件-3CGL'!$A$2:$B$197,2,FALSE)*60,"")</f>
        <v>68.340339588079189</v>
      </c>
      <c r="E3054" s="66">
        <v>350.5</v>
      </c>
      <c r="F3054" s="64">
        <f t="shared" si="47"/>
        <v>-19.587259999999969</v>
      </c>
      <c r="G3054" s="60" t="s">
        <v>9</v>
      </c>
      <c r="H3054" s="60" t="s">
        <v>5061</v>
      </c>
    </row>
    <row r="3055" spans="1:8">
      <c r="A3055" s="59" t="s">
        <v>3819</v>
      </c>
      <c r="B3055" s="62">
        <v>10</v>
      </c>
      <c r="C3055" s="60" t="s">
        <v>5053</v>
      </c>
      <c r="D3055" s="64">
        <f>IFERROR(VLOOKUP(C3055,測定点マスタ!$E$2:$F$28,2,FALSE)/VLOOKUP(A3055,'焼鈍条件-3CGL'!$A$2:$B$197,2,FALSE)*60,"")</f>
        <v>76.794814588666299</v>
      </c>
      <c r="E3055" s="66">
        <v>554.9</v>
      </c>
      <c r="F3055" s="64">
        <f t="shared" si="47"/>
        <v>24.176545555555574</v>
      </c>
      <c r="G3055" s="60" t="s">
        <v>9</v>
      </c>
      <c r="H3055" s="60" t="s">
        <v>5061</v>
      </c>
    </row>
    <row r="3056" spans="1:8">
      <c r="A3056" s="59" t="s">
        <v>3819</v>
      </c>
      <c r="B3056" s="62">
        <v>11</v>
      </c>
      <c r="C3056" s="60" t="s">
        <v>5063</v>
      </c>
      <c r="D3056" s="64">
        <f>IFERROR(VLOOKUP(C3056,測定点マスタ!$E$2:$F$28,2,FALSE)/VLOOKUP(A3056,'焼鈍条件-3CGL'!$A$2:$B$197,2,FALSE)*60,"")</f>
        <v>81.022052088959853</v>
      </c>
      <c r="E3056" s="66">
        <v>554.70000000000005</v>
      </c>
      <c r="F3056" s="64">
        <f t="shared" si="47"/>
        <v>-4.7312222222206123E-2</v>
      </c>
      <c r="G3056" s="60" t="s">
        <v>9</v>
      </c>
      <c r="H3056" s="60" t="s">
        <v>5061</v>
      </c>
    </row>
    <row r="3057" spans="1:8">
      <c r="A3057" s="59" t="s">
        <v>3819</v>
      </c>
      <c r="B3057" s="62">
        <v>12</v>
      </c>
      <c r="C3057" s="60" t="s">
        <v>5054</v>
      </c>
      <c r="D3057" s="64">
        <f>IFERROR(VLOOKUP(C3057,測定点マスタ!$E$2:$F$28,2,FALSE)/VLOOKUP(A3057,'焼鈍条件-3CGL'!$A$2:$B$197,2,FALSE)*60,"")</f>
        <v>85.953829172635665</v>
      </c>
      <c r="E3057" s="66">
        <v>530.29999999999995</v>
      </c>
      <c r="F3057" s="64">
        <f t="shared" si="47"/>
        <v>-4.9475066666666914</v>
      </c>
      <c r="G3057" s="60" t="s">
        <v>9</v>
      </c>
      <c r="H3057" s="60" t="s">
        <v>5061</v>
      </c>
    </row>
    <row r="3058" spans="1:8">
      <c r="A3058" s="59" t="s">
        <v>3819</v>
      </c>
      <c r="B3058" s="62">
        <v>13</v>
      </c>
      <c r="C3058" s="60" t="s">
        <v>5055</v>
      </c>
      <c r="D3058" s="64">
        <f>IFERROR(VLOOKUP(C3058,測定点マスタ!$E$2:$F$28,2,FALSE)/VLOOKUP(A3058,'焼鈍条件-3CGL'!$A$2:$B$197,2,FALSE)*60,"")</f>
        <v>89.476527089546977</v>
      </c>
      <c r="E3058" s="66">
        <v>561</v>
      </c>
      <c r="F3058" s="64">
        <f t="shared" si="47"/>
        <v>8.7149113333333119</v>
      </c>
      <c r="G3058" s="60" t="s">
        <v>9</v>
      </c>
      <c r="H3058" s="60" t="s">
        <v>5061</v>
      </c>
    </row>
    <row r="3059" spans="1:8">
      <c r="A3059" s="59" t="s">
        <v>3819</v>
      </c>
      <c r="B3059" s="62">
        <v>14</v>
      </c>
      <c r="C3059" s="60" t="s">
        <v>5056</v>
      </c>
      <c r="D3059" s="64">
        <f>IFERROR(VLOOKUP(C3059,測定点マスタ!$E$2:$F$28,2,FALSE)/VLOOKUP(A3059,'焼鈍条件-3CGL'!$A$2:$B$197,2,FALSE)*60,"")</f>
        <v>93.703764589840532</v>
      </c>
      <c r="E3059" s="66">
        <v>258.7</v>
      </c>
      <c r="F3059" s="64">
        <f t="shared" si="47"/>
        <v>-71.512423888888947</v>
      </c>
      <c r="G3059" s="60" t="s">
        <v>9</v>
      </c>
      <c r="H3059" s="60" t="s">
        <v>5061</v>
      </c>
    </row>
    <row r="3060" spans="1:8">
      <c r="A3060" s="59" t="s">
        <v>3819</v>
      </c>
      <c r="B3060" s="62">
        <v>15</v>
      </c>
      <c r="C3060" s="60" t="s">
        <v>5062</v>
      </c>
      <c r="D3060" s="64">
        <f>IFERROR(VLOOKUP(C3060,測定点マスタ!$E$2:$F$28,2,FALSE)/VLOOKUP(A3060,'焼鈍条件-3CGL'!$A$2:$B$197,2,FALSE)*60,"")</f>
        <v>102.15823959042766</v>
      </c>
      <c r="E3060" s="66">
        <v>455.4</v>
      </c>
      <c r="F3060" s="64">
        <f t="shared" si="47"/>
        <v>23.265785277777756</v>
      </c>
      <c r="G3060" s="60" t="s">
        <v>9</v>
      </c>
      <c r="H3060" s="60" t="s">
        <v>5061</v>
      </c>
    </row>
    <row r="3061" spans="1:8">
      <c r="A3061" s="59" t="s">
        <v>3819</v>
      </c>
      <c r="B3061" s="62">
        <v>16</v>
      </c>
      <c r="C3061" s="60" t="s">
        <v>5057</v>
      </c>
      <c r="D3061" s="64">
        <f>IFERROR(VLOOKUP(C3061,測定点マスタ!$E$2:$F$28,2,FALSE)/VLOOKUP(A3061,'焼鈍条件-3CGL'!$A$2:$B$197,2,FALSE)*60,"")</f>
        <v>116.17354487413893</v>
      </c>
      <c r="E3061" s="66">
        <v>208</v>
      </c>
      <c r="F3061" s="64">
        <f t="shared" si="47"/>
        <v>-17.652130652304145</v>
      </c>
      <c r="G3061" s="60" t="s">
        <v>9</v>
      </c>
      <c r="H3061" s="60" t="s">
        <v>5061</v>
      </c>
    </row>
    <row r="3062" spans="1:8">
      <c r="A3062" s="59" t="s">
        <v>3819</v>
      </c>
      <c r="B3062" s="62">
        <v>17</v>
      </c>
      <c r="C3062" s="60" t="s">
        <v>5059</v>
      </c>
      <c r="D3062" s="64">
        <f>IFERROR(VLOOKUP(C3062,測定点マスタ!$E$2:$F$28,2,FALSE)/VLOOKUP(A3062,'焼鈍条件-3CGL'!$A$2:$B$197,2,FALSE)*60,"")</f>
        <v>124.67834413068222</v>
      </c>
      <c r="E3062" s="66">
        <v>73.5</v>
      </c>
      <c r="F3062" s="64">
        <f t="shared" si="47"/>
        <v>-15.814600197238098</v>
      </c>
      <c r="G3062" s="60" t="s">
        <v>9</v>
      </c>
      <c r="H3062" s="60" t="s">
        <v>5061</v>
      </c>
    </row>
    <row r="3063" spans="1:8">
      <c r="A3063" s="59" t="s">
        <v>3824</v>
      </c>
      <c r="B3063" s="62">
        <v>1</v>
      </c>
      <c r="C3063" s="60" t="s">
        <v>5041</v>
      </c>
      <c r="D3063" s="64">
        <f>IFERROR(VLOOKUP(C3063,測定点マスタ!$E$2:$F$28,2,FALSE)/VLOOKUP(A3063,'焼鈍条件-3CGL'!$A$2:$B$197,2,FALSE)*60,"")</f>
        <v>0</v>
      </c>
      <c r="E3063" s="66">
        <v>34.5</v>
      </c>
      <c r="F3063" s="64" t="str">
        <f t="shared" si="47"/>
        <v/>
      </c>
      <c r="G3063" s="60" t="s">
        <v>12</v>
      </c>
      <c r="H3063" s="60" t="s">
        <v>5061</v>
      </c>
    </row>
    <row r="3064" spans="1:8">
      <c r="A3064" s="59" t="s">
        <v>3824</v>
      </c>
      <c r="B3064" s="62">
        <v>2</v>
      </c>
      <c r="C3064" s="60" t="s">
        <v>5043</v>
      </c>
      <c r="D3064" s="64">
        <f>IFERROR(VLOOKUP(C3064,測定点マスタ!$E$2:$F$28,2,FALSE)/VLOOKUP(A3064,'焼鈍条件-3CGL'!$A$2:$B$197,2,FALSE)*60,"")</f>
        <v>7.134703196347032</v>
      </c>
      <c r="E3064" s="66">
        <v>161.69999999999999</v>
      </c>
      <c r="F3064" s="64">
        <f t="shared" si="47"/>
        <v>17.828351999999999</v>
      </c>
      <c r="G3064" s="60" t="s">
        <v>12</v>
      </c>
      <c r="H3064" s="60" t="s">
        <v>5061</v>
      </c>
    </row>
    <row r="3065" spans="1:8">
      <c r="A3065" s="59" t="s">
        <v>3824</v>
      </c>
      <c r="B3065" s="62">
        <v>3</v>
      </c>
      <c r="C3065" s="60" t="s">
        <v>5044</v>
      </c>
      <c r="D3065" s="64">
        <f>IFERROR(VLOOKUP(C3065,測定点マスタ!$E$2:$F$28,2,FALSE)/VLOOKUP(A3065,'焼鈍条件-3CGL'!$A$2:$B$197,2,FALSE)*60,"")</f>
        <v>16.171993911719937</v>
      </c>
      <c r="E3065" s="66">
        <v>621.79999999999995</v>
      </c>
      <c r="F3065" s="64">
        <f t="shared" si="47"/>
        <v>50.911275789473699</v>
      </c>
      <c r="G3065" s="60" t="s">
        <v>12</v>
      </c>
      <c r="H3065" s="60" t="s">
        <v>5061</v>
      </c>
    </row>
    <row r="3066" spans="1:8">
      <c r="A3066" s="59" t="s">
        <v>3824</v>
      </c>
      <c r="B3066" s="62">
        <v>4</v>
      </c>
      <c r="C3066" s="60" t="s">
        <v>5045</v>
      </c>
      <c r="D3066" s="64">
        <f>IFERROR(VLOOKUP(C3066,測定点マスタ!$E$2:$F$28,2,FALSE)/VLOOKUP(A3066,'焼鈍条件-3CGL'!$A$2:$B$197,2,FALSE)*60,"")</f>
        <v>20.928462709284627</v>
      </c>
      <c r="E3066" s="66">
        <v>763.6</v>
      </c>
      <c r="F3066" s="64">
        <f t="shared" si="47"/>
        <v>29.812032000000002</v>
      </c>
      <c r="G3066" s="60" t="s">
        <v>12</v>
      </c>
      <c r="H3066" s="60" t="s">
        <v>5061</v>
      </c>
    </row>
    <row r="3067" spans="1:8">
      <c r="A3067" s="59" t="s">
        <v>3824</v>
      </c>
      <c r="B3067" s="62">
        <v>5</v>
      </c>
      <c r="C3067" s="60" t="s">
        <v>5046</v>
      </c>
      <c r="D3067" s="64">
        <f>IFERROR(VLOOKUP(C3067,測定点マスタ!$E$2:$F$28,2,FALSE)/VLOOKUP(A3067,'焼鈍条件-3CGL'!$A$2:$B$197,2,FALSE)*60,"")</f>
        <v>25.684931506849313</v>
      </c>
      <c r="E3067" s="66">
        <v>718.2</v>
      </c>
      <c r="F3067" s="64">
        <f t="shared" si="47"/>
        <v>-9.5448959999999996</v>
      </c>
      <c r="G3067" s="60" t="s">
        <v>12</v>
      </c>
      <c r="H3067" s="60" t="s">
        <v>5061</v>
      </c>
    </row>
    <row r="3068" spans="1:8">
      <c r="A3068" s="59" t="s">
        <v>3824</v>
      </c>
      <c r="B3068" s="62">
        <v>6</v>
      </c>
      <c r="C3068" s="60" t="s">
        <v>5047</v>
      </c>
      <c r="D3068" s="64">
        <f>IFERROR(VLOOKUP(C3068,測定点マスタ!$E$2:$F$28,2,FALSE)/VLOOKUP(A3068,'焼鈍条件-3CGL'!$A$2:$B$197,2,FALSE)*60,"")</f>
        <v>28.538812785388128</v>
      </c>
      <c r="E3068" s="66">
        <v>672</v>
      </c>
      <c r="F3068" s="64">
        <f t="shared" si="47"/>
        <v>-16.188480000000006</v>
      </c>
      <c r="G3068" s="60" t="s">
        <v>12</v>
      </c>
      <c r="H3068" s="60" t="s">
        <v>5061</v>
      </c>
    </row>
    <row r="3069" spans="1:8">
      <c r="A3069" s="59" t="s">
        <v>3824</v>
      </c>
      <c r="B3069" s="62">
        <v>7</v>
      </c>
      <c r="C3069" s="60" t="s">
        <v>5049</v>
      </c>
      <c r="D3069" s="64">
        <f>IFERROR(VLOOKUP(C3069,測定点マスタ!$E$2:$F$28,2,FALSE)/VLOOKUP(A3069,'焼鈍条件-3CGL'!$A$2:$B$197,2,FALSE)*60,"")</f>
        <v>34.722222222222221</v>
      </c>
      <c r="E3069" s="66">
        <v>563.1</v>
      </c>
      <c r="F3069" s="64">
        <f t="shared" si="47"/>
        <v>-17.611643076923077</v>
      </c>
      <c r="G3069" s="60" t="s">
        <v>12</v>
      </c>
      <c r="H3069" s="60" t="s">
        <v>5061</v>
      </c>
    </row>
    <row r="3070" spans="1:8">
      <c r="A3070" s="59" t="s">
        <v>3824</v>
      </c>
      <c r="B3070" s="62">
        <v>8</v>
      </c>
      <c r="C3070" s="60" t="s">
        <v>5050</v>
      </c>
      <c r="D3070" s="64">
        <f>IFERROR(VLOOKUP(C3070,測定点マスタ!$E$2:$F$28,2,FALSE)/VLOOKUP(A3070,'焼鈍条件-3CGL'!$A$2:$B$197,2,FALSE)*60,"")</f>
        <v>38.527397260273972</v>
      </c>
      <c r="E3070" s="66">
        <v>476.4</v>
      </c>
      <c r="F3070" s="64">
        <f t="shared" si="47"/>
        <v>-22.784760000000013</v>
      </c>
      <c r="G3070" s="60" t="s">
        <v>12</v>
      </c>
      <c r="H3070" s="60" t="s">
        <v>5061</v>
      </c>
    </row>
    <row r="3071" spans="1:8">
      <c r="A3071" s="59" t="s">
        <v>3824</v>
      </c>
      <c r="B3071" s="62">
        <v>9</v>
      </c>
      <c r="C3071" s="60" t="s">
        <v>5051</v>
      </c>
      <c r="D3071" s="64">
        <f>IFERROR(VLOOKUP(C3071,測定点マスタ!$E$2:$F$28,2,FALSE)/VLOOKUP(A3071,'焼鈍条件-3CGL'!$A$2:$B$197,2,FALSE)*60,"")</f>
        <v>41.856925418569254</v>
      </c>
      <c r="E3071" s="66">
        <v>431.7</v>
      </c>
      <c r="F3071" s="64">
        <f t="shared" si="47"/>
        <v>-13.425325714285707</v>
      </c>
      <c r="G3071" s="60" t="s">
        <v>12</v>
      </c>
      <c r="H3071" s="60" t="s">
        <v>5061</v>
      </c>
    </row>
    <row r="3072" spans="1:8">
      <c r="A3072" s="59" t="s">
        <v>3824</v>
      </c>
      <c r="B3072" s="62">
        <v>10</v>
      </c>
      <c r="C3072" s="60" t="s">
        <v>5060</v>
      </c>
      <c r="D3072" s="64">
        <f>IFERROR(VLOOKUP(C3072,測定点マスタ!$E$2:$F$28,2,FALSE)/VLOOKUP(A3072,'焼鈍条件-3CGL'!$A$2:$B$197,2,FALSE)*60,"")</f>
        <v>43.759512937595126</v>
      </c>
      <c r="E3072" s="66">
        <v>365.7</v>
      </c>
      <c r="F3072" s="64">
        <f t="shared" si="47"/>
        <v>-34.689600000000063</v>
      </c>
      <c r="G3072" s="60" t="s">
        <v>12</v>
      </c>
      <c r="H3072" s="60" t="s">
        <v>5061</v>
      </c>
    </row>
    <row r="3073" spans="1:8">
      <c r="A3073" s="59" t="s">
        <v>3824</v>
      </c>
      <c r="B3073" s="62">
        <v>11</v>
      </c>
      <c r="C3073" s="60" t="s">
        <v>5052</v>
      </c>
      <c r="D3073" s="64">
        <f>IFERROR(VLOOKUP(C3073,測定点マスタ!$E$2:$F$28,2,FALSE)/VLOOKUP(A3073,'焼鈍条件-3CGL'!$A$2:$B$197,2,FALSE)*60,"")</f>
        <v>46.137747336377473</v>
      </c>
      <c r="E3073" s="66">
        <v>316.7</v>
      </c>
      <c r="F3073" s="64">
        <f t="shared" si="47"/>
        <v>-20.603519999999978</v>
      </c>
      <c r="G3073" s="60" t="s">
        <v>12</v>
      </c>
      <c r="H3073" s="60" t="s">
        <v>5061</v>
      </c>
    </row>
    <row r="3074" spans="1:8">
      <c r="A3074" s="59" t="s">
        <v>3824</v>
      </c>
      <c r="B3074" s="62">
        <v>12</v>
      </c>
      <c r="C3074" s="60" t="s">
        <v>5069</v>
      </c>
      <c r="D3074" s="64">
        <f>IFERROR(VLOOKUP(C3074,測定点マスタ!$E$2:$F$28,2,FALSE)/VLOOKUP(A3074,'焼鈍条件-3CGL'!$A$2:$B$197,2,FALSE)*60,"")</f>
        <v>49.467275494672755</v>
      </c>
      <c r="E3074" s="66">
        <v>491.4</v>
      </c>
      <c r="F3074" s="64">
        <f t="shared" ref="F3074:F3137" si="48">IF(A3074=A3073,IFERROR((E3074-E3073)/(D3074-D3073),""),"")</f>
        <v>52.469897142857128</v>
      </c>
      <c r="G3074" s="60" t="s">
        <v>12</v>
      </c>
      <c r="H3074" s="60" t="s">
        <v>5061</v>
      </c>
    </row>
    <row r="3075" spans="1:8">
      <c r="A3075" s="59" t="s">
        <v>3824</v>
      </c>
      <c r="B3075" s="62">
        <v>13</v>
      </c>
      <c r="C3075" s="60" t="s">
        <v>5053</v>
      </c>
      <c r="D3075" s="64">
        <f>IFERROR(VLOOKUP(C3075,測定点マスタ!$E$2:$F$28,2,FALSE)/VLOOKUP(A3075,'焼鈍条件-3CGL'!$A$2:$B$197,2,FALSE)*60,"")</f>
        <v>51.845509893455095</v>
      </c>
      <c r="E3075" s="66">
        <v>513.6</v>
      </c>
      <c r="F3075" s="64">
        <f t="shared" si="48"/>
        <v>9.3346560000000363</v>
      </c>
      <c r="G3075" s="60" t="s">
        <v>12</v>
      </c>
      <c r="H3075" s="60" t="s">
        <v>5061</v>
      </c>
    </row>
    <row r="3076" spans="1:8">
      <c r="A3076" s="59" t="s">
        <v>3824</v>
      </c>
      <c r="B3076" s="62">
        <v>14</v>
      </c>
      <c r="C3076" s="60" t="s">
        <v>5063</v>
      </c>
      <c r="D3076" s="64">
        <f>IFERROR(VLOOKUP(C3076,測定点マスタ!$E$2:$F$28,2,FALSE)/VLOOKUP(A3076,'焼鈍条件-3CGL'!$A$2:$B$197,2,FALSE)*60,"")</f>
        <v>54.699391171993909</v>
      </c>
      <c r="E3076" s="66">
        <v>510.1</v>
      </c>
      <c r="F3076" s="64">
        <f t="shared" si="48"/>
        <v>-1.2263999999999993</v>
      </c>
      <c r="G3076" s="60" t="s">
        <v>12</v>
      </c>
      <c r="H3076" s="60" t="s">
        <v>5061</v>
      </c>
    </row>
    <row r="3077" spans="1:8">
      <c r="A3077" s="59" t="s">
        <v>3824</v>
      </c>
      <c r="B3077" s="62">
        <v>15</v>
      </c>
      <c r="C3077" s="60" t="s">
        <v>5054</v>
      </c>
      <c r="D3077" s="64">
        <f>IFERROR(VLOOKUP(C3077,測定点マスタ!$E$2:$F$28,2,FALSE)/VLOOKUP(A3077,'焼鈍条件-3CGL'!$A$2:$B$197,2,FALSE)*60,"")</f>
        <v>58.028919330289192</v>
      </c>
      <c r="E3077" s="66">
        <v>492.6</v>
      </c>
      <c r="F3077" s="64">
        <f t="shared" si="48"/>
        <v>-5.2559999999999985</v>
      </c>
      <c r="G3077" s="60" t="s">
        <v>12</v>
      </c>
      <c r="H3077" s="60" t="s">
        <v>5061</v>
      </c>
    </row>
    <row r="3078" spans="1:8">
      <c r="A3078" s="59" t="s">
        <v>3824</v>
      </c>
      <c r="B3078" s="62">
        <v>16</v>
      </c>
      <c r="C3078" s="60" t="s">
        <v>5056</v>
      </c>
      <c r="D3078" s="64">
        <f>IFERROR(VLOOKUP(C3078,測定点マスタ!$E$2:$F$28,2,FALSE)/VLOOKUP(A3078,'焼鈍条件-3CGL'!$A$2:$B$197,2,FALSE)*60,"")</f>
        <v>63.261035007610353</v>
      </c>
      <c r="E3078" s="66">
        <v>261.2</v>
      </c>
      <c r="F3078" s="64">
        <f t="shared" si="48"/>
        <v>-44.226850909090878</v>
      </c>
      <c r="G3078" s="60" t="s">
        <v>12</v>
      </c>
      <c r="H3078" s="60" t="s">
        <v>5061</v>
      </c>
    </row>
    <row r="3079" spans="1:8">
      <c r="A3079" s="59" t="s">
        <v>3824</v>
      </c>
      <c r="B3079" s="62">
        <v>17</v>
      </c>
      <c r="C3079" s="60" t="s">
        <v>5062</v>
      </c>
      <c r="D3079" s="64">
        <f>IFERROR(VLOOKUP(C3079,測定点マスタ!$E$2:$F$28,2,FALSE)/VLOOKUP(A3079,'焼鈍条件-3CGL'!$A$2:$B$197,2,FALSE)*60,"")</f>
        <v>68.968797564687975</v>
      </c>
      <c r="E3079" s="66">
        <v>465.8</v>
      </c>
      <c r="F3079" s="64">
        <f t="shared" si="48"/>
        <v>35.845920000000028</v>
      </c>
      <c r="G3079" s="60" t="s">
        <v>12</v>
      </c>
      <c r="H3079" s="60" t="s">
        <v>5061</v>
      </c>
    </row>
    <row r="3080" spans="1:8">
      <c r="A3080" s="59" t="s">
        <v>3824</v>
      </c>
      <c r="B3080" s="62">
        <v>18</v>
      </c>
      <c r="C3080" s="60" t="s">
        <v>5068</v>
      </c>
      <c r="D3080" s="64">
        <f>IFERROR(VLOOKUP(C3080,測定点マスタ!$E$2:$F$28,2,FALSE)/VLOOKUP(A3080,'焼鈍条件-3CGL'!$A$2:$B$197,2,FALSE)*60,"")</f>
        <v>75.559904327027681</v>
      </c>
      <c r="E3080" s="66">
        <v>347.9</v>
      </c>
      <c r="F3080" s="64">
        <f t="shared" si="48"/>
        <v>-17.887739381443122</v>
      </c>
      <c r="G3080" s="60" t="s">
        <v>12</v>
      </c>
      <c r="H3080" s="60" t="s">
        <v>5061</v>
      </c>
    </row>
    <row r="3081" spans="1:8">
      <c r="A3081" s="59" t="s">
        <v>3824</v>
      </c>
      <c r="B3081" s="62">
        <v>19</v>
      </c>
      <c r="C3081" s="60" t="s">
        <v>5057</v>
      </c>
      <c r="D3081" s="64">
        <f>IFERROR(VLOOKUP(C3081,測定点マスタ!$E$2:$F$28,2,FALSE)/VLOOKUP(A3081,'焼鈍条件-3CGL'!$A$2:$B$197,2,FALSE)*60,"")</f>
        <v>78.430772994129086</v>
      </c>
      <c r="E3081" s="66">
        <v>203.4</v>
      </c>
      <c r="F3081" s="64">
        <f t="shared" si="48"/>
        <v>-50.333197633138518</v>
      </c>
      <c r="G3081" s="60" t="s">
        <v>12</v>
      </c>
      <c r="H3081" s="60" t="s">
        <v>5061</v>
      </c>
    </row>
    <row r="3082" spans="1:8">
      <c r="A3082" s="59" t="s">
        <v>3824</v>
      </c>
      <c r="B3082" s="62">
        <v>20</v>
      </c>
      <c r="C3082" s="60" t="s">
        <v>5059</v>
      </c>
      <c r="D3082" s="64">
        <f>IFERROR(VLOOKUP(C3082,測定点マスタ!$E$2:$F$28,2,FALSE)/VLOOKUP(A3082,'焼鈍条件-3CGL'!$A$2:$B$197,2,FALSE)*60,"")</f>
        <v>84.172510328332379</v>
      </c>
      <c r="E3082" s="66">
        <v>49</v>
      </c>
      <c r="F3082" s="64">
        <f t="shared" si="48"/>
        <v>-26.890815621300813</v>
      </c>
      <c r="G3082" s="60" t="s">
        <v>12</v>
      </c>
      <c r="H3082" s="60" t="s">
        <v>5061</v>
      </c>
    </row>
    <row r="3083" spans="1:8">
      <c r="A3083" s="59" t="s">
        <v>3835</v>
      </c>
      <c r="B3083" s="62">
        <v>1</v>
      </c>
      <c r="C3083" s="60" t="s">
        <v>5041</v>
      </c>
      <c r="D3083" s="64">
        <f>IFERROR(VLOOKUP(C3083,測定点マスタ!$E$2:$F$28,2,FALSE)/VLOOKUP(A3083,'焼鈍条件-3CGL'!$A$2:$B$197,2,FALSE)*60,"")</f>
        <v>0</v>
      </c>
      <c r="E3083" s="66">
        <v>32.299999999999997</v>
      </c>
      <c r="F3083" s="64" t="str">
        <f t="shared" si="48"/>
        <v/>
      </c>
      <c r="G3083" s="60" t="s">
        <v>9</v>
      </c>
      <c r="H3083" s="60" t="s">
        <v>5042</v>
      </c>
    </row>
    <row r="3084" spans="1:8">
      <c r="A3084" s="59" t="s">
        <v>3835</v>
      </c>
      <c r="B3084" s="62">
        <v>2</v>
      </c>
      <c r="C3084" s="60" t="s">
        <v>5043</v>
      </c>
      <c r="D3084" s="64">
        <f>IFERROR(VLOOKUP(C3084,測定点マスタ!$E$2:$F$28,2,FALSE)/VLOOKUP(A3084,'焼鈍条件-3CGL'!$A$2:$B$197,2,FALSE)*60,"")</f>
        <v>7.5917974845844327</v>
      </c>
      <c r="E3084" s="66">
        <v>165</v>
      </c>
      <c r="F3084" s="64">
        <f t="shared" si="48"/>
        <v>17.479391444444445</v>
      </c>
      <c r="G3084" s="60" t="s">
        <v>9</v>
      </c>
      <c r="H3084" s="60" t="s">
        <v>5042</v>
      </c>
    </row>
    <row r="3085" spans="1:8">
      <c r="A3085" s="59" t="s">
        <v>3835</v>
      </c>
      <c r="B3085" s="62">
        <v>3</v>
      </c>
      <c r="C3085" s="60" t="s">
        <v>5044</v>
      </c>
      <c r="D3085" s="64">
        <f>IFERROR(VLOOKUP(C3085,測定点マスタ!$E$2:$F$28,2,FALSE)/VLOOKUP(A3085,'焼鈍条件-3CGL'!$A$2:$B$197,2,FALSE)*60,"")</f>
        <v>17.208074298391381</v>
      </c>
      <c r="E3085" s="66">
        <v>639.1</v>
      </c>
      <c r="F3085" s="64">
        <f t="shared" si="48"/>
        <v>49.301825350877202</v>
      </c>
      <c r="G3085" s="60" t="s">
        <v>9</v>
      </c>
      <c r="H3085" s="60" t="s">
        <v>5042</v>
      </c>
    </row>
    <row r="3086" spans="1:8">
      <c r="A3086" s="59" t="s">
        <v>3835</v>
      </c>
      <c r="B3086" s="62">
        <v>4</v>
      </c>
      <c r="C3086" s="60" t="s">
        <v>5045</v>
      </c>
      <c r="D3086" s="64">
        <f>IFERROR(VLOOKUP(C3086,測定点マスタ!$E$2:$F$28,2,FALSE)/VLOOKUP(A3086,'焼鈍条件-3CGL'!$A$2:$B$197,2,FALSE)*60,"")</f>
        <v>22.269272621447669</v>
      </c>
      <c r="E3086" s="66">
        <v>783.6</v>
      </c>
      <c r="F3086" s="64">
        <f t="shared" si="48"/>
        <v>28.550550833333336</v>
      </c>
      <c r="G3086" s="60" t="s">
        <v>9</v>
      </c>
      <c r="H3086" s="60" t="s">
        <v>5042</v>
      </c>
    </row>
    <row r="3087" spans="1:8">
      <c r="A3087" s="59" t="s">
        <v>3835</v>
      </c>
      <c r="B3087" s="62">
        <v>5</v>
      </c>
      <c r="C3087" s="60" t="s">
        <v>5046</v>
      </c>
      <c r="D3087" s="64">
        <f>IFERROR(VLOOKUP(C3087,測定点マスタ!$E$2:$F$28,2,FALSE)/VLOOKUP(A3087,'焼鈍条件-3CGL'!$A$2:$B$197,2,FALSE)*60,"")</f>
        <v>27.330470944503958</v>
      </c>
      <c r="E3087" s="66">
        <v>746.3</v>
      </c>
      <c r="F3087" s="64">
        <f t="shared" si="48"/>
        <v>-7.3697961666666805</v>
      </c>
      <c r="G3087" s="60" t="s">
        <v>9</v>
      </c>
      <c r="H3087" s="60" t="s">
        <v>5042</v>
      </c>
    </row>
    <row r="3088" spans="1:8">
      <c r="A3088" s="59" t="s">
        <v>3835</v>
      </c>
      <c r="B3088" s="62">
        <v>6</v>
      </c>
      <c r="C3088" s="60" t="s">
        <v>5047</v>
      </c>
      <c r="D3088" s="64">
        <f>IFERROR(VLOOKUP(C3088,測定点マスタ!$E$2:$F$28,2,FALSE)/VLOOKUP(A3088,'焼鈍条件-3CGL'!$A$2:$B$197,2,FALSE)*60,"")</f>
        <v>30.367189938337731</v>
      </c>
      <c r="E3088" s="66">
        <v>710.1</v>
      </c>
      <c r="F3088" s="64">
        <f t="shared" si="48"/>
        <v>-11.920760555555534</v>
      </c>
      <c r="G3088" s="60" t="s">
        <v>9</v>
      </c>
      <c r="H3088" s="60" t="s">
        <v>5042</v>
      </c>
    </row>
    <row r="3089" spans="1:8">
      <c r="A3089" s="59" t="s">
        <v>3835</v>
      </c>
      <c r="B3089" s="62">
        <v>7</v>
      </c>
      <c r="C3089" s="60" t="s">
        <v>5049</v>
      </c>
      <c r="D3089" s="64">
        <f>IFERROR(VLOOKUP(C3089,測定点マスタ!$E$2:$F$28,2,FALSE)/VLOOKUP(A3089,'焼鈍条件-3CGL'!$A$2:$B$197,2,FALSE)*60,"")</f>
        <v>36.946747758310906</v>
      </c>
      <c r="E3089" s="66">
        <v>592.20000000000005</v>
      </c>
      <c r="F3089" s="64">
        <f t="shared" si="48"/>
        <v>-17.919137307692306</v>
      </c>
      <c r="G3089" s="60" t="s">
        <v>9</v>
      </c>
      <c r="H3089" s="60" t="s">
        <v>5042</v>
      </c>
    </row>
    <row r="3090" spans="1:8">
      <c r="A3090" s="59" t="s">
        <v>3835</v>
      </c>
      <c r="B3090" s="62">
        <v>8</v>
      </c>
      <c r="C3090" s="60" t="s">
        <v>5050</v>
      </c>
      <c r="D3090" s="64">
        <f>IFERROR(VLOOKUP(C3090,測定点マスタ!$E$2:$F$28,2,FALSE)/VLOOKUP(A3090,'焼鈍条件-3CGL'!$A$2:$B$197,2,FALSE)*60,"")</f>
        <v>40.995706416755937</v>
      </c>
      <c r="E3090" s="66">
        <v>457.4</v>
      </c>
      <c r="F3090" s="64">
        <f t="shared" si="48"/>
        <v>-33.292510833333353</v>
      </c>
      <c r="G3090" s="60" t="s">
        <v>9</v>
      </c>
      <c r="H3090" s="60" t="s">
        <v>5042</v>
      </c>
    </row>
    <row r="3091" spans="1:8">
      <c r="A3091" s="59" t="s">
        <v>3835</v>
      </c>
      <c r="B3091" s="62">
        <v>9</v>
      </c>
      <c r="C3091" s="60" t="s">
        <v>5051</v>
      </c>
      <c r="D3091" s="64">
        <f>IFERROR(VLOOKUP(C3091,測定点マスタ!$E$2:$F$28,2,FALSE)/VLOOKUP(A3091,'焼鈍条件-3CGL'!$A$2:$B$197,2,FALSE)*60,"")</f>
        <v>44.538545242895339</v>
      </c>
      <c r="E3091" s="66">
        <v>437.8</v>
      </c>
      <c r="F3091" s="64">
        <f t="shared" si="48"/>
        <v>-5.5322866666666579</v>
      </c>
      <c r="G3091" s="60" t="s">
        <v>9</v>
      </c>
      <c r="H3091" s="60" t="s">
        <v>5042</v>
      </c>
    </row>
    <row r="3092" spans="1:8">
      <c r="A3092" s="59" t="s">
        <v>3835</v>
      </c>
      <c r="B3092" s="62">
        <v>10</v>
      </c>
      <c r="C3092" s="60" t="s">
        <v>5060</v>
      </c>
      <c r="D3092" s="64">
        <f>IFERROR(VLOOKUP(C3092,測定点マスタ!$E$2:$F$28,2,FALSE)/VLOOKUP(A3092,'焼鈍条件-3CGL'!$A$2:$B$197,2,FALSE)*60,"")</f>
        <v>46.563024572117854</v>
      </c>
      <c r="E3092" s="66">
        <v>378.2</v>
      </c>
      <c r="F3092" s="64">
        <f t="shared" si="48"/>
        <v>-29.439668333333348</v>
      </c>
      <c r="G3092" s="60" t="s">
        <v>9</v>
      </c>
      <c r="H3092" s="60" t="s">
        <v>5042</v>
      </c>
    </row>
    <row r="3093" spans="1:8">
      <c r="A3093" s="59" t="s">
        <v>3835</v>
      </c>
      <c r="B3093" s="62">
        <v>11</v>
      </c>
      <c r="C3093" s="60" t="s">
        <v>5052</v>
      </c>
      <c r="D3093" s="64">
        <f>IFERROR(VLOOKUP(C3093,測定点マスタ!$E$2:$F$28,2,FALSE)/VLOOKUP(A3093,'焼鈍条件-3CGL'!$A$2:$B$197,2,FALSE)*60,"")</f>
        <v>49.093623733645998</v>
      </c>
      <c r="E3093" s="66">
        <v>318.39999999999998</v>
      </c>
      <c r="F3093" s="64">
        <f t="shared" si="48"/>
        <v>-23.630767333333338</v>
      </c>
      <c r="G3093" s="60" t="s">
        <v>9</v>
      </c>
      <c r="H3093" s="60" t="s">
        <v>5042</v>
      </c>
    </row>
    <row r="3094" spans="1:8">
      <c r="A3094" s="59" t="s">
        <v>3835</v>
      </c>
      <c r="B3094" s="62">
        <v>12</v>
      </c>
      <c r="C3094" s="60" t="s">
        <v>5069</v>
      </c>
      <c r="D3094" s="64">
        <f>IFERROR(VLOOKUP(C3094,測定点マスタ!$E$2:$F$28,2,FALSE)/VLOOKUP(A3094,'焼鈍条件-3CGL'!$A$2:$B$197,2,FALSE)*60,"")</f>
        <v>52.6364625597854</v>
      </c>
      <c r="E3094" s="66">
        <v>516.6</v>
      </c>
      <c r="F3094" s="64">
        <f t="shared" si="48"/>
        <v>55.943837619047635</v>
      </c>
      <c r="G3094" s="60" t="s">
        <v>9</v>
      </c>
      <c r="H3094" s="60" t="s">
        <v>5042</v>
      </c>
    </row>
    <row r="3095" spans="1:8">
      <c r="A3095" s="59" t="s">
        <v>3835</v>
      </c>
      <c r="B3095" s="62">
        <v>13</v>
      </c>
      <c r="C3095" s="60" t="s">
        <v>5053</v>
      </c>
      <c r="D3095" s="64">
        <f>IFERROR(VLOOKUP(C3095,測定点マスタ!$E$2:$F$28,2,FALSE)/VLOOKUP(A3095,'焼鈍条件-3CGL'!$A$2:$B$197,2,FALSE)*60,"")</f>
        <v>55.167061721313544</v>
      </c>
      <c r="E3095" s="66">
        <v>496.4</v>
      </c>
      <c r="F3095" s="64">
        <f t="shared" si="48"/>
        <v>-7.9822993333333523</v>
      </c>
      <c r="G3095" s="60" t="s">
        <v>9</v>
      </c>
      <c r="H3095" s="60" t="s">
        <v>5042</v>
      </c>
    </row>
    <row r="3096" spans="1:8">
      <c r="A3096" s="59" t="s">
        <v>3835</v>
      </c>
      <c r="B3096" s="62">
        <v>14</v>
      </c>
      <c r="C3096" s="60" t="s">
        <v>5054</v>
      </c>
      <c r="D3096" s="64">
        <f>IFERROR(VLOOKUP(C3096,測定点マスタ!$E$2:$F$28,2,FALSE)/VLOOKUP(A3096,'焼鈍条件-3CGL'!$A$2:$B$197,2,FALSE)*60,"")</f>
        <v>61.746619541286719</v>
      </c>
      <c r="E3096" s="66">
        <v>492.2</v>
      </c>
      <c r="F3096" s="64">
        <f t="shared" si="48"/>
        <v>-0.63834076923076755</v>
      </c>
      <c r="G3096" s="60" t="s">
        <v>9</v>
      </c>
      <c r="H3096" s="60" t="s">
        <v>5042</v>
      </c>
    </row>
    <row r="3097" spans="1:8">
      <c r="A3097" s="59" t="s">
        <v>3835</v>
      </c>
      <c r="B3097" s="62">
        <v>15</v>
      </c>
      <c r="C3097" s="60" t="s">
        <v>5056</v>
      </c>
      <c r="D3097" s="64">
        <f>IFERROR(VLOOKUP(C3097,測定点マスタ!$E$2:$F$28,2,FALSE)/VLOOKUP(A3097,'焼鈍条件-3CGL'!$A$2:$B$197,2,FALSE)*60,"")</f>
        <v>67.313937696648637</v>
      </c>
      <c r="E3097" s="66">
        <v>246.3</v>
      </c>
      <c r="F3097" s="64">
        <f t="shared" si="48"/>
        <v>-44.168483484848487</v>
      </c>
      <c r="G3097" s="60" t="s">
        <v>9</v>
      </c>
      <c r="H3097" s="60" t="s">
        <v>5042</v>
      </c>
    </row>
    <row r="3098" spans="1:8">
      <c r="A3098" s="59" t="s">
        <v>3835</v>
      </c>
      <c r="B3098" s="62">
        <v>16</v>
      </c>
      <c r="C3098" s="60" t="s">
        <v>5057</v>
      </c>
      <c r="D3098" s="64">
        <f>IFERROR(VLOOKUP(C3098,測定点マスタ!$E$2:$F$28,2,FALSE)/VLOOKUP(A3098,'焼鈍条件-3CGL'!$A$2:$B$197,2,FALSE)*60,"")</f>
        <v>83.455545205538797</v>
      </c>
      <c r="E3098" s="66">
        <v>278.5</v>
      </c>
      <c r="F3098" s="64">
        <f t="shared" si="48"/>
        <v>1.9948446883165447</v>
      </c>
      <c r="G3098" s="60" t="s">
        <v>9</v>
      </c>
      <c r="H3098" s="60" t="s">
        <v>5042</v>
      </c>
    </row>
    <row r="3099" spans="1:8">
      <c r="A3099" s="59" t="s">
        <v>3835</v>
      </c>
      <c r="B3099" s="62">
        <v>17</v>
      </c>
      <c r="C3099" s="60" t="s">
        <v>5059</v>
      </c>
      <c r="D3099" s="64">
        <f>IFERROR(VLOOKUP(C3099,測定点マスタ!$E$2:$F$28,2,FALSE)/VLOOKUP(A3099,'焼鈍条件-3CGL'!$A$2:$B$197,2,FALSE)*60,"")</f>
        <v>89.565134609799827</v>
      </c>
      <c r="E3099" s="66">
        <v>46.9</v>
      </c>
      <c r="F3099" s="64">
        <f t="shared" si="48"/>
        <v>-37.907621065087369</v>
      </c>
      <c r="G3099" s="60" t="s">
        <v>9</v>
      </c>
      <c r="H3099" s="60" t="s">
        <v>5042</v>
      </c>
    </row>
    <row r="3100" spans="1:8">
      <c r="A3100" s="59" t="s">
        <v>3850</v>
      </c>
      <c r="B3100" s="62">
        <v>1</v>
      </c>
      <c r="C3100" s="60" t="s">
        <v>5041</v>
      </c>
      <c r="D3100" s="64">
        <f>IFERROR(VLOOKUP(C3100,測定点マスタ!$E$2:$F$28,2,FALSE)/VLOOKUP(A3100,'焼鈍条件-3CGL'!$A$2:$B$197,2,FALSE)*60,"")</f>
        <v>0</v>
      </c>
      <c r="E3100" s="66">
        <v>33.6</v>
      </c>
      <c r="F3100" s="64" t="str">
        <f t="shared" si="48"/>
        <v/>
      </c>
      <c r="G3100" s="60" t="s">
        <v>12</v>
      </c>
      <c r="H3100" s="60" t="s">
        <v>5042</v>
      </c>
    </row>
    <row r="3101" spans="1:8">
      <c r="A3101" s="59" t="s">
        <v>3850</v>
      </c>
      <c r="B3101" s="62">
        <v>2</v>
      </c>
      <c r="C3101" s="60" t="s">
        <v>5043</v>
      </c>
      <c r="D3101" s="64">
        <f>IFERROR(VLOOKUP(C3101,測定点マスタ!$E$2:$F$28,2,FALSE)/VLOOKUP(A3101,'焼鈍条件-3CGL'!$A$2:$B$197,2,FALSE)*60,"")</f>
        <v>9.6935753136948666</v>
      </c>
      <c r="E3101" s="66">
        <v>195.7</v>
      </c>
      <c r="F3101" s="64">
        <f t="shared" si="48"/>
        <v>16.722416111111112</v>
      </c>
      <c r="G3101" s="60" t="s">
        <v>12</v>
      </c>
      <c r="H3101" s="60" t="s">
        <v>5042</v>
      </c>
    </row>
    <row r="3102" spans="1:8">
      <c r="A3102" s="59" t="s">
        <v>3850</v>
      </c>
      <c r="B3102" s="62">
        <v>3</v>
      </c>
      <c r="C3102" s="60" t="s">
        <v>5044</v>
      </c>
      <c r="D3102" s="64">
        <f>IFERROR(VLOOKUP(C3102,測定点マスタ!$E$2:$F$28,2,FALSE)/VLOOKUP(A3102,'焼鈍条件-3CGL'!$A$2:$B$197,2,FALSE)*60,"")</f>
        <v>21.972104044375033</v>
      </c>
      <c r="E3102" s="66">
        <v>667.7</v>
      </c>
      <c r="F3102" s="64">
        <f t="shared" si="48"/>
        <v>38.441087719298245</v>
      </c>
      <c r="G3102" s="60" t="s">
        <v>12</v>
      </c>
      <c r="H3102" s="60" t="s">
        <v>5042</v>
      </c>
    </row>
    <row r="3103" spans="1:8">
      <c r="A3103" s="59" t="s">
        <v>3850</v>
      </c>
      <c r="B3103" s="62">
        <v>4</v>
      </c>
      <c r="C3103" s="60" t="s">
        <v>5045</v>
      </c>
      <c r="D3103" s="64">
        <f>IFERROR(VLOOKUP(C3103,測定点マスタ!$E$2:$F$28,2,FALSE)/VLOOKUP(A3103,'焼鈍条件-3CGL'!$A$2:$B$197,2,FALSE)*60,"")</f>
        <v>28.43448758683828</v>
      </c>
      <c r="E3103" s="66">
        <v>825.1</v>
      </c>
      <c r="F3103" s="64">
        <f t="shared" si="48"/>
        <v>24.356338333333323</v>
      </c>
      <c r="G3103" s="60" t="s">
        <v>12</v>
      </c>
      <c r="H3103" s="60" t="s">
        <v>5042</v>
      </c>
    </row>
    <row r="3104" spans="1:8">
      <c r="A3104" s="59" t="s">
        <v>3850</v>
      </c>
      <c r="B3104" s="62">
        <v>5</v>
      </c>
      <c r="C3104" s="60" t="s">
        <v>5047</v>
      </c>
      <c r="D3104" s="64">
        <f>IFERROR(VLOOKUP(C3104,測定点マスタ!$E$2:$F$28,2,FALSE)/VLOOKUP(A3104,'焼鈍条件-3CGL'!$A$2:$B$197,2,FALSE)*60,"")</f>
        <v>38.774301254779466</v>
      </c>
      <c r="E3104" s="66">
        <v>764.6</v>
      </c>
      <c r="F3104" s="64">
        <f t="shared" si="48"/>
        <v>-5.8511692708333367</v>
      </c>
      <c r="G3104" s="60" t="s">
        <v>12</v>
      </c>
      <c r="H3104" s="60" t="s">
        <v>5042</v>
      </c>
    </row>
    <row r="3105" spans="1:8">
      <c r="A3105" s="59" t="s">
        <v>3850</v>
      </c>
      <c r="B3105" s="62">
        <v>6</v>
      </c>
      <c r="C3105" s="60" t="s">
        <v>5049</v>
      </c>
      <c r="D3105" s="64">
        <f>IFERROR(VLOOKUP(C3105,測定点マスタ!$E$2:$F$28,2,FALSE)/VLOOKUP(A3105,'焼鈍条件-3CGL'!$A$2:$B$197,2,FALSE)*60,"")</f>
        <v>47.175399859981695</v>
      </c>
      <c r="E3105" s="66">
        <v>594.9</v>
      </c>
      <c r="F3105" s="64">
        <f t="shared" si="48"/>
        <v>-20.199739102564084</v>
      </c>
      <c r="G3105" s="60" t="s">
        <v>12</v>
      </c>
      <c r="H3105" s="60" t="s">
        <v>5042</v>
      </c>
    </row>
    <row r="3106" spans="1:8">
      <c r="A3106" s="59" t="s">
        <v>3850</v>
      </c>
      <c r="B3106" s="62">
        <v>7</v>
      </c>
      <c r="C3106" s="60" t="s">
        <v>5050</v>
      </c>
      <c r="D3106" s="64">
        <f>IFERROR(VLOOKUP(C3106,測定点マスタ!$E$2:$F$28,2,FALSE)/VLOOKUP(A3106,'焼鈍条件-3CGL'!$A$2:$B$197,2,FALSE)*60,"")</f>
        <v>52.345306693952281</v>
      </c>
      <c r="E3106" s="66">
        <v>526.9</v>
      </c>
      <c r="F3106" s="64">
        <f t="shared" si="48"/>
        <v>-13.153041666666692</v>
      </c>
      <c r="G3106" s="60" t="s">
        <v>12</v>
      </c>
      <c r="H3106" s="60" t="s">
        <v>5042</v>
      </c>
    </row>
    <row r="3107" spans="1:8">
      <c r="A3107" s="59" t="s">
        <v>3850</v>
      </c>
      <c r="B3107" s="62">
        <v>8</v>
      </c>
      <c r="C3107" s="60" t="s">
        <v>5051</v>
      </c>
      <c r="D3107" s="64">
        <f>IFERROR(VLOOKUP(C3107,測定点マスタ!$E$2:$F$28,2,FALSE)/VLOOKUP(A3107,'焼鈍条件-3CGL'!$A$2:$B$197,2,FALSE)*60,"")</f>
        <v>56.86897517367656</v>
      </c>
      <c r="E3107" s="66">
        <v>455.6</v>
      </c>
      <c r="F3107" s="64">
        <f t="shared" si="48"/>
        <v>-15.761544047619013</v>
      </c>
      <c r="G3107" s="60" t="s">
        <v>12</v>
      </c>
      <c r="H3107" s="60" t="s">
        <v>5042</v>
      </c>
    </row>
    <row r="3108" spans="1:8">
      <c r="A3108" s="59" t="s">
        <v>3850</v>
      </c>
      <c r="B3108" s="62">
        <v>9</v>
      </c>
      <c r="C3108" s="60" t="s">
        <v>5060</v>
      </c>
      <c r="D3108" s="64">
        <f>IFERROR(VLOOKUP(C3108,測定点マスタ!$E$2:$F$28,2,FALSE)/VLOOKUP(A3108,'焼鈍条件-3CGL'!$A$2:$B$197,2,FALSE)*60,"")</f>
        <v>59.45392859066186</v>
      </c>
      <c r="E3108" s="66">
        <v>437.1</v>
      </c>
      <c r="F3108" s="64">
        <f t="shared" si="48"/>
        <v>-7.1568020833333277</v>
      </c>
      <c r="G3108" s="60" t="s">
        <v>12</v>
      </c>
      <c r="H3108" s="60" t="s">
        <v>5042</v>
      </c>
    </row>
    <row r="3109" spans="1:8">
      <c r="A3109" s="59" t="s">
        <v>3850</v>
      </c>
      <c r="B3109" s="62">
        <v>10</v>
      </c>
      <c r="C3109" s="60" t="s">
        <v>5052</v>
      </c>
      <c r="D3109" s="64">
        <f>IFERROR(VLOOKUP(C3109,測定点マスタ!$E$2:$F$28,2,FALSE)/VLOOKUP(A3109,'焼鈍条件-3CGL'!$A$2:$B$197,2,FALSE)*60,"")</f>
        <v>62.685120361893482</v>
      </c>
      <c r="E3109" s="66">
        <v>337.1</v>
      </c>
      <c r="F3109" s="64">
        <f t="shared" si="48"/>
        <v>-30.948333333333341</v>
      </c>
      <c r="G3109" s="60" t="s">
        <v>12</v>
      </c>
      <c r="H3109" s="60" t="s">
        <v>5042</v>
      </c>
    </row>
    <row r="3110" spans="1:8">
      <c r="A3110" s="59" t="s">
        <v>3850</v>
      </c>
      <c r="B3110" s="62">
        <v>11</v>
      </c>
      <c r="C3110" s="60" t="s">
        <v>5069</v>
      </c>
      <c r="D3110" s="64">
        <f>IFERROR(VLOOKUP(C3110,測定点マスタ!$E$2:$F$28,2,FALSE)/VLOOKUP(A3110,'焼鈍条件-3CGL'!$A$2:$B$197,2,FALSE)*60,"")</f>
        <v>67.208788841617746</v>
      </c>
      <c r="E3110" s="66">
        <v>529.9</v>
      </c>
      <c r="F3110" s="64">
        <f t="shared" si="48"/>
        <v>42.620276190476247</v>
      </c>
      <c r="G3110" s="60" t="s">
        <v>12</v>
      </c>
      <c r="H3110" s="60" t="s">
        <v>5042</v>
      </c>
    </row>
    <row r="3111" spans="1:8">
      <c r="A3111" s="59" t="s">
        <v>3850</v>
      </c>
      <c r="B3111" s="62">
        <v>12</v>
      </c>
      <c r="C3111" s="60" t="s">
        <v>5053</v>
      </c>
      <c r="D3111" s="64">
        <f>IFERROR(VLOOKUP(C3111,測定点マスタ!$E$2:$F$28,2,FALSE)/VLOOKUP(A3111,'焼鈍条件-3CGL'!$A$2:$B$197,2,FALSE)*60,"")</f>
        <v>70.439980612849382</v>
      </c>
      <c r="E3111" s="66">
        <v>525.1</v>
      </c>
      <c r="F3111" s="64">
        <f t="shared" si="48"/>
        <v>-1.4855199999999797</v>
      </c>
      <c r="G3111" s="60" t="s">
        <v>12</v>
      </c>
      <c r="H3111" s="60" t="s">
        <v>5042</v>
      </c>
    </row>
    <row r="3112" spans="1:8">
      <c r="A3112" s="59" t="s">
        <v>3850</v>
      </c>
      <c r="B3112" s="62">
        <v>13</v>
      </c>
      <c r="C3112" s="60" t="s">
        <v>5063</v>
      </c>
      <c r="D3112" s="64">
        <f>IFERROR(VLOOKUP(C3112,測定点マスタ!$E$2:$F$28,2,FALSE)/VLOOKUP(A3112,'焼鈍条件-3CGL'!$A$2:$B$197,2,FALSE)*60,"")</f>
        <v>74.317410738327325</v>
      </c>
      <c r="E3112" s="66">
        <v>528.5</v>
      </c>
      <c r="F3112" s="64">
        <f t="shared" si="48"/>
        <v>0.87686944444443948</v>
      </c>
      <c r="G3112" s="60" t="s">
        <v>12</v>
      </c>
      <c r="H3112" s="60" t="s">
        <v>5042</v>
      </c>
    </row>
    <row r="3113" spans="1:8">
      <c r="A3113" s="59" t="s">
        <v>3850</v>
      </c>
      <c r="B3113" s="62">
        <v>14</v>
      </c>
      <c r="C3113" s="60" t="s">
        <v>5054</v>
      </c>
      <c r="D3113" s="64">
        <f>IFERROR(VLOOKUP(C3113,測定点マスタ!$E$2:$F$28,2,FALSE)/VLOOKUP(A3113,'焼鈍条件-3CGL'!$A$2:$B$197,2,FALSE)*60,"")</f>
        <v>78.84107921805159</v>
      </c>
      <c r="E3113" s="66">
        <v>511.4</v>
      </c>
      <c r="F3113" s="64">
        <f t="shared" si="48"/>
        <v>-3.780117857142868</v>
      </c>
      <c r="G3113" s="60" t="s">
        <v>12</v>
      </c>
      <c r="H3113" s="60" t="s">
        <v>5042</v>
      </c>
    </row>
    <row r="3114" spans="1:8">
      <c r="A3114" s="59" t="s">
        <v>3850</v>
      </c>
      <c r="B3114" s="62">
        <v>15</v>
      </c>
      <c r="C3114" s="60" t="s">
        <v>5056</v>
      </c>
      <c r="D3114" s="64">
        <f>IFERROR(VLOOKUP(C3114,測定点マスタ!$E$2:$F$28,2,FALSE)/VLOOKUP(A3114,'焼鈍条件-3CGL'!$A$2:$B$197,2,FALSE)*60,"")</f>
        <v>85.949701114761169</v>
      </c>
      <c r="E3114" s="66">
        <v>293.60000000000002</v>
      </c>
      <c r="F3114" s="64">
        <f t="shared" si="48"/>
        <v>-30.638849999999955</v>
      </c>
      <c r="G3114" s="60" t="s">
        <v>12</v>
      </c>
      <c r="H3114" s="60" t="s">
        <v>5042</v>
      </c>
    </row>
    <row r="3115" spans="1:8">
      <c r="A3115" s="59" t="s">
        <v>3850</v>
      </c>
      <c r="B3115" s="62">
        <v>16</v>
      </c>
      <c r="C3115" s="60" t="s">
        <v>5057</v>
      </c>
      <c r="D3115" s="64">
        <f>IFERROR(VLOOKUP(C3115,測定点マスタ!$E$2:$F$28,2,FALSE)/VLOOKUP(A3115,'焼鈍条件-3CGL'!$A$2:$B$197,2,FALSE)*60,"")</f>
        <v>106.56008862697421</v>
      </c>
      <c r="E3115" s="66">
        <v>235.6</v>
      </c>
      <c r="F3115" s="64">
        <f t="shared" si="48"/>
        <v>-2.8141149682717579</v>
      </c>
      <c r="G3115" s="60" t="s">
        <v>12</v>
      </c>
      <c r="H3115" s="60" t="s">
        <v>5042</v>
      </c>
    </row>
    <row r="3116" spans="1:8">
      <c r="A3116" s="59" t="s">
        <v>3850</v>
      </c>
      <c r="B3116" s="62">
        <v>17</v>
      </c>
      <c r="C3116" s="60" t="s">
        <v>5059</v>
      </c>
      <c r="D3116" s="64">
        <f>IFERROR(VLOOKUP(C3116,測定点マスタ!$E$2:$F$28,2,FALSE)/VLOOKUP(A3116,'焼鈍条件-3CGL'!$A$2:$B$197,2,FALSE)*60,"")</f>
        <v>114.36110876037655</v>
      </c>
      <c r="E3116" s="66">
        <v>53</v>
      </c>
      <c r="F3116" s="64">
        <f t="shared" si="48"/>
        <v>-23.407195069032671</v>
      </c>
      <c r="G3116" s="60" t="s">
        <v>12</v>
      </c>
      <c r="H3116" s="60" t="s">
        <v>5042</v>
      </c>
    </row>
    <row r="3117" spans="1:8">
      <c r="A3117" s="59" t="s">
        <v>3857</v>
      </c>
      <c r="B3117" s="62">
        <v>1</v>
      </c>
      <c r="C3117" s="60" t="s">
        <v>5041</v>
      </c>
      <c r="D3117" s="64">
        <f>IFERROR(VLOOKUP(C3117,測定点マスタ!$E$2:$F$28,2,FALSE)/VLOOKUP(A3117,'焼鈍条件-3CGL'!$A$2:$B$197,2,FALSE)*60,"")</f>
        <v>0</v>
      </c>
      <c r="E3117" s="66">
        <v>36.1</v>
      </c>
      <c r="F3117" s="64" t="str">
        <f t="shared" si="48"/>
        <v/>
      </c>
      <c r="G3117" s="60" t="s">
        <v>9</v>
      </c>
      <c r="H3117" s="60" t="s">
        <v>5064</v>
      </c>
    </row>
    <row r="3118" spans="1:8">
      <c r="A3118" s="59" t="s">
        <v>3857</v>
      </c>
      <c r="B3118" s="62">
        <v>2</v>
      </c>
      <c r="C3118" s="60" t="s">
        <v>5043</v>
      </c>
      <c r="D3118" s="64">
        <f>IFERROR(VLOOKUP(C3118,測定点マスタ!$E$2:$F$28,2,FALSE)/VLOOKUP(A3118,'焼鈍条件-3CGL'!$A$2:$B$197,2,FALSE)*60,"")</f>
        <v>8.9770188317906161</v>
      </c>
      <c r="E3118" s="66">
        <v>171.5</v>
      </c>
      <c r="F3118" s="64">
        <f t="shared" si="48"/>
        <v>15.082958222222222</v>
      </c>
      <c r="G3118" s="60" t="s">
        <v>9</v>
      </c>
      <c r="H3118" s="60" t="s">
        <v>5064</v>
      </c>
    </row>
    <row r="3119" spans="1:8">
      <c r="A3119" s="59" t="s">
        <v>3857</v>
      </c>
      <c r="B3119" s="62">
        <v>3</v>
      </c>
      <c r="C3119" s="60" t="s">
        <v>5044</v>
      </c>
      <c r="D3119" s="64">
        <f>IFERROR(VLOOKUP(C3119,測定点マスタ!$E$2:$F$28,2,FALSE)/VLOOKUP(A3119,'焼鈍条件-3CGL'!$A$2:$B$197,2,FALSE)*60,"")</f>
        <v>20.347909352058732</v>
      </c>
      <c r="E3119" s="66">
        <v>670.3</v>
      </c>
      <c r="F3119" s="64">
        <f t="shared" si="48"/>
        <v>43.866397192982447</v>
      </c>
      <c r="G3119" s="60" t="s">
        <v>9</v>
      </c>
      <c r="H3119" s="60" t="s">
        <v>5064</v>
      </c>
    </row>
    <row r="3120" spans="1:8">
      <c r="A3120" s="59" t="s">
        <v>3857</v>
      </c>
      <c r="B3120" s="62">
        <v>4</v>
      </c>
      <c r="C3120" s="60" t="s">
        <v>5045</v>
      </c>
      <c r="D3120" s="64">
        <f>IFERROR(VLOOKUP(C3120,測定点マスタ!$E$2:$F$28,2,FALSE)/VLOOKUP(A3120,'焼鈍条件-3CGL'!$A$2:$B$197,2,FALSE)*60,"")</f>
        <v>26.332588573252472</v>
      </c>
      <c r="E3120" s="66">
        <v>823.9</v>
      </c>
      <c r="F3120" s="64">
        <f t="shared" si="48"/>
        <v>25.665536000000017</v>
      </c>
      <c r="G3120" s="60" t="s">
        <v>9</v>
      </c>
      <c r="H3120" s="60" t="s">
        <v>5064</v>
      </c>
    </row>
    <row r="3121" spans="1:8">
      <c r="A3121" s="59" t="s">
        <v>3857</v>
      </c>
      <c r="B3121" s="62">
        <v>5</v>
      </c>
      <c r="C3121" s="60" t="s">
        <v>5047</v>
      </c>
      <c r="D3121" s="64">
        <f>IFERROR(VLOOKUP(C3121,測定点マスタ!$E$2:$F$28,2,FALSE)/VLOOKUP(A3121,'焼鈍条件-3CGL'!$A$2:$B$197,2,FALSE)*60,"")</f>
        <v>35.908075327162464</v>
      </c>
      <c r="E3121" s="66">
        <v>754.7</v>
      </c>
      <c r="F3121" s="64">
        <f t="shared" si="48"/>
        <v>-7.2267866666666585</v>
      </c>
      <c r="G3121" s="60" t="s">
        <v>9</v>
      </c>
      <c r="H3121" s="60" t="s">
        <v>5064</v>
      </c>
    </row>
    <row r="3122" spans="1:8">
      <c r="A3122" s="59" t="s">
        <v>3857</v>
      </c>
      <c r="B3122" s="62">
        <v>6</v>
      </c>
      <c r="C3122" s="60" t="s">
        <v>5048</v>
      </c>
      <c r="D3122" s="64">
        <f>IFERROR(VLOOKUP(C3122,測定点マスタ!$E$2:$F$28,2,FALSE)/VLOOKUP(A3122,'焼鈍条件-3CGL'!$A$2:$B$197,2,FALSE)*60,"")</f>
        <v>39.498882859878712</v>
      </c>
      <c r="E3122" s="66">
        <v>727.5</v>
      </c>
      <c r="F3122" s="64">
        <f t="shared" si="48"/>
        <v>-7.5748977777777871</v>
      </c>
      <c r="G3122" s="60" t="s">
        <v>9</v>
      </c>
      <c r="H3122" s="60" t="s">
        <v>5064</v>
      </c>
    </row>
    <row r="3123" spans="1:8">
      <c r="A3123" s="59" t="s">
        <v>3857</v>
      </c>
      <c r="B3123" s="62">
        <v>7</v>
      </c>
      <c r="C3123" s="60" t="s">
        <v>5049</v>
      </c>
      <c r="D3123" s="64">
        <f>IFERROR(VLOOKUP(C3123,測定点マスタ!$E$2:$F$28,2,FALSE)/VLOOKUP(A3123,'焼鈍条件-3CGL'!$A$2:$B$197,2,FALSE)*60,"")</f>
        <v>43.688158314714329</v>
      </c>
      <c r="E3123" s="66">
        <v>624.1</v>
      </c>
      <c r="F3123" s="64">
        <f t="shared" si="48"/>
        <v>-24.682072380952402</v>
      </c>
      <c r="G3123" s="60" t="s">
        <v>9</v>
      </c>
      <c r="H3123" s="60" t="s">
        <v>5064</v>
      </c>
    </row>
    <row r="3124" spans="1:8">
      <c r="A3124" s="59" t="s">
        <v>3857</v>
      </c>
      <c r="B3124" s="62">
        <v>8</v>
      </c>
      <c r="C3124" s="60" t="s">
        <v>5050</v>
      </c>
      <c r="D3124" s="64">
        <f>IFERROR(VLOOKUP(C3124,測定点マスタ!$E$2:$F$28,2,FALSE)/VLOOKUP(A3124,'焼鈍条件-3CGL'!$A$2:$B$197,2,FALSE)*60,"")</f>
        <v>48.475901691669328</v>
      </c>
      <c r="E3124" s="66">
        <v>503.4</v>
      </c>
      <c r="F3124" s="64">
        <f t="shared" si="48"/>
        <v>-25.210206666666654</v>
      </c>
      <c r="G3124" s="60" t="s">
        <v>9</v>
      </c>
      <c r="H3124" s="60" t="s">
        <v>5064</v>
      </c>
    </row>
    <row r="3125" spans="1:8">
      <c r="A3125" s="59" t="s">
        <v>3857</v>
      </c>
      <c r="B3125" s="62">
        <v>9</v>
      </c>
      <c r="C3125" s="60" t="s">
        <v>5051</v>
      </c>
      <c r="D3125" s="64">
        <f>IFERROR(VLOOKUP(C3125,測定点マスタ!$E$2:$F$28,2,FALSE)/VLOOKUP(A3125,'焼鈍条件-3CGL'!$A$2:$B$197,2,FALSE)*60,"")</f>
        <v>52.665177146504945</v>
      </c>
      <c r="E3125" s="66">
        <v>445.9</v>
      </c>
      <c r="F3125" s="64">
        <f t="shared" si="48"/>
        <v>-13.725523809523823</v>
      </c>
      <c r="G3125" s="60" t="s">
        <v>9</v>
      </c>
      <c r="H3125" s="60" t="s">
        <v>5064</v>
      </c>
    </row>
    <row r="3126" spans="1:8">
      <c r="A3126" s="59" t="s">
        <v>3857</v>
      </c>
      <c r="B3126" s="62">
        <v>10</v>
      </c>
      <c r="C3126" s="60" t="s">
        <v>5052</v>
      </c>
      <c r="D3126" s="64">
        <f>IFERROR(VLOOKUP(C3126,測定点マスタ!$E$2:$F$28,2,FALSE)/VLOOKUP(A3126,'焼鈍条件-3CGL'!$A$2:$B$197,2,FALSE)*60,"")</f>
        <v>58.05138844557932</v>
      </c>
      <c r="E3126" s="66">
        <v>368.8</v>
      </c>
      <c r="F3126" s="64">
        <f t="shared" si="48"/>
        <v>-14.314328888888868</v>
      </c>
      <c r="G3126" s="60" t="s">
        <v>9</v>
      </c>
      <c r="H3126" s="60" t="s">
        <v>5064</v>
      </c>
    </row>
    <row r="3127" spans="1:8">
      <c r="A3127" s="59" t="s">
        <v>3857</v>
      </c>
      <c r="B3127" s="62">
        <v>11</v>
      </c>
      <c r="C3127" s="60" t="s">
        <v>5053</v>
      </c>
      <c r="D3127" s="64">
        <f>IFERROR(VLOOKUP(C3127,測定点マスタ!$E$2:$F$28,2,FALSE)/VLOOKUP(A3127,'焼鈍条件-3CGL'!$A$2:$B$197,2,FALSE)*60,"")</f>
        <v>65.233003511011802</v>
      </c>
      <c r="E3127" s="66">
        <v>549.6</v>
      </c>
      <c r="F3127" s="64">
        <f t="shared" si="48"/>
        <v>25.175395555555596</v>
      </c>
      <c r="G3127" s="60" t="s">
        <v>9</v>
      </c>
      <c r="H3127" s="60" t="s">
        <v>5064</v>
      </c>
    </row>
    <row r="3128" spans="1:8">
      <c r="A3128" s="59" t="s">
        <v>3857</v>
      </c>
      <c r="B3128" s="62">
        <v>12</v>
      </c>
      <c r="C3128" s="60" t="s">
        <v>5054</v>
      </c>
      <c r="D3128" s="64">
        <f>IFERROR(VLOOKUP(C3128,測定点マスタ!$E$2:$F$28,2,FALSE)/VLOOKUP(A3128,'焼鈍条件-3CGL'!$A$2:$B$197,2,FALSE)*60,"")</f>
        <v>73.013086498563666</v>
      </c>
      <c r="E3128" s="66">
        <v>547.29999999999995</v>
      </c>
      <c r="F3128" s="64">
        <f t="shared" si="48"/>
        <v>-0.29562666666667553</v>
      </c>
      <c r="G3128" s="60" t="s">
        <v>9</v>
      </c>
      <c r="H3128" s="60" t="s">
        <v>5064</v>
      </c>
    </row>
    <row r="3129" spans="1:8">
      <c r="A3129" s="59" t="s">
        <v>3857</v>
      </c>
      <c r="B3129" s="62">
        <v>13</v>
      </c>
      <c r="C3129" s="60" t="s">
        <v>5056</v>
      </c>
      <c r="D3129" s="64">
        <f>IFERROR(VLOOKUP(C3129,測定点マスタ!$E$2:$F$28,2,FALSE)/VLOOKUP(A3129,'焼鈍条件-3CGL'!$A$2:$B$197,2,FALSE)*60,"")</f>
        <v>79.596233641876793</v>
      </c>
      <c r="E3129" s="66">
        <v>284.8</v>
      </c>
      <c r="F3129" s="64">
        <f t="shared" si="48"/>
        <v>-39.874545454545391</v>
      </c>
      <c r="G3129" s="60" t="s">
        <v>9</v>
      </c>
      <c r="H3129" s="60" t="s">
        <v>5064</v>
      </c>
    </row>
    <row r="3130" spans="1:8">
      <c r="A3130" s="59" t="s">
        <v>3857</v>
      </c>
      <c r="B3130" s="62">
        <v>14</v>
      </c>
      <c r="C3130" s="60" t="s">
        <v>5062</v>
      </c>
      <c r="D3130" s="64">
        <f>IFERROR(VLOOKUP(C3130,測定点マスタ!$E$2:$F$28,2,FALSE)/VLOOKUP(A3130,'焼鈍条件-3CGL'!$A$2:$B$197,2,FALSE)*60,"")</f>
        <v>86.777848707309289</v>
      </c>
      <c r="E3130" s="66">
        <v>466.8</v>
      </c>
      <c r="F3130" s="64">
        <f t="shared" si="48"/>
        <v>25.34248888888888</v>
      </c>
      <c r="G3130" s="60" t="s">
        <v>9</v>
      </c>
      <c r="H3130" s="60" t="s">
        <v>5064</v>
      </c>
    </row>
    <row r="3131" spans="1:8">
      <c r="A3131" s="59" t="s">
        <v>3857</v>
      </c>
      <c r="B3131" s="62">
        <v>15</v>
      </c>
      <c r="C3131" s="60" t="s">
        <v>5065</v>
      </c>
      <c r="D3131" s="64">
        <f>IFERROR(VLOOKUP(C3131,測定点マスタ!$E$2:$F$28,2,FALSE)/VLOOKUP(A3131,'焼鈍条件-3CGL'!$A$2:$B$197,2,FALSE)*60,"")</f>
        <v>87.846541425379428</v>
      </c>
      <c r="E3131" s="66">
        <v>551</v>
      </c>
      <c r="F3131" s="64">
        <f t="shared" si="48"/>
        <v>78.78784853334605</v>
      </c>
      <c r="G3131" s="60" t="s">
        <v>9</v>
      </c>
      <c r="H3131" s="60" t="s">
        <v>5064</v>
      </c>
    </row>
    <row r="3132" spans="1:8">
      <c r="A3132" s="59" t="s">
        <v>3857</v>
      </c>
      <c r="B3132" s="62">
        <v>16</v>
      </c>
      <c r="C3132" s="60" t="s">
        <v>5066</v>
      </c>
      <c r="D3132" s="64">
        <f>IFERROR(VLOOKUP(C3132,測定点マスタ!$E$2:$F$28,2,FALSE)/VLOOKUP(A3132,'焼鈍条件-3CGL'!$A$2:$B$197,2,FALSE)*60,"")</f>
        <v>91.458722812457509</v>
      </c>
      <c r="E3132" s="66">
        <v>527.20000000000005</v>
      </c>
      <c r="F3132" s="64">
        <f t="shared" si="48"/>
        <v>-6.5888164102556157</v>
      </c>
      <c r="G3132" s="60" t="s">
        <v>9</v>
      </c>
      <c r="H3132" s="60" t="s">
        <v>5064</v>
      </c>
    </row>
    <row r="3133" spans="1:8">
      <c r="A3133" s="59" t="s">
        <v>3857</v>
      </c>
      <c r="B3133" s="62">
        <v>17</v>
      </c>
      <c r="C3133" s="60" t="s">
        <v>5057</v>
      </c>
      <c r="D3133" s="64">
        <f>IFERROR(VLOOKUP(C3133,測定点マスタ!$E$2:$F$28,2,FALSE)/VLOOKUP(A3133,'焼鈍条件-3CGL'!$A$2:$B$197,2,FALSE)*60,"")</f>
        <v>98.683085586612478</v>
      </c>
      <c r="E3133" s="66">
        <v>177.8</v>
      </c>
      <c r="F3133" s="64">
        <f t="shared" si="48"/>
        <v>-48.364127179489437</v>
      </c>
      <c r="G3133" s="60" t="s">
        <v>9</v>
      </c>
      <c r="H3133" s="60" t="s">
        <v>5064</v>
      </c>
    </row>
    <row r="3134" spans="1:8">
      <c r="A3134" s="59" t="s">
        <v>3857</v>
      </c>
      <c r="B3134" s="62">
        <v>18</v>
      </c>
      <c r="C3134" s="60" t="s">
        <v>5059</v>
      </c>
      <c r="D3134" s="64">
        <f>IFERROR(VLOOKUP(C3134,測定点マスタ!$E$2:$F$28,2,FALSE)/VLOOKUP(A3134,'焼鈍条件-3CGL'!$A$2:$B$197,2,FALSE)*60,"")</f>
        <v>105.90744836076803</v>
      </c>
      <c r="E3134" s="66">
        <v>43.8</v>
      </c>
      <c r="F3134" s="64">
        <f t="shared" si="48"/>
        <v>-18.548348717948087</v>
      </c>
      <c r="G3134" s="60" t="s">
        <v>9</v>
      </c>
      <c r="H3134" s="60" t="s">
        <v>5064</v>
      </c>
    </row>
    <row r="3135" spans="1:8">
      <c r="A3135" s="59" t="s">
        <v>3872</v>
      </c>
      <c r="B3135" s="62">
        <v>1</v>
      </c>
      <c r="C3135" s="60" t="s">
        <v>5041</v>
      </c>
      <c r="D3135" s="64">
        <f>IFERROR(VLOOKUP(C3135,測定点マスタ!$E$2:$F$28,2,FALSE)/VLOOKUP(A3135,'焼鈍条件-3CGL'!$A$2:$B$197,2,FALSE)*60,"")</f>
        <v>0</v>
      </c>
      <c r="E3135" s="66">
        <v>33.1</v>
      </c>
      <c r="F3135" s="64" t="str">
        <f t="shared" si="48"/>
        <v/>
      </c>
      <c r="G3135" s="60" t="s">
        <v>9</v>
      </c>
      <c r="H3135" s="60" t="s">
        <v>5061</v>
      </c>
    </row>
    <row r="3136" spans="1:8">
      <c r="A3136" s="59" t="s">
        <v>3872</v>
      </c>
      <c r="B3136" s="62">
        <v>2</v>
      </c>
      <c r="C3136" s="60" t="s">
        <v>5043</v>
      </c>
      <c r="D3136" s="64">
        <f>IFERROR(VLOOKUP(C3136,測定点マスタ!$E$2:$F$28,2,FALSE)/VLOOKUP(A3136,'焼鈍条件-3CGL'!$A$2:$B$197,2,FALSE)*60,"")</f>
        <v>10.616587828671864</v>
      </c>
      <c r="E3136" s="66">
        <v>175.5</v>
      </c>
      <c r="F3136" s="64">
        <f t="shared" si="48"/>
        <v>13.412972444444446</v>
      </c>
      <c r="G3136" s="60" t="s">
        <v>9</v>
      </c>
      <c r="H3136" s="60" t="s">
        <v>5061</v>
      </c>
    </row>
    <row r="3137" spans="1:8">
      <c r="A3137" s="59" t="s">
        <v>3872</v>
      </c>
      <c r="B3137" s="62">
        <v>3</v>
      </c>
      <c r="C3137" s="60" t="s">
        <v>5044</v>
      </c>
      <c r="D3137" s="64">
        <f>IFERROR(VLOOKUP(C3137,測定点マスタ!$E$2:$F$28,2,FALSE)/VLOOKUP(A3137,'焼鈍条件-3CGL'!$A$2:$B$197,2,FALSE)*60,"")</f>
        <v>24.064265744989562</v>
      </c>
      <c r="E3137" s="66">
        <v>656.5</v>
      </c>
      <c r="F3137" s="64">
        <f t="shared" si="48"/>
        <v>35.768257017543853</v>
      </c>
      <c r="G3137" s="60" t="s">
        <v>9</v>
      </c>
      <c r="H3137" s="60" t="s">
        <v>5061</v>
      </c>
    </row>
    <row r="3138" spans="1:8">
      <c r="A3138" s="59" t="s">
        <v>3872</v>
      </c>
      <c r="B3138" s="62">
        <v>4</v>
      </c>
      <c r="C3138" s="60" t="s">
        <v>5045</v>
      </c>
      <c r="D3138" s="64">
        <f>IFERROR(VLOOKUP(C3138,測定点マスタ!$E$2:$F$28,2,FALSE)/VLOOKUP(A3138,'焼鈍条件-3CGL'!$A$2:$B$197,2,FALSE)*60,"")</f>
        <v>31.141990964104135</v>
      </c>
      <c r="E3138" s="66">
        <v>793.2</v>
      </c>
      <c r="F3138" s="64">
        <f t="shared" ref="F3138:F3201" si="49">IF(A3138=A3137,IFERROR((E3138-E3137)/(D3138-D3137),""),"")</f>
        <v>19.314115166666685</v>
      </c>
      <c r="G3138" s="60" t="s">
        <v>9</v>
      </c>
      <c r="H3138" s="60" t="s">
        <v>5061</v>
      </c>
    </row>
    <row r="3139" spans="1:8">
      <c r="A3139" s="59" t="s">
        <v>3872</v>
      </c>
      <c r="B3139" s="62">
        <v>5</v>
      </c>
      <c r="C3139" s="60" t="s">
        <v>5047</v>
      </c>
      <c r="D3139" s="64">
        <f>IFERROR(VLOOKUP(C3139,測定点マスタ!$E$2:$F$28,2,FALSE)/VLOOKUP(A3139,'焼鈍条件-3CGL'!$A$2:$B$197,2,FALSE)*60,"")</f>
        <v>42.466351314687458</v>
      </c>
      <c r="E3139" s="66">
        <v>734.7</v>
      </c>
      <c r="F3139" s="64">
        <f t="shared" si="49"/>
        <v>-5.1658546874999995</v>
      </c>
      <c r="G3139" s="60" t="s">
        <v>9</v>
      </c>
      <c r="H3139" s="60" t="s">
        <v>5061</v>
      </c>
    </row>
    <row r="3140" spans="1:8">
      <c r="A3140" s="59" t="s">
        <v>3872</v>
      </c>
      <c r="B3140" s="62">
        <v>6</v>
      </c>
      <c r="C3140" s="60" t="s">
        <v>5048</v>
      </c>
      <c r="D3140" s="64">
        <f>IFERROR(VLOOKUP(C3140,測定点マスタ!$E$2:$F$28,2,FALSE)/VLOOKUP(A3140,'焼鈍条件-3CGL'!$A$2:$B$197,2,FALSE)*60,"")</f>
        <v>46.712986446156208</v>
      </c>
      <c r="E3140" s="66">
        <v>691.5</v>
      </c>
      <c r="F3140" s="64">
        <f t="shared" si="49"/>
        <v>-10.17276</v>
      </c>
      <c r="G3140" s="60" t="s">
        <v>9</v>
      </c>
      <c r="H3140" s="60" t="s">
        <v>5061</v>
      </c>
    </row>
    <row r="3141" spans="1:8">
      <c r="A3141" s="59" t="s">
        <v>3872</v>
      </c>
      <c r="B3141" s="62">
        <v>7</v>
      </c>
      <c r="C3141" s="60" t="s">
        <v>5049</v>
      </c>
      <c r="D3141" s="64">
        <f>IFERROR(VLOOKUP(C3141,測定点マスタ!$E$2:$F$28,2,FALSE)/VLOOKUP(A3141,'焼鈍条件-3CGL'!$A$2:$B$197,2,FALSE)*60,"")</f>
        <v>51.667394099536409</v>
      </c>
      <c r="E3141" s="66">
        <v>583.5</v>
      </c>
      <c r="F3141" s="64">
        <f t="shared" si="49"/>
        <v>-21.798771428571438</v>
      </c>
      <c r="G3141" s="60" t="s">
        <v>9</v>
      </c>
      <c r="H3141" s="60" t="s">
        <v>5061</v>
      </c>
    </row>
    <row r="3142" spans="1:8">
      <c r="A3142" s="59" t="s">
        <v>3872</v>
      </c>
      <c r="B3142" s="62">
        <v>8</v>
      </c>
      <c r="C3142" s="60" t="s">
        <v>5050</v>
      </c>
      <c r="D3142" s="64">
        <f>IFERROR(VLOOKUP(C3142,測定点マスタ!$E$2:$F$28,2,FALSE)/VLOOKUP(A3142,'焼鈍条件-3CGL'!$A$2:$B$197,2,FALSE)*60,"")</f>
        <v>57.329574274828076</v>
      </c>
      <c r="E3142" s="66">
        <v>483.5</v>
      </c>
      <c r="F3142" s="64">
        <f t="shared" si="49"/>
        <v>-17.661041666666648</v>
      </c>
      <c r="G3142" s="60" t="s">
        <v>9</v>
      </c>
      <c r="H3142" s="60" t="s">
        <v>5061</v>
      </c>
    </row>
    <row r="3143" spans="1:8">
      <c r="A3143" s="59" t="s">
        <v>3872</v>
      </c>
      <c r="B3143" s="62">
        <v>9</v>
      </c>
      <c r="C3143" s="60" t="s">
        <v>5051</v>
      </c>
      <c r="D3143" s="64">
        <f>IFERROR(VLOOKUP(C3143,測定点マスタ!$E$2:$F$28,2,FALSE)/VLOOKUP(A3143,'焼鈍条件-3CGL'!$A$2:$B$197,2,FALSE)*60,"")</f>
        <v>62.28398192820827</v>
      </c>
      <c r="E3143" s="66">
        <v>425.4</v>
      </c>
      <c r="F3143" s="64">
        <f t="shared" si="49"/>
        <v>-11.726931666666694</v>
      </c>
      <c r="G3143" s="60" t="s">
        <v>9</v>
      </c>
      <c r="H3143" s="60" t="s">
        <v>5061</v>
      </c>
    </row>
    <row r="3144" spans="1:8">
      <c r="A3144" s="59" t="s">
        <v>3872</v>
      </c>
      <c r="B3144" s="62">
        <v>10</v>
      </c>
      <c r="C3144" s="60" t="s">
        <v>5060</v>
      </c>
      <c r="D3144" s="64">
        <f>IFERROR(VLOOKUP(C3144,測定点マスタ!$E$2:$F$28,2,FALSE)/VLOOKUP(A3144,'焼鈍条件-3CGL'!$A$2:$B$197,2,FALSE)*60,"")</f>
        <v>65.115072015854111</v>
      </c>
      <c r="E3144" s="66">
        <v>415.9</v>
      </c>
      <c r="F3144" s="64">
        <f t="shared" si="49"/>
        <v>-3.355597916666655</v>
      </c>
      <c r="G3144" s="60" t="s">
        <v>9</v>
      </c>
      <c r="H3144" s="60" t="s">
        <v>5061</v>
      </c>
    </row>
    <row r="3145" spans="1:8">
      <c r="A3145" s="59" t="s">
        <v>3872</v>
      </c>
      <c r="B3145" s="62">
        <v>11</v>
      </c>
      <c r="C3145" s="60" t="s">
        <v>5052</v>
      </c>
      <c r="D3145" s="64">
        <f>IFERROR(VLOOKUP(C3145,測定点マスタ!$E$2:$F$28,2,FALSE)/VLOOKUP(A3145,'焼鈍条件-3CGL'!$A$2:$B$197,2,FALSE)*60,"")</f>
        <v>68.653934625411395</v>
      </c>
      <c r="E3145" s="66">
        <v>342.5</v>
      </c>
      <c r="F3145" s="64">
        <f t="shared" si="49"/>
        <v>-20.741127333333349</v>
      </c>
      <c r="G3145" s="60" t="s">
        <v>9</v>
      </c>
      <c r="H3145" s="60" t="s">
        <v>5061</v>
      </c>
    </row>
    <row r="3146" spans="1:8">
      <c r="A3146" s="59" t="s">
        <v>3872</v>
      </c>
      <c r="B3146" s="62">
        <v>12</v>
      </c>
      <c r="C3146" s="60" t="s">
        <v>5069</v>
      </c>
      <c r="D3146" s="64">
        <f>IFERROR(VLOOKUP(C3146,測定点マスタ!$E$2:$F$28,2,FALSE)/VLOOKUP(A3146,'焼鈍条件-3CGL'!$A$2:$B$197,2,FALSE)*60,"")</f>
        <v>73.608342278791596</v>
      </c>
      <c r="E3146" s="66">
        <v>494.8</v>
      </c>
      <c r="F3146" s="64">
        <f t="shared" si="49"/>
        <v>30.740304523809542</v>
      </c>
      <c r="G3146" s="60" t="s">
        <v>9</v>
      </c>
      <c r="H3146" s="60" t="s">
        <v>5061</v>
      </c>
    </row>
    <row r="3147" spans="1:8">
      <c r="A3147" s="59" t="s">
        <v>3872</v>
      </c>
      <c r="B3147" s="62">
        <v>13</v>
      </c>
      <c r="C3147" s="60" t="s">
        <v>5053</v>
      </c>
      <c r="D3147" s="64">
        <f>IFERROR(VLOOKUP(C3147,測定点マスタ!$E$2:$F$28,2,FALSE)/VLOOKUP(A3147,'焼鈍条件-3CGL'!$A$2:$B$197,2,FALSE)*60,"")</f>
        <v>77.147204888348881</v>
      </c>
      <c r="E3147" s="66">
        <v>508.3</v>
      </c>
      <c r="F3147" s="64">
        <f t="shared" si="49"/>
        <v>3.8147850000000041</v>
      </c>
      <c r="G3147" s="60" t="s">
        <v>9</v>
      </c>
      <c r="H3147" s="60" t="s">
        <v>5061</v>
      </c>
    </row>
    <row r="3148" spans="1:8">
      <c r="A3148" s="59" t="s">
        <v>3872</v>
      </c>
      <c r="B3148" s="62">
        <v>14</v>
      </c>
      <c r="C3148" s="60" t="s">
        <v>5054</v>
      </c>
      <c r="D3148" s="64">
        <f>IFERROR(VLOOKUP(C3148,測定点マスタ!$E$2:$F$28,2,FALSE)/VLOOKUP(A3148,'焼鈍条件-3CGL'!$A$2:$B$197,2,FALSE)*60,"")</f>
        <v>86.348247673197832</v>
      </c>
      <c r="E3148" s="66">
        <v>507.5</v>
      </c>
      <c r="F3148" s="64">
        <f t="shared" si="49"/>
        <v>-8.6946666666667879E-2</v>
      </c>
      <c r="G3148" s="60" t="s">
        <v>9</v>
      </c>
      <c r="H3148" s="60" t="s">
        <v>5061</v>
      </c>
    </row>
    <row r="3149" spans="1:8">
      <c r="A3149" s="59" t="s">
        <v>3872</v>
      </c>
      <c r="B3149" s="62">
        <v>15</v>
      </c>
      <c r="C3149" s="60" t="s">
        <v>5056</v>
      </c>
      <c r="D3149" s="64">
        <f>IFERROR(VLOOKUP(C3149,測定点マスタ!$E$2:$F$28,2,FALSE)/VLOOKUP(A3149,'焼鈍条件-3CGL'!$A$2:$B$197,2,FALSE)*60,"")</f>
        <v>94.133745414223867</v>
      </c>
      <c r="E3149" s="66">
        <v>256.3</v>
      </c>
      <c r="F3149" s="64">
        <f t="shared" si="49"/>
        <v>-32.265117575757571</v>
      </c>
      <c r="G3149" s="60" t="s">
        <v>9</v>
      </c>
      <c r="H3149" s="60" t="s">
        <v>5061</v>
      </c>
    </row>
    <row r="3150" spans="1:8">
      <c r="A3150" s="59" t="s">
        <v>3872</v>
      </c>
      <c r="B3150" s="62">
        <v>16</v>
      </c>
      <c r="C3150" s="60" t="s">
        <v>5062</v>
      </c>
      <c r="D3150" s="64">
        <f>IFERROR(VLOOKUP(C3150,測定点マスタ!$E$2:$F$28,2,FALSE)/VLOOKUP(A3150,'焼鈍条件-3CGL'!$A$2:$B$197,2,FALSE)*60,"")</f>
        <v>102.62701567716137</v>
      </c>
      <c r="E3150" s="66">
        <v>461.4</v>
      </c>
      <c r="F3150" s="64">
        <f t="shared" si="49"/>
        <v>24.148530972222193</v>
      </c>
      <c r="G3150" s="60" t="s">
        <v>9</v>
      </c>
      <c r="H3150" s="60" t="s">
        <v>5061</v>
      </c>
    </row>
    <row r="3151" spans="1:8">
      <c r="A3151" s="59" t="s">
        <v>3872</v>
      </c>
      <c r="B3151" s="62">
        <v>17</v>
      </c>
      <c r="C3151" s="60" t="s">
        <v>5068</v>
      </c>
      <c r="D3151" s="64">
        <f>IFERROR(VLOOKUP(C3151,測定点マスタ!$E$2:$F$28,2,FALSE)/VLOOKUP(A3151,'焼鈍条件-3CGL'!$A$2:$B$197,2,FALSE)*60,"")</f>
        <v>112.43472062364881</v>
      </c>
      <c r="E3151" s="66">
        <v>347.9</v>
      </c>
      <c r="F3151" s="64">
        <f t="shared" si="49"/>
        <v>-11.572534106529085</v>
      </c>
      <c r="G3151" s="60" t="s">
        <v>9</v>
      </c>
      <c r="H3151" s="60" t="s">
        <v>5061</v>
      </c>
    </row>
    <row r="3152" spans="1:8">
      <c r="A3152" s="59" t="s">
        <v>3872</v>
      </c>
      <c r="B3152" s="62">
        <v>18</v>
      </c>
      <c r="C3152" s="60" t="s">
        <v>5057</v>
      </c>
      <c r="D3152" s="64">
        <f>IFERROR(VLOOKUP(C3152,測定点マスタ!$E$2:$F$28,2,FALSE)/VLOOKUP(A3152,'焼鈍条件-3CGL'!$A$2:$B$197,2,FALSE)*60,"")</f>
        <v>116.70663334518562</v>
      </c>
      <c r="E3152" s="66">
        <v>288.8</v>
      </c>
      <c r="F3152" s="64">
        <f t="shared" si="49"/>
        <v>-13.834552307692963</v>
      </c>
      <c r="G3152" s="60" t="s">
        <v>9</v>
      </c>
      <c r="H3152" s="60" t="s">
        <v>5061</v>
      </c>
    </row>
    <row r="3153" spans="1:8">
      <c r="A3153" s="59" t="s">
        <v>3872</v>
      </c>
      <c r="B3153" s="62">
        <v>19</v>
      </c>
      <c r="C3153" s="60" t="s">
        <v>5059</v>
      </c>
      <c r="D3153" s="64">
        <f>IFERROR(VLOOKUP(C3153,測定点マスタ!$E$2:$F$28,2,FALSE)/VLOOKUP(A3153,'焼鈍条件-3CGL'!$A$2:$B$197,2,FALSE)*60,"")</f>
        <v>125.25045878825996</v>
      </c>
      <c r="E3153" s="66">
        <v>64.8</v>
      </c>
      <c r="F3153" s="64">
        <f t="shared" si="49"/>
        <v>-26.217764102563134</v>
      </c>
      <c r="G3153" s="60" t="s">
        <v>9</v>
      </c>
      <c r="H3153" s="60" t="s">
        <v>5061</v>
      </c>
    </row>
    <row r="3154" spans="1:8">
      <c r="A3154" s="59" t="s">
        <v>3893</v>
      </c>
      <c r="B3154" s="62">
        <v>1</v>
      </c>
      <c r="C3154" s="60" t="s">
        <v>5041</v>
      </c>
      <c r="D3154" s="64">
        <f>IFERROR(VLOOKUP(C3154,測定点マスタ!$E$2:$F$28,2,FALSE)/VLOOKUP(A3154,'焼鈍条件-3CGL'!$A$2:$B$197,2,FALSE)*60,"")</f>
        <v>0</v>
      </c>
      <c r="E3154" s="66">
        <v>39.9</v>
      </c>
      <c r="F3154" s="64" t="str">
        <f t="shared" si="49"/>
        <v/>
      </c>
      <c r="G3154" s="60" t="s">
        <v>12</v>
      </c>
      <c r="H3154" s="60" t="s">
        <v>5042</v>
      </c>
    </row>
    <row r="3155" spans="1:8">
      <c r="A3155" s="59" t="s">
        <v>3893</v>
      </c>
      <c r="B3155" s="62">
        <v>2</v>
      </c>
      <c r="C3155" s="60" t="s">
        <v>5043</v>
      </c>
      <c r="D3155" s="64">
        <f>IFERROR(VLOOKUP(C3155,測定点マスタ!$E$2:$F$28,2,FALSE)/VLOOKUP(A3155,'焼鈍条件-3CGL'!$A$2:$B$197,2,FALSE)*60,"")</f>
        <v>8.6900267459712079</v>
      </c>
      <c r="E3155" s="66">
        <v>172.3</v>
      </c>
      <c r="F3155" s="64">
        <f t="shared" si="49"/>
        <v>15.235856444444444</v>
      </c>
      <c r="G3155" s="60" t="s">
        <v>12</v>
      </c>
      <c r="H3155" s="60" t="s">
        <v>5042</v>
      </c>
    </row>
    <row r="3156" spans="1:8">
      <c r="A3156" s="59" t="s">
        <v>3893</v>
      </c>
      <c r="B3156" s="62">
        <v>3</v>
      </c>
      <c r="C3156" s="60" t="s">
        <v>5044</v>
      </c>
      <c r="D3156" s="64">
        <f>IFERROR(VLOOKUP(C3156,測定点マスタ!$E$2:$F$28,2,FALSE)/VLOOKUP(A3156,'焼鈍条件-3CGL'!$A$2:$B$197,2,FALSE)*60,"")</f>
        <v>19.697393957534736</v>
      </c>
      <c r="E3156" s="66">
        <v>714.4</v>
      </c>
      <c r="F3156" s="64">
        <f t="shared" si="49"/>
        <v>49.248833947368418</v>
      </c>
      <c r="G3156" s="60" t="s">
        <v>12</v>
      </c>
      <c r="H3156" s="60" t="s">
        <v>5042</v>
      </c>
    </row>
    <row r="3157" spans="1:8">
      <c r="A3157" s="59" t="s">
        <v>3893</v>
      </c>
      <c r="B3157" s="62">
        <v>4</v>
      </c>
      <c r="C3157" s="60" t="s">
        <v>5045</v>
      </c>
      <c r="D3157" s="64">
        <f>IFERROR(VLOOKUP(C3157,測定点マスタ!$E$2:$F$28,2,FALSE)/VLOOKUP(A3157,'焼鈍条件-3CGL'!$A$2:$B$197,2,FALSE)*60,"")</f>
        <v>25.490745121515541</v>
      </c>
      <c r="E3157" s="66">
        <v>853.6</v>
      </c>
      <c r="F3157" s="64">
        <f t="shared" si="49"/>
        <v>24.027544000000006</v>
      </c>
      <c r="G3157" s="60" t="s">
        <v>12</v>
      </c>
      <c r="H3157" s="60" t="s">
        <v>5042</v>
      </c>
    </row>
    <row r="3158" spans="1:8">
      <c r="A3158" s="59" t="s">
        <v>3893</v>
      </c>
      <c r="B3158" s="62">
        <v>5</v>
      </c>
      <c r="C3158" s="60" t="s">
        <v>5047</v>
      </c>
      <c r="D3158" s="64">
        <f>IFERROR(VLOOKUP(C3158,測定点マスタ!$E$2:$F$28,2,FALSE)/VLOOKUP(A3158,'焼鈍条件-3CGL'!$A$2:$B$197,2,FALSE)*60,"")</f>
        <v>34.760106983884832</v>
      </c>
      <c r="E3158" s="66">
        <v>768.2</v>
      </c>
      <c r="F3158" s="64">
        <f t="shared" si="49"/>
        <v>-9.2131477083333273</v>
      </c>
      <c r="G3158" s="60" t="s">
        <v>12</v>
      </c>
      <c r="H3158" s="60" t="s">
        <v>5042</v>
      </c>
    </row>
    <row r="3159" spans="1:8">
      <c r="A3159" s="59" t="s">
        <v>3893</v>
      </c>
      <c r="B3159" s="62">
        <v>6</v>
      </c>
      <c r="C3159" s="60" t="s">
        <v>5048</v>
      </c>
      <c r="D3159" s="64">
        <f>IFERROR(VLOOKUP(C3159,測定点マスタ!$E$2:$F$28,2,FALSE)/VLOOKUP(A3159,'焼鈍条件-3CGL'!$A$2:$B$197,2,FALSE)*60,"")</f>
        <v>38.23611768227331</v>
      </c>
      <c r="E3159" s="66">
        <v>757.5</v>
      </c>
      <c r="F3159" s="64">
        <f t="shared" si="49"/>
        <v>-3.0782413888889062</v>
      </c>
      <c r="G3159" s="60" t="s">
        <v>12</v>
      </c>
      <c r="H3159" s="60" t="s">
        <v>5042</v>
      </c>
    </row>
    <row r="3160" spans="1:8">
      <c r="A3160" s="59" t="s">
        <v>3893</v>
      </c>
      <c r="B3160" s="62">
        <v>7</v>
      </c>
      <c r="C3160" s="60" t="s">
        <v>5049</v>
      </c>
      <c r="D3160" s="64">
        <f>IFERROR(VLOOKUP(C3160,測定点マスタ!$E$2:$F$28,2,FALSE)/VLOOKUP(A3160,'焼鈍条件-3CGL'!$A$2:$B$197,2,FALSE)*60,"")</f>
        <v>42.29146349705988</v>
      </c>
      <c r="E3160" s="66">
        <v>629.9</v>
      </c>
      <c r="F3160" s="64">
        <f t="shared" si="49"/>
        <v>-31.464640952380908</v>
      </c>
      <c r="G3160" s="60" t="s">
        <v>12</v>
      </c>
      <c r="H3160" s="60" t="s">
        <v>5042</v>
      </c>
    </row>
    <row r="3161" spans="1:8">
      <c r="A3161" s="59" t="s">
        <v>3893</v>
      </c>
      <c r="B3161" s="62">
        <v>8</v>
      </c>
      <c r="C3161" s="60" t="s">
        <v>5050</v>
      </c>
      <c r="D3161" s="64">
        <f>IFERROR(VLOOKUP(C3161,測定点マスタ!$E$2:$F$28,2,FALSE)/VLOOKUP(A3161,'焼鈍条件-3CGL'!$A$2:$B$197,2,FALSE)*60,"")</f>
        <v>46.92614442824452</v>
      </c>
      <c r="E3161" s="66">
        <v>506.3</v>
      </c>
      <c r="F3161" s="64">
        <f t="shared" si="49"/>
        <v>-26.668502500000013</v>
      </c>
      <c r="G3161" s="60" t="s">
        <v>12</v>
      </c>
      <c r="H3161" s="60" t="s">
        <v>5042</v>
      </c>
    </row>
    <row r="3162" spans="1:8">
      <c r="A3162" s="59" t="s">
        <v>3893</v>
      </c>
      <c r="B3162" s="62">
        <v>9</v>
      </c>
      <c r="C3162" s="60" t="s">
        <v>5051</v>
      </c>
      <c r="D3162" s="64">
        <f>IFERROR(VLOOKUP(C3162,測定点マスタ!$E$2:$F$28,2,FALSE)/VLOOKUP(A3162,'焼鈍条件-3CGL'!$A$2:$B$197,2,FALSE)*60,"")</f>
        <v>50.981490243031082</v>
      </c>
      <c r="E3162" s="66">
        <v>483.9</v>
      </c>
      <c r="F3162" s="64">
        <f t="shared" si="49"/>
        <v>-5.523573333333343</v>
      </c>
      <c r="G3162" s="60" t="s">
        <v>12</v>
      </c>
      <c r="H3162" s="60" t="s">
        <v>5042</v>
      </c>
    </row>
    <row r="3163" spans="1:8">
      <c r="A3163" s="59" t="s">
        <v>3893</v>
      </c>
      <c r="B3163" s="62">
        <v>10</v>
      </c>
      <c r="C3163" s="60" t="s">
        <v>5052</v>
      </c>
      <c r="D3163" s="64">
        <f>IFERROR(VLOOKUP(C3163,測定点マスタ!$E$2:$F$28,2,FALSE)/VLOOKUP(A3163,'焼鈍条件-3CGL'!$A$2:$B$197,2,FALSE)*60,"")</f>
        <v>56.195506290613814</v>
      </c>
      <c r="E3163" s="66">
        <v>358.7</v>
      </c>
      <c r="F3163" s="64">
        <f t="shared" si="49"/>
        <v>-24.012200740740706</v>
      </c>
      <c r="G3163" s="60" t="s">
        <v>12</v>
      </c>
      <c r="H3163" s="60" t="s">
        <v>5042</v>
      </c>
    </row>
    <row r="3164" spans="1:8">
      <c r="A3164" s="59" t="s">
        <v>3893</v>
      </c>
      <c r="B3164" s="62">
        <v>11</v>
      </c>
      <c r="C3164" s="60" t="s">
        <v>5053</v>
      </c>
      <c r="D3164" s="64">
        <f>IFERROR(VLOOKUP(C3164,測定点マスタ!$E$2:$F$28,2,FALSE)/VLOOKUP(A3164,'焼鈍条件-3CGL'!$A$2:$B$197,2,FALSE)*60,"")</f>
        <v>63.147527687390777</v>
      </c>
      <c r="E3164" s="66">
        <v>567.20000000000005</v>
      </c>
      <c r="F3164" s="64">
        <f t="shared" si="49"/>
        <v>29.991277083333351</v>
      </c>
      <c r="G3164" s="60" t="s">
        <v>12</v>
      </c>
      <c r="H3164" s="60" t="s">
        <v>5042</v>
      </c>
    </row>
    <row r="3165" spans="1:8">
      <c r="A3165" s="59" t="s">
        <v>3893</v>
      </c>
      <c r="B3165" s="62">
        <v>12</v>
      </c>
      <c r="C3165" s="60" t="s">
        <v>5054</v>
      </c>
      <c r="D3165" s="64">
        <f>IFERROR(VLOOKUP(C3165,測定点マスタ!$E$2:$F$28,2,FALSE)/VLOOKUP(A3165,'焼鈍条件-3CGL'!$A$2:$B$197,2,FALSE)*60,"")</f>
        <v>70.678884200565832</v>
      </c>
      <c r="E3165" s="66">
        <v>560.29999999999995</v>
      </c>
      <c r="F3165" s="64">
        <f t="shared" si="49"/>
        <v>-0.91616961538462638</v>
      </c>
      <c r="G3165" s="60" t="s">
        <v>12</v>
      </c>
      <c r="H3165" s="60" t="s">
        <v>5042</v>
      </c>
    </row>
    <row r="3166" spans="1:8">
      <c r="A3166" s="59" t="s">
        <v>3893</v>
      </c>
      <c r="B3166" s="62">
        <v>13</v>
      </c>
      <c r="C3166" s="60" t="s">
        <v>5056</v>
      </c>
      <c r="D3166" s="64">
        <f>IFERROR(VLOOKUP(C3166,測定点マスタ!$E$2:$F$28,2,FALSE)/VLOOKUP(A3166,'焼鈍条件-3CGL'!$A$2:$B$197,2,FALSE)*60,"")</f>
        <v>77.051570480944704</v>
      </c>
      <c r="E3166" s="66">
        <v>271.89999999999998</v>
      </c>
      <c r="F3166" s="64">
        <f t="shared" si="49"/>
        <v>-45.255640606060695</v>
      </c>
      <c r="G3166" s="60" t="s">
        <v>12</v>
      </c>
      <c r="H3166" s="60" t="s">
        <v>5042</v>
      </c>
    </row>
    <row r="3167" spans="1:8">
      <c r="A3167" s="59" t="s">
        <v>3893</v>
      </c>
      <c r="B3167" s="62">
        <v>14</v>
      </c>
      <c r="C3167" s="60" t="s">
        <v>5057</v>
      </c>
      <c r="D3167" s="64">
        <f>IFERROR(VLOOKUP(C3167,測定点マスタ!$E$2:$F$28,2,FALSE)/VLOOKUP(A3167,'焼鈍条件-3CGL'!$A$2:$B$197,2,FALSE)*60,"")</f>
        <v>95.52822258606912</v>
      </c>
      <c r="E3167" s="66">
        <v>238.7</v>
      </c>
      <c r="F3167" s="64">
        <f t="shared" si="49"/>
        <v>-1.7968623217618584</v>
      </c>
      <c r="G3167" s="60" t="s">
        <v>12</v>
      </c>
      <c r="H3167" s="60" t="s">
        <v>5042</v>
      </c>
    </row>
    <row r="3168" spans="1:8">
      <c r="A3168" s="59" t="s">
        <v>3893</v>
      </c>
      <c r="B3168" s="62">
        <v>15</v>
      </c>
      <c r="C3168" s="60" t="s">
        <v>5059</v>
      </c>
      <c r="D3168" s="64">
        <f>IFERROR(VLOOKUP(C3168,測定点マスタ!$E$2:$F$28,2,FALSE)/VLOOKUP(A3168,'焼鈍条件-3CGL'!$A$2:$B$197,2,FALSE)*60,"")</f>
        <v>102.52162506258907</v>
      </c>
      <c r="E3168" s="66">
        <v>57.9</v>
      </c>
      <c r="F3168" s="64">
        <f t="shared" si="49"/>
        <v>-25.852937909269251</v>
      </c>
      <c r="G3168" s="60" t="s">
        <v>12</v>
      </c>
      <c r="H3168" s="60" t="s">
        <v>5042</v>
      </c>
    </row>
    <row r="3169" spans="1:8">
      <c r="A3169" s="59" t="s">
        <v>3908</v>
      </c>
      <c r="B3169" s="62">
        <v>1</v>
      </c>
      <c r="C3169" s="60" t="s">
        <v>5041</v>
      </c>
      <c r="D3169" s="64">
        <f>IFERROR(VLOOKUP(C3169,測定点マスタ!$E$2:$F$28,2,FALSE)/VLOOKUP(A3169,'焼鈍条件-3CGL'!$A$2:$B$197,2,FALSE)*60,"")</f>
        <v>0</v>
      </c>
      <c r="E3169" s="66">
        <v>38.4</v>
      </c>
      <c r="F3169" s="64" t="str">
        <f t="shared" si="49"/>
        <v/>
      </c>
      <c r="G3169" s="60" t="s">
        <v>9</v>
      </c>
      <c r="H3169" s="60" t="s">
        <v>5061</v>
      </c>
    </row>
    <row r="3170" spans="1:8">
      <c r="A3170" s="59" t="s">
        <v>3908</v>
      </c>
      <c r="B3170" s="62">
        <v>2</v>
      </c>
      <c r="C3170" s="60" t="s">
        <v>5043</v>
      </c>
      <c r="D3170" s="64">
        <f>IFERROR(VLOOKUP(C3170,測定点マスタ!$E$2:$F$28,2,FALSE)/VLOOKUP(A3170,'焼鈍条件-3CGL'!$A$2:$B$197,2,FALSE)*60,"")</f>
        <v>6.0076497406697866</v>
      </c>
      <c r="E3170" s="66">
        <v>174.5</v>
      </c>
      <c r="F3170" s="64">
        <f t="shared" si="49"/>
        <v>22.654449888888887</v>
      </c>
      <c r="G3170" s="60" t="s">
        <v>9</v>
      </c>
      <c r="H3170" s="60" t="s">
        <v>5061</v>
      </c>
    </row>
    <row r="3171" spans="1:8">
      <c r="A3171" s="59" t="s">
        <v>3908</v>
      </c>
      <c r="B3171" s="62">
        <v>3</v>
      </c>
      <c r="C3171" s="60" t="s">
        <v>5044</v>
      </c>
      <c r="D3171" s="64">
        <f>IFERROR(VLOOKUP(C3171,測定点マスタ!$E$2:$F$28,2,FALSE)/VLOOKUP(A3171,'焼鈍条件-3CGL'!$A$2:$B$197,2,FALSE)*60,"")</f>
        <v>13.617339412184849</v>
      </c>
      <c r="E3171" s="66">
        <v>620.4</v>
      </c>
      <c r="F3171" s="64">
        <f t="shared" si="49"/>
        <v>58.596344824561399</v>
      </c>
      <c r="G3171" s="60" t="s">
        <v>9</v>
      </c>
      <c r="H3171" s="60" t="s">
        <v>5061</v>
      </c>
    </row>
    <row r="3172" spans="1:8">
      <c r="A3172" s="59" t="s">
        <v>3908</v>
      </c>
      <c r="B3172" s="62">
        <v>4</v>
      </c>
      <c r="C3172" s="60" t="s">
        <v>5045</v>
      </c>
      <c r="D3172" s="64">
        <f>IFERROR(VLOOKUP(C3172,測定点マスタ!$E$2:$F$28,2,FALSE)/VLOOKUP(A3172,'焼鈍条件-3CGL'!$A$2:$B$197,2,FALSE)*60,"")</f>
        <v>17.622439239298043</v>
      </c>
      <c r="E3172" s="66">
        <v>764</v>
      </c>
      <c r="F3172" s="64">
        <f t="shared" si="49"/>
        <v>35.854287333333318</v>
      </c>
      <c r="G3172" s="60" t="s">
        <v>9</v>
      </c>
      <c r="H3172" s="60" t="s">
        <v>5061</v>
      </c>
    </row>
    <row r="3173" spans="1:8">
      <c r="A3173" s="59" t="s">
        <v>3908</v>
      </c>
      <c r="B3173" s="62">
        <v>5</v>
      </c>
      <c r="C3173" s="60" t="s">
        <v>5047</v>
      </c>
      <c r="D3173" s="64">
        <f>IFERROR(VLOOKUP(C3173,測定点マスタ!$E$2:$F$28,2,FALSE)/VLOOKUP(A3173,'焼鈍条件-3CGL'!$A$2:$B$197,2,FALSE)*60,"")</f>
        <v>24.030598962679147</v>
      </c>
      <c r="E3173" s="66">
        <v>697</v>
      </c>
      <c r="F3173" s="64">
        <f t="shared" si="49"/>
        <v>-10.455419791666669</v>
      </c>
      <c r="G3173" s="60" t="s">
        <v>9</v>
      </c>
      <c r="H3173" s="60" t="s">
        <v>5061</v>
      </c>
    </row>
    <row r="3174" spans="1:8">
      <c r="A3174" s="59" t="s">
        <v>3908</v>
      </c>
      <c r="B3174" s="62">
        <v>6</v>
      </c>
      <c r="C3174" s="60" t="s">
        <v>5048</v>
      </c>
      <c r="D3174" s="64">
        <f>IFERROR(VLOOKUP(C3174,測定点マスタ!$E$2:$F$28,2,FALSE)/VLOOKUP(A3174,'焼鈍条件-3CGL'!$A$2:$B$197,2,FALSE)*60,"")</f>
        <v>26.433658858947059</v>
      </c>
      <c r="E3174" s="66">
        <v>682.3</v>
      </c>
      <c r="F3174" s="64">
        <f t="shared" si="49"/>
        <v>-6.1172008333333583</v>
      </c>
      <c r="G3174" s="60" t="s">
        <v>9</v>
      </c>
      <c r="H3174" s="60" t="s">
        <v>5061</v>
      </c>
    </row>
    <row r="3175" spans="1:8">
      <c r="A3175" s="59" t="s">
        <v>3908</v>
      </c>
      <c r="B3175" s="62">
        <v>7</v>
      </c>
      <c r="C3175" s="60" t="s">
        <v>5049</v>
      </c>
      <c r="D3175" s="64">
        <f>IFERROR(VLOOKUP(C3175,測定点マスタ!$E$2:$F$28,2,FALSE)/VLOOKUP(A3175,'焼鈍条件-3CGL'!$A$2:$B$197,2,FALSE)*60,"")</f>
        <v>29.237228737926294</v>
      </c>
      <c r="E3175" s="66">
        <v>560</v>
      </c>
      <c r="F3175" s="64">
        <f t="shared" si="49"/>
        <v>-43.622954047618997</v>
      </c>
      <c r="G3175" s="60" t="s">
        <v>9</v>
      </c>
      <c r="H3175" s="60" t="s">
        <v>5061</v>
      </c>
    </row>
    <row r="3176" spans="1:8">
      <c r="A3176" s="59" t="s">
        <v>3908</v>
      </c>
      <c r="B3176" s="62">
        <v>8</v>
      </c>
      <c r="C3176" s="60" t="s">
        <v>5050</v>
      </c>
      <c r="D3176" s="64">
        <f>IFERROR(VLOOKUP(C3176,測定点マスタ!$E$2:$F$28,2,FALSE)/VLOOKUP(A3176,'焼鈍条件-3CGL'!$A$2:$B$197,2,FALSE)*60,"")</f>
        <v>32.441308599616846</v>
      </c>
      <c r="E3176" s="66">
        <v>468.7</v>
      </c>
      <c r="F3176" s="64">
        <f t="shared" si="49"/>
        <v>-28.494920208333344</v>
      </c>
      <c r="G3176" s="60" t="s">
        <v>9</v>
      </c>
      <c r="H3176" s="60" t="s">
        <v>5061</v>
      </c>
    </row>
    <row r="3177" spans="1:8">
      <c r="A3177" s="59" t="s">
        <v>3908</v>
      </c>
      <c r="B3177" s="62">
        <v>9</v>
      </c>
      <c r="C3177" s="60" t="s">
        <v>5051</v>
      </c>
      <c r="D3177" s="64">
        <f>IFERROR(VLOOKUP(C3177,測定点マスタ!$E$2:$F$28,2,FALSE)/VLOOKUP(A3177,'焼鈍条件-3CGL'!$A$2:$B$197,2,FALSE)*60,"")</f>
        <v>35.244878478596085</v>
      </c>
      <c r="E3177" s="66">
        <v>446.6</v>
      </c>
      <c r="F3177" s="64">
        <f t="shared" si="49"/>
        <v>-7.8828069047618765</v>
      </c>
      <c r="G3177" s="60" t="s">
        <v>9</v>
      </c>
      <c r="H3177" s="60" t="s">
        <v>5061</v>
      </c>
    </row>
    <row r="3178" spans="1:8">
      <c r="A3178" s="59" t="s">
        <v>3908</v>
      </c>
      <c r="B3178" s="62">
        <v>10</v>
      </c>
      <c r="C3178" s="60" t="s">
        <v>5052</v>
      </c>
      <c r="D3178" s="64">
        <f>IFERROR(VLOOKUP(C3178,測定点マスタ!$E$2:$F$28,2,FALSE)/VLOOKUP(A3178,'焼鈍条件-3CGL'!$A$2:$B$197,2,FALSE)*60,"")</f>
        <v>38.84946832299795</v>
      </c>
      <c r="E3178" s="66">
        <v>315</v>
      </c>
      <c r="F3178" s="64">
        <f t="shared" si="49"/>
        <v>-36.509008148148226</v>
      </c>
      <c r="G3178" s="60" t="s">
        <v>9</v>
      </c>
      <c r="H3178" s="60" t="s">
        <v>5061</v>
      </c>
    </row>
    <row r="3179" spans="1:8">
      <c r="A3179" s="59" t="s">
        <v>3908</v>
      </c>
      <c r="B3179" s="62">
        <v>11</v>
      </c>
      <c r="C3179" s="60" t="s">
        <v>5053</v>
      </c>
      <c r="D3179" s="64">
        <f>IFERROR(VLOOKUP(C3179,測定点マスタ!$E$2:$F$28,2,FALSE)/VLOOKUP(A3179,'焼鈍条件-3CGL'!$A$2:$B$197,2,FALSE)*60,"")</f>
        <v>43.655588115533781</v>
      </c>
      <c r="E3179" s="66">
        <v>484.9</v>
      </c>
      <c r="F3179" s="64">
        <f t="shared" si="49"/>
        <v>35.350762638888867</v>
      </c>
      <c r="G3179" s="60" t="s">
        <v>9</v>
      </c>
      <c r="H3179" s="60" t="s">
        <v>5061</v>
      </c>
    </row>
    <row r="3180" spans="1:8">
      <c r="A3180" s="59" t="s">
        <v>3908</v>
      </c>
      <c r="B3180" s="62">
        <v>12</v>
      </c>
      <c r="C3180" s="60" t="s">
        <v>5054</v>
      </c>
      <c r="D3180" s="64">
        <f>IFERROR(VLOOKUP(C3180,測定点マスタ!$E$2:$F$28,2,FALSE)/VLOOKUP(A3180,'焼鈍条件-3CGL'!$A$2:$B$197,2,FALSE)*60,"")</f>
        <v>48.862217890780926</v>
      </c>
      <c r="E3180" s="66">
        <v>458</v>
      </c>
      <c r="F3180" s="64">
        <f t="shared" si="49"/>
        <v>-5.1664898717948713</v>
      </c>
      <c r="G3180" s="60" t="s">
        <v>9</v>
      </c>
      <c r="H3180" s="60" t="s">
        <v>5061</v>
      </c>
    </row>
    <row r="3181" spans="1:8">
      <c r="A3181" s="59" t="s">
        <v>3908</v>
      </c>
      <c r="B3181" s="62">
        <v>13</v>
      </c>
      <c r="C3181" s="60" t="s">
        <v>5056</v>
      </c>
      <c r="D3181" s="64">
        <f>IFERROR(VLOOKUP(C3181,測定点マスタ!$E$2:$F$28,2,FALSE)/VLOOKUP(A3181,'焼鈍条件-3CGL'!$A$2:$B$197,2,FALSE)*60,"")</f>
        <v>53.267827700605437</v>
      </c>
      <c r="E3181" s="66">
        <v>270.60000000000002</v>
      </c>
      <c r="F3181" s="64">
        <f t="shared" si="49"/>
        <v>-42.536676666666644</v>
      </c>
      <c r="G3181" s="60" t="s">
        <v>9</v>
      </c>
      <c r="H3181" s="60" t="s">
        <v>5061</v>
      </c>
    </row>
    <row r="3182" spans="1:8">
      <c r="A3182" s="59" t="s">
        <v>3908</v>
      </c>
      <c r="B3182" s="62">
        <v>14</v>
      </c>
      <c r="C3182" s="60" t="s">
        <v>5062</v>
      </c>
      <c r="D3182" s="64">
        <f>IFERROR(VLOOKUP(C3182,測定点マスタ!$E$2:$F$28,2,FALSE)/VLOOKUP(A3182,'焼鈍条件-3CGL'!$A$2:$B$197,2,FALSE)*60,"")</f>
        <v>58.073947493141262</v>
      </c>
      <c r="E3182" s="66">
        <v>459.8</v>
      </c>
      <c r="F3182" s="64">
        <f t="shared" si="49"/>
        <v>39.366476111111147</v>
      </c>
      <c r="G3182" s="60" t="s">
        <v>9</v>
      </c>
      <c r="H3182" s="60" t="s">
        <v>5061</v>
      </c>
    </row>
    <row r="3183" spans="1:8">
      <c r="A3183" s="59" t="s">
        <v>3908</v>
      </c>
      <c r="B3183" s="62">
        <v>15</v>
      </c>
      <c r="C3183" s="60" t="s">
        <v>5057</v>
      </c>
      <c r="D3183" s="64">
        <f>IFERROR(VLOOKUP(C3183,測定点マスタ!$E$2:$F$28,2,FALSE)/VLOOKUP(A3183,'焼鈍条件-3CGL'!$A$2:$B$197,2,FALSE)*60,"")</f>
        <v>66.041235363505663</v>
      </c>
      <c r="E3183" s="66">
        <v>258.2</v>
      </c>
      <c r="F3183" s="64">
        <f t="shared" si="49"/>
        <v>-25.303466283662647</v>
      </c>
      <c r="G3183" s="60" t="s">
        <v>9</v>
      </c>
      <c r="H3183" s="60" t="s">
        <v>5061</v>
      </c>
    </row>
    <row r="3184" spans="1:8">
      <c r="A3184" s="59" t="s">
        <v>3908</v>
      </c>
      <c r="B3184" s="62">
        <v>16</v>
      </c>
      <c r="C3184" s="60" t="s">
        <v>5058</v>
      </c>
      <c r="D3184" s="64">
        <f>IFERROR(VLOOKUP(C3184,測定点マスタ!$E$2:$F$28,2,FALSE)/VLOOKUP(A3184,'焼鈍条件-3CGL'!$A$2:$B$197,2,FALSE)*60,"")</f>
        <v>68.45859918772743</v>
      </c>
      <c r="E3184" s="66">
        <v>110.6</v>
      </c>
      <c r="F3184" s="64">
        <f t="shared" si="49"/>
        <v>-61.058248047340406</v>
      </c>
      <c r="G3184" s="60" t="s">
        <v>9</v>
      </c>
      <c r="H3184" s="60" t="s">
        <v>5061</v>
      </c>
    </row>
    <row r="3185" spans="1:8">
      <c r="A3185" s="59" t="s">
        <v>3908</v>
      </c>
      <c r="B3185" s="62">
        <v>17</v>
      </c>
      <c r="C3185" s="60" t="s">
        <v>5059</v>
      </c>
      <c r="D3185" s="64">
        <f>IFERROR(VLOOKUP(C3185,測定点マスタ!$E$2:$F$28,2,FALSE)/VLOOKUP(A3185,'焼鈍条件-3CGL'!$A$2:$B$197,2,FALSE)*60,"")</f>
        <v>70.875963011949622</v>
      </c>
      <c r="E3185" s="66">
        <v>41</v>
      </c>
      <c r="F3185" s="64">
        <f t="shared" si="49"/>
        <v>-28.791694201179826</v>
      </c>
      <c r="G3185" s="60" t="s">
        <v>9</v>
      </c>
      <c r="H3185" s="60" t="s">
        <v>5061</v>
      </c>
    </row>
    <row r="3186" spans="1:8">
      <c r="A3186" s="59" t="s">
        <v>3923</v>
      </c>
      <c r="B3186" s="62">
        <v>1</v>
      </c>
      <c r="C3186" s="60" t="s">
        <v>5041</v>
      </c>
      <c r="D3186" s="64">
        <f>IFERROR(VLOOKUP(C3186,測定点マスタ!$E$2:$F$28,2,FALSE)/VLOOKUP(A3186,'焼鈍条件-3CGL'!$A$2:$B$197,2,FALSE)*60,"")</f>
        <v>0</v>
      </c>
      <c r="E3186" s="66">
        <v>37</v>
      </c>
      <c r="F3186" s="64" t="str">
        <f t="shared" si="49"/>
        <v/>
      </c>
      <c r="G3186" s="60" t="s">
        <v>12</v>
      </c>
      <c r="H3186" s="60" t="s">
        <v>5042</v>
      </c>
    </row>
    <row r="3187" spans="1:8">
      <c r="A3187" s="59" t="s">
        <v>3923</v>
      </c>
      <c r="B3187" s="62">
        <v>2</v>
      </c>
      <c r="C3187" s="60" t="s">
        <v>5043</v>
      </c>
      <c r="D3187" s="64">
        <f>IFERROR(VLOOKUP(C3187,測定点マスタ!$E$2:$F$28,2,FALSE)/VLOOKUP(A3187,'焼鈍条件-3CGL'!$A$2:$B$197,2,FALSE)*60,"")</f>
        <v>7.4823541148790769</v>
      </c>
      <c r="E3187" s="66">
        <v>151.6</v>
      </c>
      <c r="F3187" s="64">
        <f t="shared" si="49"/>
        <v>15.316035333333332</v>
      </c>
      <c r="G3187" s="60" t="s">
        <v>12</v>
      </c>
      <c r="H3187" s="60" t="s">
        <v>5042</v>
      </c>
    </row>
    <row r="3188" spans="1:8">
      <c r="A3188" s="59" t="s">
        <v>3923</v>
      </c>
      <c r="B3188" s="62">
        <v>3</v>
      </c>
      <c r="C3188" s="60" t="s">
        <v>5067</v>
      </c>
      <c r="D3188" s="64">
        <f>IFERROR(VLOOKUP(C3188,測定点マスタ!$E$2:$F$28,2,FALSE)/VLOOKUP(A3188,'焼鈍条件-3CGL'!$A$2:$B$197,2,FALSE)*60,"")</f>
        <v>12.470590191465128</v>
      </c>
      <c r="E3188" s="66">
        <v>353.5</v>
      </c>
      <c r="F3188" s="64">
        <f t="shared" si="49"/>
        <v>40.475229500000005</v>
      </c>
      <c r="G3188" s="60" t="s">
        <v>12</v>
      </c>
      <c r="H3188" s="60" t="s">
        <v>5042</v>
      </c>
    </row>
    <row r="3189" spans="1:8">
      <c r="A3189" s="59" t="s">
        <v>3923</v>
      </c>
      <c r="B3189" s="62">
        <v>4</v>
      </c>
      <c r="C3189" s="60" t="s">
        <v>5044</v>
      </c>
      <c r="D3189" s="64">
        <f>IFERROR(VLOOKUP(C3189,測定点マスタ!$E$2:$F$28,2,FALSE)/VLOOKUP(A3189,'焼鈍条件-3CGL'!$A$2:$B$197,2,FALSE)*60,"")</f>
        <v>16.960002660392572</v>
      </c>
      <c r="E3189" s="66">
        <v>634.6</v>
      </c>
      <c r="F3189" s="64">
        <f t="shared" si="49"/>
        <v>62.613983888888924</v>
      </c>
      <c r="G3189" s="60" t="s">
        <v>12</v>
      </c>
      <c r="H3189" s="60" t="s">
        <v>5042</v>
      </c>
    </row>
    <row r="3190" spans="1:8">
      <c r="A3190" s="59" t="s">
        <v>3923</v>
      </c>
      <c r="B3190" s="62">
        <v>5</v>
      </c>
      <c r="C3190" s="60" t="s">
        <v>5045</v>
      </c>
      <c r="D3190" s="64">
        <f>IFERROR(VLOOKUP(C3190,測定点マスタ!$E$2:$F$28,2,FALSE)/VLOOKUP(A3190,'焼鈍条件-3CGL'!$A$2:$B$197,2,FALSE)*60,"")</f>
        <v>21.948238736978624</v>
      </c>
      <c r="E3190" s="66">
        <v>765.8</v>
      </c>
      <c r="F3190" s="64">
        <f t="shared" si="49"/>
        <v>26.30188266666665</v>
      </c>
      <c r="G3190" s="60" t="s">
        <v>12</v>
      </c>
      <c r="H3190" s="60" t="s">
        <v>5042</v>
      </c>
    </row>
    <row r="3191" spans="1:8">
      <c r="A3191" s="59" t="s">
        <v>3923</v>
      </c>
      <c r="B3191" s="62">
        <v>6</v>
      </c>
      <c r="C3191" s="60" t="s">
        <v>5046</v>
      </c>
      <c r="D3191" s="64">
        <f>IFERROR(VLOOKUP(C3191,測定点マスタ!$E$2:$F$28,2,FALSE)/VLOOKUP(A3191,'焼鈍条件-3CGL'!$A$2:$B$197,2,FALSE)*60,"")</f>
        <v>26.936474813564676</v>
      </c>
      <c r="E3191" s="66">
        <v>727.7</v>
      </c>
      <c r="F3191" s="64">
        <f t="shared" si="49"/>
        <v>-7.6379704999999811</v>
      </c>
      <c r="G3191" s="60" t="s">
        <v>12</v>
      </c>
      <c r="H3191" s="60" t="s">
        <v>5042</v>
      </c>
    </row>
    <row r="3192" spans="1:8">
      <c r="A3192" s="59" t="s">
        <v>3923</v>
      </c>
      <c r="B3192" s="62">
        <v>7</v>
      </c>
      <c r="C3192" s="60" t="s">
        <v>5047</v>
      </c>
      <c r="D3192" s="64">
        <f>IFERROR(VLOOKUP(C3192,測定点マスタ!$E$2:$F$28,2,FALSE)/VLOOKUP(A3192,'焼鈍条件-3CGL'!$A$2:$B$197,2,FALSE)*60,"")</f>
        <v>29.929416459516307</v>
      </c>
      <c r="E3192" s="66">
        <v>687.5</v>
      </c>
      <c r="F3192" s="64">
        <f t="shared" si="49"/>
        <v>-13.431601666666676</v>
      </c>
      <c r="G3192" s="60" t="s">
        <v>12</v>
      </c>
      <c r="H3192" s="60" t="s">
        <v>5042</v>
      </c>
    </row>
    <row r="3193" spans="1:8">
      <c r="A3193" s="59" t="s">
        <v>3923</v>
      </c>
      <c r="B3193" s="62">
        <v>8</v>
      </c>
      <c r="C3193" s="60" t="s">
        <v>5049</v>
      </c>
      <c r="D3193" s="64">
        <f>IFERROR(VLOOKUP(C3193,測定点マスタ!$E$2:$F$28,2,FALSE)/VLOOKUP(A3193,'焼鈍条件-3CGL'!$A$2:$B$197,2,FALSE)*60,"")</f>
        <v>36.414123359078175</v>
      </c>
      <c r="E3193" s="66">
        <v>559.79999999999995</v>
      </c>
      <c r="F3193" s="64">
        <f t="shared" si="49"/>
        <v>-19.692486025641028</v>
      </c>
      <c r="G3193" s="60" t="s">
        <v>12</v>
      </c>
      <c r="H3193" s="60" t="s">
        <v>5042</v>
      </c>
    </row>
    <row r="3194" spans="1:8">
      <c r="A3194" s="59" t="s">
        <v>3923</v>
      </c>
      <c r="B3194" s="62">
        <v>9</v>
      </c>
      <c r="C3194" s="60" t="s">
        <v>5050</v>
      </c>
      <c r="D3194" s="64">
        <f>IFERROR(VLOOKUP(C3194,測定点マスタ!$E$2:$F$28,2,FALSE)/VLOOKUP(A3194,'焼鈍条件-3CGL'!$A$2:$B$197,2,FALSE)*60,"")</f>
        <v>40.404712220347015</v>
      </c>
      <c r="E3194" s="66">
        <v>448.2</v>
      </c>
      <c r="F3194" s="64">
        <f t="shared" si="49"/>
        <v>-27.965797499999997</v>
      </c>
      <c r="G3194" s="60" t="s">
        <v>12</v>
      </c>
      <c r="H3194" s="60" t="s">
        <v>5042</v>
      </c>
    </row>
    <row r="3195" spans="1:8">
      <c r="A3195" s="59" t="s">
        <v>3923</v>
      </c>
      <c r="B3195" s="62">
        <v>10</v>
      </c>
      <c r="C3195" s="60" t="s">
        <v>5051</v>
      </c>
      <c r="D3195" s="64">
        <f>IFERROR(VLOOKUP(C3195,測定点マスタ!$E$2:$F$28,2,FALSE)/VLOOKUP(A3195,'焼鈍条件-3CGL'!$A$2:$B$197,2,FALSE)*60,"")</f>
        <v>43.896477473957248</v>
      </c>
      <c r="E3195" s="66">
        <v>425.3</v>
      </c>
      <c r="F3195" s="64">
        <f t="shared" si="49"/>
        <v>-6.5582873809523807</v>
      </c>
      <c r="G3195" s="60" t="s">
        <v>12</v>
      </c>
      <c r="H3195" s="60" t="s">
        <v>5042</v>
      </c>
    </row>
    <row r="3196" spans="1:8">
      <c r="A3196" s="59" t="s">
        <v>3923</v>
      </c>
      <c r="B3196" s="62">
        <v>11</v>
      </c>
      <c r="C3196" s="60" t="s">
        <v>5052</v>
      </c>
      <c r="D3196" s="64">
        <f>IFERROR(VLOOKUP(C3196,測定点マスタ!$E$2:$F$28,2,FALSE)/VLOOKUP(A3196,'焼鈍条件-3CGL'!$A$2:$B$197,2,FALSE)*60,"")</f>
        <v>48.385889942884702</v>
      </c>
      <c r="E3196" s="66">
        <v>327.60000000000002</v>
      </c>
      <c r="F3196" s="64">
        <f t="shared" si="49"/>
        <v>-21.762313148148102</v>
      </c>
      <c r="G3196" s="60" t="s">
        <v>12</v>
      </c>
      <c r="H3196" s="60" t="s">
        <v>5042</v>
      </c>
    </row>
    <row r="3197" spans="1:8">
      <c r="A3197" s="59" t="s">
        <v>3923</v>
      </c>
      <c r="B3197" s="62">
        <v>12</v>
      </c>
      <c r="C3197" s="60" t="s">
        <v>5069</v>
      </c>
      <c r="D3197" s="64">
        <f>IFERROR(VLOOKUP(C3197,測定点マスタ!$E$2:$F$28,2,FALSE)/VLOOKUP(A3197,'焼鈍条件-3CGL'!$A$2:$B$197,2,FALSE)*60,"")</f>
        <v>51.877655196494935</v>
      </c>
      <c r="E3197" s="66">
        <v>480.8</v>
      </c>
      <c r="F3197" s="64">
        <f t="shared" si="49"/>
        <v>43.87465619047623</v>
      </c>
      <c r="G3197" s="60" t="s">
        <v>12</v>
      </c>
      <c r="H3197" s="60" t="s">
        <v>5042</v>
      </c>
    </row>
    <row r="3198" spans="1:8">
      <c r="A3198" s="59" t="s">
        <v>3923</v>
      </c>
      <c r="B3198" s="62">
        <v>13</v>
      </c>
      <c r="C3198" s="60" t="s">
        <v>5053</v>
      </c>
      <c r="D3198" s="64">
        <f>IFERROR(VLOOKUP(C3198,測定点マスタ!$E$2:$F$28,2,FALSE)/VLOOKUP(A3198,'焼鈍条件-3CGL'!$A$2:$B$197,2,FALSE)*60,"")</f>
        <v>54.371773234787959</v>
      </c>
      <c r="E3198" s="66">
        <v>490.9</v>
      </c>
      <c r="F3198" s="64">
        <f t="shared" si="49"/>
        <v>4.0495276666666555</v>
      </c>
      <c r="G3198" s="60" t="s">
        <v>12</v>
      </c>
      <c r="H3198" s="60" t="s">
        <v>5042</v>
      </c>
    </row>
    <row r="3199" spans="1:8">
      <c r="A3199" s="59" t="s">
        <v>3923</v>
      </c>
      <c r="B3199" s="62">
        <v>14</v>
      </c>
      <c r="C3199" s="60" t="s">
        <v>5054</v>
      </c>
      <c r="D3199" s="64">
        <f>IFERROR(VLOOKUP(C3199,測定点マスタ!$E$2:$F$28,2,FALSE)/VLOOKUP(A3199,'焼鈍条件-3CGL'!$A$2:$B$197,2,FALSE)*60,"")</f>
        <v>60.856480134349823</v>
      </c>
      <c r="E3199" s="66">
        <v>480.6</v>
      </c>
      <c r="F3199" s="64">
        <f t="shared" si="49"/>
        <v>-1.5883524358974295</v>
      </c>
      <c r="G3199" s="60" t="s">
        <v>12</v>
      </c>
      <c r="H3199" s="60" t="s">
        <v>5042</v>
      </c>
    </row>
    <row r="3200" spans="1:8">
      <c r="A3200" s="59" t="s">
        <v>3923</v>
      </c>
      <c r="B3200" s="62">
        <v>15</v>
      </c>
      <c r="C3200" s="60" t="s">
        <v>5055</v>
      </c>
      <c r="D3200" s="64">
        <f>IFERROR(VLOOKUP(C3200,測定点マスタ!$E$2:$F$28,2,FALSE)/VLOOKUP(A3200,'焼鈍条件-3CGL'!$A$2:$B$197,2,FALSE)*60,"")</f>
        <v>63.350598172642847</v>
      </c>
      <c r="E3200" s="66">
        <v>529.5</v>
      </c>
      <c r="F3200" s="64">
        <f t="shared" si="49"/>
        <v>19.606129000000003</v>
      </c>
      <c r="G3200" s="60" t="s">
        <v>12</v>
      </c>
      <c r="H3200" s="60" t="s">
        <v>5042</v>
      </c>
    </row>
    <row r="3201" spans="1:8">
      <c r="A3201" s="59" t="s">
        <v>3923</v>
      </c>
      <c r="B3201" s="62">
        <v>16</v>
      </c>
      <c r="C3201" s="60" t="s">
        <v>5056</v>
      </c>
      <c r="D3201" s="64">
        <f>IFERROR(VLOOKUP(C3201,測定点マスタ!$E$2:$F$28,2,FALSE)/VLOOKUP(A3201,'焼鈍条件-3CGL'!$A$2:$B$197,2,FALSE)*60,"")</f>
        <v>66.343539818594479</v>
      </c>
      <c r="E3201" s="66">
        <v>238.3</v>
      </c>
      <c r="F3201" s="64">
        <f t="shared" si="49"/>
        <v>-97.29558222222218</v>
      </c>
      <c r="G3201" s="60" t="s">
        <v>12</v>
      </c>
      <c r="H3201" s="60" t="s">
        <v>5042</v>
      </c>
    </row>
    <row r="3202" spans="1:8">
      <c r="A3202" s="59" t="s">
        <v>3923</v>
      </c>
      <c r="B3202" s="62">
        <v>17</v>
      </c>
      <c r="C3202" s="60" t="s">
        <v>5068</v>
      </c>
      <c r="D3202" s="64">
        <f>IFERROR(VLOOKUP(C3202,測定点マスタ!$E$2:$F$28,2,FALSE)/VLOOKUP(A3202,'焼鈍条件-3CGL'!$A$2:$B$197,2,FALSE)*60,"")</f>
        <v>79.241693102338488</v>
      </c>
      <c r="E3202" s="66">
        <v>381.3</v>
      </c>
      <c r="F3202" s="64">
        <f t="shared" ref="F3202:F3265" si="50">IF(A3202=A3201,IFERROR((E3202-E3201)/(D3202-D3201),""),"")</f>
        <v>11.086858471454814</v>
      </c>
      <c r="G3202" s="60" t="s">
        <v>12</v>
      </c>
      <c r="H3202" s="60" t="s">
        <v>5042</v>
      </c>
    </row>
    <row r="3203" spans="1:8">
      <c r="A3203" s="59" t="s">
        <v>3923</v>
      </c>
      <c r="B3203" s="62">
        <v>18</v>
      </c>
      <c r="C3203" s="60" t="s">
        <v>5057</v>
      </c>
      <c r="D3203" s="64">
        <f>IFERROR(VLOOKUP(C3203,測定点マスタ!$E$2:$F$28,2,FALSE)/VLOOKUP(A3203,'焼鈍条件-3CGL'!$A$2:$B$197,2,FALSE)*60,"")</f>
        <v>82.252449877134922</v>
      </c>
      <c r="E3203" s="66">
        <v>264.39999999999998</v>
      </c>
      <c r="F3203" s="64">
        <f t="shared" si="50"/>
        <v>-38.827447297832279</v>
      </c>
      <c r="G3203" s="60" t="s">
        <v>12</v>
      </c>
      <c r="H3203" s="60" t="s">
        <v>5042</v>
      </c>
    </row>
    <row r="3204" spans="1:8">
      <c r="A3204" s="59" t="s">
        <v>3923</v>
      </c>
      <c r="B3204" s="62">
        <v>19</v>
      </c>
      <c r="C3204" s="60" t="s">
        <v>5058</v>
      </c>
      <c r="D3204" s="64">
        <f>IFERROR(VLOOKUP(C3204,測定点マスタ!$E$2:$F$28,2,FALSE)/VLOOKUP(A3204,'焼鈍条件-3CGL'!$A$2:$B$197,2,FALSE)*60,"")</f>
        <v>85.26320665193137</v>
      </c>
      <c r="E3204" s="66">
        <v>89.5</v>
      </c>
      <c r="F3204" s="64">
        <f t="shared" si="50"/>
        <v>-58.091706863907881</v>
      </c>
      <c r="G3204" s="60" t="s">
        <v>12</v>
      </c>
      <c r="H3204" s="60" t="s">
        <v>5042</v>
      </c>
    </row>
    <row r="3205" spans="1:8">
      <c r="A3205" s="59" t="s">
        <v>3923</v>
      </c>
      <c r="B3205" s="62">
        <v>20</v>
      </c>
      <c r="C3205" s="60" t="s">
        <v>5059</v>
      </c>
      <c r="D3205" s="64">
        <f>IFERROR(VLOOKUP(C3205,測定点マスタ!$E$2:$F$28,2,FALSE)/VLOOKUP(A3205,'焼鈍条件-3CGL'!$A$2:$B$197,2,FALSE)*60,"")</f>
        <v>88.273963426728301</v>
      </c>
      <c r="E3205" s="66">
        <v>63.1</v>
      </c>
      <c r="F3205" s="64">
        <f t="shared" si="50"/>
        <v>-8.7685595266261984</v>
      </c>
      <c r="G3205" s="60" t="s">
        <v>12</v>
      </c>
      <c r="H3205" s="60" t="s">
        <v>5042</v>
      </c>
    </row>
    <row r="3206" spans="1:8">
      <c r="A3206" s="59" t="s">
        <v>3938</v>
      </c>
      <c r="B3206" s="62">
        <v>1</v>
      </c>
      <c r="C3206" s="60" t="s">
        <v>5041</v>
      </c>
      <c r="D3206" s="64">
        <f>IFERROR(VLOOKUP(C3206,測定点マスタ!$E$2:$F$28,2,FALSE)/VLOOKUP(A3206,'焼鈍条件-3CGL'!$A$2:$B$197,2,FALSE)*60,"")</f>
        <v>0</v>
      </c>
      <c r="E3206" s="66">
        <v>37.299999999999997</v>
      </c>
      <c r="F3206" s="64" t="str">
        <f t="shared" si="50"/>
        <v/>
      </c>
      <c r="G3206" s="60" t="s">
        <v>12</v>
      </c>
      <c r="H3206" s="60" t="s">
        <v>5064</v>
      </c>
    </row>
    <row r="3207" spans="1:8">
      <c r="A3207" s="59" t="s">
        <v>3938</v>
      </c>
      <c r="B3207" s="62">
        <v>2</v>
      </c>
      <c r="C3207" s="60" t="s">
        <v>5043</v>
      </c>
      <c r="D3207" s="64">
        <f>IFERROR(VLOOKUP(C3207,測定点マスタ!$E$2:$F$28,2,FALSE)/VLOOKUP(A3207,'焼鈍条件-3CGL'!$A$2:$B$197,2,FALSE)*60,"")</f>
        <v>8.4723425085664807</v>
      </c>
      <c r="E3207" s="66">
        <v>177.8</v>
      </c>
      <c r="F3207" s="64">
        <f t="shared" si="50"/>
        <v>16.583371111111109</v>
      </c>
      <c r="G3207" s="60" t="s">
        <v>12</v>
      </c>
      <c r="H3207" s="60" t="s">
        <v>5064</v>
      </c>
    </row>
    <row r="3208" spans="1:8">
      <c r="A3208" s="59" t="s">
        <v>3938</v>
      </c>
      <c r="B3208" s="62">
        <v>3</v>
      </c>
      <c r="C3208" s="60" t="s">
        <v>5044</v>
      </c>
      <c r="D3208" s="64">
        <f>IFERROR(VLOOKUP(C3208,測定点マスタ!$E$2:$F$28,2,FALSE)/VLOOKUP(A3208,'焼鈍条件-3CGL'!$A$2:$B$197,2,FALSE)*60,"")</f>
        <v>19.203976352750686</v>
      </c>
      <c r="E3208" s="66">
        <v>659</v>
      </c>
      <c r="F3208" s="64">
        <f t="shared" si="50"/>
        <v>44.839397894736848</v>
      </c>
      <c r="G3208" s="60" t="s">
        <v>12</v>
      </c>
      <c r="H3208" s="60" t="s">
        <v>5064</v>
      </c>
    </row>
    <row r="3209" spans="1:8">
      <c r="A3209" s="59" t="s">
        <v>3938</v>
      </c>
      <c r="B3209" s="62">
        <v>4</v>
      </c>
      <c r="C3209" s="60" t="s">
        <v>5045</v>
      </c>
      <c r="D3209" s="64">
        <f>IFERROR(VLOOKUP(C3209,測定点マスタ!$E$2:$F$28,2,FALSE)/VLOOKUP(A3209,'焼鈍条件-3CGL'!$A$2:$B$197,2,FALSE)*60,"")</f>
        <v>24.852204691795009</v>
      </c>
      <c r="E3209" s="66">
        <v>795.2</v>
      </c>
      <c r="F3209" s="64">
        <f t="shared" si="50"/>
        <v>24.113755999999995</v>
      </c>
      <c r="G3209" s="60" t="s">
        <v>12</v>
      </c>
      <c r="H3209" s="60" t="s">
        <v>5064</v>
      </c>
    </row>
    <row r="3210" spans="1:8">
      <c r="A3210" s="59" t="s">
        <v>3938</v>
      </c>
      <c r="B3210" s="62">
        <v>5</v>
      </c>
      <c r="C3210" s="60" t="s">
        <v>5047</v>
      </c>
      <c r="D3210" s="64">
        <f>IFERROR(VLOOKUP(C3210,測定点マスタ!$E$2:$F$28,2,FALSE)/VLOOKUP(A3210,'焼鈍条件-3CGL'!$A$2:$B$197,2,FALSE)*60,"")</f>
        <v>33.889370034265923</v>
      </c>
      <c r="E3210" s="66">
        <v>721.2</v>
      </c>
      <c r="F3210" s="64">
        <f t="shared" si="50"/>
        <v>-8.1884083333333315</v>
      </c>
      <c r="G3210" s="60" t="s">
        <v>12</v>
      </c>
      <c r="H3210" s="60" t="s">
        <v>5064</v>
      </c>
    </row>
    <row r="3211" spans="1:8">
      <c r="A3211" s="59" t="s">
        <v>3938</v>
      </c>
      <c r="B3211" s="62">
        <v>6</v>
      </c>
      <c r="C3211" s="60" t="s">
        <v>5049</v>
      </c>
      <c r="D3211" s="64">
        <f>IFERROR(VLOOKUP(C3211,測定点マスタ!$E$2:$F$28,2,FALSE)/VLOOKUP(A3211,'焼鈍条件-3CGL'!$A$2:$B$197,2,FALSE)*60,"")</f>
        <v>41.232066875023534</v>
      </c>
      <c r="E3211" s="66">
        <v>590.9</v>
      </c>
      <c r="F3211" s="64">
        <f t="shared" si="50"/>
        <v>-17.745523589743609</v>
      </c>
      <c r="G3211" s="60" t="s">
        <v>12</v>
      </c>
      <c r="H3211" s="60" t="s">
        <v>5064</v>
      </c>
    </row>
    <row r="3212" spans="1:8">
      <c r="A3212" s="59" t="s">
        <v>3938</v>
      </c>
      <c r="B3212" s="62">
        <v>7</v>
      </c>
      <c r="C3212" s="60" t="s">
        <v>5050</v>
      </c>
      <c r="D3212" s="64">
        <f>IFERROR(VLOOKUP(C3212,測定点マスタ!$E$2:$F$28,2,FALSE)/VLOOKUP(A3212,'焼鈍条件-3CGL'!$A$2:$B$197,2,FALSE)*60,"")</f>
        <v>45.750649546258991</v>
      </c>
      <c r="E3212" s="66">
        <v>479.5</v>
      </c>
      <c r="F3212" s="64">
        <f t="shared" si="50"/>
        <v>-24.653748333333322</v>
      </c>
      <c r="G3212" s="60" t="s">
        <v>12</v>
      </c>
      <c r="H3212" s="60" t="s">
        <v>5064</v>
      </c>
    </row>
    <row r="3213" spans="1:8">
      <c r="A3213" s="59" t="s">
        <v>3938</v>
      </c>
      <c r="B3213" s="62">
        <v>8</v>
      </c>
      <c r="C3213" s="60" t="s">
        <v>5051</v>
      </c>
      <c r="D3213" s="64">
        <f>IFERROR(VLOOKUP(C3213,測定点マスタ!$E$2:$F$28,2,FALSE)/VLOOKUP(A3213,'焼鈍条件-3CGL'!$A$2:$B$197,2,FALSE)*60,"")</f>
        <v>49.704409383590018</v>
      </c>
      <c r="E3213" s="66">
        <v>443.9</v>
      </c>
      <c r="F3213" s="64">
        <f t="shared" si="50"/>
        <v>-9.0040876190476169</v>
      </c>
      <c r="G3213" s="60" t="s">
        <v>12</v>
      </c>
      <c r="H3213" s="60" t="s">
        <v>5064</v>
      </c>
    </row>
    <row r="3214" spans="1:8">
      <c r="A3214" s="59" t="s">
        <v>3938</v>
      </c>
      <c r="B3214" s="62">
        <v>9</v>
      </c>
      <c r="C3214" s="60" t="s">
        <v>5052</v>
      </c>
      <c r="D3214" s="64">
        <f>IFERROR(VLOOKUP(C3214,測定点マスタ!$E$2:$F$28,2,FALSE)/VLOOKUP(A3214,'焼鈍条件-3CGL'!$A$2:$B$197,2,FALSE)*60,"")</f>
        <v>54.787814888729905</v>
      </c>
      <c r="E3214" s="66">
        <v>348.8</v>
      </c>
      <c r="F3214" s="64">
        <f t="shared" si="50"/>
        <v>-18.707931111111108</v>
      </c>
      <c r="G3214" s="60" t="s">
        <v>12</v>
      </c>
      <c r="H3214" s="60" t="s">
        <v>5064</v>
      </c>
    </row>
    <row r="3215" spans="1:8">
      <c r="A3215" s="59" t="s">
        <v>3938</v>
      </c>
      <c r="B3215" s="62">
        <v>10</v>
      </c>
      <c r="C3215" s="60" t="s">
        <v>5053</v>
      </c>
      <c r="D3215" s="64">
        <f>IFERROR(VLOOKUP(C3215,測定点マスタ!$E$2:$F$28,2,FALSE)/VLOOKUP(A3215,'焼鈍条件-3CGL'!$A$2:$B$197,2,FALSE)*60,"")</f>
        <v>61.565688895583094</v>
      </c>
      <c r="E3215" s="66">
        <v>533.79999999999995</v>
      </c>
      <c r="F3215" s="64">
        <f t="shared" si="50"/>
        <v>27.294694444444417</v>
      </c>
      <c r="G3215" s="60" t="s">
        <v>12</v>
      </c>
      <c r="H3215" s="60" t="s">
        <v>5064</v>
      </c>
    </row>
    <row r="3216" spans="1:8">
      <c r="A3216" s="59" t="s">
        <v>3938</v>
      </c>
      <c r="B3216" s="62">
        <v>11</v>
      </c>
      <c r="C3216" s="60" t="s">
        <v>5054</v>
      </c>
      <c r="D3216" s="64">
        <f>IFERROR(VLOOKUP(C3216,測定点マスタ!$E$2:$F$28,2,FALSE)/VLOOKUP(A3216,'焼鈍条件-3CGL'!$A$2:$B$197,2,FALSE)*60,"")</f>
        <v>68.908385736340705</v>
      </c>
      <c r="E3216" s="66">
        <v>512.1</v>
      </c>
      <c r="F3216" s="64">
        <f t="shared" si="50"/>
        <v>-2.9553174358974283</v>
      </c>
      <c r="G3216" s="60" t="s">
        <v>12</v>
      </c>
      <c r="H3216" s="60" t="s">
        <v>5064</v>
      </c>
    </row>
    <row r="3217" spans="1:8">
      <c r="A3217" s="59" t="s">
        <v>3938</v>
      </c>
      <c r="B3217" s="62">
        <v>12</v>
      </c>
      <c r="C3217" s="60" t="s">
        <v>5056</v>
      </c>
      <c r="D3217" s="64">
        <f>IFERROR(VLOOKUP(C3217,測定点マスタ!$E$2:$F$28,2,FALSE)/VLOOKUP(A3217,'焼鈍条件-3CGL'!$A$2:$B$197,2,FALSE)*60,"")</f>
        <v>75.121436909289457</v>
      </c>
      <c r="E3217" s="66">
        <v>249.7</v>
      </c>
      <c r="F3217" s="64">
        <f t="shared" si="50"/>
        <v>-42.233677575757575</v>
      </c>
      <c r="G3217" s="60" t="s">
        <v>12</v>
      </c>
      <c r="H3217" s="60" t="s">
        <v>5064</v>
      </c>
    </row>
    <row r="3218" spans="1:8">
      <c r="A3218" s="59" t="s">
        <v>3938</v>
      </c>
      <c r="B3218" s="62">
        <v>13</v>
      </c>
      <c r="C3218" s="60" t="s">
        <v>5062</v>
      </c>
      <c r="D3218" s="64">
        <f>IFERROR(VLOOKUP(C3218,測定点マスタ!$E$2:$F$28,2,FALSE)/VLOOKUP(A3218,'焼鈍条件-3CGL'!$A$2:$B$197,2,FALSE)*60,"")</f>
        <v>81.899310916142639</v>
      </c>
      <c r="E3218" s="66">
        <v>467.5</v>
      </c>
      <c r="F3218" s="64">
        <f t="shared" si="50"/>
        <v>32.133970000000012</v>
      </c>
      <c r="G3218" s="60" t="s">
        <v>12</v>
      </c>
      <c r="H3218" s="60" t="s">
        <v>5064</v>
      </c>
    </row>
    <row r="3219" spans="1:8">
      <c r="A3219" s="59" t="s">
        <v>3938</v>
      </c>
      <c r="B3219" s="62">
        <v>14</v>
      </c>
      <c r="C3219" s="60" t="s">
        <v>5065</v>
      </c>
      <c r="D3219" s="64">
        <f>IFERROR(VLOOKUP(C3219,測定点マスタ!$E$2:$F$28,2,FALSE)/VLOOKUP(A3219,'焼鈍条件-3CGL'!$A$2:$B$197,2,FALSE)*60,"")</f>
        <v>82.907923119543241</v>
      </c>
      <c r="E3219" s="66">
        <v>512.9</v>
      </c>
      <c r="F3219" s="64">
        <f t="shared" si="50"/>
        <v>45.012344533340851</v>
      </c>
      <c r="G3219" s="60" t="s">
        <v>12</v>
      </c>
      <c r="H3219" s="60" t="s">
        <v>5064</v>
      </c>
    </row>
    <row r="3220" spans="1:8">
      <c r="A3220" s="59" t="s">
        <v>3938</v>
      </c>
      <c r="B3220" s="62">
        <v>15</v>
      </c>
      <c r="C3220" s="60" t="s">
        <v>5066</v>
      </c>
      <c r="D3220" s="64">
        <f>IFERROR(VLOOKUP(C3220,測定点マスタ!$E$2:$F$28,2,FALSE)/VLOOKUP(A3220,'焼鈍条件-3CGL'!$A$2:$B$197,2,FALSE)*60,"")</f>
        <v>86.317032367038266</v>
      </c>
      <c r="E3220" s="66">
        <v>484.9</v>
      </c>
      <c r="F3220" s="64">
        <f t="shared" si="50"/>
        <v>-8.2132891518727629</v>
      </c>
      <c r="G3220" s="60" t="s">
        <v>12</v>
      </c>
      <c r="H3220" s="60" t="s">
        <v>5064</v>
      </c>
    </row>
    <row r="3221" spans="1:8">
      <c r="A3221" s="59" t="s">
        <v>3938</v>
      </c>
      <c r="B3221" s="62">
        <v>16</v>
      </c>
      <c r="C3221" s="60" t="s">
        <v>5068</v>
      </c>
      <c r="D3221" s="64">
        <f>IFERROR(VLOOKUP(C3221,測定点マスタ!$E$2:$F$28,2,FALSE)/VLOOKUP(A3221,'焼鈍条件-3CGL'!$A$2:$B$197,2,FALSE)*60,"")</f>
        <v>89.726141614532708</v>
      </c>
      <c r="E3221" s="66">
        <v>413.2</v>
      </c>
      <c r="F3221" s="64">
        <f t="shared" si="50"/>
        <v>-21.031886863906344</v>
      </c>
      <c r="G3221" s="60" t="s">
        <v>12</v>
      </c>
      <c r="H3221" s="60" t="s">
        <v>5064</v>
      </c>
    </row>
    <row r="3222" spans="1:8">
      <c r="A3222" s="59" t="s">
        <v>3938</v>
      </c>
      <c r="B3222" s="62">
        <v>17</v>
      </c>
      <c r="C3222" s="60" t="s">
        <v>5057</v>
      </c>
      <c r="D3222" s="64">
        <f>IFERROR(VLOOKUP(C3222,測定点マスタ!$E$2:$F$28,2,FALSE)/VLOOKUP(A3222,'焼鈍条件-3CGL'!$A$2:$B$197,2,FALSE)*60,"")</f>
        <v>93.135250862027149</v>
      </c>
      <c r="E3222" s="66">
        <v>211.2</v>
      </c>
      <c r="F3222" s="64">
        <f t="shared" si="50"/>
        <v>-59.253014595663629</v>
      </c>
      <c r="G3222" s="60" t="s">
        <v>12</v>
      </c>
      <c r="H3222" s="60" t="s">
        <v>5064</v>
      </c>
    </row>
    <row r="3223" spans="1:8">
      <c r="A3223" s="59" t="s">
        <v>3938</v>
      </c>
      <c r="B3223" s="62">
        <v>18</v>
      </c>
      <c r="C3223" s="60" t="s">
        <v>5059</v>
      </c>
      <c r="D3223" s="64">
        <f>IFERROR(VLOOKUP(C3223,測定点マスタ!$E$2:$F$28,2,FALSE)/VLOOKUP(A3223,'焼鈍条件-3CGL'!$A$2:$B$197,2,FALSE)*60,"")</f>
        <v>99.953469357016616</v>
      </c>
      <c r="E3223" s="66">
        <v>54</v>
      </c>
      <c r="F3223" s="64">
        <f t="shared" si="50"/>
        <v>-23.055875976330508</v>
      </c>
      <c r="G3223" s="60" t="s">
        <v>12</v>
      </c>
      <c r="H3223" s="60" t="s">
        <v>5064</v>
      </c>
    </row>
    <row r="3224" spans="1:8">
      <c r="A3224" s="59" t="s">
        <v>3947</v>
      </c>
      <c r="B3224" s="62">
        <v>1</v>
      </c>
      <c r="C3224" s="60" t="s">
        <v>5041</v>
      </c>
      <c r="D3224" s="64">
        <f>IFERROR(VLOOKUP(C3224,測定点マスタ!$E$2:$F$28,2,FALSE)/VLOOKUP(A3224,'焼鈍条件-3CGL'!$A$2:$B$197,2,FALSE)*60,"")</f>
        <v>0</v>
      </c>
      <c r="E3224" s="66">
        <v>36.700000000000003</v>
      </c>
      <c r="F3224" s="64" t="str">
        <f t="shared" si="50"/>
        <v/>
      </c>
      <c r="G3224" s="60" t="s">
        <v>9</v>
      </c>
      <c r="H3224" s="60" t="s">
        <v>5061</v>
      </c>
    </row>
    <row r="3225" spans="1:8">
      <c r="A3225" s="59" t="s">
        <v>3947</v>
      </c>
      <c r="B3225" s="62">
        <v>2</v>
      </c>
      <c r="C3225" s="60" t="s">
        <v>5043</v>
      </c>
      <c r="D3225" s="64">
        <f>IFERROR(VLOOKUP(C3225,測定点マスタ!$E$2:$F$28,2,FALSE)/VLOOKUP(A3225,'焼鈍条件-3CGL'!$A$2:$B$197,2,FALSE)*60,"")</f>
        <v>7.1946471824962224</v>
      </c>
      <c r="E3225" s="66">
        <v>170.3</v>
      </c>
      <c r="F3225" s="64">
        <f t="shared" si="50"/>
        <v>18.569360888888895</v>
      </c>
      <c r="G3225" s="60" t="s">
        <v>9</v>
      </c>
      <c r="H3225" s="60" t="s">
        <v>5061</v>
      </c>
    </row>
    <row r="3226" spans="1:8">
      <c r="A3226" s="59" t="s">
        <v>3947</v>
      </c>
      <c r="B3226" s="62">
        <v>3</v>
      </c>
      <c r="C3226" s="60" t="s">
        <v>5044</v>
      </c>
      <c r="D3226" s="64">
        <f>IFERROR(VLOOKUP(C3226,測定点マスタ!$E$2:$F$28,2,FALSE)/VLOOKUP(A3226,'焼鈍条件-3CGL'!$A$2:$B$197,2,FALSE)*60,"")</f>
        <v>16.307866946991439</v>
      </c>
      <c r="E3226" s="66">
        <v>675.4</v>
      </c>
      <c r="F3226" s="64">
        <f t="shared" si="50"/>
        <v>55.42497745614034</v>
      </c>
      <c r="G3226" s="60" t="s">
        <v>9</v>
      </c>
      <c r="H3226" s="60" t="s">
        <v>5061</v>
      </c>
    </row>
    <row r="3227" spans="1:8">
      <c r="A3227" s="59" t="s">
        <v>3947</v>
      </c>
      <c r="B3227" s="62">
        <v>4</v>
      </c>
      <c r="C3227" s="60" t="s">
        <v>5045</v>
      </c>
      <c r="D3227" s="64">
        <f>IFERROR(VLOOKUP(C3227,測定点マスタ!$E$2:$F$28,2,FALSE)/VLOOKUP(A3227,'焼鈍条件-3CGL'!$A$2:$B$197,2,FALSE)*60,"")</f>
        <v>21.10429840198892</v>
      </c>
      <c r="E3227" s="66">
        <v>811.7</v>
      </c>
      <c r="F3227" s="64">
        <f t="shared" si="50"/>
        <v>28.416959833333348</v>
      </c>
      <c r="G3227" s="60" t="s">
        <v>9</v>
      </c>
      <c r="H3227" s="60" t="s">
        <v>5061</v>
      </c>
    </row>
    <row r="3228" spans="1:8">
      <c r="A3228" s="59" t="s">
        <v>3947</v>
      </c>
      <c r="B3228" s="62">
        <v>5</v>
      </c>
      <c r="C3228" s="60" t="s">
        <v>5046</v>
      </c>
      <c r="D3228" s="64">
        <f>IFERROR(VLOOKUP(C3228,測定点マスタ!$E$2:$F$28,2,FALSE)/VLOOKUP(A3228,'焼鈍条件-3CGL'!$A$2:$B$197,2,FALSE)*60,"")</f>
        <v>25.900729856986398</v>
      </c>
      <c r="E3228" s="66">
        <v>784.8</v>
      </c>
      <c r="F3228" s="64">
        <f t="shared" si="50"/>
        <v>-5.6083361666666898</v>
      </c>
      <c r="G3228" s="60" t="s">
        <v>9</v>
      </c>
      <c r="H3228" s="60" t="s">
        <v>5061</v>
      </c>
    </row>
    <row r="3229" spans="1:8">
      <c r="A3229" s="59" t="s">
        <v>3947</v>
      </c>
      <c r="B3229" s="62">
        <v>6</v>
      </c>
      <c r="C3229" s="60" t="s">
        <v>5047</v>
      </c>
      <c r="D3229" s="64">
        <f>IFERROR(VLOOKUP(C3229,測定点マスタ!$E$2:$F$28,2,FALSE)/VLOOKUP(A3229,'焼鈍条件-3CGL'!$A$2:$B$197,2,FALSE)*60,"")</f>
        <v>28.778588729984889</v>
      </c>
      <c r="E3229" s="66">
        <v>751.9</v>
      </c>
      <c r="F3229" s="64">
        <f t="shared" si="50"/>
        <v>-11.432110277777761</v>
      </c>
      <c r="G3229" s="60" t="s">
        <v>9</v>
      </c>
      <c r="H3229" s="60" t="s">
        <v>5061</v>
      </c>
    </row>
    <row r="3230" spans="1:8">
      <c r="A3230" s="59" t="s">
        <v>3947</v>
      </c>
      <c r="B3230" s="62">
        <v>7</v>
      </c>
      <c r="C3230" s="60" t="s">
        <v>5048</v>
      </c>
      <c r="D3230" s="64">
        <f>IFERROR(VLOOKUP(C3230,測定点マスタ!$E$2:$F$28,2,FALSE)/VLOOKUP(A3230,'焼鈍条件-3CGL'!$A$2:$B$197,2,FALSE)*60,"")</f>
        <v>31.656447602983381</v>
      </c>
      <c r="E3230" s="66">
        <v>709.1</v>
      </c>
      <c r="F3230" s="64">
        <f t="shared" si="50"/>
        <v>-14.872167777777753</v>
      </c>
      <c r="G3230" s="60" t="s">
        <v>9</v>
      </c>
      <c r="H3230" s="60" t="s">
        <v>5061</v>
      </c>
    </row>
    <row r="3231" spans="1:8">
      <c r="A3231" s="59" t="s">
        <v>3947</v>
      </c>
      <c r="B3231" s="62">
        <v>8</v>
      </c>
      <c r="C3231" s="60" t="s">
        <v>5049</v>
      </c>
      <c r="D3231" s="64">
        <f>IFERROR(VLOOKUP(C3231,測定点マスタ!$E$2:$F$28,2,FALSE)/VLOOKUP(A3231,'焼鈍条件-3CGL'!$A$2:$B$197,2,FALSE)*60,"")</f>
        <v>35.013949621481615</v>
      </c>
      <c r="E3231" s="66">
        <v>601.6</v>
      </c>
      <c r="F3231" s="64">
        <f t="shared" si="50"/>
        <v>-32.017851190476222</v>
      </c>
      <c r="G3231" s="60" t="s">
        <v>9</v>
      </c>
      <c r="H3231" s="60" t="s">
        <v>5061</v>
      </c>
    </row>
    <row r="3232" spans="1:8">
      <c r="A3232" s="59" t="s">
        <v>3947</v>
      </c>
      <c r="B3232" s="62">
        <v>9</v>
      </c>
      <c r="C3232" s="60" t="s">
        <v>5050</v>
      </c>
      <c r="D3232" s="64">
        <f>IFERROR(VLOOKUP(C3232,測定点マスタ!$E$2:$F$28,2,FALSE)/VLOOKUP(A3232,'焼鈍条件-3CGL'!$A$2:$B$197,2,FALSE)*60,"")</f>
        <v>38.851094785479603</v>
      </c>
      <c r="E3232" s="66">
        <v>476.4</v>
      </c>
      <c r="F3232" s="64">
        <f t="shared" si="50"/>
        <v>-32.628424166666655</v>
      </c>
      <c r="G3232" s="60" t="s">
        <v>9</v>
      </c>
      <c r="H3232" s="60" t="s">
        <v>5061</v>
      </c>
    </row>
    <row r="3233" spans="1:8">
      <c r="A3233" s="59" t="s">
        <v>3947</v>
      </c>
      <c r="B3233" s="62">
        <v>10</v>
      </c>
      <c r="C3233" s="60" t="s">
        <v>5051</v>
      </c>
      <c r="D3233" s="64">
        <f>IFERROR(VLOOKUP(C3233,測定点マスタ!$E$2:$F$28,2,FALSE)/VLOOKUP(A3233,'焼鈍条件-3CGL'!$A$2:$B$197,2,FALSE)*60,"")</f>
        <v>42.208596803977841</v>
      </c>
      <c r="E3233" s="66">
        <v>444.2</v>
      </c>
      <c r="F3233" s="64">
        <f t="shared" si="50"/>
        <v>-9.5904633333333287</v>
      </c>
      <c r="G3233" s="60" t="s">
        <v>9</v>
      </c>
      <c r="H3233" s="60" t="s">
        <v>5061</v>
      </c>
    </row>
    <row r="3234" spans="1:8">
      <c r="A3234" s="59" t="s">
        <v>3947</v>
      </c>
      <c r="B3234" s="62">
        <v>11</v>
      </c>
      <c r="C3234" s="60" t="s">
        <v>5060</v>
      </c>
      <c r="D3234" s="64">
        <f>IFERROR(VLOOKUP(C3234,測定点マスタ!$E$2:$F$28,2,FALSE)/VLOOKUP(A3234,'焼鈍条件-3CGL'!$A$2:$B$197,2,FALSE)*60,"")</f>
        <v>44.127169385976835</v>
      </c>
      <c r="E3234" s="66">
        <v>428.9</v>
      </c>
      <c r="F3234" s="64">
        <f t="shared" si="50"/>
        <v>-7.9746787500000007</v>
      </c>
      <c r="G3234" s="60" t="s">
        <v>9</v>
      </c>
      <c r="H3234" s="60" t="s">
        <v>5061</v>
      </c>
    </row>
    <row r="3235" spans="1:8">
      <c r="A3235" s="59" t="s">
        <v>3947</v>
      </c>
      <c r="B3235" s="62">
        <v>12</v>
      </c>
      <c r="C3235" s="60" t="s">
        <v>5052</v>
      </c>
      <c r="D3235" s="64">
        <f>IFERROR(VLOOKUP(C3235,測定点マスタ!$E$2:$F$28,2,FALSE)/VLOOKUP(A3235,'焼鈍条件-3CGL'!$A$2:$B$197,2,FALSE)*60,"")</f>
        <v>46.525385113475572</v>
      </c>
      <c r="E3235" s="66">
        <v>355.7</v>
      </c>
      <c r="F3235" s="64">
        <f t="shared" si="50"/>
        <v>-30.522692000000042</v>
      </c>
      <c r="G3235" s="60" t="s">
        <v>9</v>
      </c>
      <c r="H3235" s="60" t="s">
        <v>5061</v>
      </c>
    </row>
    <row r="3236" spans="1:8">
      <c r="A3236" s="59" t="s">
        <v>3947</v>
      </c>
      <c r="B3236" s="62">
        <v>13</v>
      </c>
      <c r="C3236" s="60" t="s">
        <v>5053</v>
      </c>
      <c r="D3236" s="64">
        <f>IFERROR(VLOOKUP(C3236,測定点マスタ!$E$2:$F$28,2,FALSE)/VLOOKUP(A3236,'焼鈍条件-3CGL'!$A$2:$B$197,2,FALSE)*60,"")</f>
        <v>52.281102859472547</v>
      </c>
      <c r="E3236" s="66">
        <v>522.20000000000005</v>
      </c>
      <c r="F3236" s="64">
        <f t="shared" si="50"/>
        <v>28.927756250000026</v>
      </c>
      <c r="G3236" s="60" t="s">
        <v>9</v>
      </c>
      <c r="H3236" s="60" t="s">
        <v>5061</v>
      </c>
    </row>
    <row r="3237" spans="1:8">
      <c r="A3237" s="59" t="s">
        <v>3947</v>
      </c>
      <c r="B3237" s="62">
        <v>14</v>
      </c>
      <c r="C3237" s="60" t="s">
        <v>5054</v>
      </c>
      <c r="D3237" s="64">
        <f>IFERROR(VLOOKUP(C3237,測定点マスタ!$E$2:$F$28,2,FALSE)/VLOOKUP(A3237,'焼鈍条件-3CGL'!$A$2:$B$197,2,FALSE)*60,"")</f>
        <v>58.51646375096928</v>
      </c>
      <c r="E3237" s="66">
        <v>522.70000000000005</v>
      </c>
      <c r="F3237" s="64">
        <f t="shared" si="50"/>
        <v>8.0187820512820432E-2</v>
      </c>
      <c r="G3237" s="60" t="s">
        <v>9</v>
      </c>
      <c r="H3237" s="60" t="s">
        <v>5061</v>
      </c>
    </row>
    <row r="3238" spans="1:8">
      <c r="A3238" s="59" t="s">
        <v>3947</v>
      </c>
      <c r="B3238" s="62">
        <v>15</v>
      </c>
      <c r="C3238" s="60" t="s">
        <v>5056</v>
      </c>
      <c r="D3238" s="64">
        <f>IFERROR(VLOOKUP(C3238,測定点マスタ!$E$2:$F$28,2,FALSE)/VLOOKUP(A3238,'焼鈍条件-3CGL'!$A$2:$B$197,2,FALSE)*60,"")</f>
        <v>63.792538351466504</v>
      </c>
      <c r="E3238" s="66">
        <v>279.7</v>
      </c>
      <c r="F3238" s="64">
        <f t="shared" si="50"/>
        <v>-46.056968181818242</v>
      </c>
      <c r="G3238" s="60" t="s">
        <v>9</v>
      </c>
      <c r="H3238" s="60" t="s">
        <v>5061</v>
      </c>
    </row>
    <row r="3239" spans="1:8">
      <c r="A3239" s="59" t="s">
        <v>3947</v>
      </c>
      <c r="B3239" s="62">
        <v>16</v>
      </c>
      <c r="C3239" s="60" t="s">
        <v>5062</v>
      </c>
      <c r="D3239" s="64">
        <f>IFERROR(VLOOKUP(C3239,測定点マスタ!$E$2:$F$28,2,FALSE)/VLOOKUP(A3239,'焼鈍条件-3CGL'!$A$2:$B$197,2,FALSE)*60,"")</f>
        <v>69.548256097463494</v>
      </c>
      <c r="E3239" s="66">
        <v>456.2</v>
      </c>
      <c r="F3239" s="64">
        <f t="shared" si="50"/>
        <v>30.665159027777719</v>
      </c>
      <c r="G3239" s="60" t="s">
        <v>9</v>
      </c>
      <c r="H3239" s="60" t="s">
        <v>5061</v>
      </c>
    </row>
    <row r="3240" spans="1:8">
      <c r="A3240" s="59" t="s">
        <v>3947</v>
      </c>
      <c r="B3240" s="62">
        <v>17</v>
      </c>
      <c r="C3240" s="60" t="s">
        <v>5068</v>
      </c>
      <c r="D3240" s="64">
        <f>IFERROR(VLOOKUP(C3240,測定点マスタ!$E$2:$F$28,2,FALSE)/VLOOKUP(A3240,'焼鈍条件-3CGL'!$A$2:$B$197,2,FALSE)*60,"")</f>
        <v>76.194739685102917</v>
      </c>
      <c r="E3240" s="66">
        <v>343.2</v>
      </c>
      <c r="F3240" s="64">
        <f t="shared" si="50"/>
        <v>-17.001471305841783</v>
      </c>
      <c r="G3240" s="60" t="s">
        <v>9</v>
      </c>
      <c r="H3240" s="60" t="s">
        <v>5061</v>
      </c>
    </row>
    <row r="3241" spans="1:8">
      <c r="A3241" s="59" t="s">
        <v>3947</v>
      </c>
      <c r="B3241" s="62">
        <v>18</v>
      </c>
      <c r="C3241" s="60" t="s">
        <v>5057</v>
      </c>
      <c r="D3241" s="64">
        <f>IFERROR(VLOOKUP(C3241,測定点マスタ!$E$2:$F$28,2,FALSE)/VLOOKUP(A3241,'焼鈍条件-3CGL'!$A$2:$B$197,2,FALSE)*60,"")</f>
        <v>79.089728670440536</v>
      </c>
      <c r="E3241" s="66">
        <v>212.1</v>
      </c>
      <c r="F3241" s="64">
        <f t="shared" si="50"/>
        <v>-45.285146390534834</v>
      </c>
      <c r="G3241" s="60" t="s">
        <v>9</v>
      </c>
      <c r="H3241" s="60" t="s">
        <v>5061</v>
      </c>
    </row>
    <row r="3242" spans="1:8">
      <c r="A3242" s="59" t="s">
        <v>3947</v>
      </c>
      <c r="B3242" s="62">
        <v>19</v>
      </c>
      <c r="C3242" s="60" t="s">
        <v>5058</v>
      </c>
      <c r="D3242" s="64">
        <f>IFERROR(VLOOKUP(C3242,測定点マスタ!$E$2:$F$28,2,FALSE)/VLOOKUP(A3242,'焼鈍条件-3CGL'!$A$2:$B$197,2,FALSE)*60,"")</f>
        <v>81.984717655778169</v>
      </c>
      <c r="E3242" s="66">
        <v>126.6</v>
      </c>
      <c r="F3242" s="64">
        <f t="shared" si="50"/>
        <v>-29.533791124261707</v>
      </c>
      <c r="G3242" s="60" t="s">
        <v>9</v>
      </c>
      <c r="H3242" s="60" t="s">
        <v>5061</v>
      </c>
    </row>
    <row r="3243" spans="1:8">
      <c r="A3243" s="59" t="s">
        <v>3947</v>
      </c>
      <c r="B3243" s="62">
        <v>20</v>
      </c>
      <c r="C3243" s="60" t="s">
        <v>5059</v>
      </c>
      <c r="D3243" s="64">
        <f>IFERROR(VLOOKUP(C3243,測定点マスタ!$E$2:$F$28,2,FALSE)/VLOOKUP(A3243,'焼鈍条件-3CGL'!$A$2:$B$197,2,FALSE)*60,"")</f>
        <v>84.879706641116286</v>
      </c>
      <c r="E3243" s="66">
        <v>59.1</v>
      </c>
      <c r="F3243" s="64">
        <f t="shared" si="50"/>
        <v>-23.316150887571141</v>
      </c>
      <c r="G3243" s="60" t="s">
        <v>9</v>
      </c>
      <c r="H3243" s="60" t="s">
        <v>5061</v>
      </c>
    </row>
    <row r="3244" spans="1:8">
      <c r="A3244" s="59" t="s">
        <v>3968</v>
      </c>
      <c r="B3244" s="62">
        <v>1</v>
      </c>
      <c r="C3244" s="60" t="s">
        <v>5041</v>
      </c>
      <c r="D3244" s="64">
        <f>IFERROR(VLOOKUP(C3244,測定点マスタ!$E$2:$F$28,2,FALSE)/VLOOKUP(A3244,'焼鈍条件-3CGL'!$A$2:$B$197,2,FALSE)*60,"")</f>
        <v>0</v>
      </c>
      <c r="E3244" s="66">
        <v>26.8</v>
      </c>
      <c r="F3244" s="64" t="str">
        <f t="shared" si="50"/>
        <v/>
      </c>
      <c r="G3244" s="60" t="s">
        <v>12</v>
      </c>
      <c r="H3244" s="60" t="s">
        <v>5042</v>
      </c>
    </row>
    <row r="3245" spans="1:8">
      <c r="A3245" s="59" t="s">
        <v>3968</v>
      </c>
      <c r="B3245" s="62">
        <v>2</v>
      </c>
      <c r="C3245" s="60" t="s">
        <v>5043</v>
      </c>
      <c r="D3245" s="64">
        <f>IFERROR(VLOOKUP(C3245,測定点マスタ!$E$2:$F$28,2,FALSE)/VLOOKUP(A3245,'焼鈍条件-3CGL'!$A$2:$B$197,2,FALSE)*60,"")</f>
        <v>12.026297503875142</v>
      </c>
      <c r="E3245" s="66">
        <v>174.1</v>
      </c>
      <c r="F3245" s="64">
        <f t="shared" si="50"/>
        <v>12.248158666666663</v>
      </c>
      <c r="G3245" s="60" t="s">
        <v>12</v>
      </c>
      <c r="H3245" s="60" t="s">
        <v>5042</v>
      </c>
    </row>
    <row r="3246" spans="1:8">
      <c r="A3246" s="59" t="s">
        <v>3968</v>
      </c>
      <c r="B3246" s="62">
        <v>3</v>
      </c>
      <c r="C3246" s="60" t="s">
        <v>5044</v>
      </c>
      <c r="D3246" s="64">
        <f>IFERROR(VLOOKUP(C3246,測定点マスタ!$E$2:$F$28,2,FALSE)/VLOOKUP(A3246,'焼鈍条件-3CGL'!$A$2:$B$197,2,FALSE)*60,"")</f>
        <v>27.259607675450319</v>
      </c>
      <c r="E3246" s="66">
        <v>650.70000000000005</v>
      </c>
      <c r="F3246" s="64">
        <f t="shared" si="50"/>
        <v>31.286699649122809</v>
      </c>
      <c r="G3246" s="60" t="s">
        <v>12</v>
      </c>
      <c r="H3246" s="60" t="s">
        <v>5042</v>
      </c>
    </row>
    <row r="3247" spans="1:8">
      <c r="A3247" s="59" t="s">
        <v>3968</v>
      </c>
      <c r="B3247" s="62">
        <v>4</v>
      </c>
      <c r="C3247" s="60" t="s">
        <v>5045</v>
      </c>
      <c r="D3247" s="64">
        <f>IFERROR(VLOOKUP(C3247,測定点マスタ!$E$2:$F$28,2,FALSE)/VLOOKUP(A3247,'焼鈍条件-3CGL'!$A$2:$B$197,2,FALSE)*60,"")</f>
        <v>35.277139344700409</v>
      </c>
      <c r="E3247" s="66">
        <v>805.8</v>
      </c>
      <c r="F3247" s="64">
        <f t="shared" si="50"/>
        <v>19.345105999999998</v>
      </c>
      <c r="G3247" s="60" t="s">
        <v>12</v>
      </c>
      <c r="H3247" s="60" t="s">
        <v>5042</v>
      </c>
    </row>
    <row r="3248" spans="1:8">
      <c r="A3248" s="59" t="s">
        <v>3968</v>
      </c>
      <c r="B3248" s="62">
        <v>5</v>
      </c>
      <c r="C3248" s="60" t="s">
        <v>5047</v>
      </c>
      <c r="D3248" s="64">
        <f>IFERROR(VLOOKUP(C3248,測定点マスタ!$E$2:$F$28,2,FALSE)/VLOOKUP(A3248,'焼鈍条件-3CGL'!$A$2:$B$197,2,FALSE)*60,"")</f>
        <v>48.105190015500568</v>
      </c>
      <c r="E3248" s="66">
        <v>762.9</v>
      </c>
      <c r="F3248" s="64">
        <f t="shared" si="50"/>
        <v>-3.3442337499999955</v>
      </c>
      <c r="G3248" s="60" t="s">
        <v>12</v>
      </c>
      <c r="H3248" s="60" t="s">
        <v>5042</v>
      </c>
    </row>
    <row r="3249" spans="1:8">
      <c r="A3249" s="59" t="s">
        <v>3968</v>
      </c>
      <c r="B3249" s="62">
        <v>6</v>
      </c>
      <c r="C3249" s="60" t="s">
        <v>5048</v>
      </c>
      <c r="D3249" s="64">
        <f>IFERROR(VLOOKUP(C3249,測定点マスタ!$E$2:$F$28,2,FALSE)/VLOOKUP(A3249,'焼鈍条件-3CGL'!$A$2:$B$197,2,FALSE)*60,"")</f>
        <v>52.915709017050617</v>
      </c>
      <c r="E3249" s="66">
        <v>689</v>
      </c>
      <c r="F3249" s="64">
        <f t="shared" si="50"/>
        <v>-15.362167777777797</v>
      </c>
      <c r="G3249" s="60" t="s">
        <v>12</v>
      </c>
      <c r="H3249" s="60" t="s">
        <v>5042</v>
      </c>
    </row>
    <row r="3250" spans="1:8">
      <c r="A3250" s="59" t="s">
        <v>3968</v>
      </c>
      <c r="B3250" s="62">
        <v>7</v>
      </c>
      <c r="C3250" s="60" t="s">
        <v>5049</v>
      </c>
      <c r="D3250" s="64">
        <f>IFERROR(VLOOKUP(C3250,測定点マスタ!$E$2:$F$28,2,FALSE)/VLOOKUP(A3250,'焼鈍条件-3CGL'!$A$2:$B$197,2,FALSE)*60,"")</f>
        <v>58.527981185525682</v>
      </c>
      <c r="E3250" s="66">
        <v>606.9</v>
      </c>
      <c r="F3250" s="64">
        <f t="shared" si="50"/>
        <v>-14.628656190476194</v>
      </c>
      <c r="G3250" s="60" t="s">
        <v>12</v>
      </c>
      <c r="H3250" s="60" t="s">
        <v>5042</v>
      </c>
    </row>
    <row r="3251" spans="1:8">
      <c r="A3251" s="59" t="s">
        <v>3968</v>
      </c>
      <c r="B3251" s="62">
        <v>8</v>
      </c>
      <c r="C3251" s="60" t="s">
        <v>5050</v>
      </c>
      <c r="D3251" s="64">
        <f>IFERROR(VLOOKUP(C3251,測定点マスタ!$E$2:$F$28,2,FALSE)/VLOOKUP(A3251,'焼鈍条件-3CGL'!$A$2:$B$197,2,FALSE)*60,"")</f>
        <v>64.942006520925759</v>
      </c>
      <c r="E3251" s="66">
        <v>505.2</v>
      </c>
      <c r="F3251" s="64">
        <f t="shared" si="50"/>
        <v>-15.855877499999995</v>
      </c>
      <c r="G3251" s="60" t="s">
        <v>12</v>
      </c>
      <c r="H3251" s="60" t="s">
        <v>5042</v>
      </c>
    </row>
    <row r="3252" spans="1:8">
      <c r="A3252" s="59" t="s">
        <v>3968</v>
      </c>
      <c r="B3252" s="62">
        <v>9</v>
      </c>
      <c r="C3252" s="60" t="s">
        <v>5051</v>
      </c>
      <c r="D3252" s="64">
        <f>IFERROR(VLOOKUP(C3252,測定点マスタ!$E$2:$F$28,2,FALSE)/VLOOKUP(A3252,'焼鈍条件-3CGL'!$A$2:$B$197,2,FALSE)*60,"")</f>
        <v>70.554278689400817</v>
      </c>
      <c r="E3252" s="66">
        <v>455.9</v>
      </c>
      <c r="F3252" s="64">
        <f t="shared" si="50"/>
        <v>-8.7843209523809644</v>
      </c>
      <c r="G3252" s="60" t="s">
        <v>12</v>
      </c>
      <c r="H3252" s="60" t="s">
        <v>5042</v>
      </c>
    </row>
    <row r="3253" spans="1:8">
      <c r="A3253" s="59" t="s">
        <v>3968</v>
      </c>
      <c r="B3253" s="62">
        <v>10</v>
      </c>
      <c r="C3253" s="60" t="s">
        <v>5052</v>
      </c>
      <c r="D3253" s="64">
        <f>IFERROR(VLOOKUP(C3253,測定点マスタ!$E$2:$F$28,2,FALSE)/VLOOKUP(A3253,'焼鈍条件-3CGL'!$A$2:$B$197,2,FALSE)*60,"")</f>
        <v>77.770057191725897</v>
      </c>
      <c r="E3253" s="66">
        <v>338.6</v>
      </c>
      <c r="F3253" s="64">
        <f t="shared" si="50"/>
        <v>-16.256042222222227</v>
      </c>
      <c r="G3253" s="60" t="s">
        <v>12</v>
      </c>
      <c r="H3253" s="60" t="s">
        <v>5042</v>
      </c>
    </row>
    <row r="3254" spans="1:8">
      <c r="A3254" s="59" t="s">
        <v>3968</v>
      </c>
      <c r="B3254" s="62">
        <v>11</v>
      </c>
      <c r="C3254" s="60" t="s">
        <v>5053</v>
      </c>
      <c r="D3254" s="64">
        <f>IFERROR(VLOOKUP(C3254,測定点マスタ!$E$2:$F$28,2,FALSE)/VLOOKUP(A3254,'焼鈍条件-3CGL'!$A$2:$B$197,2,FALSE)*60,"")</f>
        <v>87.391095194826022</v>
      </c>
      <c r="E3254" s="66">
        <v>534.20000000000005</v>
      </c>
      <c r="F3254" s="64">
        <f t="shared" si="50"/>
        <v>20.330446666666642</v>
      </c>
      <c r="G3254" s="60" t="s">
        <v>12</v>
      </c>
      <c r="H3254" s="60" t="s">
        <v>5042</v>
      </c>
    </row>
    <row r="3255" spans="1:8">
      <c r="A3255" s="59" t="s">
        <v>3968</v>
      </c>
      <c r="B3255" s="62">
        <v>12</v>
      </c>
      <c r="C3255" s="60" t="s">
        <v>5054</v>
      </c>
      <c r="D3255" s="64">
        <f>IFERROR(VLOOKUP(C3255,測定点マスタ!$E$2:$F$28,2,FALSE)/VLOOKUP(A3255,'焼鈍条件-3CGL'!$A$2:$B$197,2,FALSE)*60,"")</f>
        <v>97.813886364851143</v>
      </c>
      <c r="E3255" s="66">
        <v>504</v>
      </c>
      <c r="F3255" s="64">
        <f t="shared" si="50"/>
        <v>-2.8974964102564149</v>
      </c>
      <c r="G3255" s="60" t="s">
        <v>12</v>
      </c>
      <c r="H3255" s="60" t="s">
        <v>5042</v>
      </c>
    </row>
    <row r="3256" spans="1:8">
      <c r="A3256" s="59" t="s">
        <v>3968</v>
      </c>
      <c r="B3256" s="62">
        <v>13</v>
      </c>
      <c r="C3256" s="60" t="s">
        <v>5056</v>
      </c>
      <c r="D3256" s="64">
        <f>IFERROR(VLOOKUP(C3256,測定点マスタ!$E$2:$F$28,2,FALSE)/VLOOKUP(A3256,'焼鈍条件-3CGL'!$A$2:$B$197,2,FALSE)*60,"")</f>
        <v>106.63317120102624</v>
      </c>
      <c r="E3256" s="66">
        <v>283.7</v>
      </c>
      <c r="F3256" s="64">
        <f t="shared" si="50"/>
        <v>-24.979349696969706</v>
      </c>
      <c r="G3256" s="60" t="s">
        <v>12</v>
      </c>
      <c r="H3256" s="60" t="s">
        <v>5042</v>
      </c>
    </row>
    <row r="3257" spans="1:8">
      <c r="A3257" s="59" t="s">
        <v>3968</v>
      </c>
      <c r="B3257" s="62">
        <v>14</v>
      </c>
      <c r="C3257" s="60" t="s">
        <v>5057</v>
      </c>
      <c r="D3257" s="64">
        <f>IFERROR(VLOOKUP(C3257,測定点マスタ!$E$2:$F$28,2,FALSE)/VLOOKUP(A3257,'焼鈍条件-3CGL'!$A$2:$B$197,2,FALSE)*60,"")</f>
        <v>132.20337041759876</v>
      </c>
      <c r="E3257" s="66">
        <v>191.4</v>
      </c>
      <c r="F3257" s="64">
        <f t="shared" si="50"/>
        <v>-3.6096707428144965</v>
      </c>
      <c r="G3257" s="60" t="s">
        <v>12</v>
      </c>
      <c r="H3257" s="60" t="s">
        <v>5042</v>
      </c>
    </row>
    <row r="3258" spans="1:8">
      <c r="A3258" s="59" t="s">
        <v>3968</v>
      </c>
      <c r="B3258" s="62">
        <v>15</v>
      </c>
      <c r="C3258" s="60" t="s">
        <v>5059</v>
      </c>
      <c r="D3258" s="64">
        <f>IFERROR(VLOOKUP(C3258,測定点マスタ!$E$2:$F$28,2,FALSE)/VLOOKUP(A3258,'焼鈍条件-3CGL'!$A$2:$B$197,2,FALSE)*60,"")</f>
        <v>141.88167650405097</v>
      </c>
      <c r="E3258" s="66">
        <v>70</v>
      </c>
      <c r="F3258" s="64">
        <f t="shared" si="50"/>
        <v>-12.543517317553837</v>
      </c>
      <c r="G3258" s="60" t="s">
        <v>12</v>
      </c>
      <c r="H3258" s="60" t="s">
        <v>5042</v>
      </c>
    </row>
    <row r="3259" spans="1:8">
      <c r="A3259" s="59" t="s">
        <v>3981</v>
      </c>
      <c r="B3259" s="62">
        <v>1</v>
      </c>
      <c r="C3259" s="60" t="s">
        <v>5041</v>
      </c>
      <c r="D3259" s="64">
        <f>IFERROR(VLOOKUP(C3259,測定点マスタ!$E$2:$F$28,2,FALSE)/VLOOKUP(A3259,'焼鈍条件-3CGL'!$A$2:$B$197,2,FALSE)*60,"")</f>
        <v>0</v>
      </c>
      <c r="E3259" s="66">
        <v>33.799999999999997</v>
      </c>
      <c r="F3259" s="64" t="str">
        <f t="shared" si="50"/>
        <v/>
      </c>
      <c r="G3259" s="60" t="s">
        <v>9</v>
      </c>
      <c r="H3259" s="60" t="s">
        <v>5061</v>
      </c>
    </row>
    <row r="3260" spans="1:8">
      <c r="A3260" s="59" t="s">
        <v>3981</v>
      </c>
      <c r="B3260" s="62">
        <v>2</v>
      </c>
      <c r="C3260" s="60" t="s">
        <v>5043</v>
      </c>
      <c r="D3260" s="64">
        <f>IFERROR(VLOOKUP(C3260,測定点マスタ!$E$2:$F$28,2,FALSE)/VLOOKUP(A3260,'焼鈍条件-3CGL'!$A$2:$B$197,2,FALSE)*60,"")</f>
        <v>12.124477973865012</v>
      </c>
      <c r="E3260" s="66">
        <v>183.3</v>
      </c>
      <c r="F3260" s="64">
        <f t="shared" si="50"/>
        <v>12.33042777777778</v>
      </c>
      <c r="G3260" s="60" t="s">
        <v>9</v>
      </c>
      <c r="H3260" s="60" t="s">
        <v>5061</v>
      </c>
    </row>
    <row r="3261" spans="1:8">
      <c r="A3261" s="59" t="s">
        <v>3981</v>
      </c>
      <c r="B3261" s="62">
        <v>3</v>
      </c>
      <c r="C3261" s="60" t="s">
        <v>5044</v>
      </c>
      <c r="D3261" s="64">
        <f>IFERROR(VLOOKUP(C3261,測定点マスタ!$E$2:$F$28,2,FALSE)/VLOOKUP(A3261,'焼鈍条件-3CGL'!$A$2:$B$197,2,FALSE)*60,"")</f>
        <v>27.482150074094029</v>
      </c>
      <c r="E3261" s="66">
        <v>712.7</v>
      </c>
      <c r="F3261" s="64">
        <f t="shared" si="50"/>
        <v>34.471370175438601</v>
      </c>
      <c r="G3261" s="60" t="s">
        <v>9</v>
      </c>
      <c r="H3261" s="60" t="s">
        <v>5061</v>
      </c>
    </row>
    <row r="3262" spans="1:8">
      <c r="A3262" s="59" t="s">
        <v>3981</v>
      </c>
      <c r="B3262" s="62">
        <v>4</v>
      </c>
      <c r="C3262" s="60" t="s">
        <v>5045</v>
      </c>
      <c r="D3262" s="64">
        <f>IFERROR(VLOOKUP(C3262,測定点マスタ!$E$2:$F$28,2,FALSE)/VLOOKUP(A3262,'焼鈍条件-3CGL'!$A$2:$B$197,2,FALSE)*60,"")</f>
        <v>35.565135390004045</v>
      </c>
      <c r="E3262" s="66">
        <v>875</v>
      </c>
      <c r="F3262" s="64">
        <f t="shared" si="50"/>
        <v>20.07921499999998</v>
      </c>
      <c r="G3262" s="60" t="s">
        <v>9</v>
      </c>
      <c r="H3262" s="60" t="s">
        <v>5061</v>
      </c>
    </row>
    <row r="3263" spans="1:8">
      <c r="A3263" s="59" t="s">
        <v>3981</v>
      </c>
      <c r="B3263" s="62">
        <v>5</v>
      </c>
      <c r="C3263" s="60" t="s">
        <v>5047</v>
      </c>
      <c r="D3263" s="64">
        <f>IFERROR(VLOOKUP(C3263,測定点マスタ!$E$2:$F$28,2,FALSE)/VLOOKUP(A3263,'焼鈍条件-3CGL'!$A$2:$B$197,2,FALSE)*60,"")</f>
        <v>48.497911895460049</v>
      </c>
      <c r="E3263" s="66">
        <v>793</v>
      </c>
      <c r="F3263" s="64">
        <f t="shared" si="50"/>
        <v>-6.3404791666666718</v>
      </c>
      <c r="G3263" s="60" t="s">
        <v>9</v>
      </c>
      <c r="H3263" s="60" t="s">
        <v>5061</v>
      </c>
    </row>
    <row r="3264" spans="1:8">
      <c r="A3264" s="59" t="s">
        <v>3981</v>
      </c>
      <c r="B3264" s="62">
        <v>6</v>
      </c>
      <c r="C3264" s="60" t="s">
        <v>5049</v>
      </c>
      <c r="D3264" s="64">
        <f>IFERROR(VLOOKUP(C3264,測定点マスタ!$E$2:$F$28,2,FALSE)/VLOOKUP(A3264,'焼鈍条件-3CGL'!$A$2:$B$197,2,FALSE)*60,"")</f>
        <v>59.005792806143063</v>
      </c>
      <c r="E3264" s="66">
        <v>634.4</v>
      </c>
      <c r="F3264" s="64">
        <f t="shared" si="50"/>
        <v>-15.093433333333333</v>
      </c>
      <c r="G3264" s="60" t="s">
        <v>9</v>
      </c>
      <c r="H3264" s="60" t="s">
        <v>5061</v>
      </c>
    </row>
    <row r="3265" spans="1:8">
      <c r="A3265" s="59" t="s">
        <v>3981</v>
      </c>
      <c r="B3265" s="62">
        <v>7</v>
      </c>
      <c r="C3265" s="60" t="s">
        <v>5050</v>
      </c>
      <c r="D3265" s="64">
        <f>IFERROR(VLOOKUP(C3265,測定点マスタ!$E$2:$F$28,2,FALSE)/VLOOKUP(A3265,'焼鈍条件-3CGL'!$A$2:$B$197,2,FALSE)*60,"")</f>
        <v>65.472181058871087</v>
      </c>
      <c r="E3265" s="66">
        <v>552.4</v>
      </c>
      <c r="F3265" s="64">
        <f t="shared" si="50"/>
        <v>-12.680958333333301</v>
      </c>
      <c r="G3265" s="60" t="s">
        <v>9</v>
      </c>
      <c r="H3265" s="60" t="s">
        <v>5061</v>
      </c>
    </row>
    <row r="3266" spans="1:8">
      <c r="A3266" s="59" t="s">
        <v>3981</v>
      </c>
      <c r="B3266" s="62">
        <v>8</v>
      </c>
      <c r="C3266" s="60" t="s">
        <v>5051</v>
      </c>
      <c r="D3266" s="64">
        <f>IFERROR(VLOOKUP(C3266,測定点マスタ!$E$2:$F$28,2,FALSE)/VLOOKUP(A3266,'焼鈍条件-3CGL'!$A$2:$B$197,2,FALSE)*60,"")</f>
        <v>71.13027078000809</v>
      </c>
      <c r="E3266" s="66">
        <v>473.5</v>
      </c>
      <c r="F3266" s="64">
        <f t="shared" ref="F3266:F3329" si="51">IF(A3266=A3265,IFERROR((E3266-E3265)/(D3266-D3265),""),"")</f>
        <v>-13.944635714285718</v>
      </c>
      <c r="G3266" s="60" t="s">
        <v>9</v>
      </c>
      <c r="H3266" s="60" t="s">
        <v>5061</v>
      </c>
    </row>
    <row r="3267" spans="1:8">
      <c r="A3267" s="59" t="s">
        <v>3981</v>
      </c>
      <c r="B3267" s="62">
        <v>9</v>
      </c>
      <c r="C3267" s="60" t="s">
        <v>5052</v>
      </c>
      <c r="D3267" s="64">
        <f>IFERROR(VLOOKUP(C3267,測定点マスタ!$E$2:$F$28,2,FALSE)/VLOOKUP(A3267,'焼鈍条件-3CGL'!$A$2:$B$197,2,FALSE)*60,"")</f>
        <v>78.404957564327077</v>
      </c>
      <c r="E3267" s="66">
        <v>356.1</v>
      </c>
      <c r="F3267" s="64">
        <f t="shared" si="51"/>
        <v>-16.138151851851894</v>
      </c>
      <c r="G3267" s="60" t="s">
        <v>9</v>
      </c>
      <c r="H3267" s="60" t="s">
        <v>5061</v>
      </c>
    </row>
    <row r="3268" spans="1:8">
      <c r="A3268" s="59" t="s">
        <v>3981</v>
      </c>
      <c r="B3268" s="62">
        <v>10</v>
      </c>
      <c r="C3268" s="60" t="s">
        <v>5069</v>
      </c>
      <c r="D3268" s="64">
        <f>IFERROR(VLOOKUP(C3268,測定点マスタ!$E$2:$F$28,2,FALSE)/VLOOKUP(A3268,'焼鈍条件-3CGL'!$A$2:$B$197,2,FALSE)*60,"")</f>
        <v>84.063047285464094</v>
      </c>
      <c r="E3268" s="66">
        <v>529</v>
      </c>
      <c r="F3268" s="64">
        <f t="shared" si="51"/>
        <v>30.558016666666607</v>
      </c>
      <c r="G3268" s="60" t="s">
        <v>9</v>
      </c>
      <c r="H3268" s="60" t="s">
        <v>5061</v>
      </c>
    </row>
    <row r="3269" spans="1:8">
      <c r="A3269" s="59" t="s">
        <v>3981</v>
      </c>
      <c r="B3269" s="62">
        <v>11</v>
      </c>
      <c r="C3269" s="60" t="s">
        <v>5053</v>
      </c>
      <c r="D3269" s="64">
        <f>IFERROR(VLOOKUP(C3269,測定点マスタ!$E$2:$F$28,2,FALSE)/VLOOKUP(A3269,'焼鈍条件-3CGL'!$A$2:$B$197,2,FALSE)*60,"")</f>
        <v>88.104539943419098</v>
      </c>
      <c r="E3269" s="66">
        <v>582.9</v>
      </c>
      <c r="F3269" s="64">
        <f t="shared" si="51"/>
        <v>13.336656666666663</v>
      </c>
      <c r="G3269" s="60" t="s">
        <v>9</v>
      </c>
      <c r="H3269" s="60" t="s">
        <v>5061</v>
      </c>
    </row>
    <row r="3270" spans="1:8">
      <c r="A3270" s="59" t="s">
        <v>3981</v>
      </c>
      <c r="B3270" s="62">
        <v>12</v>
      </c>
      <c r="C3270" s="60" t="s">
        <v>5054</v>
      </c>
      <c r="D3270" s="64">
        <f>IFERROR(VLOOKUP(C3270,測定点マスタ!$E$2:$F$28,2,FALSE)/VLOOKUP(A3270,'焼鈍条件-3CGL'!$A$2:$B$197,2,FALSE)*60,"")</f>
        <v>98.612420854102112</v>
      </c>
      <c r="E3270" s="66">
        <v>560.5</v>
      </c>
      <c r="F3270" s="64">
        <f t="shared" si="51"/>
        <v>-2.1317333333333308</v>
      </c>
      <c r="G3270" s="60" t="s">
        <v>9</v>
      </c>
      <c r="H3270" s="60" t="s">
        <v>5061</v>
      </c>
    </row>
    <row r="3271" spans="1:8">
      <c r="A3271" s="59" t="s">
        <v>3981</v>
      </c>
      <c r="B3271" s="62">
        <v>13</v>
      </c>
      <c r="C3271" s="60" t="s">
        <v>5056</v>
      </c>
      <c r="D3271" s="64">
        <f>IFERROR(VLOOKUP(C3271,測定点マスタ!$E$2:$F$28,2,FALSE)/VLOOKUP(A3271,'焼鈍条件-3CGL'!$A$2:$B$197,2,FALSE)*60,"")</f>
        <v>107.50370470160313</v>
      </c>
      <c r="E3271" s="66">
        <v>309</v>
      </c>
      <c r="F3271" s="64">
        <f t="shared" si="51"/>
        <v>-28.286128787878773</v>
      </c>
      <c r="G3271" s="60" t="s">
        <v>9</v>
      </c>
      <c r="H3271" s="60" t="s">
        <v>5061</v>
      </c>
    </row>
    <row r="3272" spans="1:8">
      <c r="A3272" s="59" t="s">
        <v>3981</v>
      </c>
      <c r="B3272" s="62">
        <v>14</v>
      </c>
      <c r="C3272" s="60" t="s">
        <v>5062</v>
      </c>
      <c r="D3272" s="64">
        <f>IFERROR(VLOOKUP(C3272,測定点マスタ!$E$2:$F$28,2,FALSE)/VLOOKUP(A3272,'焼鈍条件-3CGL'!$A$2:$B$197,2,FALSE)*60,"")</f>
        <v>117.20328708069513</v>
      </c>
      <c r="E3272" s="66">
        <v>462.3</v>
      </c>
      <c r="F3272" s="64">
        <f t="shared" si="51"/>
        <v>15.804804166666674</v>
      </c>
      <c r="G3272" s="60" t="s">
        <v>9</v>
      </c>
      <c r="H3272" s="60" t="s">
        <v>5061</v>
      </c>
    </row>
    <row r="3273" spans="1:8">
      <c r="A3273" s="59" t="s">
        <v>3981</v>
      </c>
      <c r="B3273" s="62">
        <v>15</v>
      </c>
      <c r="C3273" s="60" t="s">
        <v>5057</v>
      </c>
      <c r="D3273" s="64">
        <f>IFERROR(VLOOKUP(C3273,測定点マスタ!$E$2:$F$28,2,FALSE)/VLOOKUP(A3273,'焼鈍条件-3CGL'!$A$2:$B$197,2,FALSE)*60,"")</f>
        <v>133.28265429841599</v>
      </c>
      <c r="E3273" s="66">
        <v>181.7</v>
      </c>
      <c r="F3273" s="64">
        <f t="shared" si="51"/>
        <v>-17.450935487732036</v>
      </c>
      <c r="G3273" s="60" t="s">
        <v>9</v>
      </c>
      <c r="H3273" s="60" t="s">
        <v>5061</v>
      </c>
    </row>
    <row r="3274" spans="1:8">
      <c r="A3274" s="59" t="s">
        <v>3981</v>
      </c>
      <c r="B3274" s="62">
        <v>16</v>
      </c>
      <c r="C3274" s="60" t="s">
        <v>5059</v>
      </c>
      <c r="D3274" s="64">
        <f>IFERROR(VLOOKUP(C3274,測定点マスタ!$E$2:$F$28,2,FALSE)/VLOOKUP(A3274,'焼鈍条件-3CGL'!$A$2:$B$197,2,FALSE)*60,"")</f>
        <v>143.03997228690773</v>
      </c>
      <c r="E3274" s="66">
        <v>60</v>
      </c>
      <c r="F3274" s="64">
        <f t="shared" si="51"/>
        <v>-12.472689743589275</v>
      </c>
      <c r="G3274" s="60" t="s">
        <v>9</v>
      </c>
      <c r="H3274" s="60" t="s">
        <v>5061</v>
      </c>
    </row>
    <row r="3275" spans="1:8">
      <c r="A3275" s="59" t="s">
        <v>3991</v>
      </c>
      <c r="B3275" s="62">
        <v>1</v>
      </c>
      <c r="C3275" s="60" t="s">
        <v>5041</v>
      </c>
      <c r="D3275" s="64">
        <f>IFERROR(VLOOKUP(C3275,測定点マスタ!$E$2:$F$28,2,FALSE)/VLOOKUP(A3275,'焼鈍条件-3CGL'!$A$2:$B$197,2,FALSE)*60,"")</f>
        <v>0</v>
      </c>
      <c r="E3275" s="66">
        <v>38.299999999999997</v>
      </c>
      <c r="F3275" s="64" t="str">
        <f t="shared" si="51"/>
        <v/>
      </c>
      <c r="G3275" s="60" t="s">
        <v>9</v>
      </c>
      <c r="H3275" s="60" t="s">
        <v>5061</v>
      </c>
    </row>
    <row r="3276" spans="1:8">
      <c r="A3276" s="59" t="s">
        <v>3991</v>
      </c>
      <c r="B3276" s="62">
        <v>2</v>
      </c>
      <c r="C3276" s="60" t="s">
        <v>5043</v>
      </c>
      <c r="D3276" s="64">
        <f>IFERROR(VLOOKUP(C3276,測定点マスタ!$E$2:$F$28,2,FALSE)/VLOOKUP(A3276,'焼鈍条件-3CGL'!$A$2:$B$197,2,FALSE)*60,"")</f>
        <v>7.0487065623458092</v>
      </c>
      <c r="E3276" s="66">
        <v>166.4</v>
      </c>
      <c r="F3276" s="64">
        <f t="shared" si="51"/>
        <v>18.173547000000003</v>
      </c>
      <c r="G3276" s="60" t="s">
        <v>9</v>
      </c>
      <c r="H3276" s="60" t="s">
        <v>5061</v>
      </c>
    </row>
    <row r="3277" spans="1:8">
      <c r="A3277" s="59" t="s">
        <v>3991</v>
      </c>
      <c r="B3277" s="62">
        <v>3</v>
      </c>
      <c r="C3277" s="60" t="s">
        <v>5044</v>
      </c>
      <c r="D3277" s="64">
        <f>IFERROR(VLOOKUP(C3277,測定点マスタ!$E$2:$F$28,2,FALSE)/VLOOKUP(A3277,'焼鈍条件-3CGL'!$A$2:$B$197,2,FALSE)*60,"")</f>
        <v>15.977068207983834</v>
      </c>
      <c r="E3277" s="66">
        <v>626</v>
      </c>
      <c r="F3277" s="64">
        <f t="shared" si="51"/>
        <v>51.476409473684221</v>
      </c>
      <c r="G3277" s="60" t="s">
        <v>9</v>
      </c>
      <c r="H3277" s="60" t="s">
        <v>5061</v>
      </c>
    </row>
    <row r="3278" spans="1:8">
      <c r="A3278" s="59" t="s">
        <v>3991</v>
      </c>
      <c r="B3278" s="62">
        <v>4</v>
      </c>
      <c r="C3278" s="60" t="s">
        <v>5045</v>
      </c>
      <c r="D3278" s="64">
        <f>IFERROR(VLOOKUP(C3278,測定点マスタ!$E$2:$F$28,2,FALSE)/VLOOKUP(A3278,'焼鈍条件-3CGL'!$A$2:$B$197,2,FALSE)*60,"")</f>
        <v>20.676205916214375</v>
      </c>
      <c r="E3278" s="66">
        <v>788.3</v>
      </c>
      <c r="F3278" s="64">
        <f t="shared" si="51"/>
        <v>34.53825149999998</v>
      </c>
      <c r="G3278" s="60" t="s">
        <v>9</v>
      </c>
      <c r="H3278" s="60" t="s">
        <v>5061</v>
      </c>
    </row>
    <row r="3279" spans="1:8">
      <c r="A3279" s="59" t="s">
        <v>3991</v>
      </c>
      <c r="B3279" s="62">
        <v>5</v>
      </c>
      <c r="C3279" s="60" t="s">
        <v>5047</v>
      </c>
      <c r="D3279" s="64">
        <f>IFERROR(VLOOKUP(C3279,測定点マスタ!$E$2:$F$28,2,FALSE)/VLOOKUP(A3279,'焼鈍条件-3CGL'!$A$2:$B$197,2,FALSE)*60,"")</f>
        <v>28.194826249383237</v>
      </c>
      <c r="E3279" s="66">
        <v>742.7</v>
      </c>
      <c r="F3279" s="64">
        <f t="shared" si="51"/>
        <v>-6.0649424999999892</v>
      </c>
      <c r="G3279" s="60" t="s">
        <v>9</v>
      </c>
      <c r="H3279" s="60" t="s">
        <v>5061</v>
      </c>
    </row>
    <row r="3280" spans="1:8">
      <c r="A3280" s="59" t="s">
        <v>3991</v>
      </c>
      <c r="B3280" s="62">
        <v>6</v>
      </c>
      <c r="C3280" s="60" t="s">
        <v>5048</v>
      </c>
      <c r="D3280" s="64">
        <f>IFERROR(VLOOKUP(C3280,測定点マスタ!$E$2:$F$28,2,FALSE)/VLOOKUP(A3280,'焼鈍条件-3CGL'!$A$2:$B$197,2,FALSE)*60,"")</f>
        <v>31.014308874321561</v>
      </c>
      <c r="E3280" s="66">
        <v>670.6</v>
      </c>
      <c r="F3280" s="64">
        <f t="shared" si="51"/>
        <v>-25.572067500000006</v>
      </c>
      <c r="G3280" s="60" t="s">
        <v>9</v>
      </c>
      <c r="H3280" s="60" t="s">
        <v>5061</v>
      </c>
    </row>
    <row r="3281" spans="1:8">
      <c r="A3281" s="59" t="s">
        <v>3991</v>
      </c>
      <c r="B3281" s="62">
        <v>7</v>
      </c>
      <c r="C3281" s="60" t="s">
        <v>5049</v>
      </c>
      <c r="D3281" s="64">
        <f>IFERROR(VLOOKUP(C3281,測定点マスタ!$E$2:$F$28,2,FALSE)/VLOOKUP(A3281,'焼鈍条件-3CGL'!$A$2:$B$197,2,FALSE)*60,"")</f>
        <v>34.303705270082943</v>
      </c>
      <c r="E3281" s="66">
        <v>605.20000000000005</v>
      </c>
      <c r="F3281" s="64">
        <f t="shared" si="51"/>
        <v>-19.882067142857107</v>
      </c>
      <c r="G3281" s="60" t="s">
        <v>9</v>
      </c>
      <c r="H3281" s="60" t="s">
        <v>5061</v>
      </c>
    </row>
    <row r="3282" spans="1:8">
      <c r="A3282" s="59" t="s">
        <v>3991</v>
      </c>
      <c r="B3282" s="62">
        <v>8</v>
      </c>
      <c r="C3282" s="60" t="s">
        <v>5050</v>
      </c>
      <c r="D3282" s="64">
        <f>IFERROR(VLOOKUP(C3282,測定点マスタ!$E$2:$F$28,2,FALSE)/VLOOKUP(A3282,'焼鈍条件-3CGL'!$A$2:$B$197,2,FALSE)*60,"")</f>
        <v>38.063015436667371</v>
      </c>
      <c r="E3282" s="66">
        <v>465.8</v>
      </c>
      <c r="F3282" s="64">
        <f t="shared" si="51"/>
        <v>-37.08127125000005</v>
      </c>
      <c r="G3282" s="60" t="s">
        <v>9</v>
      </c>
      <c r="H3282" s="60" t="s">
        <v>5061</v>
      </c>
    </row>
    <row r="3283" spans="1:8">
      <c r="A3283" s="59" t="s">
        <v>3991</v>
      </c>
      <c r="B3283" s="62">
        <v>9</v>
      </c>
      <c r="C3283" s="60" t="s">
        <v>5051</v>
      </c>
      <c r="D3283" s="64">
        <f>IFERROR(VLOOKUP(C3283,測定点マスタ!$E$2:$F$28,2,FALSE)/VLOOKUP(A3283,'焼鈍条件-3CGL'!$A$2:$B$197,2,FALSE)*60,"")</f>
        <v>41.35241183242875</v>
      </c>
      <c r="E3283" s="66">
        <v>460.1</v>
      </c>
      <c r="F3283" s="64">
        <f t="shared" si="51"/>
        <v>-1.7328407142857101</v>
      </c>
      <c r="G3283" s="60" t="s">
        <v>9</v>
      </c>
      <c r="H3283" s="60" t="s">
        <v>5061</v>
      </c>
    </row>
    <row r="3284" spans="1:8">
      <c r="A3284" s="59" t="s">
        <v>3991</v>
      </c>
      <c r="B3284" s="62">
        <v>10</v>
      </c>
      <c r="C3284" s="60" t="s">
        <v>5052</v>
      </c>
      <c r="D3284" s="64">
        <f>IFERROR(VLOOKUP(C3284,測定点マスタ!$E$2:$F$28,2,FALSE)/VLOOKUP(A3284,'焼鈍条件-3CGL'!$A$2:$B$197,2,FALSE)*60,"")</f>
        <v>45.581635769836232</v>
      </c>
      <c r="E3284" s="66">
        <v>331</v>
      </c>
      <c r="F3284" s="64">
        <f t="shared" si="51"/>
        <v>-30.525695000000027</v>
      </c>
      <c r="G3284" s="60" t="s">
        <v>9</v>
      </c>
      <c r="H3284" s="60" t="s">
        <v>5061</v>
      </c>
    </row>
    <row r="3285" spans="1:8">
      <c r="A3285" s="59" t="s">
        <v>3991</v>
      </c>
      <c r="B3285" s="62">
        <v>11</v>
      </c>
      <c r="C3285" s="60" t="s">
        <v>5053</v>
      </c>
      <c r="D3285" s="64">
        <f>IFERROR(VLOOKUP(C3285,測定点マスタ!$E$2:$F$28,2,FALSE)/VLOOKUP(A3285,'焼鈍条件-3CGL'!$A$2:$B$197,2,FALSE)*60,"")</f>
        <v>51.22060101971288</v>
      </c>
      <c r="E3285" s="66">
        <v>521.1</v>
      </c>
      <c r="F3285" s="64">
        <f t="shared" si="51"/>
        <v>33.711858750000005</v>
      </c>
      <c r="G3285" s="60" t="s">
        <v>9</v>
      </c>
      <c r="H3285" s="60" t="s">
        <v>5061</v>
      </c>
    </row>
    <row r="3286" spans="1:8">
      <c r="A3286" s="59" t="s">
        <v>3991</v>
      </c>
      <c r="B3286" s="62">
        <v>12</v>
      </c>
      <c r="C3286" s="60" t="s">
        <v>5054</v>
      </c>
      <c r="D3286" s="64">
        <f>IFERROR(VLOOKUP(C3286,測定点マスタ!$E$2:$F$28,2,FALSE)/VLOOKUP(A3286,'焼鈍条件-3CGL'!$A$2:$B$197,2,FALSE)*60,"")</f>
        <v>57.329480040412584</v>
      </c>
      <c r="E3286" s="66">
        <v>504.5</v>
      </c>
      <c r="F3286" s="64">
        <f t="shared" si="51"/>
        <v>-2.7173561538461568</v>
      </c>
      <c r="G3286" s="60" t="s">
        <v>9</v>
      </c>
      <c r="H3286" s="60" t="s">
        <v>5061</v>
      </c>
    </row>
    <row r="3287" spans="1:8">
      <c r="A3287" s="59" t="s">
        <v>3991</v>
      </c>
      <c r="B3287" s="62">
        <v>13</v>
      </c>
      <c r="C3287" s="60" t="s">
        <v>5056</v>
      </c>
      <c r="D3287" s="64">
        <f>IFERROR(VLOOKUP(C3287,測定点マスタ!$E$2:$F$28,2,FALSE)/VLOOKUP(A3287,'焼鈍条件-3CGL'!$A$2:$B$197,2,FALSE)*60,"")</f>
        <v>62.498531519466177</v>
      </c>
      <c r="E3287" s="66">
        <v>248.9</v>
      </c>
      <c r="F3287" s="64">
        <f t="shared" si="51"/>
        <v>-49.448143636363646</v>
      </c>
      <c r="G3287" s="60" t="s">
        <v>9</v>
      </c>
      <c r="H3287" s="60" t="s">
        <v>5061</v>
      </c>
    </row>
    <row r="3288" spans="1:8">
      <c r="A3288" s="59" t="s">
        <v>3991</v>
      </c>
      <c r="B3288" s="62">
        <v>14</v>
      </c>
      <c r="C3288" s="60" t="s">
        <v>5062</v>
      </c>
      <c r="D3288" s="64">
        <f>IFERROR(VLOOKUP(C3288,測定点マスタ!$E$2:$F$28,2,FALSE)/VLOOKUP(A3288,'焼鈍条件-3CGL'!$A$2:$B$197,2,FALSE)*60,"")</f>
        <v>68.137496769342818</v>
      </c>
      <c r="E3288" s="66">
        <v>466.3</v>
      </c>
      <c r="F3288" s="64">
        <f t="shared" si="51"/>
        <v>38.553172500000045</v>
      </c>
      <c r="G3288" s="60" t="s">
        <v>9</v>
      </c>
      <c r="H3288" s="60" t="s">
        <v>5061</v>
      </c>
    </row>
    <row r="3289" spans="1:8">
      <c r="A3289" s="59" t="s">
        <v>3991</v>
      </c>
      <c r="B3289" s="62">
        <v>15</v>
      </c>
      <c r="C3289" s="60" t="s">
        <v>5068</v>
      </c>
      <c r="D3289" s="64">
        <f>IFERROR(VLOOKUP(C3289,測定点マスタ!$E$2:$F$28,2,FALSE)/VLOOKUP(A3289,'焼鈍条件-3CGL'!$A$2:$B$197,2,FALSE)*60,"")</f>
        <v>74.649159022176633</v>
      </c>
      <c r="E3289" s="66">
        <v>345.9</v>
      </c>
      <c r="F3289" s="64">
        <f t="shared" si="51"/>
        <v>-18.489902474226618</v>
      </c>
      <c r="G3289" s="60" t="s">
        <v>9</v>
      </c>
      <c r="H3289" s="60" t="s">
        <v>5061</v>
      </c>
    </row>
    <row r="3290" spans="1:8">
      <c r="A3290" s="59" t="s">
        <v>3991</v>
      </c>
      <c r="B3290" s="62">
        <v>16</v>
      </c>
      <c r="C3290" s="60" t="s">
        <v>5057</v>
      </c>
      <c r="D3290" s="64">
        <f>IFERROR(VLOOKUP(C3290,測定点マスタ!$E$2:$F$28,2,FALSE)/VLOOKUP(A3290,'焼鈍条件-3CGL'!$A$2:$B$197,2,FALSE)*60,"")</f>
        <v>77.485424281787076</v>
      </c>
      <c r="E3290" s="66">
        <v>256.7</v>
      </c>
      <c r="F3290" s="64">
        <f t="shared" si="51"/>
        <v>-31.449808757397925</v>
      </c>
      <c r="G3290" s="60" t="s">
        <v>9</v>
      </c>
      <c r="H3290" s="60" t="s">
        <v>5061</v>
      </c>
    </row>
    <row r="3291" spans="1:8">
      <c r="A3291" s="59" t="s">
        <v>3991</v>
      </c>
      <c r="B3291" s="62">
        <v>17</v>
      </c>
      <c r="C3291" s="60" t="s">
        <v>5059</v>
      </c>
      <c r="D3291" s="64">
        <f>IFERROR(VLOOKUP(C3291,測定点マスタ!$E$2:$F$28,2,FALSE)/VLOOKUP(A3291,'焼鈍条件-3CGL'!$A$2:$B$197,2,FALSE)*60,"")</f>
        <v>83.15795480100843</v>
      </c>
      <c r="E3291" s="66">
        <v>54.7</v>
      </c>
      <c r="F3291" s="64">
        <f t="shared" si="51"/>
        <v>-35.610209467454347</v>
      </c>
      <c r="G3291" s="60" t="s">
        <v>9</v>
      </c>
      <c r="H3291" s="60" t="s">
        <v>5061</v>
      </c>
    </row>
    <row r="3292" spans="1:8">
      <c r="A3292" s="59" t="s">
        <v>4000</v>
      </c>
      <c r="B3292" s="62">
        <v>1</v>
      </c>
      <c r="C3292" s="60" t="s">
        <v>5041</v>
      </c>
      <c r="D3292" s="64">
        <f>IFERROR(VLOOKUP(C3292,測定点マスタ!$E$2:$F$28,2,FALSE)/VLOOKUP(A3292,'焼鈍条件-3CGL'!$A$2:$B$197,2,FALSE)*60,"")</f>
        <v>0</v>
      </c>
      <c r="E3292" s="66">
        <v>38.9</v>
      </c>
      <c r="F3292" s="64" t="str">
        <f t="shared" si="51"/>
        <v/>
      </c>
      <c r="G3292" s="60" t="s">
        <v>12</v>
      </c>
      <c r="H3292" s="60" t="s">
        <v>5061</v>
      </c>
    </row>
    <row r="3293" spans="1:8">
      <c r="A3293" s="59" t="s">
        <v>4000</v>
      </c>
      <c r="B3293" s="62">
        <v>2</v>
      </c>
      <c r="C3293" s="60" t="s">
        <v>5043</v>
      </c>
      <c r="D3293" s="64">
        <f>IFERROR(VLOOKUP(C3293,測定点マスタ!$E$2:$F$28,2,FALSE)/VLOOKUP(A3293,'焼鈍条件-3CGL'!$A$2:$B$197,2,FALSE)*60,"")</f>
        <v>9.3875166889185575</v>
      </c>
      <c r="E3293" s="66">
        <v>191.2</v>
      </c>
      <c r="F3293" s="64">
        <f t="shared" si="51"/>
        <v>16.223672888888888</v>
      </c>
      <c r="G3293" s="60" t="s">
        <v>12</v>
      </c>
      <c r="H3293" s="60" t="s">
        <v>5061</v>
      </c>
    </row>
    <row r="3294" spans="1:8">
      <c r="A3294" s="59" t="s">
        <v>4000</v>
      </c>
      <c r="B3294" s="62">
        <v>3</v>
      </c>
      <c r="C3294" s="60" t="s">
        <v>5044</v>
      </c>
      <c r="D3294" s="64">
        <f>IFERROR(VLOOKUP(C3294,測定点マスタ!$E$2:$F$28,2,FALSE)/VLOOKUP(A3294,'焼鈍条件-3CGL'!$A$2:$B$197,2,FALSE)*60,"")</f>
        <v>21.27837116154873</v>
      </c>
      <c r="E3294" s="66">
        <v>667.7</v>
      </c>
      <c r="F3294" s="64">
        <f t="shared" si="51"/>
        <v>40.072814035087731</v>
      </c>
      <c r="G3294" s="60" t="s">
        <v>12</v>
      </c>
      <c r="H3294" s="60" t="s">
        <v>5061</v>
      </c>
    </row>
    <row r="3295" spans="1:8">
      <c r="A3295" s="59" t="s">
        <v>4000</v>
      </c>
      <c r="B3295" s="62">
        <v>4</v>
      </c>
      <c r="C3295" s="60" t="s">
        <v>5045</v>
      </c>
      <c r="D3295" s="64">
        <f>IFERROR(VLOOKUP(C3295,測定点マスタ!$E$2:$F$28,2,FALSE)/VLOOKUP(A3295,'焼鈍条件-3CGL'!$A$2:$B$197,2,FALSE)*60,"")</f>
        <v>27.536715620827771</v>
      </c>
      <c r="E3295" s="66">
        <v>803.2</v>
      </c>
      <c r="F3295" s="64">
        <f t="shared" si="51"/>
        <v>21.651093333333325</v>
      </c>
      <c r="G3295" s="60" t="s">
        <v>12</v>
      </c>
      <c r="H3295" s="60" t="s">
        <v>5061</v>
      </c>
    </row>
    <row r="3296" spans="1:8">
      <c r="A3296" s="59" t="s">
        <v>4000</v>
      </c>
      <c r="B3296" s="62">
        <v>5</v>
      </c>
      <c r="C3296" s="60" t="s">
        <v>5046</v>
      </c>
      <c r="D3296" s="64">
        <f>IFERROR(VLOOKUP(C3296,測定点マスタ!$E$2:$F$28,2,FALSE)/VLOOKUP(A3296,'焼鈍条件-3CGL'!$A$2:$B$197,2,FALSE)*60,"")</f>
        <v>33.795060080106808</v>
      </c>
      <c r="E3296" s="66">
        <v>774.9</v>
      </c>
      <c r="F3296" s="64">
        <f t="shared" si="51"/>
        <v>-4.5219626666666786</v>
      </c>
      <c r="G3296" s="60" t="s">
        <v>12</v>
      </c>
      <c r="H3296" s="60" t="s">
        <v>5061</v>
      </c>
    </row>
    <row r="3297" spans="1:8">
      <c r="A3297" s="59" t="s">
        <v>4000</v>
      </c>
      <c r="B3297" s="62">
        <v>6</v>
      </c>
      <c r="C3297" s="60" t="s">
        <v>5047</v>
      </c>
      <c r="D3297" s="64">
        <f>IFERROR(VLOOKUP(C3297,測定点マスタ!$E$2:$F$28,2,FALSE)/VLOOKUP(A3297,'焼鈍条件-3CGL'!$A$2:$B$197,2,FALSE)*60,"")</f>
        <v>37.55006675567423</v>
      </c>
      <c r="E3297" s="66">
        <v>745.5</v>
      </c>
      <c r="F3297" s="64">
        <f t="shared" si="51"/>
        <v>-7.8295466666666629</v>
      </c>
      <c r="G3297" s="60" t="s">
        <v>12</v>
      </c>
      <c r="H3297" s="60" t="s">
        <v>5061</v>
      </c>
    </row>
    <row r="3298" spans="1:8">
      <c r="A3298" s="59" t="s">
        <v>4000</v>
      </c>
      <c r="B3298" s="62">
        <v>7</v>
      </c>
      <c r="C3298" s="60" t="s">
        <v>5049</v>
      </c>
      <c r="D3298" s="64">
        <f>IFERROR(VLOOKUP(C3298,測定点マスタ!$E$2:$F$28,2,FALSE)/VLOOKUP(A3298,'焼鈍条件-3CGL'!$A$2:$B$197,2,FALSE)*60,"")</f>
        <v>45.685914552736989</v>
      </c>
      <c r="E3298" s="66">
        <v>574.79999999999995</v>
      </c>
      <c r="F3298" s="64">
        <f t="shared" si="51"/>
        <v>-20.981218461538443</v>
      </c>
      <c r="G3298" s="60" t="s">
        <v>12</v>
      </c>
      <c r="H3298" s="60" t="s">
        <v>5061</v>
      </c>
    </row>
    <row r="3299" spans="1:8">
      <c r="A3299" s="59" t="s">
        <v>4000</v>
      </c>
      <c r="B3299" s="62">
        <v>8</v>
      </c>
      <c r="C3299" s="60" t="s">
        <v>5050</v>
      </c>
      <c r="D3299" s="64">
        <f>IFERROR(VLOOKUP(C3299,測定点マスタ!$E$2:$F$28,2,FALSE)/VLOOKUP(A3299,'焼鈍条件-3CGL'!$A$2:$B$197,2,FALSE)*60,"")</f>
        <v>50.692590120160219</v>
      </c>
      <c r="E3299" s="66">
        <v>475.9</v>
      </c>
      <c r="F3299" s="64">
        <f t="shared" si="51"/>
        <v>-19.753626666666666</v>
      </c>
      <c r="G3299" s="60" t="s">
        <v>12</v>
      </c>
      <c r="H3299" s="60" t="s">
        <v>5061</v>
      </c>
    </row>
    <row r="3300" spans="1:8">
      <c r="A3300" s="59" t="s">
        <v>4000</v>
      </c>
      <c r="B3300" s="62">
        <v>9</v>
      </c>
      <c r="C3300" s="60" t="s">
        <v>5051</v>
      </c>
      <c r="D3300" s="64">
        <f>IFERROR(VLOOKUP(C3300,測定点マスタ!$E$2:$F$28,2,FALSE)/VLOOKUP(A3300,'焼鈍条件-3CGL'!$A$2:$B$197,2,FALSE)*60,"")</f>
        <v>55.073431241655541</v>
      </c>
      <c r="E3300" s="66">
        <v>436.6</v>
      </c>
      <c r="F3300" s="64">
        <f t="shared" si="51"/>
        <v>-8.9708799999999993</v>
      </c>
      <c r="G3300" s="60" t="s">
        <v>12</v>
      </c>
      <c r="H3300" s="60" t="s">
        <v>5061</v>
      </c>
    </row>
    <row r="3301" spans="1:8">
      <c r="A3301" s="59" t="s">
        <v>4000</v>
      </c>
      <c r="B3301" s="62">
        <v>10</v>
      </c>
      <c r="C3301" s="60" t="s">
        <v>5060</v>
      </c>
      <c r="D3301" s="64">
        <f>IFERROR(VLOOKUP(C3301,測定点マスタ!$E$2:$F$28,2,FALSE)/VLOOKUP(A3301,'焼鈍条件-3CGL'!$A$2:$B$197,2,FALSE)*60,"")</f>
        <v>57.576769025367156</v>
      </c>
      <c r="E3301" s="66">
        <v>421.7</v>
      </c>
      <c r="F3301" s="64">
        <f t="shared" si="51"/>
        <v>-5.9520533333333487</v>
      </c>
      <c r="G3301" s="60" t="s">
        <v>12</v>
      </c>
      <c r="H3301" s="60" t="s">
        <v>5061</v>
      </c>
    </row>
    <row r="3302" spans="1:8">
      <c r="A3302" s="59" t="s">
        <v>4000</v>
      </c>
      <c r="B3302" s="62">
        <v>11</v>
      </c>
      <c r="C3302" s="60" t="s">
        <v>5052</v>
      </c>
      <c r="D3302" s="64">
        <f>IFERROR(VLOOKUP(C3302,測定点マスタ!$E$2:$F$28,2,FALSE)/VLOOKUP(A3302,'焼鈍条件-3CGL'!$A$2:$B$197,2,FALSE)*60,"")</f>
        <v>60.705941255006678</v>
      </c>
      <c r="E3302" s="66">
        <v>357</v>
      </c>
      <c r="F3302" s="64">
        <f t="shared" si="51"/>
        <v>-20.676394666666646</v>
      </c>
      <c r="G3302" s="60" t="s">
        <v>12</v>
      </c>
      <c r="H3302" s="60" t="s">
        <v>5061</v>
      </c>
    </row>
    <row r="3303" spans="1:8">
      <c r="A3303" s="59" t="s">
        <v>4000</v>
      </c>
      <c r="B3303" s="62">
        <v>12</v>
      </c>
      <c r="C3303" s="60" t="s">
        <v>5053</v>
      </c>
      <c r="D3303" s="64">
        <f>IFERROR(VLOOKUP(C3303,測定点マスタ!$E$2:$F$28,2,FALSE)/VLOOKUP(A3303,'焼鈍条件-3CGL'!$A$2:$B$197,2,FALSE)*60,"")</f>
        <v>68.215954606141509</v>
      </c>
      <c r="E3303" s="66">
        <v>526.20000000000005</v>
      </c>
      <c r="F3303" s="64">
        <f t="shared" si="51"/>
        <v>22.529920000000054</v>
      </c>
      <c r="G3303" s="60" t="s">
        <v>12</v>
      </c>
      <c r="H3303" s="60" t="s">
        <v>5061</v>
      </c>
    </row>
    <row r="3304" spans="1:8">
      <c r="A3304" s="59" t="s">
        <v>4000</v>
      </c>
      <c r="B3304" s="62">
        <v>13</v>
      </c>
      <c r="C3304" s="60" t="s">
        <v>5063</v>
      </c>
      <c r="D3304" s="64">
        <f>IFERROR(VLOOKUP(C3304,測定点マスタ!$E$2:$F$28,2,FALSE)/VLOOKUP(A3304,'焼鈍条件-3CGL'!$A$2:$B$197,2,FALSE)*60,"")</f>
        <v>71.970961281708938</v>
      </c>
      <c r="E3304" s="66">
        <v>518.5</v>
      </c>
      <c r="F3304" s="64">
        <f t="shared" si="51"/>
        <v>-2.0505955555555642</v>
      </c>
      <c r="G3304" s="60" t="s">
        <v>12</v>
      </c>
      <c r="H3304" s="60" t="s">
        <v>5061</v>
      </c>
    </row>
    <row r="3305" spans="1:8">
      <c r="A3305" s="59" t="s">
        <v>4000</v>
      </c>
      <c r="B3305" s="62">
        <v>14</v>
      </c>
      <c r="C3305" s="60" t="s">
        <v>5054</v>
      </c>
      <c r="D3305" s="64">
        <f>IFERROR(VLOOKUP(C3305,測定点マスタ!$E$2:$F$28,2,FALSE)/VLOOKUP(A3305,'焼鈍条件-3CGL'!$A$2:$B$197,2,FALSE)*60,"")</f>
        <v>76.351802403204275</v>
      </c>
      <c r="E3305" s="66">
        <v>506.1</v>
      </c>
      <c r="F3305" s="64">
        <f t="shared" si="51"/>
        <v>-2.8305066666666554</v>
      </c>
      <c r="G3305" s="60" t="s">
        <v>12</v>
      </c>
      <c r="H3305" s="60" t="s">
        <v>5061</v>
      </c>
    </row>
    <row r="3306" spans="1:8">
      <c r="A3306" s="59" t="s">
        <v>4000</v>
      </c>
      <c r="B3306" s="62">
        <v>15</v>
      </c>
      <c r="C3306" s="60" t="s">
        <v>5056</v>
      </c>
      <c r="D3306" s="64">
        <f>IFERROR(VLOOKUP(C3306,測定点マスタ!$E$2:$F$28,2,FALSE)/VLOOKUP(A3306,'焼鈍条件-3CGL'!$A$2:$B$197,2,FALSE)*60,"")</f>
        <v>83.235981308411212</v>
      </c>
      <c r="E3306" s="66">
        <v>285</v>
      </c>
      <c r="F3306" s="64">
        <f t="shared" si="51"/>
        <v>-32.117120000000028</v>
      </c>
      <c r="G3306" s="60" t="s">
        <v>12</v>
      </c>
      <c r="H3306" s="60" t="s">
        <v>5061</v>
      </c>
    </row>
    <row r="3307" spans="1:8">
      <c r="A3307" s="59" t="s">
        <v>4000</v>
      </c>
      <c r="B3307" s="62">
        <v>16</v>
      </c>
      <c r="C3307" s="60" t="s">
        <v>5062</v>
      </c>
      <c r="D3307" s="64">
        <f>IFERROR(VLOOKUP(C3307,測定点マスタ!$E$2:$F$28,2,FALSE)/VLOOKUP(A3307,'焼鈍条件-3CGL'!$A$2:$B$197,2,FALSE)*60,"")</f>
        <v>90.745994659546071</v>
      </c>
      <c r="E3307" s="66">
        <v>463.7</v>
      </c>
      <c r="F3307" s="64">
        <f t="shared" si="51"/>
        <v>23.794897777777738</v>
      </c>
      <c r="G3307" s="60" t="s">
        <v>12</v>
      </c>
      <c r="H3307" s="60" t="s">
        <v>5061</v>
      </c>
    </row>
    <row r="3308" spans="1:8">
      <c r="A3308" s="59" t="s">
        <v>4000</v>
      </c>
      <c r="B3308" s="62">
        <v>17</v>
      </c>
      <c r="C3308" s="60" t="s">
        <v>5068</v>
      </c>
      <c r="D3308" s="64">
        <f>IFERROR(VLOOKUP(C3308,測定点マスタ!$E$2:$F$28,2,FALSE)/VLOOKUP(A3308,'焼鈍条件-3CGL'!$A$2:$B$197,2,FALSE)*60,"")</f>
        <v>99.418271981689955</v>
      </c>
      <c r="E3308" s="66">
        <v>320.60000000000002</v>
      </c>
      <c r="F3308" s="64">
        <f t="shared" si="51"/>
        <v>-16.500856082474083</v>
      </c>
      <c r="G3308" s="60" t="s">
        <v>12</v>
      </c>
      <c r="H3308" s="60" t="s">
        <v>5061</v>
      </c>
    </row>
    <row r="3309" spans="1:8">
      <c r="A3309" s="59" t="s">
        <v>4000</v>
      </c>
      <c r="B3309" s="62">
        <v>18</v>
      </c>
      <c r="C3309" s="60" t="s">
        <v>5057</v>
      </c>
      <c r="D3309" s="64">
        <f>IFERROR(VLOOKUP(C3309,測定点マスタ!$E$2:$F$28,2,FALSE)/VLOOKUP(A3309,'焼鈍条件-3CGL'!$A$2:$B$197,2,FALSE)*60,"")</f>
        <v>103.19562988746891</v>
      </c>
      <c r="E3309" s="66">
        <v>182.8</v>
      </c>
      <c r="F3309" s="64">
        <f t="shared" si="51"/>
        <v>-36.48052512820685</v>
      </c>
      <c r="G3309" s="60" t="s">
        <v>12</v>
      </c>
      <c r="H3309" s="60" t="s">
        <v>5061</v>
      </c>
    </row>
    <row r="3310" spans="1:8">
      <c r="A3310" s="59" t="s">
        <v>4000</v>
      </c>
      <c r="B3310" s="62">
        <v>19</v>
      </c>
      <c r="C3310" s="60" t="s">
        <v>5058</v>
      </c>
      <c r="D3310" s="64">
        <f>IFERROR(VLOOKUP(C3310,測定点マスタ!$E$2:$F$28,2,FALSE)/VLOOKUP(A3310,'焼鈍条件-3CGL'!$A$2:$B$197,2,FALSE)*60,"")</f>
        <v>106.97298779324785</v>
      </c>
      <c r="E3310" s="66">
        <v>107.5</v>
      </c>
      <c r="F3310" s="64">
        <f t="shared" si="51"/>
        <v>-19.934568520711075</v>
      </c>
      <c r="G3310" s="60" t="s">
        <v>12</v>
      </c>
      <c r="H3310" s="60" t="s">
        <v>5061</v>
      </c>
    </row>
    <row r="3311" spans="1:8">
      <c r="A3311" s="59" t="s">
        <v>4000</v>
      </c>
      <c r="B3311" s="62">
        <v>20</v>
      </c>
      <c r="C3311" s="60" t="s">
        <v>5059</v>
      </c>
      <c r="D3311" s="64">
        <f>IFERROR(VLOOKUP(C3311,測定点マスタ!$E$2:$F$28,2,FALSE)/VLOOKUP(A3311,'焼鈍条件-3CGL'!$A$2:$B$197,2,FALSE)*60,"")</f>
        <v>110.75034569902746</v>
      </c>
      <c r="E3311" s="66">
        <v>36.200000000000003</v>
      </c>
      <c r="F3311" s="64">
        <f t="shared" si="51"/>
        <v>-18.875627297827997</v>
      </c>
      <c r="G3311" s="60" t="s">
        <v>12</v>
      </c>
      <c r="H3311" s="60" t="s">
        <v>5061</v>
      </c>
    </row>
    <row r="3312" spans="1:8">
      <c r="A3312" s="59" t="s">
        <v>4003</v>
      </c>
      <c r="B3312" s="62">
        <v>1</v>
      </c>
      <c r="C3312" s="60" t="s">
        <v>5041</v>
      </c>
      <c r="D3312" s="64">
        <f>IFERROR(VLOOKUP(C3312,測定点マスタ!$E$2:$F$28,2,FALSE)/VLOOKUP(A3312,'焼鈍条件-3CGL'!$A$2:$B$197,2,FALSE)*60,"")</f>
        <v>0</v>
      </c>
      <c r="E3312" s="66">
        <v>28.7</v>
      </c>
      <c r="F3312" s="64" t="str">
        <f t="shared" si="51"/>
        <v/>
      </c>
      <c r="G3312" s="60" t="s">
        <v>9</v>
      </c>
      <c r="H3312" s="60" t="s">
        <v>5061</v>
      </c>
    </row>
    <row r="3313" spans="1:8">
      <c r="A3313" s="59" t="s">
        <v>4003</v>
      </c>
      <c r="B3313" s="62">
        <v>2</v>
      </c>
      <c r="C3313" s="60" t="s">
        <v>5043</v>
      </c>
      <c r="D3313" s="64">
        <f>IFERROR(VLOOKUP(C3313,測定点マスタ!$E$2:$F$28,2,FALSE)/VLOOKUP(A3313,'焼鈍条件-3CGL'!$A$2:$B$197,2,FALSE)*60,"")</f>
        <v>7.0029645883423983</v>
      </c>
      <c r="E3313" s="66">
        <v>158.5</v>
      </c>
      <c r="F3313" s="64">
        <f t="shared" si="51"/>
        <v>18.535007333333336</v>
      </c>
      <c r="G3313" s="60" t="s">
        <v>9</v>
      </c>
      <c r="H3313" s="60" t="s">
        <v>5061</v>
      </c>
    </row>
    <row r="3314" spans="1:8">
      <c r="A3314" s="59" t="s">
        <v>4003</v>
      </c>
      <c r="B3314" s="62">
        <v>3</v>
      </c>
      <c r="C3314" s="60" t="s">
        <v>5044</v>
      </c>
      <c r="D3314" s="64">
        <f>IFERROR(VLOOKUP(C3314,測定点マスタ!$E$2:$F$28,2,FALSE)/VLOOKUP(A3314,'焼鈍条件-3CGL'!$A$2:$B$197,2,FALSE)*60,"")</f>
        <v>15.873386400242769</v>
      </c>
      <c r="E3314" s="66">
        <v>635.20000000000005</v>
      </c>
      <c r="F3314" s="64">
        <f t="shared" si="51"/>
        <v>53.740398157894738</v>
      </c>
      <c r="G3314" s="60" t="s">
        <v>9</v>
      </c>
      <c r="H3314" s="60" t="s">
        <v>5061</v>
      </c>
    </row>
    <row r="3315" spans="1:8">
      <c r="A3315" s="59" t="s">
        <v>4003</v>
      </c>
      <c r="B3315" s="62">
        <v>4</v>
      </c>
      <c r="C3315" s="60" t="s">
        <v>5045</v>
      </c>
      <c r="D3315" s="64">
        <f>IFERROR(VLOOKUP(C3315,測定点マスタ!$E$2:$F$28,2,FALSE)/VLOOKUP(A3315,'焼鈍条件-3CGL'!$A$2:$B$197,2,FALSE)*60,"")</f>
        <v>20.542029459137702</v>
      </c>
      <c r="E3315" s="66">
        <v>769.5</v>
      </c>
      <c r="F3315" s="64">
        <f t="shared" si="51"/>
        <v>28.766388499999987</v>
      </c>
      <c r="G3315" s="60" t="s">
        <v>9</v>
      </c>
      <c r="H3315" s="60" t="s">
        <v>5061</v>
      </c>
    </row>
    <row r="3316" spans="1:8">
      <c r="A3316" s="59" t="s">
        <v>4003</v>
      </c>
      <c r="B3316" s="62">
        <v>5</v>
      </c>
      <c r="C3316" s="60" t="s">
        <v>5046</v>
      </c>
      <c r="D3316" s="64">
        <f>IFERROR(VLOOKUP(C3316,測定点マスタ!$E$2:$F$28,2,FALSE)/VLOOKUP(A3316,'焼鈍条件-3CGL'!$A$2:$B$197,2,FALSE)*60,"")</f>
        <v>25.210672518032634</v>
      </c>
      <c r="E3316" s="66">
        <v>752.5</v>
      </c>
      <c r="F3316" s="64">
        <f t="shared" si="51"/>
        <v>-3.6413149999999996</v>
      </c>
      <c r="G3316" s="60" t="s">
        <v>9</v>
      </c>
      <c r="H3316" s="60" t="s">
        <v>5061</v>
      </c>
    </row>
    <row r="3317" spans="1:8">
      <c r="A3317" s="59" t="s">
        <v>4003</v>
      </c>
      <c r="B3317" s="62">
        <v>6</v>
      </c>
      <c r="C3317" s="60" t="s">
        <v>5047</v>
      </c>
      <c r="D3317" s="64">
        <f>IFERROR(VLOOKUP(C3317,測定点マスタ!$E$2:$F$28,2,FALSE)/VLOOKUP(A3317,'焼鈍条件-3CGL'!$A$2:$B$197,2,FALSE)*60,"")</f>
        <v>28.011858353369593</v>
      </c>
      <c r="E3317" s="66">
        <v>704.2</v>
      </c>
      <c r="F3317" s="64">
        <f t="shared" si="51"/>
        <v>-17.242697499999984</v>
      </c>
      <c r="G3317" s="60" t="s">
        <v>9</v>
      </c>
      <c r="H3317" s="60" t="s">
        <v>5061</v>
      </c>
    </row>
    <row r="3318" spans="1:8">
      <c r="A3318" s="59" t="s">
        <v>4003</v>
      </c>
      <c r="B3318" s="62">
        <v>7</v>
      </c>
      <c r="C3318" s="60" t="s">
        <v>5049</v>
      </c>
      <c r="D3318" s="64">
        <f>IFERROR(VLOOKUP(C3318,測定点マスタ!$E$2:$F$28,2,FALSE)/VLOOKUP(A3318,'焼鈍条件-3CGL'!$A$2:$B$197,2,FALSE)*60,"")</f>
        <v>34.081094329933009</v>
      </c>
      <c r="E3318" s="66">
        <v>594.70000000000005</v>
      </c>
      <c r="F3318" s="64">
        <f t="shared" si="51"/>
        <v>-18.041809615384604</v>
      </c>
      <c r="G3318" s="60" t="s">
        <v>9</v>
      </c>
      <c r="H3318" s="60" t="s">
        <v>5061</v>
      </c>
    </row>
    <row r="3319" spans="1:8">
      <c r="A3319" s="59" t="s">
        <v>4003</v>
      </c>
      <c r="B3319" s="62">
        <v>8</v>
      </c>
      <c r="C3319" s="60" t="s">
        <v>5050</v>
      </c>
      <c r="D3319" s="64">
        <f>IFERROR(VLOOKUP(C3319,測定点マスタ!$E$2:$F$28,2,FALSE)/VLOOKUP(A3319,'焼鈍条件-3CGL'!$A$2:$B$197,2,FALSE)*60,"")</f>
        <v>37.81600877704895</v>
      </c>
      <c r="E3319" s="66">
        <v>465.9</v>
      </c>
      <c r="F3319" s="64">
        <f t="shared" si="51"/>
        <v>-34.485395000000068</v>
      </c>
      <c r="G3319" s="60" t="s">
        <v>9</v>
      </c>
      <c r="H3319" s="60" t="s">
        <v>5061</v>
      </c>
    </row>
    <row r="3320" spans="1:8">
      <c r="A3320" s="59" t="s">
        <v>4003</v>
      </c>
      <c r="B3320" s="62">
        <v>9</v>
      </c>
      <c r="C3320" s="60" t="s">
        <v>5051</v>
      </c>
      <c r="D3320" s="64">
        <f>IFERROR(VLOOKUP(C3320,測定点マスタ!$E$2:$F$28,2,FALSE)/VLOOKUP(A3320,'焼鈍条件-3CGL'!$A$2:$B$197,2,FALSE)*60,"")</f>
        <v>41.084058918275403</v>
      </c>
      <c r="E3320" s="66">
        <v>450.8</v>
      </c>
      <c r="F3320" s="64">
        <f t="shared" si="51"/>
        <v>-4.6204921428571311</v>
      </c>
      <c r="G3320" s="60" t="s">
        <v>9</v>
      </c>
      <c r="H3320" s="60" t="s">
        <v>5061</v>
      </c>
    </row>
    <row r="3321" spans="1:8">
      <c r="A3321" s="59" t="s">
        <v>4003</v>
      </c>
      <c r="B3321" s="62">
        <v>10</v>
      </c>
      <c r="C3321" s="60" t="s">
        <v>5052</v>
      </c>
      <c r="D3321" s="64">
        <f>IFERROR(VLOOKUP(C3321,測定点マスタ!$E$2:$F$28,2,FALSE)/VLOOKUP(A3321,'焼鈍条件-3CGL'!$A$2:$B$197,2,FALSE)*60,"")</f>
        <v>45.285837671280845</v>
      </c>
      <c r="E3321" s="66">
        <v>320.39999999999998</v>
      </c>
      <c r="F3321" s="64">
        <f t="shared" si="51"/>
        <v>-31.034475555555542</v>
      </c>
      <c r="G3321" s="60" t="s">
        <v>9</v>
      </c>
      <c r="H3321" s="60" t="s">
        <v>5061</v>
      </c>
    </row>
    <row r="3322" spans="1:8">
      <c r="A3322" s="59" t="s">
        <v>4003</v>
      </c>
      <c r="B3322" s="62">
        <v>11</v>
      </c>
      <c r="C3322" s="60" t="s">
        <v>5053</v>
      </c>
      <c r="D3322" s="64">
        <f>IFERROR(VLOOKUP(C3322,測定点マスタ!$E$2:$F$28,2,FALSE)/VLOOKUP(A3322,'焼鈍条件-3CGL'!$A$2:$B$197,2,FALSE)*60,"")</f>
        <v>50.888209341954763</v>
      </c>
      <c r="E3322" s="66">
        <v>510.8</v>
      </c>
      <c r="F3322" s="64">
        <f t="shared" si="51"/>
        <v>33.985606666666676</v>
      </c>
      <c r="G3322" s="60" t="s">
        <v>9</v>
      </c>
      <c r="H3322" s="60" t="s">
        <v>5061</v>
      </c>
    </row>
    <row r="3323" spans="1:8">
      <c r="A3323" s="59" t="s">
        <v>4003</v>
      </c>
      <c r="B3323" s="62">
        <v>12</v>
      </c>
      <c r="C3323" s="60" t="s">
        <v>5054</v>
      </c>
      <c r="D3323" s="64">
        <f>IFERROR(VLOOKUP(C3323,測定点マスタ!$E$2:$F$28,2,FALSE)/VLOOKUP(A3323,'焼鈍条件-3CGL'!$A$2:$B$197,2,FALSE)*60,"")</f>
        <v>56.957445318518175</v>
      </c>
      <c r="E3323" s="66">
        <v>501.6</v>
      </c>
      <c r="F3323" s="64">
        <f t="shared" si="51"/>
        <v>-1.5158415384615365</v>
      </c>
      <c r="G3323" s="60" t="s">
        <v>9</v>
      </c>
      <c r="H3323" s="60" t="s">
        <v>5061</v>
      </c>
    </row>
    <row r="3324" spans="1:8">
      <c r="A3324" s="59" t="s">
        <v>4003</v>
      </c>
      <c r="B3324" s="62">
        <v>13</v>
      </c>
      <c r="C3324" s="60" t="s">
        <v>5056</v>
      </c>
      <c r="D3324" s="64">
        <f>IFERROR(VLOOKUP(C3324,測定点マスタ!$E$2:$F$28,2,FALSE)/VLOOKUP(A3324,'焼鈍条件-3CGL'!$A$2:$B$197,2,FALSE)*60,"")</f>
        <v>62.092952683302599</v>
      </c>
      <c r="E3324" s="66">
        <v>272.5</v>
      </c>
      <c r="F3324" s="64">
        <f t="shared" si="51"/>
        <v>-44.61097681818184</v>
      </c>
      <c r="G3324" s="60" t="s">
        <v>9</v>
      </c>
      <c r="H3324" s="60" t="s">
        <v>5061</v>
      </c>
    </row>
    <row r="3325" spans="1:8">
      <c r="A3325" s="59" t="s">
        <v>4003</v>
      </c>
      <c r="B3325" s="62">
        <v>14</v>
      </c>
      <c r="C3325" s="60" t="s">
        <v>5062</v>
      </c>
      <c r="D3325" s="64">
        <f>IFERROR(VLOOKUP(C3325,測定点マスタ!$E$2:$F$28,2,FALSE)/VLOOKUP(A3325,'焼鈍条件-3CGL'!$A$2:$B$197,2,FALSE)*60,"")</f>
        <v>67.695324353976517</v>
      </c>
      <c r="E3325" s="66">
        <v>453.2</v>
      </c>
      <c r="F3325" s="64">
        <f t="shared" si="51"/>
        <v>32.254197083333338</v>
      </c>
      <c r="G3325" s="60" t="s">
        <v>9</v>
      </c>
      <c r="H3325" s="60" t="s">
        <v>5061</v>
      </c>
    </row>
    <row r="3326" spans="1:8">
      <c r="A3326" s="59" t="s">
        <v>4003</v>
      </c>
      <c r="B3326" s="62">
        <v>15</v>
      </c>
      <c r="C3326" s="60" t="s">
        <v>5057</v>
      </c>
      <c r="D3326" s="64">
        <f>IFERROR(VLOOKUP(C3326,測定点マスタ!$E$2:$F$28,2,FALSE)/VLOOKUP(A3326,'焼鈍条件-3CGL'!$A$2:$B$197,2,FALSE)*60,"")</f>
        <v>76.982589296135302</v>
      </c>
      <c r="E3326" s="66">
        <v>201.8</v>
      </c>
      <c r="F3326" s="64">
        <f t="shared" si="51"/>
        <v>-27.069325745063015</v>
      </c>
      <c r="G3326" s="60" t="s">
        <v>9</v>
      </c>
      <c r="H3326" s="60" t="s">
        <v>5061</v>
      </c>
    </row>
    <row r="3327" spans="1:8">
      <c r="A3327" s="59" t="s">
        <v>4003</v>
      </c>
      <c r="B3327" s="62">
        <v>16</v>
      </c>
      <c r="C3327" s="60" t="s">
        <v>5059</v>
      </c>
      <c r="D3327" s="64">
        <f>IFERROR(VLOOKUP(C3327,測定点マスタ!$E$2:$F$28,2,FALSE)/VLOOKUP(A3327,'焼鈍条件-3CGL'!$A$2:$B$197,2,FALSE)*60,"")</f>
        <v>82.618308417230097</v>
      </c>
      <c r="E3327" s="66">
        <v>39.700000000000003</v>
      </c>
      <c r="F3327" s="64">
        <f t="shared" si="51"/>
        <v>-28.762966449703136</v>
      </c>
      <c r="G3327" s="60" t="s">
        <v>9</v>
      </c>
      <c r="H3327" s="60" t="s">
        <v>5061</v>
      </c>
    </row>
    <row r="3328" spans="1:8">
      <c r="A3328" s="59" t="s">
        <v>4006</v>
      </c>
      <c r="B3328" s="62">
        <v>1</v>
      </c>
      <c r="C3328" s="60" t="s">
        <v>5041</v>
      </c>
      <c r="D3328" s="64">
        <f>IFERROR(VLOOKUP(C3328,測定点マスタ!$E$2:$F$28,2,FALSE)/VLOOKUP(A3328,'焼鈍条件-3CGL'!$A$2:$B$197,2,FALSE)*60,"")</f>
        <v>0</v>
      </c>
      <c r="E3328" s="66">
        <v>26.4</v>
      </c>
      <c r="F3328" s="64" t="str">
        <f t="shared" si="51"/>
        <v/>
      </c>
      <c r="G3328" s="60" t="s">
        <v>12</v>
      </c>
      <c r="H3328" s="60" t="s">
        <v>5042</v>
      </c>
    </row>
    <row r="3329" spans="1:8">
      <c r="A3329" s="59" t="s">
        <v>4006</v>
      </c>
      <c r="B3329" s="62">
        <v>2</v>
      </c>
      <c r="C3329" s="60" t="s">
        <v>5043</v>
      </c>
      <c r="D3329" s="64">
        <f>IFERROR(VLOOKUP(C3329,測定点マスタ!$E$2:$F$28,2,FALSE)/VLOOKUP(A3329,'焼鈍条件-3CGL'!$A$2:$B$197,2,FALSE)*60,"")</f>
        <v>6.8077123817159979</v>
      </c>
      <c r="E3329" s="66">
        <v>164</v>
      </c>
      <c r="F3329" s="64">
        <f t="shared" si="51"/>
        <v>20.212369777777777</v>
      </c>
      <c r="G3329" s="60" t="s">
        <v>12</v>
      </c>
      <c r="H3329" s="60" t="s">
        <v>5042</v>
      </c>
    </row>
    <row r="3330" spans="1:8">
      <c r="A3330" s="59" t="s">
        <v>4006</v>
      </c>
      <c r="B3330" s="62">
        <v>3</v>
      </c>
      <c r="C3330" s="60" t="s">
        <v>5067</v>
      </c>
      <c r="D3330" s="64">
        <f>IFERROR(VLOOKUP(C3330,測定点マスタ!$E$2:$F$28,2,FALSE)/VLOOKUP(A3330,'焼鈍条件-3CGL'!$A$2:$B$197,2,FALSE)*60,"")</f>
        <v>11.346187302859995</v>
      </c>
      <c r="E3330" s="66">
        <v>395.4</v>
      </c>
      <c r="F3330" s="64">
        <f t="shared" ref="F3330:F3393" si="52">IF(A3330=A3329,IFERROR((E3330-E3329)/(D3330-D3329),""),"")</f>
        <v>50.986290333333336</v>
      </c>
      <c r="G3330" s="60" t="s">
        <v>12</v>
      </c>
      <c r="H3330" s="60" t="s">
        <v>5042</v>
      </c>
    </row>
    <row r="3331" spans="1:8">
      <c r="A3331" s="59" t="s">
        <v>4006</v>
      </c>
      <c r="B3331" s="62">
        <v>4</v>
      </c>
      <c r="C3331" s="60" t="s">
        <v>5044</v>
      </c>
      <c r="D3331" s="64">
        <f>IFERROR(VLOOKUP(C3331,測定点マスタ!$E$2:$F$28,2,FALSE)/VLOOKUP(A3331,'焼鈍条件-3CGL'!$A$2:$B$197,2,FALSE)*60,"")</f>
        <v>15.430814731889592</v>
      </c>
      <c r="E3331" s="66">
        <v>656.6</v>
      </c>
      <c r="F3331" s="64">
        <f t="shared" si="52"/>
        <v>63.947080740740773</v>
      </c>
      <c r="G3331" s="60" t="s">
        <v>12</v>
      </c>
      <c r="H3331" s="60" t="s">
        <v>5042</v>
      </c>
    </row>
    <row r="3332" spans="1:8">
      <c r="A3332" s="59" t="s">
        <v>4006</v>
      </c>
      <c r="B3332" s="62">
        <v>5</v>
      </c>
      <c r="C3332" s="60" t="s">
        <v>5045</v>
      </c>
      <c r="D3332" s="64">
        <f>IFERROR(VLOOKUP(C3332,測定点マスタ!$E$2:$F$28,2,FALSE)/VLOOKUP(A3332,'焼鈍条件-3CGL'!$A$2:$B$197,2,FALSE)*60,"")</f>
        <v>19.969289653033591</v>
      </c>
      <c r="E3332" s="66">
        <v>800.8</v>
      </c>
      <c r="F3332" s="64">
        <f t="shared" si="52"/>
        <v>31.772787666666645</v>
      </c>
      <c r="G3332" s="60" t="s">
        <v>12</v>
      </c>
      <c r="H3332" s="60" t="s">
        <v>5042</v>
      </c>
    </row>
    <row r="3333" spans="1:8">
      <c r="A3333" s="59" t="s">
        <v>4006</v>
      </c>
      <c r="B3333" s="62">
        <v>6</v>
      </c>
      <c r="C3333" s="60" t="s">
        <v>5047</v>
      </c>
      <c r="D3333" s="64">
        <f>IFERROR(VLOOKUP(C3333,測定点マスタ!$E$2:$F$28,2,FALSE)/VLOOKUP(A3333,'焼鈍条件-3CGL'!$A$2:$B$197,2,FALSE)*60,"")</f>
        <v>27.230849526863992</v>
      </c>
      <c r="E3333" s="66">
        <v>724.4</v>
      </c>
      <c r="F3333" s="64">
        <f t="shared" si="52"/>
        <v>-10.521155416666659</v>
      </c>
      <c r="G3333" s="60" t="s">
        <v>12</v>
      </c>
      <c r="H3333" s="60" t="s">
        <v>5042</v>
      </c>
    </row>
    <row r="3334" spans="1:8">
      <c r="A3334" s="60" t="s">
        <v>4006</v>
      </c>
      <c r="B3334" s="62">
        <v>7</v>
      </c>
      <c r="C3334" s="60" t="s">
        <v>5049</v>
      </c>
      <c r="D3334" s="64">
        <f>IFERROR(VLOOKUP(C3334,測定点マスタ!$E$2:$F$28,2,FALSE)/VLOOKUP(A3334,'焼鈍条件-3CGL'!$A$2:$B$197,2,FALSE)*60,"")</f>
        <v>33.130866924351189</v>
      </c>
      <c r="E3334" s="66">
        <v>610.1</v>
      </c>
      <c r="F3334" s="64">
        <f t="shared" si="52"/>
        <v>-19.372824230769226</v>
      </c>
      <c r="G3334" s="60" t="s">
        <v>12</v>
      </c>
      <c r="H3334" s="60" t="s">
        <v>5042</v>
      </c>
    </row>
    <row r="3335" spans="1:8">
      <c r="A3335" s="60" t="s">
        <v>4006</v>
      </c>
      <c r="B3335" s="62">
        <v>8</v>
      </c>
      <c r="C3335" s="60" t="s">
        <v>5050</v>
      </c>
      <c r="D3335" s="64">
        <f>IFERROR(VLOOKUP(C3335,測定点マスタ!$E$2:$F$28,2,FALSE)/VLOOKUP(A3335,'焼鈍条件-3CGL'!$A$2:$B$197,2,FALSE)*60,"")</f>
        <v>36.761646861266385</v>
      </c>
      <c r="E3335" s="66">
        <v>493.2</v>
      </c>
      <c r="F3335" s="64">
        <f t="shared" si="52"/>
        <v>-32.196938958333362</v>
      </c>
      <c r="G3335" s="60" t="s">
        <v>12</v>
      </c>
      <c r="H3335" s="60" t="s">
        <v>5042</v>
      </c>
    </row>
    <row r="3336" spans="1:8">
      <c r="A3336" s="60" t="s">
        <v>4006</v>
      </c>
      <c r="B3336" s="62">
        <v>9</v>
      </c>
      <c r="C3336" s="60" t="s">
        <v>5051</v>
      </c>
      <c r="D3336" s="64">
        <f>IFERROR(VLOOKUP(C3336,測定点マスタ!$E$2:$F$28,2,FALSE)/VLOOKUP(A3336,'焼鈍条件-3CGL'!$A$2:$B$197,2,FALSE)*60,"")</f>
        <v>39.938579306067183</v>
      </c>
      <c r="E3336" s="66">
        <v>463.3</v>
      </c>
      <c r="F3336" s="64">
        <f t="shared" si="52"/>
        <v>-9.4115945238095193</v>
      </c>
      <c r="G3336" s="60" t="s">
        <v>12</v>
      </c>
      <c r="H3336" s="60" t="s">
        <v>5042</v>
      </c>
    </row>
    <row r="3337" spans="1:8">
      <c r="A3337" s="60" t="s">
        <v>4006</v>
      </c>
      <c r="B3337" s="62">
        <v>10</v>
      </c>
      <c r="C3337" s="60" t="s">
        <v>5052</v>
      </c>
      <c r="D3337" s="64">
        <f>IFERROR(VLOOKUP(C3337,測定点マスタ!$E$2:$F$28,2,FALSE)/VLOOKUP(A3337,'焼鈍条件-3CGL'!$A$2:$B$197,2,FALSE)*60,"")</f>
        <v>44.023206735096785</v>
      </c>
      <c r="E3337" s="66">
        <v>332.3</v>
      </c>
      <c r="F3337" s="64">
        <f t="shared" si="52"/>
        <v>-32.071468518518486</v>
      </c>
      <c r="G3337" s="60" t="s">
        <v>12</v>
      </c>
      <c r="H3337" s="60" t="s">
        <v>5042</v>
      </c>
    </row>
    <row r="3338" spans="1:8">
      <c r="A3338" s="60" t="s">
        <v>4006</v>
      </c>
      <c r="B3338" s="62">
        <v>11</v>
      </c>
      <c r="C3338" s="60" t="s">
        <v>5053</v>
      </c>
      <c r="D3338" s="64">
        <f>IFERROR(VLOOKUP(C3338,測定点マスタ!$E$2:$F$28,2,FALSE)/VLOOKUP(A3338,'焼鈍条件-3CGL'!$A$2:$B$197,2,FALSE)*60,"")</f>
        <v>49.469376640469577</v>
      </c>
      <c r="E3338" s="66">
        <v>531.4</v>
      </c>
      <c r="F3338" s="64">
        <f t="shared" si="52"/>
        <v>36.557801805555592</v>
      </c>
      <c r="G3338" s="60" t="s">
        <v>12</v>
      </c>
      <c r="H3338" s="60" t="s">
        <v>5042</v>
      </c>
    </row>
    <row r="3339" spans="1:8">
      <c r="A3339" s="60" t="s">
        <v>4006</v>
      </c>
      <c r="B3339" s="62">
        <v>12</v>
      </c>
      <c r="C3339" s="60" t="s">
        <v>5063</v>
      </c>
      <c r="D3339" s="64">
        <f>IFERROR(VLOOKUP(C3339,測定点マスタ!$E$2:$F$28,2,FALSE)/VLOOKUP(A3339,'焼鈍条件-3CGL'!$A$2:$B$197,2,FALSE)*60,"")</f>
        <v>52.192461593155976</v>
      </c>
      <c r="E3339" s="66">
        <v>532.1</v>
      </c>
      <c r="F3339" s="64">
        <f t="shared" si="52"/>
        <v>0.25706138888890556</v>
      </c>
      <c r="G3339" s="60" t="s">
        <v>12</v>
      </c>
      <c r="H3339" s="60" t="s">
        <v>5042</v>
      </c>
    </row>
    <row r="3340" spans="1:8">
      <c r="A3340" s="60" t="s">
        <v>4006</v>
      </c>
      <c r="B3340" s="62">
        <v>13</v>
      </c>
      <c r="C3340" s="60" t="s">
        <v>5054</v>
      </c>
      <c r="D3340" s="64">
        <f>IFERROR(VLOOKUP(C3340,測定点マスタ!$E$2:$F$28,2,FALSE)/VLOOKUP(A3340,'焼鈍条件-3CGL'!$A$2:$B$197,2,FALSE)*60,"")</f>
        <v>55.369394037956781</v>
      </c>
      <c r="E3340" s="66">
        <v>526.70000000000005</v>
      </c>
      <c r="F3340" s="64">
        <f t="shared" si="52"/>
        <v>-1.6997528571428466</v>
      </c>
      <c r="G3340" s="60" t="s">
        <v>12</v>
      </c>
      <c r="H3340" s="60" t="s">
        <v>5042</v>
      </c>
    </row>
    <row r="3341" spans="1:8">
      <c r="A3341" s="60" t="s">
        <v>4006</v>
      </c>
      <c r="B3341" s="62">
        <v>14</v>
      </c>
      <c r="C3341" s="60" t="s">
        <v>5055</v>
      </c>
      <c r="D3341" s="64">
        <f>IFERROR(VLOOKUP(C3341,測定点マスタ!$E$2:$F$28,2,FALSE)/VLOOKUP(A3341,'焼鈍条件-3CGL'!$A$2:$B$197,2,FALSE)*60,"")</f>
        <v>57.638631498528774</v>
      </c>
      <c r="E3341" s="66">
        <v>557.4</v>
      </c>
      <c r="F3341" s="64">
        <f t="shared" si="52"/>
        <v>13.528773666666671</v>
      </c>
      <c r="G3341" s="60" t="s">
        <v>12</v>
      </c>
      <c r="H3341" s="60" t="s">
        <v>5042</v>
      </c>
    </row>
    <row r="3342" spans="1:8">
      <c r="A3342" s="60" t="s">
        <v>4006</v>
      </c>
      <c r="B3342" s="62">
        <v>15</v>
      </c>
      <c r="C3342" s="60" t="s">
        <v>5056</v>
      </c>
      <c r="D3342" s="64">
        <f>IFERROR(VLOOKUP(C3342,測定点マスタ!$E$2:$F$28,2,FALSE)/VLOOKUP(A3342,'焼鈍条件-3CGL'!$A$2:$B$197,2,FALSE)*60,"")</f>
        <v>60.361716451215173</v>
      </c>
      <c r="E3342" s="66">
        <v>264</v>
      </c>
      <c r="F3342" s="64">
        <f t="shared" si="52"/>
        <v>-107.74544499999999</v>
      </c>
      <c r="G3342" s="60" t="s">
        <v>12</v>
      </c>
      <c r="H3342" s="60" t="s">
        <v>5042</v>
      </c>
    </row>
    <row r="3343" spans="1:8">
      <c r="A3343" s="60" t="s">
        <v>4006</v>
      </c>
      <c r="B3343" s="62">
        <v>16</v>
      </c>
      <c r="C3343" s="60" t="s">
        <v>5057</v>
      </c>
      <c r="D3343" s="64">
        <f>IFERROR(VLOOKUP(C3343,測定点マスタ!$E$2:$F$28,2,FALSE)/VLOOKUP(A3343,'焼鈍条件-3CGL'!$A$2:$B$197,2,FALSE)*60,"")</f>
        <v>74.83620968186365</v>
      </c>
      <c r="E3343" s="66">
        <v>234.4</v>
      </c>
      <c r="F3343" s="64">
        <f t="shared" si="52"/>
        <v>-2.0449766032101611</v>
      </c>
      <c r="G3343" s="60" t="s">
        <v>12</v>
      </c>
      <c r="H3343" s="60" t="s">
        <v>5042</v>
      </c>
    </row>
    <row r="3344" spans="1:8">
      <c r="A3344" s="60" t="s">
        <v>4006</v>
      </c>
      <c r="B3344" s="62">
        <v>17</v>
      </c>
      <c r="C3344" s="60" t="s">
        <v>5059</v>
      </c>
      <c r="D3344" s="64">
        <f>IFERROR(VLOOKUP(C3344,測定点マスタ!$E$2:$F$28,2,FALSE)/VLOOKUP(A3344,'焼鈍条件-3CGL'!$A$2:$B$197,2,FALSE)*60,"")</f>
        <v>80.314797265244806</v>
      </c>
      <c r="E3344" s="66">
        <v>61.1</v>
      </c>
      <c r="F3344" s="64">
        <f t="shared" si="52"/>
        <v>-31.632240493095573</v>
      </c>
      <c r="G3344" s="60" t="s">
        <v>12</v>
      </c>
      <c r="H3344" s="60" t="s">
        <v>5042</v>
      </c>
    </row>
    <row r="3345" spans="1:8">
      <c r="A3345" s="60" t="s">
        <v>4012</v>
      </c>
      <c r="B3345" s="62">
        <v>1</v>
      </c>
      <c r="C3345" s="60" t="s">
        <v>5041</v>
      </c>
      <c r="D3345" s="64">
        <f>IFERROR(VLOOKUP(C3345,測定点マスタ!$E$2:$F$28,2,FALSE)/VLOOKUP(A3345,'焼鈍条件-3CGL'!$A$2:$B$197,2,FALSE)*60,"")</f>
        <v>0</v>
      </c>
      <c r="E3345" s="66">
        <v>38.200000000000003</v>
      </c>
      <c r="F3345" s="64" t="str">
        <f t="shared" si="52"/>
        <v/>
      </c>
      <c r="G3345" s="60" t="s">
        <v>12</v>
      </c>
      <c r="H3345" s="60" t="s">
        <v>5042</v>
      </c>
    </row>
    <row r="3346" spans="1:8">
      <c r="A3346" s="60" t="s">
        <v>4012</v>
      </c>
      <c r="B3346" s="62">
        <v>2</v>
      </c>
      <c r="C3346" s="60" t="s">
        <v>5043</v>
      </c>
      <c r="D3346" s="64">
        <f>IFERROR(VLOOKUP(C3346,測定点マスタ!$E$2:$F$28,2,FALSE)/VLOOKUP(A3346,'焼鈍条件-3CGL'!$A$2:$B$197,2,FALSE)*60,"")</f>
        <v>11.864272720082258</v>
      </c>
      <c r="E3346" s="66">
        <v>177.9</v>
      </c>
      <c r="F3346" s="64">
        <f t="shared" si="52"/>
        <v>11.774847333333334</v>
      </c>
      <c r="G3346" s="60" t="s">
        <v>12</v>
      </c>
      <c r="H3346" s="60" t="s">
        <v>5042</v>
      </c>
    </row>
    <row r="3347" spans="1:8">
      <c r="A3347" s="60" t="s">
        <v>4012</v>
      </c>
      <c r="B3347" s="62">
        <v>3</v>
      </c>
      <c r="C3347" s="60" t="s">
        <v>5044</v>
      </c>
      <c r="D3347" s="64">
        <f>IFERROR(VLOOKUP(C3347,測定点マスタ!$E$2:$F$28,2,FALSE)/VLOOKUP(A3347,'焼鈍条件-3CGL'!$A$2:$B$197,2,FALSE)*60,"")</f>
        <v>26.89235149885312</v>
      </c>
      <c r="E3347" s="66">
        <v>701.4</v>
      </c>
      <c r="F3347" s="64">
        <f t="shared" si="52"/>
        <v>34.834792105263155</v>
      </c>
      <c r="G3347" s="60" t="s">
        <v>12</v>
      </c>
      <c r="H3347" s="60" t="s">
        <v>5042</v>
      </c>
    </row>
    <row r="3348" spans="1:8">
      <c r="A3348" s="60" t="s">
        <v>4012</v>
      </c>
      <c r="B3348" s="62">
        <v>4</v>
      </c>
      <c r="C3348" s="60" t="s">
        <v>5045</v>
      </c>
      <c r="D3348" s="64">
        <f>IFERROR(VLOOKUP(C3348,測定点マスタ!$E$2:$F$28,2,FALSE)/VLOOKUP(A3348,'焼鈍条件-3CGL'!$A$2:$B$197,2,FALSE)*60,"")</f>
        <v>34.80186664557462</v>
      </c>
      <c r="E3348" s="66">
        <v>851.3</v>
      </c>
      <c r="F3348" s="64">
        <f t="shared" si="52"/>
        <v>18.951857000000011</v>
      </c>
      <c r="G3348" s="60" t="s">
        <v>12</v>
      </c>
      <c r="H3348" s="60" t="s">
        <v>5042</v>
      </c>
    </row>
    <row r="3349" spans="1:8">
      <c r="A3349" s="60" t="s">
        <v>4012</v>
      </c>
      <c r="B3349" s="62">
        <v>5</v>
      </c>
      <c r="C3349" s="60" t="s">
        <v>5047</v>
      </c>
      <c r="D3349" s="64">
        <f>IFERROR(VLOOKUP(C3349,測定点マスタ!$E$2:$F$28,2,FALSE)/VLOOKUP(A3349,'焼鈍条件-3CGL'!$A$2:$B$197,2,FALSE)*60,"")</f>
        <v>47.457090880329034</v>
      </c>
      <c r="E3349" s="66">
        <v>766.9</v>
      </c>
      <c r="F3349" s="64">
        <f t="shared" si="52"/>
        <v>-6.6691824999999962</v>
      </c>
      <c r="G3349" s="60" t="s">
        <v>12</v>
      </c>
      <c r="H3349" s="60" t="s">
        <v>5042</v>
      </c>
    </row>
    <row r="3350" spans="1:8">
      <c r="A3350" s="60" t="s">
        <v>4012</v>
      </c>
      <c r="B3350" s="62">
        <v>6</v>
      </c>
      <c r="C3350" s="60" t="s">
        <v>5048</v>
      </c>
      <c r="D3350" s="64">
        <f>IFERROR(VLOOKUP(C3350,測定点マスタ!$E$2:$F$28,2,FALSE)/VLOOKUP(A3350,'焼鈍条件-3CGL'!$A$2:$B$197,2,FALSE)*60,"")</f>
        <v>52.202799968361937</v>
      </c>
      <c r="E3350" s="66">
        <v>769</v>
      </c>
      <c r="F3350" s="64">
        <f t="shared" si="52"/>
        <v>0.44250500000000481</v>
      </c>
      <c r="G3350" s="60" t="s">
        <v>12</v>
      </c>
      <c r="H3350" s="60" t="s">
        <v>5042</v>
      </c>
    </row>
    <row r="3351" spans="1:8">
      <c r="A3351" s="60" t="s">
        <v>4012</v>
      </c>
      <c r="B3351" s="62">
        <v>7</v>
      </c>
      <c r="C3351" s="60" t="s">
        <v>5049</v>
      </c>
      <c r="D3351" s="64">
        <f>IFERROR(VLOOKUP(C3351,測定点マスタ!$E$2:$F$28,2,FALSE)/VLOOKUP(A3351,'焼鈍条件-3CGL'!$A$2:$B$197,2,FALSE)*60,"")</f>
        <v>57.739460571066985</v>
      </c>
      <c r="E3351" s="66">
        <v>612.70000000000005</v>
      </c>
      <c r="F3351" s="64">
        <f t="shared" si="52"/>
        <v>-28.230012857142881</v>
      </c>
      <c r="G3351" s="60" t="s">
        <v>12</v>
      </c>
      <c r="H3351" s="60" t="s">
        <v>5042</v>
      </c>
    </row>
    <row r="3352" spans="1:8">
      <c r="A3352" s="60" t="s">
        <v>4012</v>
      </c>
      <c r="B3352" s="62">
        <v>8</v>
      </c>
      <c r="C3352" s="60" t="s">
        <v>5050</v>
      </c>
      <c r="D3352" s="64">
        <f>IFERROR(VLOOKUP(C3352,測定点マスタ!$E$2:$F$28,2,FALSE)/VLOOKUP(A3352,'焼鈍条件-3CGL'!$A$2:$B$197,2,FALSE)*60,"")</f>
        <v>64.067072688444199</v>
      </c>
      <c r="E3352" s="66">
        <v>499.4</v>
      </c>
      <c r="F3352" s="64">
        <f t="shared" si="52"/>
        <v>-17.905648749999983</v>
      </c>
      <c r="G3352" s="60" t="s">
        <v>12</v>
      </c>
      <c r="H3352" s="60" t="s">
        <v>5042</v>
      </c>
    </row>
    <row r="3353" spans="1:8">
      <c r="A3353" s="60" t="s">
        <v>4012</v>
      </c>
      <c r="B3353" s="62">
        <v>9</v>
      </c>
      <c r="C3353" s="60" t="s">
        <v>5051</v>
      </c>
      <c r="D3353" s="64">
        <f>IFERROR(VLOOKUP(C3353,測定点マスタ!$E$2:$F$28,2,FALSE)/VLOOKUP(A3353,'焼鈍条件-3CGL'!$A$2:$B$197,2,FALSE)*60,"")</f>
        <v>69.60373329114924</v>
      </c>
      <c r="E3353" s="66">
        <v>486.7</v>
      </c>
      <c r="F3353" s="64">
        <f t="shared" si="52"/>
        <v>-2.2938014285714319</v>
      </c>
      <c r="G3353" s="60" t="s">
        <v>12</v>
      </c>
      <c r="H3353" s="60" t="s">
        <v>5042</v>
      </c>
    </row>
    <row r="3354" spans="1:8">
      <c r="A3354" s="60" t="s">
        <v>4012</v>
      </c>
      <c r="B3354" s="62">
        <v>10</v>
      </c>
      <c r="C3354" s="60" t="s">
        <v>5052</v>
      </c>
      <c r="D3354" s="64">
        <f>IFERROR(VLOOKUP(C3354,測定点マスタ!$E$2:$F$28,2,FALSE)/VLOOKUP(A3354,'焼鈍条件-3CGL'!$A$2:$B$197,2,FALSE)*60,"")</f>
        <v>76.722296923198599</v>
      </c>
      <c r="E3354" s="66">
        <v>359.7</v>
      </c>
      <c r="F3354" s="64">
        <f t="shared" si="52"/>
        <v>-17.840677777777771</v>
      </c>
      <c r="G3354" s="60" t="s">
        <v>12</v>
      </c>
      <c r="H3354" s="60" t="s">
        <v>5042</v>
      </c>
    </row>
    <row r="3355" spans="1:8">
      <c r="A3355" s="60" t="s">
        <v>4012</v>
      </c>
      <c r="B3355" s="62">
        <v>11</v>
      </c>
      <c r="C3355" s="60" t="s">
        <v>5053</v>
      </c>
      <c r="D3355" s="64">
        <f>IFERROR(VLOOKUP(C3355,測定点マスタ!$E$2:$F$28,2,FALSE)/VLOOKUP(A3355,'焼鈍条件-3CGL'!$A$2:$B$197,2,FALSE)*60,"")</f>
        <v>86.213715099264419</v>
      </c>
      <c r="E3355" s="66">
        <v>562.9</v>
      </c>
      <c r="F3355" s="64">
        <f t="shared" si="52"/>
        <v>21.408813333333303</v>
      </c>
      <c r="G3355" s="60" t="s">
        <v>12</v>
      </c>
      <c r="H3355" s="60" t="s">
        <v>5042</v>
      </c>
    </row>
    <row r="3356" spans="1:8">
      <c r="A3356" s="60" t="s">
        <v>4012</v>
      </c>
      <c r="B3356" s="62">
        <v>12</v>
      </c>
      <c r="C3356" s="60" t="s">
        <v>5054</v>
      </c>
      <c r="D3356" s="64">
        <f>IFERROR(VLOOKUP(C3356,測定点マスタ!$E$2:$F$28,2,FALSE)/VLOOKUP(A3356,'焼鈍条件-3CGL'!$A$2:$B$197,2,FALSE)*60,"")</f>
        <v>96.496084790002371</v>
      </c>
      <c r="E3356" s="66">
        <v>552.1</v>
      </c>
      <c r="F3356" s="64">
        <f t="shared" si="52"/>
        <v>-1.0503415384615347</v>
      </c>
      <c r="G3356" s="60" t="s">
        <v>12</v>
      </c>
      <c r="H3356" s="60" t="s">
        <v>5042</v>
      </c>
    </row>
    <row r="3357" spans="1:8">
      <c r="A3357" s="60" t="s">
        <v>4012</v>
      </c>
      <c r="B3357" s="62">
        <v>13</v>
      </c>
      <c r="C3357" s="60" t="s">
        <v>5056</v>
      </c>
      <c r="D3357" s="64">
        <f>IFERROR(VLOOKUP(C3357,測定点マスタ!$E$2:$F$28,2,FALSE)/VLOOKUP(A3357,'焼鈍条件-3CGL'!$A$2:$B$197,2,FALSE)*60,"")</f>
        <v>105.19655145139602</v>
      </c>
      <c r="E3357" s="66">
        <v>271.10000000000002</v>
      </c>
      <c r="F3357" s="64">
        <f t="shared" si="52"/>
        <v>-32.297118181818213</v>
      </c>
      <c r="G3357" s="60" t="s">
        <v>12</v>
      </c>
      <c r="H3357" s="60" t="s">
        <v>5042</v>
      </c>
    </row>
    <row r="3358" spans="1:8">
      <c r="A3358" s="60" t="s">
        <v>4012</v>
      </c>
      <c r="B3358" s="62">
        <v>14</v>
      </c>
      <c r="C3358" s="60" t="s">
        <v>5068</v>
      </c>
      <c r="D3358" s="64">
        <f>IFERROR(VLOOKUP(C3358,測定点マスタ!$E$2:$F$28,2,FALSE)/VLOOKUP(A3358,'焼鈍条件-3CGL'!$A$2:$B$197,2,FALSE)*60,"")</f>
        <v>125.64829775934746</v>
      </c>
      <c r="E3358" s="66">
        <v>411.9</v>
      </c>
      <c r="F3358" s="64">
        <f t="shared" si="52"/>
        <v>6.8844976795579695</v>
      </c>
      <c r="G3358" s="60" t="s">
        <v>12</v>
      </c>
      <c r="H3358" s="60" t="s">
        <v>5042</v>
      </c>
    </row>
    <row r="3359" spans="1:8">
      <c r="A3359" s="60" t="s">
        <v>4012</v>
      </c>
      <c r="B3359" s="62">
        <v>15</v>
      </c>
      <c r="C3359" s="60" t="s">
        <v>5057</v>
      </c>
      <c r="D3359" s="64">
        <f>IFERROR(VLOOKUP(C3359,測定点マスタ!$E$2:$F$28,2,FALSE)/VLOOKUP(A3359,'焼鈍条件-3CGL'!$A$2:$B$197,2,FALSE)*60,"")</f>
        <v>130.42225511576129</v>
      </c>
      <c r="E3359" s="66">
        <v>243.5</v>
      </c>
      <c r="F3359" s="64">
        <f t="shared" si="52"/>
        <v>-35.274718106510498</v>
      </c>
      <c r="G3359" s="60" t="s">
        <v>12</v>
      </c>
      <c r="H3359" s="60" t="s">
        <v>5042</v>
      </c>
    </row>
    <row r="3360" spans="1:8">
      <c r="A3360" s="60" t="s">
        <v>4012</v>
      </c>
      <c r="B3360" s="62">
        <v>16</v>
      </c>
      <c r="C3360" s="60" t="s">
        <v>5059</v>
      </c>
      <c r="D3360" s="64">
        <f>IFERROR(VLOOKUP(C3360,測定点マスタ!$E$2:$F$28,2,FALSE)/VLOOKUP(A3360,'焼鈍条件-3CGL'!$A$2:$B$197,2,FALSE)*60,"")</f>
        <v>139.97016982858972</v>
      </c>
      <c r="E3360" s="66">
        <v>41.8</v>
      </c>
      <c r="F3360" s="64">
        <f t="shared" si="52"/>
        <v>-21.125031597632415</v>
      </c>
      <c r="G3360" s="60" t="s">
        <v>12</v>
      </c>
      <c r="H3360" s="60" t="s">
        <v>5042</v>
      </c>
    </row>
    <row r="3361" spans="1:8">
      <c r="A3361" s="60" t="s">
        <v>4023</v>
      </c>
      <c r="B3361" s="62">
        <v>1</v>
      </c>
      <c r="C3361" s="60" t="s">
        <v>5041</v>
      </c>
      <c r="D3361" s="64">
        <f>IFERROR(VLOOKUP(C3361,測定点マスタ!$E$2:$F$28,2,FALSE)/VLOOKUP(A3361,'焼鈍条件-3CGL'!$A$2:$B$197,2,FALSE)*60,"")</f>
        <v>0</v>
      </c>
      <c r="E3361" s="66">
        <v>37.1</v>
      </c>
      <c r="F3361" s="64" t="str">
        <f t="shared" si="52"/>
        <v/>
      </c>
      <c r="G3361" s="60" t="s">
        <v>9</v>
      </c>
      <c r="H3361" s="60" t="s">
        <v>5042</v>
      </c>
    </row>
    <row r="3362" spans="1:8">
      <c r="A3362" s="60" t="s">
        <v>4023</v>
      </c>
      <c r="B3362" s="62">
        <v>2</v>
      </c>
      <c r="C3362" s="60" t="s">
        <v>5043</v>
      </c>
      <c r="D3362" s="64">
        <f>IFERROR(VLOOKUP(C3362,測定点マスタ!$E$2:$F$28,2,FALSE)/VLOOKUP(A3362,'焼鈍条件-3CGL'!$A$2:$B$197,2,FALSE)*60,"")</f>
        <v>12.033533446537685</v>
      </c>
      <c r="E3362" s="66">
        <v>177.5</v>
      </c>
      <c r="F3362" s="64">
        <f t="shared" si="52"/>
        <v>11.667396</v>
      </c>
      <c r="G3362" s="60" t="s">
        <v>9</v>
      </c>
      <c r="H3362" s="60" t="s">
        <v>5042</v>
      </c>
    </row>
    <row r="3363" spans="1:8">
      <c r="A3363" s="60" t="s">
        <v>4023</v>
      </c>
      <c r="B3363" s="62">
        <v>3</v>
      </c>
      <c r="C3363" s="60" t="s">
        <v>5067</v>
      </c>
      <c r="D3363" s="64">
        <f>IFERROR(VLOOKUP(C3363,測定点マスタ!$E$2:$F$28,2,FALSE)/VLOOKUP(A3363,'焼鈍条件-3CGL'!$A$2:$B$197,2,FALSE)*60,"")</f>
        <v>20.05588907756281</v>
      </c>
      <c r="E3363" s="66">
        <v>378.7</v>
      </c>
      <c r="F3363" s="64">
        <f t="shared" si="52"/>
        <v>25.079915333333329</v>
      </c>
      <c r="G3363" s="60" t="s">
        <v>9</v>
      </c>
      <c r="H3363" s="60" t="s">
        <v>5042</v>
      </c>
    </row>
    <row r="3364" spans="1:8">
      <c r="A3364" s="60" t="s">
        <v>4023</v>
      </c>
      <c r="B3364" s="62">
        <v>4</v>
      </c>
      <c r="C3364" s="60" t="s">
        <v>5044</v>
      </c>
      <c r="D3364" s="64">
        <f>IFERROR(VLOOKUP(C3364,測定点マスタ!$E$2:$F$28,2,FALSE)/VLOOKUP(A3364,'焼鈍条件-3CGL'!$A$2:$B$197,2,FALSE)*60,"")</f>
        <v>27.276009145485418</v>
      </c>
      <c r="E3364" s="66">
        <v>661.8</v>
      </c>
      <c r="F3364" s="64">
        <f t="shared" si="52"/>
        <v>39.209874259259273</v>
      </c>
      <c r="G3364" s="60" t="s">
        <v>9</v>
      </c>
      <c r="H3364" s="60" t="s">
        <v>5042</v>
      </c>
    </row>
    <row r="3365" spans="1:8">
      <c r="A3365" s="60" t="s">
        <v>4023</v>
      </c>
      <c r="B3365" s="62">
        <v>5</v>
      </c>
      <c r="C3365" s="60" t="s">
        <v>5045</v>
      </c>
      <c r="D3365" s="64">
        <f>IFERROR(VLOOKUP(C3365,測定点マスタ!$E$2:$F$28,2,FALSE)/VLOOKUP(A3365,'焼鈍条件-3CGL'!$A$2:$B$197,2,FALSE)*60,"")</f>
        <v>35.298364776510546</v>
      </c>
      <c r="E3365" s="66">
        <v>833.7</v>
      </c>
      <c r="F3365" s="64">
        <f t="shared" si="52"/>
        <v>21.427621499999997</v>
      </c>
      <c r="G3365" s="60" t="s">
        <v>9</v>
      </c>
      <c r="H3365" s="60" t="s">
        <v>5042</v>
      </c>
    </row>
    <row r="3366" spans="1:8">
      <c r="A3366" s="60" t="s">
        <v>4023</v>
      </c>
      <c r="B3366" s="62">
        <v>6</v>
      </c>
      <c r="C3366" s="60" t="s">
        <v>5047</v>
      </c>
      <c r="D3366" s="64">
        <f>IFERROR(VLOOKUP(C3366,測定点マスタ!$E$2:$F$28,2,FALSE)/VLOOKUP(A3366,'焼鈍条件-3CGL'!$A$2:$B$197,2,FALSE)*60,"")</f>
        <v>48.134133786150741</v>
      </c>
      <c r="E3366" s="66">
        <v>766.1</v>
      </c>
      <c r="F3366" s="64">
        <f t="shared" si="52"/>
        <v>-5.2665329166666695</v>
      </c>
      <c r="G3366" s="60" t="s">
        <v>9</v>
      </c>
      <c r="H3366" s="60" t="s">
        <v>5042</v>
      </c>
    </row>
    <row r="3367" spans="1:8">
      <c r="A3367" s="60" t="s">
        <v>4023</v>
      </c>
      <c r="B3367" s="62">
        <v>7</v>
      </c>
      <c r="C3367" s="60" t="s">
        <v>5048</v>
      </c>
      <c r="D3367" s="64">
        <f>IFERROR(VLOOKUP(C3367,測定点マスタ!$E$2:$F$28,2,FALSE)/VLOOKUP(A3367,'焼鈍条件-3CGL'!$A$2:$B$197,2,FALSE)*60,"")</f>
        <v>52.947547164765815</v>
      </c>
      <c r="E3367" s="66">
        <v>727.6</v>
      </c>
      <c r="F3367" s="64">
        <f t="shared" si="52"/>
        <v>-7.9984819444444444</v>
      </c>
      <c r="G3367" s="60" t="s">
        <v>9</v>
      </c>
      <c r="H3367" s="60" t="s">
        <v>5042</v>
      </c>
    </row>
    <row r="3368" spans="1:8">
      <c r="A3368" s="60" t="s">
        <v>4023</v>
      </c>
      <c r="B3368" s="62">
        <v>8</v>
      </c>
      <c r="C3368" s="60" t="s">
        <v>5049</v>
      </c>
      <c r="D3368" s="64">
        <f>IFERROR(VLOOKUP(C3368,測定点マスタ!$E$2:$F$28,2,FALSE)/VLOOKUP(A3368,'焼鈍条件-3CGL'!$A$2:$B$197,2,FALSE)*60,"")</f>
        <v>58.563196106483403</v>
      </c>
      <c r="E3368" s="66">
        <v>595.6</v>
      </c>
      <c r="F3368" s="64">
        <f t="shared" si="52"/>
        <v>-23.505742857142852</v>
      </c>
      <c r="G3368" s="60" t="s">
        <v>9</v>
      </c>
      <c r="H3368" s="60" t="s">
        <v>5042</v>
      </c>
    </row>
    <row r="3369" spans="1:8">
      <c r="A3369" s="60" t="s">
        <v>4023</v>
      </c>
      <c r="B3369" s="62">
        <v>9</v>
      </c>
      <c r="C3369" s="60" t="s">
        <v>5050</v>
      </c>
      <c r="D3369" s="64">
        <f>IFERROR(VLOOKUP(C3369,測定点マスタ!$E$2:$F$28,2,FALSE)/VLOOKUP(A3369,'焼鈍条件-3CGL'!$A$2:$B$197,2,FALSE)*60,"")</f>
        <v>64.981080611303497</v>
      </c>
      <c r="E3369" s="66">
        <v>519.1</v>
      </c>
      <c r="F3369" s="64">
        <f t="shared" si="52"/>
        <v>-11.919815625000009</v>
      </c>
      <c r="G3369" s="60" t="s">
        <v>9</v>
      </c>
      <c r="H3369" s="60" t="s">
        <v>5042</v>
      </c>
    </row>
    <row r="3370" spans="1:8">
      <c r="A3370" s="60" t="s">
        <v>4023</v>
      </c>
      <c r="B3370" s="62">
        <v>10</v>
      </c>
      <c r="C3370" s="60" t="s">
        <v>5051</v>
      </c>
      <c r="D3370" s="64">
        <f>IFERROR(VLOOKUP(C3370,測定点マスタ!$E$2:$F$28,2,FALSE)/VLOOKUP(A3370,'焼鈍条件-3CGL'!$A$2:$B$197,2,FALSE)*60,"")</f>
        <v>70.596729553021092</v>
      </c>
      <c r="E3370" s="66">
        <v>478.4</v>
      </c>
      <c r="F3370" s="64">
        <f t="shared" si="52"/>
        <v>-7.2476040476190446</v>
      </c>
      <c r="G3370" s="60" t="s">
        <v>9</v>
      </c>
      <c r="H3370" s="60" t="s">
        <v>5042</v>
      </c>
    </row>
    <row r="3371" spans="1:8">
      <c r="A3371" s="60" t="s">
        <v>4023</v>
      </c>
      <c r="B3371" s="62">
        <v>11</v>
      </c>
      <c r="C3371" s="60" t="s">
        <v>5052</v>
      </c>
      <c r="D3371" s="64">
        <f>IFERROR(VLOOKUP(C3371,測定点マスタ!$E$2:$F$28,2,FALSE)/VLOOKUP(A3371,'焼鈍条件-3CGL'!$A$2:$B$197,2,FALSE)*60,"")</f>
        <v>77.8168496209437</v>
      </c>
      <c r="E3371" s="66">
        <v>351.8</v>
      </c>
      <c r="F3371" s="64">
        <f t="shared" si="52"/>
        <v>-17.534334444444447</v>
      </c>
      <c r="G3371" s="60" t="s">
        <v>9</v>
      </c>
      <c r="H3371" s="60" t="s">
        <v>5042</v>
      </c>
    </row>
    <row r="3372" spans="1:8">
      <c r="A3372" s="60" t="s">
        <v>4023</v>
      </c>
      <c r="B3372" s="62">
        <v>12</v>
      </c>
      <c r="C3372" s="60" t="s">
        <v>5053</v>
      </c>
      <c r="D3372" s="64">
        <f>IFERROR(VLOOKUP(C3372,測定点マスタ!$E$2:$F$28,2,FALSE)/VLOOKUP(A3372,'焼鈍条件-3CGL'!$A$2:$B$197,2,FALSE)*60,"")</f>
        <v>87.443676378173848</v>
      </c>
      <c r="E3372" s="66">
        <v>547</v>
      </c>
      <c r="F3372" s="64">
        <f t="shared" si="52"/>
        <v>20.27667111111111</v>
      </c>
      <c r="G3372" s="60" t="s">
        <v>9</v>
      </c>
      <c r="H3372" s="60" t="s">
        <v>5042</v>
      </c>
    </row>
    <row r="3373" spans="1:8">
      <c r="A3373" s="60" t="s">
        <v>4023</v>
      </c>
      <c r="B3373" s="62">
        <v>13</v>
      </c>
      <c r="C3373" s="60" t="s">
        <v>5054</v>
      </c>
      <c r="D3373" s="64">
        <f>IFERROR(VLOOKUP(C3373,測定点マスタ!$E$2:$F$28,2,FALSE)/VLOOKUP(A3373,'焼鈍条件-3CGL'!$A$2:$B$197,2,FALSE)*60,"")</f>
        <v>97.87273869850651</v>
      </c>
      <c r="E3373" s="66">
        <v>543.29999999999995</v>
      </c>
      <c r="F3373" s="64">
        <f t="shared" si="52"/>
        <v>-0.3547778205128248</v>
      </c>
      <c r="G3373" s="60" t="s">
        <v>9</v>
      </c>
      <c r="H3373" s="60" t="s">
        <v>5042</v>
      </c>
    </row>
    <row r="3374" spans="1:8">
      <c r="A3374" s="60" t="s">
        <v>4023</v>
      </c>
      <c r="B3374" s="62">
        <v>14</v>
      </c>
      <c r="C3374" s="60" t="s">
        <v>5056</v>
      </c>
      <c r="D3374" s="64">
        <f>IFERROR(VLOOKUP(C3374,測定点マスタ!$E$2:$F$28,2,FALSE)/VLOOKUP(A3374,'焼鈍条件-3CGL'!$A$2:$B$197,2,FALSE)*60,"")</f>
        <v>106.69732989263414</v>
      </c>
      <c r="E3374" s="66">
        <v>285</v>
      </c>
      <c r="F3374" s="64">
        <f t="shared" si="52"/>
        <v>-29.270477727272727</v>
      </c>
      <c r="G3374" s="60" t="s">
        <v>9</v>
      </c>
      <c r="H3374" s="60" t="s">
        <v>5042</v>
      </c>
    </row>
    <row r="3375" spans="1:8">
      <c r="A3375" s="60" t="s">
        <v>4023</v>
      </c>
      <c r="B3375" s="62">
        <v>15</v>
      </c>
      <c r="C3375" s="60" t="s">
        <v>5057</v>
      </c>
      <c r="D3375" s="64">
        <f>IFERROR(VLOOKUP(C3375,測定点マスタ!$E$2:$F$28,2,FALSE)/VLOOKUP(A3375,'焼鈍条件-3CGL'!$A$2:$B$197,2,FALSE)*60,"")</f>
        <v>132.28291410158201</v>
      </c>
      <c r="E3375" s="66">
        <v>266.39999999999998</v>
      </c>
      <c r="F3375" s="64">
        <f t="shared" si="52"/>
        <v>-0.72697187010078812</v>
      </c>
      <c r="G3375" s="60" t="s">
        <v>9</v>
      </c>
      <c r="H3375" s="60" t="s">
        <v>5042</v>
      </c>
    </row>
    <row r="3376" spans="1:8">
      <c r="A3376" s="60" t="s">
        <v>4023</v>
      </c>
      <c r="B3376" s="62">
        <v>16</v>
      </c>
      <c r="C3376" s="60" t="s">
        <v>5058</v>
      </c>
      <c r="D3376" s="64">
        <f>IFERROR(VLOOKUP(C3376,測定点マスタ!$E$2:$F$28,2,FALSE)/VLOOKUP(A3376,'焼鈍条件-3CGL'!$A$2:$B$197,2,FALSE)*60,"")</f>
        <v>137.12497875030766</v>
      </c>
      <c r="E3376" s="66">
        <v>94.5</v>
      </c>
      <c r="F3376" s="64">
        <f t="shared" si="52"/>
        <v>-35.501384733729452</v>
      </c>
      <c r="G3376" s="60" t="s">
        <v>9</v>
      </c>
      <c r="H3376" s="60" t="s">
        <v>5042</v>
      </c>
    </row>
    <row r="3377" spans="1:8">
      <c r="A3377" s="60" t="s">
        <v>4023</v>
      </c>
      <c r="B3377" s="62">
        <v>17</v>
      </c>
      <c r="C3377" s="60" t="s">
        <v>5059</v>
      </c>
      <c r="D3377" s="64">
        <f>IFERROR(VLOOKUP(C3377,測定点マスタ!$E$2:$F$28,2,FALSE)/VLOOKUP(A3377,'焼鈍条件-3CGL'!$A$2:$B$197,2,FALSE)*60,"")</f>
        <v>141.96704339903414</v>
      </c>
      <c r="E3377" s="66">
        <v>72</v>
      </c>
      <c r="F3377" s="64">
        <f t="shared" si="52"/>
        <v>-4.6467781065083003</v>
      </c>
      <c r="G3377" s="60" t="s">
        <v>9</v>
      </c>
      <c r="H3377" s="60" t="s">
        <v>5042</v>
      </c>
    </row>
    <row r="3378" spans="1:8">
      <c r="A3378" s="60" t="s">
        <v>4031</v>
      </c>
      <c r="B3378" s="62">
        <v>1</v>
      </c>
      <c r="C3378" s="60" t="s">
        <v>5041</v>
      </c>
      <c r="D3378" s="64">
        <f>IFERROR(VLOOKUP(C3378,測定点マスタ!$E$2:$F$28,2,FALSE)/VLOOKUP(A3378,'焼鈍条件-3CGL'!$A$2:$B$197,2,FALSE)*60,"")</f>
        <v>0</v>
      </c>
      <c r="E3378" s="66">
        <v>25.9</v>
      </c>
      <c r="F3378" s="64" t="str">
        <f t="shared" si="52"/>
        <v/>
      </c>
      <c r="G3378" s="60" t="s">
        <v>9</v>
      </c>
      <c r="H3378" s="60" t="s">
        <v>5042</v>
      </c>
    </row>
    <row r="3379" spans="1:8">
      <c r="A3379" s="60" t="s">
        <v>4031</v>
      </c>
      <c r="B3379" s="62">
        <v>2</v>
      </c>
      <c r="C3379" s="60" t="s">
        <v>5043</v>
      </c>
      <c r="D3379" s="64">
        <f>IFERROR(VLOOKUP(C3379,測定点マスタ!$E$2:$F$28,2,FALSE)/VLOOKUP(A3379,'焼鈍条件-3CGL'!$A$2:$B$197,2,FALSE)*60,"")</f>
        <v>10.440229685053071</v>
      </c>
      <c r="E3379" s="66">
        <v>181.9</v>
      </c>
      <c r="F3379" s="64">
        <f t="shared" si="52"/>
        <v>14.942200000000001</v>
      </c>
      <c r="G3379" s="60" t="s">
        <v>9</v>
      </c>
      <c r="H3379" s="60" t="s">
        <v>5042</v>
      </c>
    </row>
    <row r="3380" spans="1:8">
      <c r="A3380" s="60" t="s">
        <v>4031</v>
      </c>
      <c r="B3380" s="62">
        <v>3</v>
      </c>
      <c r="C3380" s="60" t="s">
        <v>5067</v>
      </c>
      <c r="D3380" s="64">
        <f>IFERROR(VLOOKUP(C3380,測定点マスタ!$E$2:$F$28,2,FALSE)/VLOOKUP(A3380,'焼鈍条件-3CGL'!$A$2:$B$197,2,FALSE)*60,"")</f>
        <v>17.400382808421789</v>
      </c>
      <c r="E3380" s="66">
        <v>364.2</v>
      </c>
      <c r="F3380" s="64">
        <f t="shared" si="52"/>
        <v>26.191952499999982</v>
      </c>
      <c r="G3380" s="60" t="s">
        <v>9</v>
      </c>
      <c r="H3380" s="60" t="s">
        <v>5042</v>
      </c>
    </row>
    <row r="3381" spans="1:8">
      <c r="A3381" s="60" t="s">
        <v>4031</v>
      </c>
      <c r="B3381" s="62">
        <v>4</v>
      </c>
      <c r="C3381" s="60" t="s">
        <v>5044</v>
      </c>
      <c r="D3381" s="64">
        <f>IFERROR(VLOOKUP(C3381,測定点マスタ!$E$2:$F$28,2,FALSE)/VLOOKUP(A3381,'焼鈍条件-3CGL'!$A$2:$B$197,2,FALSE)*60,"")</f>
        <v>23.664520619453629</v>
      </c>
      <c r="E3381" s="66">
        <v>690.1</v>
      </c>
      <c r="F3381" s="64">
        <f t="shared" si="52"/>
        <v>52.026313888888915</v>
      </c>
      <c r="G3381" s="60" t="s">
        <v>9</v>
      </c>
      <c r="H3381" s="60" t="s">
        <v>5042</v>
      </c>
    </row>
    <row r="3382" spans="1:8">
      <c r="A3382" s="60" t="s">
        <v>4031</v>
      </c>
      <c r="B3382" s="62">
        <v>5</v>
      </c>
      <c r="C3382" s="60" t="s">
        <v>5045</v>
      </c>
      <c r="D3382" s="64">
        <f>IFERROR(VLOOKUP(C3382,測定点マスタ!$E$2:$F$28,2,FALSE)/VLOOKUP(A3382,'焼鈍条件-3CGL'!$A$2:$B$197,2,FALSE)*60,"")</f>
        <v>30.624673742822345</v>
      </c>
      <c r="E3382" s="66">
        <v>840</v>
      </c>
      <c r="F3382" s="64">
        <f t="shared" si="52"/>
        <v>21.53688249999999</v>
      </c>
      <c r="G3382" s="60" t="s">
        <v>9</v>
      </c>
      <c r="H3382" s="60" t="s">
        <v>5042</v>
      </c>
    </row>
    <row r="3383" spans="1:8">
      <c r="A3383" s="60" t="s">
        <v>4031</v>
      </c>
      <c r="B3383" s="62">
        <v>6</v>
      </c>
      <c r="C3383" s="60" t="s">
        <v>5046</v>
      </c>
      <c r="D3383" s="64">
        <f>IFERROR(VLOOKUP(C3383,測定点マスタ!$E$2:$F$28,2,FALSE)/VLOOKUP(A3383,'焼鈍条件-3CGL'!$A$2:$B$197,2,FALSE)*60,"")</f>
        <v>37.584826866191051</v>
      </c>
      <c r="E3383" s="66">
        <v>783.3</v>
      </c>
      <c r="F3383" s="64">
        <f t="shared" si="52"/>
        <v>-8.146372500000016</v>
      </c>
      <c r="G3383" s="60" t="s">
        <v>9</v>
      </c>
      <c r="H3383" s="60" t="s">
        <v>5042</v>
      </c>
    </row>
    <row r="3384" spans="1:8">
      <c r="A3384" s="60" t="s">
        <v>4031</v>
      </c>
      <c r="B3384" s="62">
        <v>7</v>
      </c>
      <c r="C3384" s="60" t="s">
        <v>5047</v>
      </c>
      <c r="D3384" s="64">
        <f>IFERROR(VLOOKUP(C3384,測定点マスタ!$E$2:$F$28,2,FALSE)/VLOOKUP(A3384,'焼鈍条件-3CGL'!$A$2:$B$197,2,FALSE)*60,"")</f>
        <v>41.760918740212283</v>
      </c>
      <c r="E3384" s="66">
        <v>766.1</v>
      </c>
      <c r="F3384" s="64">
        <f t="shared" si="52"/>
        <v>-4.1186833333333137</v>
      </c>
      <c r="G3384" s="60" t="s">
        <v>9</v>
      </c>
      <c r="H3384" s="60" t="s">
        <v>5042</v>
      </c>
    </row>
    <row r="3385" spans="1:8">
      <c r="A3385" s="60" t="s">
        <v>4031</v>
      </c>
      <c r="B3385" s="62">
        <v>8</v>
      </c>
      <c r="C3385" s="60" t="s">
        <v>5048</v>
      </c>
      <c r="D3385" s="64">
        <f>IFERROR(VLOOKUP(C3385,測定点マスタ!$E$2:$F$28,2,FALSE)/VLOOKUP(A3385,'焼鈍条件-3CGL'!$A$2:$B$197,2,FALSE)*60,"")</f>
        <v>45.937010614233515</v>
      </c>
      <c r="E3385" s="66">
        <v>717.3</v>
      </c>
      <c r="F3385" s="64">
        <f t="shared" si="52"/>
        <v>-11.685566666666674</v>
      </c>
      <c r="G3385" s="60" t="s">
        <v>9</v>
      </c>
      <c r="H3385" s="60" t="s">
        <v>5042</v>
      </c>
    </row>
    <row r="3386" spans="1:8">
      <c r="A3386" s="60" t="s">
        <v>4031</v>
      </c>
      <c r="B3386" s="62">
        <v>9</v>
      </c>
      <c r="C3386" s="60" t="s">
        <v>5049</v>
      </c>
      <c r="D3386" s="64">
        <f>IFERROR(VLOOKUP(C3386,測定点マスタ!$E$2:$F$28,2,FALSE)/VLOOKUP(A3386,'焼鈍条件-3CGL'!$A$2:$B$197,2,FALSE)*60,"")</f>
        <v>50.809117800591615</v>
      </c>
      <c r="E3386" s="66">
        <v>639</v>
      </c>
      <c r="F3386" s="64">
        <f t="shared" si="52"/>
        <v>-16.07107499999999</v>
      </c>
      <c r="G3386" s="60" t="s">
        <v>9</v>
      </c>
      <c r="H3386" s="60" t="s">
        <v>5042</v>
      </c>
    </row>
    <row r="3387" spans="1:8">
      <c r="A3387" s="60" t="s">
        <v>4031</v>
      </c>
      <c r="B3387" s="62">
        <v>10</v>
      </c>
      <c r="C3387" s="60" t="s">
        <v>5050</v>
      </c>
      <c r="D3387" s="64">
        <f>IFERROR(VLOOKUP(C3387,測定点マスタ!$E$2:$F$28,2,FALSE)/VLOOKUP(A3387,'焼鈍条件-3CGL'!$A$2:$B$197,2,FALSE)*60,"")</f>
        <v>56.377240299286591</v>
      </c>
      <c r="E3387" s="66">
        <v>490.3</v>
      </c>
      <c r="F3387" s="64">
        <f t="shared" si="52"/>
        <v>-26.705590624999978</v>
      </c>
      <c r="G3387" s="60" t="s">
        <v>9</v>
      </c>
      <c r="H3387" s="60" t="s">
        <v>5042</v>
      </c>
    </row>
    <row r="3388" spans="1:8">
      <c r="A3388" s="60" t="s">
        <v>4031</v>
      </c>
      <c r="B3388" s="62">
        <v>11</v>
      </c>
      <c r="C3388" s="60" t="s">
        <v>5051</v>
      </c>
      <c r="D3388" s="64">
        <f>IFERROR(VLOOKUP(C3388,測定点マスタ!$E$2:$F$28,2,FALSE)/VLOOKUP(A3388,'焼鈍条件-3CGL'!$A$2:$B$197,2,FALSE)*60,"")</f>
        <v>61.249347485644691</v>
      </c>
      <c r="E3388" s="66">
        <v>480.6</v>
      </c>
      <c r="F3388" s="64">
        <f t="shared" si="52"/>
        <v>-1.9909249999999976</v>
      </c>
      <c r="G3388" s="60" t="s">
        <v>9</v>
      </c>
      <c r="H3388" s="60" t="s">
        <v>5042</v>
      </c>
    </row>
    <row r="3389" spans="1:8">
      <c r="A3389" s="60" t="s">
        <v>4031</v>
      </c>
      <c r="B3389" s="62">
        <v>12</v>
      </c>
      <c r="C3389" s="60" t="s">
        <v>5052</v>
      </c>
      <c r="D3389" s="64">
        <f>IFERROR(VLOOKUP(C3389,測定点マスタ!$E$2:$F$28,2,FALSE)/VLOOKUP(A3389,'焼鈍条件-3CGL'!$A$2:$B$197,2,FALSE)*60,"")</f>
        <v>67.513485296676535</v>
      </c>
      <c r="E3389" s="66">
        <v>362.8</v>
      </c>
      <c r="F3389" s="64">
        <f t="shared" si="52"/>
        <v>-18.805461111111107</v>
      </c>
      <c r="G3389" s="60" t="s">
        <v>9</v>
      </c>
      <c r="H3389" s="60" t="s">
        <v>5042</v>
      </c>
    </row>
    <row r="3390" spans="1:8">
      <c r="A3390" s="60" t="s">
        <v>4031</v>
      </c>
      <c r="B3390" s="62">
        <v>13</v>
      </c>
      <c r="C3390" s="60" t="s">
        <v>5069</v>
      </c>
      <c r="D3390" s="64">
        <f>IFERROR(VLOOKUP(C3390,測定点マスタ!$E$2:$F$28,2,FALSE)/VLOOKUP(A3390,'焼鈍条件-3CGL'!$A$2:$B$197,2,FALSE)*60,"")</f>
        <v>72.385592483034628</v>
      </c>
      <c r="E3390" s="66">
        <v>533.29999999999995</v>
      </c>
      <c r="F3390" s="64">
        <f t="shared" si="52"/>
        <v>34.995125000000037</v>
      </c>
      <c r="G3390" s="60" t="s">
        <v>9</v>
      </c>
      <c r="H3390" s="60" t="s">
        <v>5042</v>
      </c>
    </row>
    <row r="3391" spans="1:8">
      <c r="A3391" s="60" t="s">
        <v>4031</v>
      </c>
      <c r="B3391" s="62">
        <v>14</v>
      </c>
      <c r="C3391" s="60" t="s">
        <v>5053</v>
      </c>
      <c r="D3391" s="64">
        <f>IFERROR(VLOOKUP(C3391,測定点マスタ!$E$2:$F$28,2,FALSE)/VLOOKUP(A3391,'焼鈍条件-3CGL'!$A$2:$B$197,2,FALSE)*60,"")</f>
        <v>75.865669044718985</v>
      </c>
      <c r="E3391" s="66">
        <v>552.79999999999995</v>
      </c>
      <c r="F3391" s="64">
        <f t="shared" si="52"/>
        <v>5.6033250000000008</v>
      </c>
      <c r="G3391" s="60" t="s">
        <v>9</v>
      </c>
      <c r="H3391" s="60" t="s">
        <v>5042</v>
      </c>
    </row>
    <row r="3392" spans="1:8">
      <c r="A3392" s="60" t="s">
        <v>4031</v>
      </c>
      <c r="B3392" s="62">
        <v>15</v>
      </c>
      <c r="C3392" s="60" t="s">
        <v>5054</v>
      </c>
      <c r="D3392" s="64">
        <f>IFERROR(VLOOKUP(C3392,測定点マスタ!$E$2:$F$28,2,FALSE)/VLOOKUP(A3392,'焼鈍条件-3CGL'!$A$2:$B$197,2,FALSE)*60,"")</f>
        <v>84.913868105098317</v>
      </c>
      <c r="E3392" s="66">
        <v>524.9</v>
      </c>
      <c r="F3392" s="64">
        <f t="shared" si="52"/>
        <v>-3.0834865384615346</v>
      </c>
      <c r="G3392" s="60" t="s">
        <v>9</v>
      </c>
      <c r="H3392" s="60" t="s">
        <v>5042</v>
      </c>
    </row>
    <row r="3393" spans="1:8">
      <c r="A3393" s="60" t="s">
        <v>4031</v>
      </c>
      <c r="B3393" s="62">
        <v>16</v>
      </c>
      <c r="C3393" s="60" t="s">
        <v>5056</v>
      </c>
      <c r="D3393" s="64">
        <f>IFERROR(VLOOKUP(C3393,測定点マスタ!$E$2:$F$28,2,FALSE)/VLOOKUP(A3393,'焼鈍条件-3CGL'!$A$2:$B$197,2,FALSE)*60,"")</f>
        <v>92.570036540803898</v>
      </c>
      <c r="E3393" s="66">
        <v>278.5</v>
      </c>
      <c r="F3393" s="64">
        <f t="shared" si="52"/>
        <v>-32.183200000000014</v>
      </c>
      <c r="G3393" s="60" t="s">
        <v>9</v>
      </c>
      <c r="H3393" s="60" t="s">
        <v>5042</v>
      </c>
    </row>
    <row r="3394" spans="1:8">
      <c r="A3394" s="60" t="s">
        <v>4031</v>
      </c>
      <c r="B3394" s="62">
        <v>17</v>
      </c>
      <c r="C3394" s="60" t="s">
        <v>5057</v>
      </c>
      <c r="D3394" s="64">
        <f>IFERROR(VLOOKUP(C3394,測定点マスタ!$E$2:$F$28,2,FALSE)/VLOOKUP(A3394,'焼鈍条件-3CGL'!$A$2:$B$197,2,FALSE)*60,"")</f>
        <v>114.76795346640473</v>
      </c>
      <c r="E3394" s="66">
        <v>226.9</v>
      </c>
      <c r="F3394" s="64">
        <f t="shared" ref="F3394:F3457" si="53">IF(A3394=A3393,IFERROR((E3394-E3393)/(D3394-D3393),""),"")</f>
        <v>-2.3245424412094167</v>
      </c>
      <c r="G3394" s="60" t="s">
        <v>9</v>
      </c>
      <c r="H3394" s="60" t="s">
        <v>5042</v>
      </c>
    </row>
    <row r="3395" spans="1:8">
      <c r="A3395" s="60" t="s">
        <v>4031</v>
      </c>
      <c r="B3395" s="62">
        <v>18</v>
      </c>
      <c r="C3395" s="60" t="s">
        <v>5059</v>
      </c>
      <c r="D3395" s="64">
        <f>IFERROR(VLOOKUP(C3395,測定点マスタ!$E$2:$F$28,2,FALSE)/VLOOKUP(A3395,'焼鈍条件-3CGL'!$A$2:$B$197,2,FALSE)*60,"")</f>
        <v>123.16985259390012</v>
      </c>
      <c r="E3395" s="66">
        <v>41</v>
      </c>
      <c r="F3395" s="64">
        <f t="shared" si="53"/>
        <v>-22.125949999999229</v>
      </c>
      <c r="G3395" s="60" t="s">
        <v>9</v>
      </c>
      <c r="H3395" s="60" t="s">
        <v>5042</v>
      </c>
    </row>
    <row r="3396" spans="1:8">
      <c r="A3396" s="60" t="s">
        <v>4033</v>
      </c>
      <c r="B3396" s="62">
        <v>1</v>
      </c>
      <c r="C3396" s="60" t="s">
        <v>5041</v>
      </c>
      <c r="D3396" s="64">
        <f>IFERROR(VLOOKUP(C3396,測定点マスタ!$E$2:$F$28,2,FALSE)/VLOOKUP(A3396,'焼鈍条件-3CGL'!$A$2:$B$197,2,FALSE)*60,"")</f>
        <v>0</v>
      </c>
      <c r="E3396" s="66">
        <v>26.4</v>
      </c>
      <c r="F3396" s="64" t="str">
        <f t="shared" si="53"/>
        <v/>
      </c>
      <c r="G3396" s="60" t="s">
        <v>12</v>
      </c>
      <c r="H3396" s="60" t="s">
        <v>5042</v>
      </c>
    </row>
    <row r="3397" spans="1:8">
      <c r="A3397" s="60" t="s">
        <v>4033</v>
      </c>
      <c r="B3397" s="62">
        <v>2</v>
      </c>
      <c r="C3397" s="60" t="s">
        <v>5043</v>
      </c>
      <c r="D3397" s="64">
        <f>IFERROR(VLOOKUP(C3397,測定点マスタ!$E$2:$F$28,2,FALSE)/VLOOKUP(A3397,'焼鈍条件-3CGL'!$A$2:$B$197,2,FALSE)*60,"")</f>
        <v>6.6656297909214128</v>
      </c>
      <c r="E3397" s="66">
        <v>183.5</v>
      </c>
      <c r="F3397" s="64">
        <f t="shared" si="53"/>
        <v>23.568665666666664</v>
      </c>
      <c r="G3397" s="60" t="s">
        <v>12</v>
      </c>
      <c r="H3397" s="60" t="s">
        <v>5042</v>
      </c>
    </row>
    <row r="3398" spans="1:8">
      <c r="A3398" s="60" t="s">
        <v>4033</v>
      </c>
      <c r="B3398" s="62">
        <v>3</v>
      </c>
      <c r="C3398" s="60" t="s">
        <v>5044</v>
      </c>
      <c r="D3398" s="64">
        <f>IFERROR(VLOOKUP(C3398,測定点マスタ!$E$2:$F$28,2,FALSE)/VLOOKUP(A3398,'焼鈍条件-3CGL'!$A$2:$B$197,2,FALSE)*60,"")</f>
        <v>15.108760859421867</v>
      </c>
      <c r="E3398" s="66">
        <v>617.20000000000005</v>
      </c>
      <c r="F3398" s="64">
        <f t="shared" si="53"/>
        <v>51.367199736842117</v>
      </c>
      <c r="G3398" s="60" t="s">
        <v>12</v>
      </c>
      <c r="H3398" s="60" t="s">
        <v>5042</v>
      </c>
    </row>
    <row r="3399" spans="1:8">
      <c r="A3399" s="60" t="s">
        <v>4033</v>
      </c>
      <c r="B3399" s="62">
        <v>4</v>
      </c>
      <c r="C3399" s="60" t="s">
        <v>5045</v>
      </c>
      <c r="D3399" s="64">
        <f>IFERROR(VLOOKUP(C3399,測定点マスタ!$E$2:$F$28,2,FALSE)/VLOOKUP(A3399,'焼鈍条件-3CGL'!$A$2:$B$197,2,FALSE)*60,"")</f>
        <v>19.552514053369478</v>
      </c>
      <c r="E3399" s="66">
        <v>772</v>
      </c>
      <c r="F3399" s="64">
        <f t="shared" si="53"/>
        <v>34.835417999999969</v>
      </c>
      <c r="G3399" s="60" t="s">
        <v>12</v>
      </c>
      <c r="H3399" s="60" t="s">
        <v>5042</v>
      </c>
    </row>
    <row r="3400" spans="1:8">
      <c r="A3400" s="60" t="s">
        <v>4033</v>
      </c>
      <c r="B3400" s="62">
        <v>5</v>
      </c>
      <c r="C3400" s="60" t="s">
        <v>5047</v>
      </c>
      <c r="D3400" s="64">
        <f>IFERROR(VLOOKUP(C3400,測定点マスタ!$E$2:$F$28,2,FALSE)/VLOOKUP(A3400,'焼鈍条件-3CGL'!$A$2:$B$197,2,FALSE)*60,"")</f>
        <v>26.662519163685651</v>
      </c>
      <c r="E3400" s="66">
        <v>706.4</v>
      </c>
      <c r="F3400" s="64">
        <f t="shared" si="53"/>
        <v>-9.2264350000000022</v>
      </c>
      <c r="G3400" s="60" t="s">
        <v>12</v>
      </c>
      <c r="H3400" s="60" t="s">
        <v>5042</v>
      </c>
    </row>
    <row r="3401" spans="1:8">
      <c r="A3401" s="60" t="s">
        <v>4033</v>
      </c>
      <c r="B3401" s="62">
        <v>6</v>
      </c>
      <c r="C3401" s="60" t="s">
        <v>5049</v>
      </c>
      <c r="D3401" s="64">
        <f>IFERROR(VLOOKUP(C3401,測定点マスタ!$E$2:$F$28,2,FALSE)/VLOOKUP(A3401,'焼鈍条件-3CGL'!$A$2:$B$197,2,FALSE)*60,"")</f>
        <v>32.439398315817542</v>
      </c>
      <c r="E3401" s="66">
        <v>545.9</v>
      </c>
      <c r="F3401" s="64">
        <f t="shared" si="53"/>
        <v>-27.78316730769231</v>
      </c>
      <c r="G3401" s="60" t="s">
        <v>12</v>
      </c>
      <c r="H3401" s="60" t="s">
        <v>5042</v>
      </c>
    </row>
    <row r="3402" spans="1:8">
      <c r="A3402" s="60" t="s">
        <v>4033</v>
      </c>
      <c r="B3402" s="62">
        <v>7</v>
      </c>
      <c r="C3402" s="60" t="s">
        <v>5050</v>
      </c>
      <c r="D3402" s="64">
        <f>IFERROR(VLOOKUP(C3402,測定点マスタ!$E$2:$F$28,2,FALSE)/VLOOKUP(A3402,'焼鈍条件-3CGL'!$A$2:$B$197,2,FALSE)*60,"")</f>
        <v>35.994400870975625</v>
      </c>
      <c r="E3402" s="66">
        <v>463.3</v>
      </c>
      <c r="F3402" s="64">
        <f t="shared" si="53"/>
        <v>-23.234863750000013</v>
      </c>
      <c r="G3402" s="60" t="s">
        <v>12</v>
      </c>
      <c r="H3402" s="60" t="s">
        <v>5042</v>
      </c>
    </row>
    <row r="3403" spans="1:8">
      <c r="A3403" s="60" t="s">
        <v>4033</v>
      </c>
      <c r="B3403" s="62">
        <v>8</v>
      </c>
      <c r="C3403" s="60" t="s">
        <v>5051</v>
      </c>
      <c r="D3403" s="64">
        <f>IFERROR(VLOOKUP(C3403,測定点マスタ!$E$2:$F$28,2,FALSE)/VLOOKUP(A3403,'焼鈍条件-3CGL'!$A$2:$B$197,2,FALSE)*60,"")</f>
        <v>39.105028106738956</v>
      </c>
      <c r="E3403" s="66">
        <v>419.5</v>
      </c>
      <c r="F3403" s="64">
        <f t="shared" si="53"/>
        <v>-14.080761428571405</v>
      </c>
      <c r="G3403" s="60" t="s">
        <v>12</v>
      </c>
      <c r="H3403" s="60" t="s">
        <v>5042</v>
      </c>
    </row>
    <row r="3404" spans="1:8">
      <c r="A3404" s="60" t="s">
        <v>4033</v>
      </c>
      <c r="B3404" s="62">
        <v>9</v>
      </c>
      <c r="C3404" s="60" t="s">
        <v>5052</v>
      </c>
      <c r="D3404" s="64">
        <f>IFERROR(VLOOKUP(C3404,測定点マスタ!$E$2:$F$28,2,FALSE)/VLOOKUP(A3404,'焼鈍条件-3CGL'!$A$2:$B$197,2,FALSE)*60,"")</f>
        <v>43.104405981291798</v>
      </c>
      <c r="E3404" s="66">
        <v>315.7</v>
      </c>
      <c r="F3404" s="64">
        <f t="shared" si="53"/>
        <v>-25.954036666666706</v>
      </c>
      <c r="G3404" s="60" t="s">
        <v>12</v>
      </c>
      <c r="H3404" s="60" t="s">
        <v>5042</v>
      </c>
    </row>
    <row r="3405" spans="1:8">
      <c r="A3405" s="60" t="s">
        <v>4033</v>
      </c>
      <c r="B3405" s="62">
        <v>10</v>
      </c>
      <c r="C3405" s="60" t="s">
        <v>5053</v>
      </c>
      <c r="D3405" s="64">
        <f>IFERROR(VLOOKUP(C3405,測定点マスタ!$E$2:$F$28,2,FALSE)/VLOOKUP(A3405,'焼鈍条件-3CGL'!$A$2:$B$197,2,FALSE)*60,"")</f>
        <v>48.436909814028937</v>
      </c>
      <c r="E3405" s="66">
        <v>508.5</v>
      </c>
      <c r="F3405" s="64">
        <f t="shared" si="53"/>
        <v>36.155623333333274</v>
      </c>
      <c r="G3405" s="60" t="s">
        <v>12</v>
      </c>
      <c r="H3405" s="60" t="s">
        <v>5042</v>
      </c>
    </row>
    <row r="3406" spans="1:8">
      <c r="A3406" s="60" t="s">
        <v>4033</v>
      </c>
      <c r="B3406" s="62">
        <v>11</v>
      </c>
      <c r="C3406" s="60" t="s">
        <v>5063</v>
      </c>
      <c r="D3406" s="64">
        <f>IFERROR(VLOOKUP(C3406,測定点マスタ!$E$2:$F$28,2,FALSE)/VLOOKUP(A3406,'焼鈍条件-3CGL'!$A$2:$B$197,2,FALSE)*60,"")</f>
        <v>51.103161730397503</v>
      </c>
      <c r="E3406" s="66">
        <v>510.4</v>
      </c>
      <c r="F3406" s="64">
        <f t="shared" si="53"/>
        <v>0.71261083333332453</v>
      </c>
      <c r="G3406" s="60" t="s">
        <v>12</v>
      </c>
      <c r="H3406" s="60" t="s">
        <v>5042</v>
      </c>
    </row>
    <row r="3407" spans="1:8">
      <c r="A3407" s="60" t="s">
        <v>4033</v>
      </c>
      <c r="B3407" s="62">
        <v>12</v>
      </c>
      <c r="C3407" s="60" t="s">
        <v>5054</v>
      </c>
      <c r="D3407" s="64">
        <f>IFERROR(VLOOKUP(C3407,測定点マスタ!$E$2:$F$28,2,FALSE)/VLOOKUP(A3407,'焼鈍条件-3CGL'!$A$2:$B$197,2,FALSE)*60,"")</f>
        <v>54.213788966160827</v>
      </c>
      <c r="E3407" s="66">
        <v>502.6</v>
      </c>
      <c r="F3407" s="64">
        <f t="shared" si="53"/>
        <v>-2.5075328571428437</v>
      </c>
      <c r="G3407" s="60" t="s">
        <v>12</v>
      </c>
      <c r="H3407" s="60" t="s">
        <v>5042</v>
      </c>
    </row>
    <row r="3408" spans="1:8">
      <c r="A3408" s="60" t="s">
        <v>4033</v>
      </c>
      <c r="B3408" s="62">
        <v>13</v>
      </c>
      <c r="C3408" s="60" t="s">
        <v>5055</v>
      </c>
      <c r="D3408" s="64">
        <f>IFERROR(VLOOKUP(C3408,測定点マスタ!$E$2:$F$28,2,FALSE)/VLOOKUP(A3408,'焼鈍条件-3CGL'!$A$2:$B$197,2,FALSE)*60,"")</f>
        <v>56.435665563134634</v>
      </c>
      <c r="E3408" s="66">
        <v>515.79999999999995</v>
      </c>
      <c r="F3408" s="64">
        <f t="shared" si="53"/>
        <v>5.9409239999999608</v>
      </c>
      <c r="G3408" s="60" t="s">
        <v>12</v>
      </c>
      <c r="H3408" s="60" t="s">
        <v>5042</v>
      </c>
    </row>
    <row r="3409" spans="1:8">
      <c r="A3409" s="60" t="s">
        <v>4033</v>
      </c>
      <c r="B3409" s="62">
        <v>14</v>
      </c>
      <c r="C3409" s="60" t="s">
        <v>5056</v>
      </c>
      <c r="D3409" s="64">
        <f>IFERROR(VLOOKUP(C3409,測定点マスタ!$E$2:$F$28,2,FALSE)/VLOOKUP(A3409,'焼鈍条件-3CGL'!$A$2:$B$197,2,FALSE)*60,"")</f>
        <v>59.1019174795032</v>
      </c>
      <c r="E3409" s="66">
        <v>252.7</v>
      </c>
      <c r="F3409" s="64">
        <f t="shared" si="53"/>
        <v>-98.677847499999956</v>
      </c>
      <c r="G3409" s="60" t="s">
        <v>12</v>
      </c>
      <c r="H3409" s="60" t="s">
        <v>5042</v>
      </c>
    </row>
    <row r="3410" spans="1:8">
      <c r="A3410" s="60" t="s">
        <v>4033</v>
      </c>
      <c r="B3410" s="62">
        <v>15</v>
      </c>
      <c r="C3410" s="60" t="s">
        <v>5068</v>
      </c>
      <c r="D3410" s="64">
        <f>IFERROR(VLOOKUP(C3410,測定点マスタ!$E$2:$F$28,2,FALSE)/VLOOKUP(A3410,'焼鈍条件-3CGL'!$A$2:$B$197,2,FALSE)*60,"")</f>
        <v>70.592193595282083</v>
      </c>
      <c r="E3410" s="66">
        <v>351.2</v>
      </c>
      <c r="F3410" s="64">
        <f t="shared" si="53"/>
        <v>8.5724658839778503</v>
      </c>
      <c r="G3410" s="60" t="s">
        <v>12</v>
      </c>
      <c r="H3410" s="60" t="s">
        <v>5042</v>
      </c>
    </row>
    <row r="3411" spans="1:8">
      <c r="A3411" s="60" t="s">
        <v>4033</v>
      </c>
      <c r="B3411" s="62">
        <v>16</v>
      </c>
      <c r="C3411" s="60" t="s">
        <v>5057</v>
      </c>
      <c r="D3411" s="64">
        <f>IFERROR(VLOOKUP(C3411,測定点マスタ!$E$2:$F$28,2,FALSE)/VLOOKUP(A3411,'焼鈍条件-3CGL'!$A$2:$B$197,2,FALSE)*60,"")</f>
        <v>73.27431605877176</v>
      </c>
      <c r="E3411" s="66">
        <v>233.2</v>
      </c>
      <c r="F3411" s="64">
        <f t="shared" si="53"/>
        <v>-43.995008284025801</v>
      </c>
      <c r="G3411" s="60" t="s">
        <v>12</v>
      </c>
      <c r="H3411" s="60" t="s">
        <v>5042</v>
      </c>
    </row>
    <row r="3412" spans="1:8">
      <c r="A3412" s="60" t="s">
        <v>4033</v>
      </c>
      <c r="B3412" s="62">
        <v>17</v>
      </c>
      <c r="C3412" s="60" t="s">
        <v>5058</v>
      </c>
      <c r="D3412" s="64">
        <f>IFERROR(VLOOKUP(C3412,測定点マスタ!$E$2:$F$28,2,FALSE)/VLOOKUP(A3412,'焼鈍条件-3CGL'!$A$2:$B$197,2,FALSE)*60,"")</f>
        <v>75.956438522261422</v>
      </c>
      <c r="E3412" s="66">
        <v>97.8</v>
      </c>
      <c r="F3412" s="64">
        <f t="shared" si="53"/>
        <v>-50.482407810653591</v>
      </c>
      <c r="G3412" s="60" t="s">
        <v>12</v>
      </c>
      <c r="H3412" s="60" t="s">
        <v>5042</v>
      </c>
    </row>
    <row r="3413" spans="1:8">
      <c r="A3413" s="60" t="s">
        <v>4033</v>
      </c>
      <c r="B3413" s="62">
        <v>18</v>
      </c>
      <c r="C3413" s="60" t="s">
        <v>5059</v>
      </c>
      <c r="D3413" s="64">
        <f>IFERROR(VLOOKUP(C3413,測定点マスタ!$E$2:$F$28,2,FALSE)/VLOOKUP(A3413,'焼鈍条件-3CGL'!$A$2:$B$197,2,FALSE)*60,"")</f>
        <v>78.638560985751553</v>
      </c>
      <c r="E3413" s="66">
        <v>69.8</v>
      </c>
      <c r="F3413" s="64">
        <f t="shared" si="53"/>
        <v>-10.439493491122995</v>
      </c>
      <c r="G3413" s="60" t="s">
        <v>12</v>
      </c>
      <c r="H3413" s="60" t="s">
        <v>5042</v>
      </c>
    </row>
    <row r="3414" spans="1:8">
      <c r="A3414" s="60" t="s">
        <v>4037</v>
      </c>
      <c r="B3414" s="62">
        <v>1</v>
      </c>
      <c r="C3414" s="60" t="s">
        <v>5041</v>
      </c>
      <c r="D3414" s="64">
        <f>IFERROR(VLOOKUP(C3414,測定点マスタ!$E$2:$F$28,2,FALSE)/VLOOKUP(A3414,'焼鈍条件-3CGL'!$A$2:$B$197,2,FALSE)*60,"")</f>
        <v>0</v>
      </c>
      <c r="E3414" s="66">
        <v>31.2</v>
      </c>
      <c r="F3414" s="64" t="str">
        <f t="shared" si="53"/>
        <v/>
      </c>
      <c r="G3414" s="60" t="s">
        <v>9</v>
      </c>
      <c r="H3414" s="60" t="s">
        <v>5061</v>
      </c>
    </row>
    <row r="3415" spans="1:8">
      <c r="A3415" s="60" t="s">
        <v>4037</v>
      </c>
      <c r="B3415" s="62">
        <v>2</v>
      </c>
      <c r="C3415" s="60" t="s">
        <v>5043</v>
      </c>
      <c r="D3415" s="64">
        <f>IFERROR(VLOOKUP(C3415,測定点マスタ!$E$2:$F$28,2,FALSE)/VLOOKUP(A3415,'焼鈍条件-3CGL'!$A$2:$B$197,2,FALSE)*60,"")</f>
        <v>7.1577406989136145</v>
      </c>
      <c r="E3415" s="66">
        <v>184.2</v>
      </c>
      <c r="F3415" s="64">
        <f t="shared" si="53"/>
        <v>21.375459999999997</v>
      </c>
      <c r="G3415" s="60" t="s">
        <v>9</v>
      </c>
      <c r="H3415" s="60" t="s">
        <v>5061</v>
      </c>
    </row>
    <row r="3416" spans="1:8">
      <c r="A3416" s="60" t="s">
        <v>4037</v>
      </c>
      <c r="B3416" s="62">
        <v>3</v>
      </c>
      <c r="C3416" s="60" t="s">
        <v>5044</v>
      </c>
      <c r="D3416" s="64">
        <f>IFERROR(VLOOKUP(C3416,測定点マスタ!$E$2:$F$28,2,FALSE)/VLOOKUP(A3416,'焼鈍条件-3CGL'!$A$2:$B$197,2,FALSE)*60,"")</f>
        <v>16.224212250870856</v>
      </c>
      <c r="E3416" s="66">
        <v>671</v>
      </c>
      <c r="F3416" s="64">
        <f t="shared" si="53"/>
        <v>53.692331929824576</v>
      </c>
      <c r="G3416" s="60" t="s">
        <v>9</v>
      </c>
      <c r="H3416" s="60" t="s">
        <v>5061</v>
      </c>
    </row>
    <row r="3417" spans="1:8">
      <c r="A3417" s="60" t="s">
        <v>4037</v>
      </c>
      <c r="B3417" s="62">
        <v>4</v>
      </c>
      <c r="C3417" s="60" t="s">
        <v>5045</v>
      </c>
      <c r="D3417" s="64">
        <f>IFERROR(VLOOKUP(C3417,測定点マスタ!$E$2:$F$28,2,FALSE)/VLOOKUP(A3417,'焼鈍条件-3CGL'!$A$2:$B$197,2,FALSE)*60,"")</f>
        <v>20.996039383479932</v>
      </c>
      <c r="E3417" s="66">
        <v>820.6</v>
      </c>
      <c r="F3417" s="64">
        <f t="shared" si="53"/>
        <v>31.350674666666674</v>
      </c>
      <c r="G3417" s="60" t="s">
        <v>9</v>
      </c>
      <c r="H3417" s="60" t="s">
        <v>5061</v>
      </c>
    </row>
    <row r="3418" spans="1:8">
      <c r="A3418" s="60" t="s">
        <v>4037</v>
      </c>
      <c r="B3418" s="62">
        <v>5</v>
      </c>
      <c r="C3418" s="60" t="s">
        <v>5046</v>
      </c>
      <c r="D3418" s="64">
        <f>IFERROR(VLOOKUP(C3418,測定点マスタ!$E$2:$F$28,2,FALSE)/VLOOKUP(A3418,'焼鈍条件-3CGL'!$A$2:$B$197,2,FALSE)*60,"")</f>
        <v>25.767866516089011</v>
      </c>
      <c r="E3418" s="66">
        <v>771.8</v>
      </c>
      <c r="F3418" s="64">
        <f t="shared" si="53"/>
        <v>-10.226690666666673</v>
      </c>
      <c r="G3418" s="60" t="s">
        <v>9</v>
      </c>
      <c r="H3418" s="60" t="s">
        <v>5061</v>
      </c>
    </row>
    <row r="3419" spans="1:8">
      <c r="A3419" s="60" t="s">
        <v>4037</v>
      </c>
      <c r="B3419" s="62">
        <v>6</v>
      </c>
      <c r="C3419" s="60" t="s">
        <v>5047</v>
      </c>
      <c r="D3419" s="64">
        <f>IFERROR(VLOOKUP(C3419,測定点マスタ!$E$2:$F$28,2,FALSE)/VLOOKUP(A3419,'焼鈍条件-3CGL'!$A$2:$B$197,2,FALSE)*60,"")</f>
        <v>28.630962795654458</v>
      </c>
      <c r="E3419" s="66">
        <v>738.7</v>
      </c>
      <c r="F3419" s="64">
        <f t="shared" si="53"/>
        <v>-11.560910555555518</v>
      </c>
      <c r="G3419" s="60" t="s">
        <v>9</v>
      </c>
      <c r="H3419" s="60" t="s">
        <v>5061</v>
      </c>
    </row>
    <row r="3420" spans="1:8">
      <c r="A3420" s="60" t="s">
        <v>4037</v>
      </c>
      <c r="B3420" s="62">
        <v>7</v>
      </c>
      <c r="C3420" s="60" t="s">
        <v>5049</v>
      </c>
      <c r="D3420" s="64">
        <f>IFERROR(VLOOKUP(C3420,測定点マスタ!$E$2:$F$28,2,FALSE)/VLOOKUP(A3420,'焼鈍条件-3CGL'!$A$2:$B$197,2,FALSE)*60,"")</f>
        <v>34.834338068046257</v>
      </c>
      <c r="E3420" s="66">
        <v>620.70000000000005</v>
      </c>
      <c r="F3420" s="64">
        <f t="shared" si="53"/>
        <v>-19.021902564102565</v>
      </c>
      <c r="G3420" s="60" t="s">
        <v>9</v>
      </c>
      <c r="H3420" s="60" t="s">
        <v>5061</v>
      </c>
    </row>
    <row r="3421" spans="1:8">
      <c r="A3421" s="60" t="s">
        <v>4037</v>
      </c>
      <c r="B3421" s="62">
        <v>8</v>
      </c>
      <c r="C3421" s="60" t="s">
        <v>5050</v>
      </c>
      <c r="D3421" s="64">
        <f>IFERROR(VLOOKUP(C3421,測定点マスタ!$E$2:$F$28,2,FALSE)/VLOOKUP(A3421,'焼鈍条件-3CGL'!$A$2:$B$197,2,FALSE)*60,"")</f>
        <v>38.651799774133515</v>
      </c>
      <c r="E3421" s="66">
        <v>500</v>
      </c>
      <c r="F3421" s="64">
        <f t="shared" si="53"/>
        <v>-31.617867916666704</v>
      </c>
      <c r="G3421" s="60" t="s">
        <v>9</v>
      </c>
      <c r="H3421" s="60" t="s">
        <v>5061</v>
      </c>
    </row>
    <row r="3422" spans="1:8">
      <c r="A3422" s="60" t="s">
        <v>4037</v>
      </c>
      <c r="B3422" s="62">
        <v>9</v>
      </c>
      <c r="C3422" s="60" t="s">
        <v>5051</v>
      </c>
      <c r="D3422" s="64">
        <f>IFERROR(VLOOKUP(C3422,測定点マスタ!$E$2:$F$28,2,FALSE)/VLOOKUP(A3422,'焼鈍条件-3CGL'!$A$2:$B$197,2,FALSE)*60,"")</f>
        <v>41.992078766959864</v>
      </c>
      <c r="E3422" s="66">
        <v>446.3</v>
      </c>
      <c r="F3422" s="64">
        <f t="shared" si="53"/>
        <v>-16.076501428571447</v>
      </c>
      <c r="G3422" s="60" t="s">
        <v>9</v>
      </c>
      <c r="H3422" s="60" t="s">
        <v>5061</v>
      </c>
    </row>
    <row r="3423" spans="1:8">
      <c r="A3423" s="60" t="s">
        <v>4037</v>
      </c>
      <c r="B3423" s="62">
        <v>10</v>
      </c>
      <c r="C3423" s="60" t="s">
        <v>5060</v>
      </c>
      <c r="D3423" s="64">
        <f>IFERROR(VLOOKUP(C3423,測定点マスタ!$E$2:$F$28,2,FALSE)/VLOOKUP(A3423,'焼鈍条件-3CGL'!$A$2:$B$197,2,FALSE)*60,"")</f>
        <v>43.9008096200035</v>
      </c>
      <c r="E3423" s="66">
        <v>418</v>
      </c>
      <c r="F3423" s="64">
        <f t="shared" si="53"/>
        <v>-14.826605833333296</v>
      </c>
      <c r="G3423" s="60" t="s">
        <v>9</v>
      </c>
      <c r="H3423" s="60" t="s">
        <v>5061</v>
      </c>
    </row>
    <row r="3424" spans="1:8">
      <c r="A3424" s="60" t="s">
        <v>4037</v>
      </c>
      <c r="B3424" s="62">
        <v>11</v>
      </c>
      <c r="C3424" s="60" t="s">
        <v>5052</v>
      </c>
      <c r="D3424" s="64">
        <f>IFERROR(VLOOKUP(C3424,測定点マスタ!$E$2:$F$28,2,FALSE)/VLOOKUP(A3424,'焼鈍条件-3CGL'!$A$2:$B$197,2,FALSE)*60,"")</f>
        <v>46.286723186308038</v>
      </c>
      <c r="E3424" s="66">
        <v>333.9</v>
      </c>
      <c r="F3424" s="64">
        <f t="shared" si="53"/>
        <v>-35.248552666666676</v>
      </c>
      <c r="G3424" s="60" t="s">
        <v>9</v>
      </c>
      <c r="H3424" s="60" t="s">
        <v>5061</v>
      </c>
    </row>
    <row r="3425" spans="1:8">
      <c r="A3425" s="60" t="s">
        <v>4037</v>
      </c>
      <c r="B3425" s="62">
        <v>12</v>
      </c>
      <c r="C3425" s="60" t="s">
        <v>5053</v>
      </c>
      <c r="D3425" s="64">
        <f>IFERROR(VLOOKUP(C3425,測定点マスタ!$E$2:$F$28,2,FALSE)/VLOOKUP(A3425,'焼鈍条件-3CGL'!$A$2:$B$197,2,FALSE)*60,"")</f>
        <v>52.012915745438924</v>
      </c>
      <c r="E3425" s="66">
        <v>521.9</v>
      </c>
      <c r="F3425" s="64">
        <f t="shared" si="53"/>
        <v>32.831588888888916</v>
      </c>
      <c r="G3425" s="60" t="s">
        <v>9</v>
      </c>
      <c r="H3425" s="60" t="s">
        <v>5061</v>
      </c>
    </row>
    <row r="3426" spans="1:8">
      <c r="A3426" s="60" t="s">
        <v>4037</v>
      </c>
      <c r="B3426" s="62">
        <v>13</v>
      </c>
      <c r="C3426" s="60" t="s">
        <v>5063</v>
      </c>
      <c r="D3426" s="64">
        <f>IFERROR(VLOOKUP(C3426,測定点マスタ!$E$2:$F$28,2,FALSE)/VLOOKUP(A3426,'焼鈍条件-3CGL'!$A$2:$B$197,2,FALSE)*60,"")</f>
        <v>54.876012025004378</v>
      </c>
      <c r="E3426" s="66">
        <v>518.4</v>
      </c>
      <c r="F3426" s="64">
        <f t="shared" si="53"/>
        <v>-1.2224527777777743</v>
      </c>
      <c r="G3426" s="60" t="s">
        <v>9</v>
      </c>
      <c r="H3426" s="60" t="s">
        <v>5061</v>
      </c>
    </row>
    <row r="3427" spans="1:8">
      <c r="A3427" s="60" t="s">
        <v>4037</v>
      </c>
      <c r="B3427" s="62">
        <v>14</v>
      </c>
      <c r="C3427" s="60" t="s">
        <v>5054</v>
      </c>
      <c r="D3427" s="64">
        <f>IFERROR(VLOOKUP(C3427,測定点マスタ!$E$2:$F$28,2,FALSE)/VLOOKUP(A3427,'焼鈍条件-3CGL'!$A$2:$B$197,2,FALSE)*60,"")</f>
        <v>58.216291017830727</v>
      </c>
      <c r="E3427" s="66">
        <v>497.7</v>
      </c>
      <c r="F3427" s="64">
        <f t="shared" si="53"/>
        <v>-6.1970871428571481</v>
      </c>
      <c r="G3427" s="60" t="s">
        <v>9</v>
      </c>
      <c r="H3427" s="60" t="s">
        <v>5061</v>
      </c>
    </row>
    <row r="3428" spans="1:8">
      <c r="A3428" s="60" t="s">
        <v>4037</v>
      </c>
      <c r="B3428" s="62">
        <v>15</v>
      </c>
      <c r="C3428" s="60" t="s">
        <v>5056</v>
      </c>
      <c r="D3428" s="64">
        <f>IFERROR(VLOOKUP(C3428,測定点マスタ!$E$2:$F$28,2,FALSE)/VLOOKUP(A3428,'焼鈍条件-3CGL'!$A$2:$B$197,2,FALSE)*60,"")</f>
        <v>63.465300863700712</v>
      </c>
      <c r="E3428" s="66">
        <v>265.60000000000002</v>
      </c>
      <c r="F3428" s="64">
        <f t="shared" si="53"/>
        <v>-44.21786333333332</v>
      </c>
      <c r="G3428" s="60" t="s">
        <v>9</v>
      </c>
      <c r="H3428" s="60" t="s">
        <v>5061</v>
      </c>
    </row>
    <row r="3429" spans="1:8">
      <c r="A3429" s="60" t="s">
        <v>4037</v>
      </c>
      <c r="B3429" s="62">
        <v>16</v>
      </c>
      <c r="C3429" s="60" t="s">
        <v>5062</v>
      </c>
      <c r="D3429" s="64">
        <f>IFERROR(VLOOKUP(C3429,測定点マスタ!$E$2:$F$28,2,FALSE)/VLOOKUP(A3429,'焼鈍条件-3CGL'!$A$2:$B$197,2,FALSE)*60,"")</f>
        <v>69.191493422831599</v>
      </c>
      <c r="E3429" s="66">
        <v>465.5</v>
      </c>
      <c r="F3429" s="64">
        <f t="shared" si="53"/>
        <v>34.909758611111137</v>
      </c>
      <c r="G3429" s="60" t="s">
        <v>9</v>
      </c>
      <c r="H3429" s="60" t="s">
        <v>5061</v>
      </c>
    </row>
    <row r="3430" spans="1:8">
      <c r="A3430" s="60" t="s">
        <v>4037</v>
      </c>
      <c r="B3430" s="62">
        <v>17</v>
      </c>
      <c r="C3430" s="60" t="s">
        <v>5057</v>
      </c>
      <c r="D3430" s="64">
        <f>IFERROR(VLOOKUP(C3430,測定点マスタ!$E$2:$F$28,2,FALSE)/VLOOKUP(A3430,'焼鈍条件-3CGL'!$A$2:$B$197,2,FALSE)*60,"")</f>
        <v>78.684020968771733</v>
      </c>
      <c r="E3430" s="66">
        <v>264.10000000000002</v>
      </c>
      <c r="F3430" s="64">
        <f t="shared" si="53"/>
        <v>-21.216688497905583</v>
      </c>
      <c r="G3430" s="60" t="s">
        <v>9</v>
      </c>
      <c r="H3430" s="60" t="s">
        <v>5061</v>
      </c>
    </row>
    <row r="3431" spans="1:8">
      <c r="A3431" s="60" t="s">
        <v>4037</v>
      </c>
      <c r="B3431" s="62">
        <v>18</v>
      </c>
      <c r="C3431" s="60" t="s">
        <v>5058</v>
      </c>
      <c r="D3431" s="64">
        <f>IFERROR(VLOOKUP(C3431,測定点マスタ!$E$2:$F$28,2,FALSE)/VLOOKUP(A3431,'焼鈍条件-3CGL'!$A$2:$B$197,2,FALSE)*60,"")</f>
        <v>81.564159488096351</v>
      </c>
      <c r="E3431" s="66">
        <v>90.4</v>
      </c>
      <c r="F3431" s="64">
        <f t="shared" si="53"/>
        <v>-60.309599289943897</v>
      </c>
      <c r="G3431" s="60" t="s">
        <v>9</v>
      </c>
      <c r="H3431" s="60" t="s">
        <v>5061</v>
      </c>
    </row>
    <row r="3432" spans="1:8">
      <c r="A3432" s="60" t="s">
        <v>4037</v>
      </c>
      <c r="B3432" s="62">
        <v>19</v>
      </c>
      <c r="C3432" s="60" t="s">
        <v>5059</v>
      </c>
      <c r="D3432" s="64">
        <f>IFERROR(VLOOKUP(C3432,測定点マスタ!$E$2:$F$28,2,FALSE)/VLOOKUP(A3432,'焼鈍条件-3CGL'!$A$2:$B$197,2,FALSE)*60,"")</f>
        <v>84.444298007421466</v>
      </c>
      <c r="E3432" s="66">
        <v>55.3</v>
      </c>
      <c r="F3432" s="64">
        <f t="shared" si="53"/>
        <v>-12.186913846152363</v>
      </c>
      <c r="G3432" s="60" t="s">
        <v>9</v>
      </c>
      <c r="H3432" s="60" t="s">
        <v>5061</v>
      </c>
    </row>
    <row r="3433" spans="1:8">
      <c r="A3433" s="60" t="s">
        <v>4043</v>
      </c>
      <c r="B3433" s="62">
        <v>1</v>
      </c>
      <c r="C3433" s="60" t="s">
        <v>5041</v>
      </c>
      <c r="D3433" s="64">
        <f>IFERROR(VLOOKUP(C3433,測定点マスタ!$E$2:$F$28,2,FALSE)/VLOOKUP(A3433,'焼鈍条件-3CGL'!$A$2:$B$197,2,FALSE)*60,"")</f>
        <v>0</v>
      </c>
      <c r="E3433" s="66">
        <v>34.6</v>
      </c>
      <c r="F3433" s="64" t="str">
        <f t="shared" si="53"/>
        <v/>
      </c>
      <c r="G3433" s="60" t="s">
        <v>12</v>
      </c>
      <c r="H3433" s="60" t="s">
        <v>5064</v>
      </c>
    </row>
    <row r="3434" spans="1:8">
      <c r="A3434" s="60" t="s">
        <v>4043</v>
      </c>
      <c r="B3434" s="62">
        <v>2</v>
      </c>
      <c r="C3434" s="60" t="s">
        <v>5043</v>
      </c>
      <c r="D3434" s="64">
        <f>IFERROR(VLOOKUP(C3434,測定点マスタ!$E$2:$F$28,2,FALSE)/VLOOKUP(A3434,'焼鈍条件-3CGL'!$A$2:$B$197,2,FALSE)*60,"")</f>
        <v>8.8148010303522994</v>
      </c>
      <c r="E3434" s="66">
        <v>189.5</v>
      </c>
      <c r="F3434" s="64">
        <f t="shared" si="53"/>
        <v>17.572716555555555</v>
      </c>
      <c r="G3434" s="60" t="s">
        <v>12</v>
      </c>
      <c r="H3434" s="60" t="s">
        <v>5064</v>
      </c>
    </row>
    <row r="3435" spans="1:8">
      <c r="A3435" s="60" t="s">
        <v>4043</v>
      </c>
      <c r="B3435" s="62">
        <v>3</v>
      </c>
      <c r="C3435" s="60" t="s">
        <v>5067</v>
      </c>
      <c r="D3435" s="64">
        <f>IFERROR(VLOOKUP(C3435,測定点マスタ!$E$2:$F$28,2,FALSE)/VLOOKUP(A3435,'焼鈍条件-3CGL'!$A$2:$B$197,2,FALSE)*60,"")</f>
        <v>14.691335050587163</v>
      </c>
      <c r="E3435" s="66">
        <v>394.1</v>
      </c>
      <c r="F3435" s="64">
        <f t="shared" si="53"/>
        <v>34.816441000000012</v>
      </c>
      <c r="G3435" s="60" t="s">
        <v>12</v>
      </c>
      <c r="H3435" s="60" t="s">
        <v>5064</v>
      </c>
    </row>
    <row r="3436" spans="1:8">
      <c r="A3436" s="60" t="s">
        <v>4043</v>
      </c>
      <c r="B3436" s="62">
        <v>4</v>
      </c>
      <c r="C3436" s="60" t="s">
        <v>5044</v>
      </c>
      <c r="D3436" s="64">
        <f>IFERROR(VLOOKUP(C3436,測定点マスタ!$E$2:$F$28,2,FALSE)/VLOOKUP(A3436,'焼鈍条件-3CGL'!$A$2:$B$197,2,FALSE)*60,"")</f>
        <v>19.980215668798543</v>
      </c>
      <c r="E3436" s="66">
        <v>661.4</v>
      </c>
      <c r="F3436" s="64">
        <f t="shared" si="53"/>
        <v>50.539994999999983</v>
      </c>
      <c r="G3436" s="60" t="s">
        <v>12</v>
      </c>
      <c r="H3436" s="60" t="s">
        <v>5064</v>
      </c>
    </row>
    <row r="3437" spans="1:8">
      <c r="A3437" s="60" t="s">
        <v>4043</v>
      </c>
      <c r="B3437" s="62">
        <v>5</v>
      </c>
      <c r="C3437" s="60" t="s">
        <v>5045</v>
      </c>
      <c r="D3437" s="64">
        <f>IFERROR(VLOOKUP(C3437,測定点マスタ!$E$2:$F$28,2,FALSE)/VLOOKUP(A3437,'焼鈍条件-3CGL'!$A$2:$B$197,2,FALSE)*60,"")</f>
        <v>25.856749689033411</v>
      </c>
      <c r="E3437" s="66">
        <v>826.8</v>
      </c>
      <c r="F3437" s="64">
        <f t="shared" si="53"/>
        <v>28.14584233333332</v>
      </c>
      <c r="G3437" s="60" t="s">
        <v>12</v>
      </c>
      <c r="H3437" s="60" t="s">
        <v>5064</v>
      </c>
    </row>
    <row r="3438" spans="1:8">
      <c r="A3438" s="60" t="s">
        <v>4043</v>
      </c>
      <c r="B3438" s="62">
        <v>6</v>
      </c>
      <c r="C3438" s="60" t="s">
        <v>5047</v>
      </c>
      <c r="D3438" s="64">
        <f>IFERROR(VLOOKUP(C3438,測定点マスタ!$E$2:$F$28,2,FALSE)/VLOOKUP(A3438,'焼鈍条件-3CGL'!$A$2:$B$197,2,FALSE)*60,"")</f>
        <v>35.259204121409198</v>
      </c>
      <c r="E3438" s="66">
        <v>765.3</v>
      </c>
      <c r="F3438" s="64">
        <f t="shared" si="53"/>
        <v>-6.5408453124999983</v>
      </c>
      <c r="G3438" s="60" t="s">
        <v>12</v>
      </c>
      <c r="H3438" s="60" t="s">
        <v>5064</v>
      </c>
    </row>
    <row r="3439" spans="1:8">
      <c r="A3439" s="60" t="s">
        <v>4043</v>
      </c>
      <c r="B3439" s="62">
        <v>7</v>
      </c>
      <c r="C3439" s="60" t="s">
        <v>5048</v>
      </c>
      <c r="D3439" s="64">
        <f>IFERROR(VLOOKUP(C3439,測定点マスタ!$E$2:$F$28,2,FALSE)/VLOOKUP(A3439,'焼鈍条件-3CGL'!$A$2:$B$197,2,FALSE)*60,"")</f>
        <v>38.78512453355011</v>
      </c>
      <c r="E3439" s="66">
        <v>737.3</v>
      </c>
      <c r="F3439" s="64">
        <f t="shared" si="53"/>
        <v>-7.9411888888889042</v>
      </c>
      <c r="G3439" s="60" t="s">
        <v>12</v>
      </c>
      <c r="H3439" s="60" t="s">
        <v>5064</v>
      </c>
    </row>
    <row r="3440" spans="1:8">
      <c r="A3440" s="60" t="s">
        <v>4043</v>
      </c>
      <c r="B3440" s="62">
        <v>8</v>
      </c>
      <c r="C3440" s="60" t="s">
        <v>5049</v>
      </c>
      <c r="D3440" s="64">
        <f>IFERROR(VLOOKUP(C3440,測定点マスタ!$E$2:$F$28,2,FALSE)/VLOOKUP(A3440,'焼鈍条件-3CGL'!$A$2:$B$197,2,FALSE)*60,"")</f>
        <v>42.898698347714522</v>
      </c>
      <c r="E3440" s="66">
        <v>616</v>
      </c>
      <c r="F3440" s="64">
        <f t="shared" si="53"/>
        <v>-29.487741190476143</v>
      </c>
      <c r="G3440" s="60" t="s">
        <v>12</v>
      </c>
      <c r="H3440" s="60" t="s">
        <v>5064</v>
      </c>
    </row>
    <row r="3441" spans="1:8">
      <c r="A3441" s="60" t="s">
        <v>4043</v>
      </c>
      <c r="B3441" s="62">
        <v>9</v>
      </c>
      <c r="C3441" s="60" t="s">
        <v>5050</v>
      </c>
      <c r="D3441" s="64">
        <f>IFERROR(VLOOKUP(C3441,測定点マスタ!$E$2:$F$28,2,FALSE)/VLOOKUP(A3441,'焼鈍条件-3CGL'!$A$2:$B$197,2,FALSE)*60,"")</f>
        <v>47.59992556390241</v>
      </c>
      <c r="E3441" s="66">
        <v>516.1</v>
      </c>
      <c r="F3441" s="64">
        <f t="shared" si="53"/>
        <v>-21.249770625000014</v>
      </c>
      <c r="G3441" s="60" t="s">
        <v>12</v>
      </c>
      <c r="H3441" s="60" t="s">
        <v>5064</v>
      </c>
    </row>
    <row r="3442" spans="1:8">
      <c r="A3442" s="60" t="s">
        <v>4043</v>
      </c>
      <c r="B3442" s="62">
        <v>10</v>
      </c>
      <c r="C3442" s="60" t="s">
        <v>5051</v>
      </c>
      <c r="D3442" s="64">
        <f>IFERROR(VLOOKUP(C3442,測定点マスタ!$E$2:$F$28,2,FALSE)/VLOOKUP(A3442,'焼鈍条件-3CGL'!$A$2:$B$197,2,FALSE)*60,"")</f>
        <v>51.713499378066821</v>
      </c>
      <c r="E3442" s="66">
        <v>451.1</v>
      </c>
      <c r="F3442" s="64">
        <f t="shared" si="53"/>
        <v>-15.801345238095218</v>
      </c>
      <c r="G3442" s="60" t="s">
        <v>12</v>
      </c>
      <c r="H3442" s="60" t="s">
        <v>5064</v>
      </c>
    </row>
    <row r="3443" spans="1:8">
      <c r="A3443" s="60" t="s">
        <v>4043</v>
      </c>
      <c r="B3443" s="62">
        <v>11</v>
      </c>
      <c r="C3443" s="60" t="s">
        <v>5052</v>
      </c>
      <c r="D3443" s="64">
        <f>IFERROR(VLOOKUP(C3443,測定点マスタ!$E$2:$F$28,2,FALSE)/VLOOKUP(A3443,'焼鈍条件-3CGL'!$A$2:$B$197,2,FALSE)*60,"")</f>
        <v>57.002379996278194</v>
      </c>
      <c r="E3443" s="66">
        <v>342.4</v>
      </c>
      <c r="F3443" s="64">
        <f t="shared" si="53"/>
        <v>-20.552553148148181</v>
      </c>
      <c r="G3443" s="60" t="s">
        <v>12</v>
      </c>
      <c r="H3443" s="60" t="s">
        <v>5064</v>
      </c>
    </row>
    <row r="3444" spans="1:8">
      <c r="A3444" s="60" t="s">
        <v>4043</v>
      </c>
      <c r="B3444" s="62">
        <v>12</v>
      </c>
      <c r="C3444" s="60" t="s">
        <v>5053</v>
      </c>
      <c r="D3444" s="64">
        <f>IFERROR(VLOOKUP(C3444,測定点マスタ!$E$2:$F$28,2,FALSE)/VLOOKUP(A3444,'焼鈍条件-3CGL'!$A$2:$B$197,2,FALSE)*60,"")</f>
        <v>64.054220820560033</v>
      </c>
      <c r="E3444" s="66">
        <v>523.9</v>
      </c>
      <c r="F3444" s="64">
        <f t="shared" si="53"/>
        <v>25.737960416666663</v>
      </c>
      <c r="G3444" s="60" t="s">
        <v>12</v>
      </c>
      <c r="H3444" s="60" t="s">
        <v>5064</v>
      </c>
    </row>
    <row r="3445" spans="1:8">
      <c r="A3445" s="60" t="s">
        <v>4043</v>
      </c>
      <c r="B3445" s="62">
        <v>13</v>
      </c>
      <c r="C3445" s="60" t="s">
        <v>5054</v>
      </c>
      <c r="D3445" s="64">
        <f>IFERROR(VLOOKUP(C3445,測定点マスタ!$E$2:$F$28,2,FALSE)/VLOOKUP(A3445,'焼鈍条件-3CGL'!$A$2:$B$197,2,FALSE)*60,"")</f>
        <v>71.69371504686535</v>
      </c>
      <c r="E3445" s="66">
        <v>516.4</v>
      </c>
      <c r="F3445" s="64">
        <f t="shared" si="53"/>
        <v>-0.98174038461538571</v>
      </c>
      <c r="G3445" s="60" t="s">
        <v>12</v>
      </c>
      <c r="H3445" s="60" t="s">
        <v>5064</v>
      </c>
    </row>
    <row r="3446" spans="1:8">
      <c r="A3446" s="60" t="s">
        <v>4043</v>
      </c>
      <c r="B3446" s="62">
        <v>14</v>
      </c>
      <c r="C3446" s="60" t="s">
        <v>5056</v>
      </c>
      <c r="D3446" s="64">
        <f>IFERROR(VLOOKUP(C3446,測定点マスタ!$E$2:$F$28,2,FALSE)/VLOOKUP(A3446,'焼鈍条件-3CGL'!$A$2:$B$197,2,FALSE)*60,"")</f>
        <v>78.157902469123712</v>
      </c>
      <c r="E3446" s="66">
        <v>275</v>
      </c>
      <c r="F3446" s="64">
        <f t="shared" si="53"/>
        <v>-37.344214242424179</v>
      </c>
      <c r="G3446" s="60" t="s">
        <v>12</v>
      </c>
      <c r="H3446" s="60" t="s">
        <v>5064</v>
      </c>
    </row>
    <row r="3447" spans="1:8">
      <c r="A3447" s="60" t="s">
        <v>4043</v>
      </c>
      <c r="B3447" s="62">
        <v>15</v>
      </c>
      <c r="C3447" s="60" t="s">
        <v>5062</v>
      </c>
      <c r="D3447" s="64">
        <f>IFERROR(VLOOKUP(C3447,測定点マスタ!$E$2:$F$28,2,FALSE)/VLOOKUP(A3447,'焼鈍条件-3CGL'!$A$2:$B$197,2,FALSE)*60,"")</f>
        <v>85.209743293405552</v>
      </c>
      <c r="E3447" s="66">
        <v>458.8</v>
      </c>
      <c r="F3447" s="64">
        <f t="shared" si="53"/>
        <v>26.064116388888888</v>
      </c>
      <c r="G3447" s="60" t="s">
        <v>12</v>
      </c>
      <c r="H3447" s="60" t="s">
        <v>5064</v>
      </c>
    </row>
    <row r="3448" spans="1:8">
      <c r="A3448" s="60" t="s">
        <v>4043</v>
      </c>
      <c r="B3448" s="62">
        <v>16</v>
      </c>
      <c r="C3448" s="60" t="s">
        <v>5065</v>
      </c>
      <c r="D3448" s="64">
        <f>IFERROR(VLOOKUP(C3448,測定点マスタ!$E$2:$F$28,2,FALSE)/VLOOKUP(A3448,'焼鈍条件-3CGL'!$A$2:$B$197,2,FALSE)*60,"")</f>
        <v>86.259124368447317</v>
      </c>
      <c r="E3448" s="66">
        <v>547.79999999999995</v>
      </c>
      <c r="F3448" s="64">
        <f t="shared" si="53"/>
        <v>84.811897333347432</v>
      </c>
      <c r="G3448" s="60" t="s">
        <v>12</v>
      </c>
      <c r="H3448" s="60" t="s">
        <v>5064</v>
      </c>
    </row>
    <row r="3449" spans="1:8">
      <c r="A3449" s="60" t="s">
        <v>4043</v>
      </c>
      <c r="B3449" s="62">
        <v>17</v>
      </c>
      <c r="C3449" s="60" t="s">
        <v>5066</v>
      </c>
      <c r="D3449" s="64">
        <f>IFERROR(VLOOKUP(C3449,測定点マスタ!$E$2:$F$28,2,FALSE)/VLOOKUP(A3449,'焼鈍条件-3CGL'!$A$2:$B$197,2,FALSE)*60,"")</f>
        <v>89.806032402089514</v>
      </c>
      <c r="E3449" s="66">
        <v>533.6</v>
      </c>
      <c r="F3449" s="64">
        <f t="shared" si="53"/>
        <v>-4.0034869428002748</v>
      </c>
      <c r="G3449" s="60" t="s">
        <v>12</v>
      </c>
      <c r="H3449" s="60" t="s">
        <v>5064</v>
      </c>
    </row>
    <row r="3450" spans="1:8">
      <c r="A3450" s="60" t="s">
        <v>4043</v>
      </c>
      <c r="B3450" s="62">
        <v>18</v>
      </c>
      <c r="C3450" s="60" t="s">
        <v>5057</v>
      </c>
      <c r="D3450" s="64">
        <f>IFERROR(VLOOKUP(C3450,測定点マスタ!$E$2:$F$28,2,FALSE)/VLOOKUP(A3450,'焼鈍条件-3CGL'!$A$2:$B$197,2,FALSE)*60,"")</f>
        <v>96.899848469372671</v>
      </c>
      <c r="E3450" s="66">
        <v>205.7</v>
      </c>
      <c r="F3450" s="64">
        <f t="shared" si="53"/>
        <v>-46.223358047339623</v>
      </c>
      <c r="G3450" s="60" t="s">
        <v>12</v>
      </c>
      <c r="H3450" s="60" t="s">
        <v>5064</v>
      </c>
    </row>
    <row r="3451" spans="1:8">
      <c r="A3451" s="60" t="s">
        <v>4043</v>
      </c>
      <c r="B3451" s="62">
        <v>19</v>
      </c>
      <c r="C3451" s="60" t="s">
        <v>5059</v>
      </c>
      <c r="D3451" s="64">
        <f>IFERROR(VLOOKUP(C3451,測定点マスタ!$E$2:$F$28,2,FALSE)/VLOOKUP(A3451,'焼鈍条件-3CGL'!$A$2:$B$197,2,FALSE)*60,"")</f>
        <v>103.99366453665645</v>
      </c>
      <c r="E3451" s="66">
        <v>47.4</v>
      </c>
      <c r="F3451" s="64">
        <f t="shared" si="53"/>
        <v>-22.3152106706106</v>
      </c>
      <c r="G3451" s="60" t="s">
        <v>12</v>
      </c>
      <c r="H3451" s="60" t="s">
        <v>5064</v>
      </c>
    </row>
    <row r="3452" spans="1:8">
      <c r="A3452" s="60" t="s">
        <v>4047</v>
      </c>
      <c r="B3452" s="62">
        <v>1</v>
      </c>
      <c r="C3452" s="60" t="s">
        <v>5041</v>
      </c>
      <c r="D3452" s="64">
        <f>IFERROR(VLOOKUP(C3452,測定点マスタ!$E$2:$F$28,2,FALSE)/VLOOKUP(A3452,'焼鈍条件-3CGL'!$A$2:$B$197,2,FALSE)*60,"")</f>
        <v>0</v>
      </c>
      <c r="E3452" s="66">
        <v>34.9</v>
      </c>
      <c r="F3452" s="64" t="str">
        <f t="shared" si="53"/>
        <v/>
      </c>
      <c r="G3452" s="60" t="s">
        <v>9</v>
      </c>
      <c r="H3452" s="60" t="s">
        <v>5064</v>
      </c>
    </row>
    <row r="3453" spans="1:8">
      <c r="A3453" s="60" t="s">
        <v>4047</v>
      </c>
      <c r="B3453" s="62">
        <v>2</v>
      </c>
      <c r="C3453" s="60" t="s">
        <v>5043</v>
      </c>
      <c r="D3453" s="64">
        <f>IFERROR(VLOOKUP(C3453,測定点マスタ!$E$2:$F$28,2,FALSE)/VLOOKUP(A3453,'焼鈍条件-3CGL'!$A$2:$B$197,2,FALSE)*60,"")</f>
        <v>7.7503358478867419</v>
      </c>
      <c r="E3453" s="66">
        <v>186</v>
      </c>
      <c r="F3453" s="64">
        <f t="shared" si="53"/>
        <v>19.495929333333333</v>
      </c>
      <c r="G3453" s="60" t="s">
        <v>9</v>
      </c>
      <c r="H3453" s="60" t="s">
        <v>5064</v>
      </c>
    </row>
    <row r="3454" spans="1:8">
      <c r="A3454" s="60" t="s">
        <v>4047</v>
      </c>
      <c r="B3454" s="62">
        <v>3</v>
      </c>
      <c r="C3454" s="60" t="s">
        <v>5044</v>
      </c>
      <c r="D3454" s="64">
        <f>IFERROR(VLOOKUP(C3454,測定点マスタ!$E$2:$F$28,2,FALSE)/VLOOKUP(A3454,'焼鈍条件-3CGL'!$A$2:$B$197,2,FALSE)*60,"")</f>
        <v>17.567427921876615</v>
      </c>
      <c r="E3454" s="66">
        <v>681.6</v>
      </c>
      <c r="F3454" s="64">
        <f t="shared" si="53"/>
        <v>50.483381052631586</v>
      </c>
      <c r="G3454" s="60" t="s">
        <v>9</v>
      </c>
      <c r="H3454" s="60" t="s">
        <v>5064</v>
      </c>
    </row>
    <row r="3455" spans="1:8">
      <c r="A3455" s="60" t="s">
        <v>4047</v>
      </c>
      <c r="B3455" s="62">
        <v>4</v>
      </c>
      <c r="C3455" s="60" t="s">
        <v>5045</v>
      </c>
      <c r="D3455" s="64">
        <f>IFERROR(VLOOKUP(C3455,測定点マスタ!$E$2:$F$28,2,FALSE)/VLOOKUP(A3455,'焼鈍条件-3CGL'!$A$2:$B$197,2,FALSE)*60,"")</f>
        <v>22.734318487134441</v>
      </c>
      <c r="E3455" s="66">
        <v>811.7</v>
      </c>
      <c r="F3455" s="64">
        <f t="shared" si="53"/>
        <v>25.17955400000001</v>
      </c>
      <c r="G3455" s="60" t="s">
        <v>9</v>
      </c>
      <c r="H3455" s="60" t="s">
        <v>5064</v>
      </c>
    </row>
    <row r="3456" spans="1:8">
      <c r="A3456" s="60" t="s">
        <v>4047</v>
      </c>
      <c r="B3456" s="62">
        <v>5</v>
      </c>
      <c r="C3456" s="60" t="s">
        <v>5047</v>
      </c>
      <c r="D3456" s="64">
        <f>IFERROR(VLOOKUP(C3456,測定点マスタ!$E$2:$F$28,2,FALSE)/VLOOKUP(A3456,'焼鈍条件-3CGL'!$A$2:$B$197,2,FALSE)*60,"")</f>
        <v>31.001343391546968</v>
      </c>
      <c r="E3456" s="66">
        <v>731.6</v>
      </c>
      <c r="F3456" s="64">
        <f t="shared" si="53"/>
        <v>-9.6890962500000004</v>
      </c>
      <c r="G3456" s="60" t="s">
        <v>9</v>
      </c>
      <c r="H3456" s="60" t="s">
        <v>5064</v>
      </c>
    </row>
    <row r="3457" spans="1:8">
      <c r="A3457" s="60" t="s">
        <v>4047</v>
      </c>
      <c r="B3457" s="62">
        <v>6</v>
      </c>
      <c r="C3457" s="60" t="s">
        <v>5049</v>
      </c>
      <c r="D3457" s="64">
        <f>IFERROR(VLOOKUP(C3457,測定点マスタ!$E$2:$F$28,2,FALSE)/VLOOKUP(A3457,'焼鈍条件-3CGL'!$A$2:$B$197,2,FALSE)*60,"")</f>
        <v>37.718301126382144</v>
      </c>
      <c r="E3457" s="66">
        <v>611.6</v>
      </c>
      <c r="F3457" s="64">
        <f t="shared" si="53"/>
        <v>-17.865230769230767</v>
      </c>
      <c r="G3457" s="60" t="s">
        <v>9</v>
      </c>
      <c r="H3457" s="60" t="s">
        <v>5064</v>
      </c>
    </row>
    <row r="3458" spans="1:8">
      <c r="A3458" s="60" t="s">
        <v>4047</v>
      </c>
      <c r="B3458" s="62">
        <v>7</v>
      </c>
      <c r="C3458" s="60" t="s">
        <v>5050</v>
      </c>
      <c r="D3458" s="64">
        <f>IFERROR(VLOOKUP(C3458,測定点マスタ!$E$2:$F$28,2,FALSE)/VLOOKUP(A3458,'焼鈍条件-3CGL'!$A$2:$B$197,2,FALSE)*60,"")</f>
        <v>41.851813578588406</v>
      </c>
      <c r="E3458" s="66">
        <v>502.7</v>
      </c>
      <c r="F3458" s="64">
        <f t="shared" ref="F3458:F3508" si="54">IF(A3458=A3457,IFERROR((E3458-E3457)/(D3458-D3457),""),"")</f>
        <v>-26.345632500000015</v>
      </c>
      <c r="G3458" s="60" t="s">
        <v>9</v>
      </c>
      <c r="H3458" s="60" t="s">
        <v>5064</v>
      </c>
    </row>
    <row r="3459" spans="1:8">
      <c r="A3459" s="60" t="s">
        <v>4047</v>
      </c>
      <c r="B3459" s="62">
        <v>8</v>
      </c>
      <c r="C3459" s="60" t="s">
        <v>5051</v>
      </c>
      <c r="D3459" s="64">
        <f>IFERROR(VLOOKUP(C3459,測定点マスタ!$E$2:$F$28,2,FALSE)/VLOOKUP(A3459,'焼鈍条件-3CGL'!$A$2:$B$197,2,FALSE)*60,"")</f>
        <v>45.468636974268883</v>
      </c>
      <c r="E3459" s="66">
        <v>469.8</v>
      </c>
      <c r="F3459" s="64">
        <f t="shared" si="54"/>
        <v>-9.0963799999999999</v>
      </c>
      <c r="G3459" s="60" t="s">
        <v>9</v>
      </c>
      <c r="H3459" s="60" t="s">
        <v>5064</v>
      </c>
    </row>
    <row r="3460" spans="1:8">
      <c r="A3460" s="60" t="s">
        <v>4047</v>
      </c>
      <c r="B3460" s="62">
        <v>9</v>
      </c>
      <c r="C3460" s="60" t="s">
        <v>5060</v>
      </c>
      <c r="D3460" s="64">
        <f>IFERROR(VLOOKUP(C3460,測定点マスタ!$E$2:$F$28,2,FALSE)/VLOOKUP(A3460,'焼鈍条件-3CGL'!$A$2:$B$197,2,FALSE)*60,"")</f>
        <v>47.535393200372013</v>
      </c>
      <c r="E3460" s="66">
        <v>415.4</v>
      </c>
      <c r="F3460" s="64">
        <f t="shared" si="54"/>
        <v>-26.32144000000002</v>
      </c>
      <c r="G3460" s="60" t="s">
        <v>9</v>
      </c>
      <c r="H3460" s="60" t="s">
        <v>5064</v>
      </c>
    </row>
    <row r="3461" spans="1:8">
      <c r="A3461" s="60" t="s">
        <v>4047</v>
      </c>
      <c r="B3461" s="62">
        <v>10</v>
      </c>
      <c r="C3461" s="60" t="s">
        <v>5052</v>
      </c>
      <c r="D3461" s="64">
        <f>IFERROR(VLOOKUP(C3461,測定点マスタ!$E$2:$F$28,2,FALSE)/VLOOKUP(A3461,'焼鈍条件-3CGL'!$A$2:$B$197,2,FALSE)*60,"")</f>
        <v>50.118838483000935</v>
      </c>
      <c r="E3461" s="66">
        <v>340.4</v>
      </c>
      <c r="F3461" s="64">
        <f t="shared" si="54"/>
        <v>-29.030999999999906</v>
      </c>
      <c r="G3461" s="60" t="s">
        <v>9</v>
      </c>
      <c r="H3461" s="60" t="s">
        <v>5064</v>
      </c>
    </row>
    <row r="3462" spans="1:8">
      <c r="A3462" s="60" t="s">
        <v>4047</v>
      </c>
      <c r="B3462" s="62">
        <v>11</v>
      </c>
      <c r="C3462" s="60" t="s">
        <v>5053</v>
      </c>
      <c r="D3462" s="64">
        <f>IFERROR(VLOOKUP(C3462,測定点マスタ!$E$2:$F$28,2,FALSE)/VLOOKUP(A3462,'焼鈍条件-3CGL'!$A$2:$B$197,2,FALSE)*60,"")</f>
        <v>56.319107161310328</v>
      </c>
      <c r="E3462" s="66">
        <v>524.6</v>
      </c>
      <c r="F3462" s="64">
        <f t="shared" si="54"/>
        <v>29.708390000000012</v>
      </c>
      <c r="G3462" s="60" t="s">
        <v>9</v>
      </c>
      <c r="H3462" s="60" t="s">
        <v>5064</v>
      </c>
    </row>
    <row r="3463" spans="1:8">
      <c r="A3463" s="60" t="s">
        <v>4047</v>
      </c>
      <c r="B3463" s="62">
        <v>12</v>
      </c>
      <c r="C3463" s="60" t="s">
        <v>5063</v>
      </c>
      <c r="D3463" s="64">
        <f>IFERROR(VLOOKUP(C3463,測定点マスタ!$E$2:$F$28,2,FALSE)/VLOOKUP(A3463,'焼鈍条件-3CGL'!$A$2:$B$197,2,FALSE)*60,"")</f>
        <v>59.41924150046502</v>
      </c>
      <c r="E3463" s="66">
        <v>529.29999999999995</v>
      </c>
      <c r="F3463" s="64">
        <f t="shared" si="54"/>
        <v>1.5160633333333133</v>
      </c>
      <c r="G3463" s="60" t="s">
        <v>9</v>
      </c>
      <c r="H3463" s="60" t="s">
        <v>5064</v>
      </c>
    </row>
    <row r="3464" spans="1:8">
      <c r="A3464" s="60" t="s">
        <v>4047</v>
      </c>
      <c r="B3464" s="62">
        <v>13</v>
      </c>
      <c r="C3464" s="60" t="s">
        <v>5054</v>
      </c>
      <c r="D3464" s="64">
        <f>IFERROR(VLOOKUP(C3464,測定点マスタ!$E$2:$F$28,2,FALSE)/VLOOKUP(A3464,'焼鈍条件-3CGL'!$A$2:$B$197,2,FALSE)*60,"")</f>
        <v>63.036064896145497</v>
      </c>
      <c r="E3464" s="66">
        <v>508.4</v>
      </c>
      <c r="F3464" s="64">
        <f t="shared" si="54"/>
        <v>-5.7785514285714266</v>
      </c>
      <c r="G3464" s="60" t="s">
        <v>9</v>
      </c>
      <c r="H3464" s="60" t="s">
        <v>5064</v>
      </c>
    </row>
    <row r="3465" spans="1:8">
      <c r="A3465" s="60" t="s">
        <v>4047</v>
      </c>
      <c r="B3465" s="62">
        <v>14</v>
      </c>
      <c r="C3465" s="60" t="s">
        <v>5056</v>
      </c>
      <c r="D3465" s="64">
        <f>IFERROR(VLOOKUP(C3465,測定点マスタ!$E$2:$F$28,2,FALSE)/VLOOKUP(A3465,'焼鈍条件-3CGL'!$A$2:$B$197,2,FALSE)*60,"")</f>
        <v>68.719644517929112</v>
      </c>
      <c r="E3465" s="66">
        <v>272.39999999999998</v>
      </c>
      <c r="F3465" s="64">
        <f t="shared" si="54"/>
        <v>-41.523127272727244</v>
      </c>
      <c r="G3465" s="60" t="s">
        <v>9</v>
      </c>
      <c r="H3465" s="60" t="s">
        <v>5064</v>
      </c>
    </row>
    <row r="3466" spans="1:8">
      <c r="A3466" s="60" t="s">
        <v>4047</v>
      </c>
      <c r="B3466" s="62">
        <v>15</v>
      </c>
      <c r="C3466" s="60" t="s">
        <v>5062</v>
      </c>
      <c r="D3466" s="64">
        <f>IFERROR(VLOOKUP(C3466,測定点マスタ!$E$2:$F$28,2,FALSE)/VLOOKUP(A3466,'焼鈍条件-3CGL'!$A$2:$B$197,2,FALSE)*60,"")</f>
        <v>74.919913196238511</v>
      </c>
      <c r="E3466" s="66">
        <v>458.5</v>
      </c>
      <c r="F3466" s="64">
        <f t="shared" si="54"/>
        <v>30.014828333333309</v>
      </c>
      <c r="G3466" s="60" t="s">
        <v>9</v>
      </c>
      <c r="H3466" s="60" t="s">
        <v>5064</v>
      </c>
    </row>
    <row r="3467" spans="1:8">
      <c r="A3467" s="60" t="s">
        <v>4047</v>
      </c>
      <c r="B3467" s="62">
        <v>16</v>
      </c>
      <c r="C3467" s="60" t="s">
        <v>5065</v>
      </c>
      <c r="D3467" s="64">
        <f>IFERROR(VLOOKUP(C3467,測定点マスタ!$E$2:$F$28,2,FALSE)/VLOOKUP(A3467,'焼鈍条件-3CGL'!$A$2:$B$197,2,FALSE)*60,"")</f>
        <v>75.842572225748683</v>
      </c>
      <c r="E3467" s="66">
        <v>515.79999999999995</v>
      </c>
      <c r="F3467" s="64">
        <f t="shared" si="54"/>
        <v>62.103115200010372</v>
      </c>
      <c r="G3467" s="60" t="s">
        <v>9</v>
      </c>
      <c r="H3467" s="60" t="s">
        <v>5064</v>
      </c>
    </row>
    <row r="3468" spans="1:8">
      <c r="A3468" s="60" t="s">
        <v>4047</v>
      </c>
      <c r="B3468" s="62">
        <v>17</v>
      </c>
      <c r="C3468" s="60" t="s">
        <v>5066</v>
      </c>
      <c r="D3468" s="64">
        <f>IFERROR(VLOOKUP(C3468,測定点マスタ!$E$2:$F$28,2,FALSE)/VLOOKUP(A3468,'焼鈍条件-3CGL'!$A$2:$B$197,2,FALSE)*60,"")</f>
        <v>78.961159745493958</v>
      </c>
      <c r="E3468" s="66">
        <v>498.1</v>
      </c>
      <c r="F3468" s="64">
        <f t="shared" si="54"/>
        <v>-5.6756463905318446</v>
      </c>
      <c r="G3468" s="60" t="s">
        <v>9</v>
      </c>
      <c r="H3468" s="60" t="s">
        <v>5064</v>
      </c>
    </row>
    <row r="3469" spans="1:8">
      <c r="A3469" s="60" t="s">
        <v>4047</v>
      </c>
      <c r="B3469" s="62">
        <v>18</v>
      </c>
      <c r="C3469" s="60" t="s">
        <v>5057</v>
      </c>
      <c r="D3469" s="64">
        <f>IFERROR(VLOOKUP(C3469,測定点マスタ!$E$2:$F$28,2,FALSE)/VLOOKUP(A3469,'焼鈍条件-3CGL'!$A$2:$B$197,2,FALSE)*60,"")</f>
        <v>85.198334784983459</v>
      </c>
      <c r="E3469" s="66">
        <v>191.9</v>
      </c>
      <c r="F3469" s="64">
        <f t="shared" si="54"/>
        <v>-49.092737988168096</v>
      </c>
      <c r="G3469" s="60" t="s">
        <v>9</v>
      </c>
      <c r="H3469" s="60" t="s">
        <v>5064</v>
      </c>
    </row>
    <row r="3470" spans="1:8">
      <c r="A3470" s="60" t="s">
        <v>4047</v>
      </c>
      <c r="B3470" s="62">
        <v>19</v>
      </c>
      <c r="C3470" s="60" t="s">
        <v>5059</v>
      </c>
      <c r="D3470" s="64">
        <f>IFERROR(VLOOKUP(C3470,測定点マスタ!$E$2:$F$28,2,FALSE)/VLOOKUP(A3470,'焼鈍条件-3CGL'!$A$2:$B$197,2,FALSE)*60,"")</f>
        <v>91.435509824473499</v>
      </c>
      <c r="E3470" s="66">
        <v>58.9</v>
      </c>
      <c r="F3470" s="64">
        <f t="shared" si="54"/>
        <v>-21.323756213016953</v>
      </c>
      <c r="G3470" s="60" t="s">
        <v>9</v>
      </c>
      <c r="H3470" s="60" t="s">
        <v>5064</v>
      </c>
    </row>
    <row r="3471" spans="1:8">
      <c r="A3471" s="60" t="s">
        <v>4053</v>
      </c>
      <c r="B3471" s="62">
        <v>1</v>
      </c>
      <c r="C3471" s="60" t="s">
        <v>5041</v>
      </c>
      <c r="D3471" s="64">
        <f>IFERROR(VLOOKUP(C3471,測定点マスタ!$E$2:$F$28,2,FALSE)/VLOOKUP(A3471,'焼鈍条件-3CGL'!$A$2:$B$197,2,FALSE)*60,"")</f>
        <v>0</v>
      </c>
      <c r="E3471" s="66">
        <v>34.200000000000003</v>
      </c>
      <c r="F3471" s="64" t="str">
        <f t="shared" si="54"/>
        <v/>
      </c>
      <c r="G3471" s="60" t="s">
        <v>12</v>
      </c>
      <c r="H3471" s="60" t="s">
        <v>5064</v>
      </c>
    </row>
    <row r="3472" spans="1:8">
      <c r="A3472" s="60" t="s">
        <v>4053</v>
      </c>
      <c r="B3472" s="62">
        <v>2</v>
      </c>
      <c r="C3472" s="60" t="s">
        <v>5043</v>
      </c>
      <c r="D3472" s="64">
        <f>IFERROR(VLOOKUP(C3472,測定点マスタ!$E$2:$F$28,2,FALSE)/VLOOKUP(A3472,'焼鈍条件-3CGL'!$A$2:$B$197,2,FALSE)*60,"")</f>
        <v>8.1993349428324134</v>
      </c>
      <c r="E3472" s="66">
        <v>192.9</v>
      </c>
      <c r="F3472" s="64">
        <f t="shared" si="54"/>
        <v>19.355228333333336</v>
      </c>
      <c r="G3472" s="60" t="s">
        <v>12</v>
      </c>
      <c r="H3472" s="60" t="s">
        <v>5064</v>
      </c>
    </row>
    <row r="3473" spans="1:8">
      <c r="A3473" s="60" t="s">
        <v>4053</v>
      </c>
      <c r="B3473" s="62">
        <v>3</v>
      </c>
      <c r="C3473" s="60" t="s">
        <v>5044</v>
      </c>
      <c r="D3473" s="64">
        <f>IFERROR(VLOOKUP(C3473,測定点マスタ!$E$2:$F$28,2,FALSE)/VLOOKUP(A3473,'焼鈍条件-3CGL'!$A$2:$B$197,2,FALSE)*60,"")</f>
        <v>18.58515920375347</v>
      </c>
      <c r="E3473" s="66">
        <v>711.5</v>
      </c>
      <c r="F3473" s="64">
        <f t="shared" si="54"/>
        <v>49.933446491228082</v>
      </c>
      <c r="G3473" s="60" t="s">
        <v>12</v>
      </c>
      <c r="H3473" s="60" t="s">
        <v>5064</v>
      </c>
    </row>
    <row r="3474" spans="1:8">
      <c r="A3474" s="60" t="s">
        <v>4053</v>
      </c>
      <c r="B3474" s="62">
        <v>4</v>
      </c>
      <c r="C3474" s="60" t="s">
        <v>5045</v>
      </c>
      <c r="D3474" s="64">
        <f>IFERROR(VLOOKUP(C3474,測定点マスタ!$E$2:$F$28,2,FALSE)/VLOOKUP(A3474,'焼鈍条件-3CGL'!$A$2:$B$197,2,FALSE)*60,"")</f>
        <v>24.051382498975084</v>
      </c>
      <c r="E3474" s="66">
        <v>848.9</v>
      </c>
      <c r="F3474" s="64">
        <f t="shared" si="54"/>
        <v>25.13618499999998</v>
      </c>
      <c r="G3474" s="60" t="s">
        <v>12</v>
      </c>
      <c r="H3474" s="60" t="s">
        <v>5064</v>
      </c>
    </row>
    <row r="3475" spans="1:8">
      <c r="A3475" s="60" t="s">
        <v>4053</v>
      </c>
      <c r="B3475" s="62">
        <v>5</v>
      </c>
      <c r="C3475" s="60" t="s">
        <v>5047</v>
      </c>
      <c r="D3475" s="64">
        <f>IFERROR(VLOOKUP(C3475,測定点マスタ!$E$2:$F$28,2,FALSE)/VLOOKUP(A3475,'焼鈍条件-3CGL'!$A$2:$B$197,2,FALSE)*60,"")</f>
        <v>32.797339771329654</v>
      </c>
      <c r="E3475" s="66">
        <v>799.9</v>
      </c>
      <c r="F3475" s="64">
        <f t="shared" si="54"/>
        <v>-5.6025885416666705</v>
      </c>
      <c r="G3475" s="60" t="s">
        <v>12</v>
      </c>
      <c r="H3475" s="60" t="s">
        <v>5064</v>
      </c>
    </row>
    <row r="3476" spans="1:8">
      <c r="A3476" s="60" t="s">
        <v>4053</v>
      </c>
      <c r="B3476" s="62">
        <v>6</v>
      </c>
      <c r="C3476" s="60" t="s">
        <v>5048</v>
      </c>
      <c r="D3476" s="64">
        <f>IFERROR(VLOOKUP(C3476,測定点マスタ!$E$2:$F$28,2,FALSE)/VLOOKUP(A3476,'焼鈍条件-3CGL'!$A$2:$B$197,2,FALSE)*60,"")</f>
        <v>36.077073748462624</v>
      </c>
      <c r="E3476" s="66">
        <v>755.8</v>
      </c>
      <c r="F3476" s="64">
        <f t="shared" si="54"/>
        <v>-13.446212499999989</v>
      </c>
      <c r="G3476" s="60" t="s">
        <v>12</v>
      </c>
      <c r="H3476" s="60" t="s">
        <v>5064</v>
      </c>
    </row>
    <row r="3477" spans="1:8">
      <c r="A3477" s="60" t="s">
        <v>4053</v>
      </c>
      <c r="B3477" s="62">
        <v>7</v>
      </c>
      <c r="C3477" s="60" t="s">
        <v>5049</v>
      </c>
      <c r="D3477" s="64">
        <f>IFERROR(VLOOKUP(C3477,測定点マスタ!$E$2:$F$28,2,FALSE)/VLOOKUP(A3477,'焼鈍条件-3CGL'!$A$2:$B$197,2,FALSE)*60,"")</f>
        <v>39.903430055117752</v>
      </c>
      <c r="E3477" s="66">
        <v>621.4</v>
      </c>
      <c r="F3477" s="64">
        <f t="shared" si="54"/>
        <v>-35.124799999999979</v>
      </c>
      <c r="G3477" s="60" t="s">
        <v>12</v>
      </c>
      <c r="H3477" s="60" t="s">
        <v>5064</v>
      </c>
    </row>
    <row r="3478" spans="1:8">
      <c r="A3478" s="60" t="s">
        <v>4053</v>
      </c>
      <c r="B3478" s="62">
        <v>8</v>
      </c>
      <c r="C3478" s="60" t="s">
        <v>5050</v>
      </c>
      <c r="D3478" s="64">
        <f>IFERROR(VLOOKUP(C3478,測定点マスタ!$E$2:$F$28,2,FALSE)/VLOOKUP(A3478,'焼鈍条件-3CGL'!$A$2:$B$197,2,FALSE)*60,"")</f>
        <v>44.276408691295039</v>
      </c>
      <c r="E3478" s="66">
        <v>537.79999999999995</v>
      </c>
      <c r="F3478" s="64">
        <f t="shared" si="54"/>
        <v>-19.117404166666677</v>
      </c>
      <c r="G3478" s="60" t="s">
        <v>12</v>
      </c>
      <c r="H3478" s="60" t="s">
        <v>5064</v>
      </c>
    </row>
    <row r="3479" spans="1:8">
      <c r="A3479" s="60" t="s">
        <v>4053</v>
      </c>
      <c r="B3479" s="62">
        <v>9</v>
      </c>
      <c r="C3479" s="60" t="s">
        <v>5051</v>
      </c>
      <c r="D3479" s="64">
        <f>IFERROR(VLOOKUP(C3479,測定点マスタ!$E$2:$F$28,2,FALSE)/VLOOKUP(A3479,'焼鈍条件-3CGL'!$A$2:$B$197,2,FALSE)*60,"")</f>
        <v>48.102764997950167</v>
      </c>
      <c r="E3479" s="66">
        <v>498.7</v>
      </c>
      <c r="F3479" s="64">
        <f t="shared" si="54"/>
        <v>-10.218598809523796</v>
      </c>
      <c r="G3479" s="60" t="s">
        <v>12</v>
      </c>
      <c r="H3479" s="60" t="s">
        <v>5064</v>
      </c>
    </row>
    <row r="3480" spans="1:8">
      <c r="A3480" s="60" t="s">
        <v>4053</v>
      </c>
      <c r="B3480" s="62">
        <v>10</v>
      </c>
      <c r="C3480" s="60" t="s">
        <v>5060</v>
      </c>
      <c r="D3480" s="64">
        <f>IFERROR(VLOOKUP(C3480,測定点マスタ!$E$2:$F$28,2,FALSE)/VLOOKUP(A3480,'焼鈍条件-3CGL'!$A$2:$B$197,2,FALSE)*60,"")</f>
        <v>50.289254316038814</v>
      </c>
      <c r="E3480" s="66">
        <v>415</v>
      </c>
      <c r="F3480" s="64">
        <f t="shared" si="54"/>
        <v>-38.280543749999943</v>
      </c>
      <c r="G3480" s="60" t="s">
        <v>12</v>
      </c>
      <c r="H3480" s="60" t="s">
        <v>5064</v>
      </c>
    </row>
    <row r="3481" spans="1:8">
      <c r="A3481" s="60" t="s">
        <v>4053</v>
      </c>
      <c r="B3481" s="62">
        <v>11</v>
      </c>
      <c r="C3481" s="60" t="s">
        <v>5052</v>
      </c>
      <c r="D3481" s="64">
        <f>IFERROR(VLOOKUP(C3481,測定点マスタ!$E$2:$F$28,2,FALSE)/VLOOKUP(A3481,'焼鈍条件-3CGL'!$A$2:$B$197,2,FALSE)*60,"")</f>
        <v>53.022365963649612</v>
      </c>
      <c r="E3481" s="66">
        <v>354.6</v>
      </c>
      <c r="F3481" s="64">
        <f t="shared" si="54"/>
        <v>-22.099353333333383</v>
      </c>
      <c r="G3481" s="60" t="s">
        <v>12</v>
      </c>
      <c r="H3481" s="60" t="s">
        <v>5064</v>
      </c>
    </row>
    <row r="3482" spans="1:8">
      <c r="A3482" s="60" t="s">
        <v>4053</v>
      </c>
      <c r="B3482" s="62">
        <v>12</v>
      </c>
      <c r="C3482" s="60" t="s">
        <v>5053</v>
      </c>
      <c r="D3482" s="64">
        <f>IFERROR(VLOOKUP(C3482,測定点マスタ!$E$2:$F$28,2,FALSE)/VLOOKUP(A3482,'焼鈍条件-3CGL'!$A$2:$B$197,2,FALSE)*60,"")</f>
        <v>59.581833917915546</v>
      </c>
      <c r="E3482" s="66">
        <v>569.70000000000005</v>
      </c>
      <c r="F3482" s="64">
        <f t="shared" si="54"/>
        <v>32.792293749999992</v>
      </c>
      <c r="G3482" s="60" t="s">
        <v>12</v>
      </c>
      <c r="H3482" s="60" t="s">
        <v>5064</v>
      </c>
    </row>
    <row r="3483" spans="1:8">
      <c r="A3483" s="60" t="s">
        <v>4053</v>
      </c>
      <c r="B3483" s="62">
        <v>13</v>
      </c>
      <c r="C3483" s="60" t="s">
        <v>5054</v>
      </c>
      <c r="D3483" s="64">
        <f>IFERROR(VLOOKUP(C3483,測定点マスタ!$E$2:$F$28,2,FALSE)/VLOOKUP(A3483,'焼鈍条件-3CGL'!$A$2:$B$197,2,FALSE)*60,"")</f>
        <v>66.687924201703638</v>
      </c>
      <c r="E3483" s="66">
        <v>572.79999999999995</v>
      </c>
      <c r="F3483" s="64">
        <f t="shared" si="54"/>
        <v>0.43624551282050006</v>
      </c>
      <c r="G3483" s="60" t="s">
        <v>12</v>
      </c>
      <c r="H3483" s="60" t="s">
        <v>5064</v>
      </c>
    </row>
    <row r="3484" spans="1:8">
      <c r="A3484" s="60" t="s">
        <v>4053</v>
      </c>
      <c r="B3484" s="62">
        <v>14</v>
      </c>
      <c r="C3484" s="60" t="s">
        <v>5056</v>
      </c>
      <c r="D3484" s="64">
        <f>IFERROR(VLOOKUP(C3484,測定点マスタ!$E$2:$F$28,2,FALSE)/VLOOKUP(A3484,'焼鈍条件-3CGL'!$A$2:$B$197,2,FALSE)*60,"")</f>
        <v>72.700769826447413</v>
      </c>
      <c r="E3484" s="66">
        <v>264.60000000000002</v>
      </c>
      <c r="F3484" s="64">
        <f t="shared" si="54"/>
        <v>-51.256928787878735</v>
      </c>
      <c r="G3484" s="60" t="s">
        <v>12</v>
      </c>
      <c r="H3484" s="60" t="s">
        <v>5064</v>
      </c>
    </row>
    <row r="3485" spans="1:8">
      <c r="A3485" s="60" t="s">
        <v>4053</v>
      </c>
      <c r="B3485" s="62">
        <v>15</v>
      </c>
      <c r="C3485" s="60" t="s">
        <v>5062</v>
      </c>
      <c r="D3485" s="64">
        <f>IFERROR(VLOOKUP(C3485,測定点マスタ!$E$2:$F$28,2,FALSE)/VLOOKUP(A3485,'焼鈍条件-3CGL'!$A$2:$B$197,2,FALSE)*60,"")</f>
        <v>79.260237780713339</v>
      </c>
      <c r="E3485" s="66">
        <v>465.3</v>
      </c>
      <c r="F3485" s="64">
        <f t="shared" si="54"/>
        <v>30.596993750000024</v>
      </c>
      <c r="G3485" s="60" t="s">
        <v>12</v>
      </c>
      <c r="H3485" s="60" t="s">
        <v>5064</v>
      </c>
    </row>
    <row r="3486" spans="1:8">
      <c r="A3486" s="60" t="s">
        <v>4053</v>
      </c>
      <c r="B3486" s="62">
        <v>16</v>
      </c>
      <c r="C3486" s="60" t="s">
        <v>5065</v>
      </c>
      <c r="D3486" s="64">
        <f>IFERROR(VLOOKUP(C3486,測定点マスタ!$E$2:$F$28,2,FALSE)/VLOOKUP(A3486,'焼鈍条件-3CGL'!$A$2:$B$197,2,FALSE)*60,"")</f>
        <v>80.236349083431335</v>
      </c>
      <c r="E3486" s="66">
        <v>544.79999999999995</v>
      </c>
      <c r="F3486" s="64">
        <f t="shared" si="54"/>
        <v>81.445630000012343</v>
      </c>
      <c r="G3486" s="60" t="s">
        <v>12</v>
      </c>
      <c r="H3486" s="60" t="s">
        <v>5064</v>
      </c>
    </row>
    <row r="3487" spans="1:8">
      <c r="A3487" s="60" t="s">
        <v>4053</v>
      </c>
      <c r="B3487" s="62">
        <v>17</v>
      </c>
      <c r="C3487" s="60" t="s">
        <v>5066</v>
      </c>
      <c r="D3487" s="64">
        <f>IFERROR(VLOOKUP(C3487,測定点マスタ!$E$2:$F$28,2,FALSE)/VLOOKUP(A3487,'焼鈍条件-3CGL'!$A$2:$B$197,2,FALSE)*60,"")</f>
        <v>83.535605286619045</v>
      </c>
      <c r="E3487" s="66">
        <v>534.29999999999995</v>
      </c>
      <c r="F3487" s="64">
        <f t="shared" si="54"/>
        <v>-3.1825355029582121</v>
      </c>
      <c r="G3487" s="60" t="s">
        <v>12</v>
      </c>
      <c r="H3487" s="60" t="s">
        <v>5064</v>
      </c>
    </row>
    <row r="3488" spans="1:8">
      <c r="A3488" s="60" t="s">
        <v>4053</v>
      </c>
      <c r="B3488" s="62">
        <v>18</v>
      </c>
      <c r="C3488" s="60" t="s">
        <v>5057</v>
      </c>
      <c r="D3488" s="64">
        <f>IFERROR(VLOOKUP(C3488,測定点マスタ!$E$2:$F$28,2,FALSE)/VLOOKUP(A3488,'焼鈍条件-3CGL'!$A$2:$B$197,2,FALSE)*60,"")</f>
        <v>90.134117692993385</v>
      </c>
      <c r="E3488" s="66">
        <v>274.5</v>
      </c>
      <c r="F3488" s="64">
        <f t="shared" si="54"/>
        <v>-39.37251065088946</v>
      </c>
      <c r="G3488" s="60" t="s">
        <v>12</v>
      </c>
      <c r="H3488" s="60" t="s">
        <v>5064</v>
      </c>
    </row>
    <row r="3489" spans="1:8">
      <c r="A3489" s="60" t="s">
        <v>4053</v>
      </c>
      <c r="B3489" s="62">
        <v>19</v>
      </c>
      <c r="C3489" s="60" t="s">
        <v>5059</v>
      </c>
      <c r="D3489" s="64">
        <f>IFERROR(VLOOKUP(C3489,測定点マスタ!$E$2:$F$28,2,FALSE)/VLOOKUP(A3489,'焼鈍条件-3CGL'!$A$2:$B$197,2,FALSE)*60,"")</f>
        <v>96.732630099368293</v>
      </c>
      <c r="E3489" s="66">
        <v>35.1</v>
      </c>
      <c r="F3489" s="64">
        <f t="shared" si="54"/>
        <v>-36.28090473372643</v>
      </c>
      <c r="G3489" s="60" t="s">
        <v>12</v>
      </c>
      <c r="H3489" s="60" t="s">
        <v>5064</v>
      </c>
    </row>
    <row r="3490" spans="1:8">
      <c r="A3490" s="60" t="s">
        <v>4059</v>
      </c>
      <c r="B3490" s="62">
        <v>1</v>
      </c>
      <c r="C3490" s="60" t="s">
        <v>5041</v>
      </c>
      <c r="D3490" s="64">
        <f>IFERROR(VLOOKUP(C3490,測定点マスタ!$E$2:$F$28,2,FALSE)/VLOOKUP(A3490,'焼鈍条件-3CGL'!$A$2:$B$197,2,FALSE)*60,"")</f>
        <v>0</v>
      </c>
      <c r="E3490" s="66">
        <v>38.200000000000003</v>
      </c>
      <c r="F3490" s="64" t="str">
        <f t="shared" si="54"/>
        <v/>
      </c>
      <c r="G3490" s="60" t="s">
        <v>9</v>
      </c>
      <c r="H3490" s="60" t="s">
        <v>5061</v>
      </c>
    </row>
    <row r="3491" spans="1:8">
      <c r="A3491" s="60" t="s">
        <v>4059</v>
      </c>
      <c r="B3491" s="62">
        <v>2</v>
      </c>
      <c r="C3491" s="60" t="s">
        <v>5043</v>
      </c>
      <c r="D3491" s="64">
        <f>IFERROR(VLOOKUP(C3491,測定点マスタ!$E$2:$F$28,2,FALSE)/VLOOKUP(A3491,'焼鈍条件-3CGL'!$A$2:$B$197,2,FALSE)*60,"")</f>
        <v>11.816606270679062</v>
      </c>
      <c r="E3491" s="66">
        <v>197.4</v>
      </c>
      <c r="F3491" s="64">
        <f t="shared" si="54"/>
        <v>13.472565333333332</v>
      </c>
      <c r="G3491" s="60" t="s">
        <v>9</v>
      </c>
      <c r="H3491" s="60" t="s">
        <v>5061</v>
      </c>
    </row>
    <row r="3492" spans="1:8">
      <c r="A3492" s="60" t="s">
        <v>4059</v>
      </c>
      <c r="B3492" s="62">
        <v>3</v>
      </c>
      <c r="C3492" s="60" t="s">
        <v>5067</v>
      </c>
      <c r="D3492" s="64">
        <f>IFERROR(VLOOKUP(C3492,測定点マスタ!$E$2:$F$28,2,FALSE)/VLOOKUP(A3492,'焼鈍条件-3CGL'!$A$2:$B$197,2,FALSE)*60,"")</f>
        <v>19.694343784465101</v>
      </c>
      <c r="E3492" s="66">
        <v>391.6</v>
      </c>
      <c r="F3492" s="64">
        <f t="shared" si="54"/>
        <v>24.651748000000005</v>
      </c>
      <c r="G3492" s="60" t="s">
        <v>9</v>
      </c>
      <c r="H3492" s="60" t="s">
        <v>5061</v>
      </c>
    </row>
    <row r="3493" spans="1:8">
      <c r="A3493" s="60" t="s">
        <v>4059</v>
      </c>
      <c r="B3493" s="62">
        <v>4</v>
      </c>
      <c r="C3493" s="60" t="s">
        <v>5044</v>
      </c>
      <c r="D3493" s="64">
        <f>IFERROR(VLOOKUP(C3493,測定点マスタ!$E$2:$F$28,2,FALSE)/VLOOKUP(A3493,'焼鈍条件-3CGL'!$A$2:$B$197,2,FALSE)*60,"")</f>
        <v>26.784307546872537</v>
      </c>
      <c r="E3493" s="66">
        <v>704.2</v>
      </c>
      <c r="F3493" s="64">
        <f t="shared" si="54"/>
        <v>44.090493333333342</v>
      </c>
      <c r="G3493" s="60" t="s">
        <v>9</v>
      </c>
      <c r="H3493" s="60" t="s">
        <v>5061</v>
      </c>
    </row>
    <row r="3494" spans="1:8">
      <c r="A3494" s="60" t="s">
        <v>4059</v>
      </c>
      <c r="B3494" s="62">
        <v>5</v>
      </c>
      <c r="C3494" s="60" t="s">
        <v>5045</v>
      </c>
      <c r="D3494" s="64">
        <f>IFERROR(VLOOKUP(C3494,測定点マスタ!$E$2:$F$28,2,FALSE)/VLOOKUP(A3494,'焼鈍条件-3CGL'!$A$2:$B$197,2,FALSE)*60,"")</f>
        <v>34.662045060658578</v>
      </c>
      <c r="E3494" s="66">
        <v>841.1</v>
      </c>
      <c r="F3494" s="64">
        <f t="shared" si="54"/>
        <v>17.378085999999996</v>
      </c>
      <c r="G3494" s="60" t="s">
        <v>9</v>
      </c>
      <c r="H3494" s="60" t="s">
        <v>5061</v>
      </c>
    </row>
    <row r="3495" spans="1:8">
      <c r="A3495" s="60" t="s">
        <v>4059</v>
      </c>
      <c r="B3495" s="62">
        <v>6</v>
      </c>
      <c r="C3495" s="60" t="s">
        <v>5047</v>
      </c>
      <c r="D3495" s="64">
        <f>IFERROR(VLOOKUP(C3495,測定点マスタ!$E$2:$F$28,2,FALSE)/VLOOKUP(A3495,'焼鈍条件-3CGL'!$A$2:$B$197,2,FALSE)*60,"")</f>
        <v>47.266425082716246</v>
      </c>
      <c r="E3495" s="66">
        <v>755.8</v>
      </c>
      <c r="F3495" s="64">
        <f t="shared" si="54"/>
        <v>-6.7674887500000036</v>
      </c>
      <c r="G3495" s="60" t="s">
        <v>9</v>
      </c>
      <c r="H3495" s="60" t="s">
        <v>5061</v>
      </c>
    </row>
    <row r="3496" spans="1:8">
      <c r="A3496" s="60" t="s">
        <v>4059</v>
      </c>
      <c r="B3496" s="62">
        <v>7</v>
      </c>
      <c r="C3496" s="60" t="s">
        <v>5048</v>
      </c>
      <c r="D3496" s="64">
        <f>IFERROR(VLOOKUP(C3496,測定点マスタ!$E$2:$F$28,2,FALSE)/VLOOKUP(A3496,'焼鈍条件-3CGL'!$A$2:$B$197,2,FALSE)*60,"")</f>
        <v>51.99306759098787</v>
      </c>
      <c r="E3496" s="66">
        <v>744.1</v>
      </c>
      <c r="F3496" s="64">
        <f t="shared" si="54"/>
        <v>-2.4753299999999858</v>
      </c>
      <c r="G3496" s="60" t="s">
        <v>9</v>
      </c>
      <c r="H3496" s="60" t="s">
        <v>5061</v>
      </c>
    </row>
    <row r="3497" spans="1:8">
      <c r="A3497" s="60" t="s">
        <v>4059</v>
      </c>
      <c r="B3497" s="62">
        <v>8</v>
      </c>
      <c r="C3497" s="60" t="s">
        <v>5049</v>
      </c>
      <c r="D3497" s="64">
        <f>IFERROR(VLOOKUP(C3497,測定点マスタ!$E$2:$F$28,2,FALSE)/VLOOKUP(A3497,'焼鈍条件-3CGL'!$A$2:$B$197,2,FALSE)*60,"")</f>
        <v>57.507483850638096</v>
      </c>
      <c r="E3497" s="66">
        <v>602.20000000000005</v>
      </c>
      <c r="F3497" s="64">
        <f t="shared" si="54"/>
        <v>-25.732551428571437</v>
      </c>
      <c r="G3497" s="60" t="s">
        <v>9</v>
      </c>
      <c r="H3497" s="60" t="s">
        <v>5061</v>
      </c>
    </row>
    <row r="3498" spans="1:8">
      <c r="A3498" s="60" t="s">
        <v>4059</v>
      </c>
      <c r="B3498" s="62">
        <v>9</v>
      </c>
      <c r="C3498" s="60" t="s">
        <v>5050</v>
      </c>
      <c r="D3498" s="64">
        <f>IFERROR(VLOOKUP(C3498,測定点マスタ!$E$2:$F$28,2,FALSE)/VLOOKUP(A3498,'焼鈍条件-3CGL'!$A$2:$B$197,2,FALSE)*60,"")</f>
        <v>63.809673861666937</v>
      </c>
      <c r="E3498" s="66">
        <v>526.9</v>
      </c>
      <c r="F3498" s="64">
        <f t="shared" si="54"/>
        <v>-11.948227499999994</v>
      </c>
      <c r="G3498" s="60" t="s">
        <v>9</v>
      </c>
      <c r="H3498" s="60" t="s">
        <v>5061</v>
      </c>
    </row>
    <row r="3499" spans="1:8">
      <c r="A3499" s="60" t="s">
        <v>4059</v>
      </c>
      <c r="B3499" s="62">
        <v>10</v>
      </c>
      <c r="C3499" s="60" t="s">
        <v>5051</v>
      </c>
      <c r="D3499" s="64">
        <f>IFERROR(VLOOKUP(C3499,測定点マスタ!$E$2:$F$28,2,FALSE)/VLOOKUP(A3499,'焼鈍条件-3CGL'!$A$2:$B$197,2,FALSE)*60,"")</f>
        <v>69.324090121317155</v>
      </c>
      <c r="E3499" s="66">
        <v>453.6</v>
      </c>
      <c r="F3499" s="64">
        <f t="shared" si="54"/>
        <v>-13.292431428571444</v>
      </c>
      <c r="G3499" s="60" t="s">
        <v>9</v>
      </c>
      <c r="H3499" s="60" t="s">
        <v>5061</v>
      </c>
    </row>
    <row r="3500" spans="1:8">
      <c r="A3500" s="60" t="s">
        <v>4059</v>
      </c>
      <c r="B3500" s="62">
        <v>11</v>
      </c>
      <c r="C3500" s="60" t="s">
        <v>5052</v>
      </c>
      <c r="D3500" s="64">
        <f>IFERROR(VLOOKUP(C3500,測定点マスタ!$E$2:$F$28,2,FALSE)/VLOOKUP(A3500,'焼鈍条件-3CGL'!$A$2:$B$197,2,FALSE)*60,"")</f>
        <v>76.414053883724591</v>
      </c>
      <c r="E3500" s="66">
        <v>344.9</v>
      </c>
      <c r="F3500" s="64">
        <f t="shared" si="54"/>
        <v>-15.331531111111119</v>
      </c>
      <c r="G3500" s="60" t="s">
        <v>9</v>
      </c>
      <c r="H3500" s="60" t="s">
        <v>5061</v>
      </c>
    </row>
    <row r="3501" spans="1:8">
      <c r="A3501" s="60" t="s">
        <v>4059</v>
      </c>
      <c r="B3501" s="62">
        <v>12</v>
      </c>
      <c r="C3501" s="60" t="s">
        <v>5053</v>
      </c>
      <c r="D3501" s="64">
        <f>IFERROR(VLOOKUP(C3501,測定点マスタ!$E$2:$F$28,2,FALSE)/VLOOKUP(A3501,'焼鈍条件-3CGL'!$A$2:$B$197,2,FALSE)*60,"")</f>
        <v>85.867338900267839</v>
      </c>
      <c r="E3501" s="66">
        <v>559.1</v>
      </c>
      <c r="F3501" s="64">
        <f t="shared" si="54"/>
        <v>22.658790000000007</v>
      </c>
      <c r="G3501" s="60" t="s">
        <v>9</v>
      </c>
      <c r="H3501" s="60" t="s">
        <v>5061</v>
      </c>
    </row>
    <row r="3502" spans="1:8">
      <c r="A3502" s="60" t="s">
        <v>4059</v>
      </c>
      <c r="B3502" s="62">
        <v>13</v>
      </c>
      <c r="C3502" s="60" t="s">
        <v>5063</v>
      </c>
      <c r="D3502" s="64">
        <f>IFERROR(VLOOKUP(C3502,測定点マスタ!$E$2:$F$28,2,FALSE)/VLOOKUP(A3502,'焼鈍条件-3CGL'!$A$2:$B$197,2,FALSE)*60,"")</f>
        <v>90.593981408539463</v>
      </c>
      <c r="E3502" s="66">
        <v>557.9</v>
      </c>
      <c r="F3502" s="64">
        <f t="shared" si="54"/>
        <v>-0.25388000000000965</v>
      </c>
      <c r="G3502" s="60" t="s">
        <v>9</v>
      </c>
      <c r="H3502" s="60" t="s">
        <v>5061</v>
      </c>
    </row>
    <row r="3503" spans="1:8">
      <c r="A3503" s="60" t="s">
        <v>4059</v>
      </c>
      <c r="B3503" s="62">
        <v>14</v>
      </c>
      <c r="C3503" s="60" t="s">
        <v>5054</v>
      </c>
      <c r="D3503" s="64">
        <f>IFERROR(VLOOKUP(C3503,測定点マスタ!$E$2:$F$28,2,FALSE)/VLOOKUP(A3503,'焼鈍条件-3CGL'!$A$2:$B$197,2,FALSE)*60,"")</f>
        <v>96.108397668189696</v>
      </c>
      <c r="E3503" s="66">
        <v>549.20000000000005</v>
      </c>
      <c r="F3503" s="64">
        <f t="shared" si="54"/>
        <v>-1.5776828571428436</v>
      </c>
      <c r="G3503" s="60" t="s">
        <v>9</v>
      </c>
      <c r="H3503" s="60" t="s">
        <v>5061</v>
      </c>
    </row>
    <row r="3504" spans="1:8">
      <c r="A3504" s="60" t="s">
        <v>4059</v>
      </c>
      <c r="B3504" s="62">
        <v>15</v>
      </c>
      <c r="C3504" s="60" t="s">
        <v>5056</v>
      </c>
      <c r="D3504" s="64">
        <f>IFERROR(VLOOKUP(C3504,測定点マスタ!$E$2:$F$28,2,FALSE)/VLOOKUP(A3504,'焼鈍条件-3CGL'!$A$2:$B$197,2,FALSE)*60,"")</f>
        <v>104.77390893335433</v>
      </c>
      <c r="E3504" s="66">
        <v>269.8</v>
      </c>
      <c r="F3504" s="64">
        <f t="shared" si="54"/>
        <v>-32.242760000000025</v>
      </c>
      <c r="G3504" s="60" t="s">
        <v>9</v>
      </c>
      <c r="H3504" s="60" t="s">
        <v>5061</v>
      </c>
    </row>
    <row r="3505" spans="1:8">
      <c r="A3505" s="60" t="s">
        <v>4059</v>
      </c>
      <c r="B3505" s="62">
        <v>16</v>
      </c>
      <c r="C3505" s="60" t="s">
        <v>5062</v>
      </c>
      <c r="D3505" s="64">
        <f>IFERROR(VLOOKUP(C3505,測定点マスタ!$E$2:$F$28,2,FALSE)/VLOOKUP(A3505,'焼鈍条件-3CGL'!$A$2:$B$197,2,FALSE)*60,"")</f>
        <v>114.22719394989758</v>
      </c>
      <c r="E3505" s="66">
        <v>455.8</v>
      </c>
      <c r="F3505" s="64">
        <f t="shared" si="54"/>
        <v>19.675700000000003</v>
      </c>
      <c r="G3505" s="60" t="s">
        <v>9</v>
      </c>
      <c r="H3505" s="60" t="s">
        <v>5061</v>
      </c>
    </row>
    <row r="3506" spans="1:8">
      <c r="A3506" s="60" t="s">
        <v>4059</v>
      </c>
      <c r="B3506" s="62">
        <v>17</v>
      </c>
      <c r="C3506" s="60" t="s">
        <v>5057</v>
      </c>
      <c r="D3506" s="64">
        <f>IFERROR(VLOOKUP(C3506,測定点マスタ!$E$2:$F$28,2,FALSE)/VLOOKUP(A3506,'焼鈍条件-3CGL'!$A$2:$B$197,2,FALSE)*60,"")</f>
        <v>129.89826464696472</v>
      </c>
      <c r="E3506" s="66">
        <v>196.9</v>
      </c>
      <c r="F3506" s="64">
        <f t="shared" si="54"/>
        <v>-16.520887755834927</v>
      </c>
      <c r="G3506" s="60" t="s">
        <v>9</v>
      </c>
      <c r="H3506" s="60" t="s">
        <v>5061</v>
      </c>
    </row>
    <row r="3507" spans="1:8">
      <c r="A3507" s="60" t="s">
        <v>4059</v>
      </c>
      <c r="B3507" s="62">
        <v>18</v>
      </c>
      <c r="C3507" s="60" t="s">
        <v>5058</v>
      </c>
      <c r="D3507" s="64">
        <f>IFERROR(VLOOKUP(C3507,測定点マスタ!$E$2:$F$28,2,FALSE)/VLOOKUP(A3507,'焼鈍条件-3CGL'!$A$2:$B$197,2,FALSE)*60,"")</f>
        <v>134.65304193207103</v>
      </c>
      <c r="E3507" s="66">
        <v>117.8</v>
      </c>
      <c r="F3507" s="64">
        <f t="shared" si="54"/>
        <v>-16.635900118344107</v>
      </c>
      <c r="G3507" s="60" t="s">
        <v>9</v>
      </c>
      <c r="H3507" s="60" t="s">
        <v>5061</v>
      </c>
    </row>
    <row r="3508" spans="1:8">
      <c r="A3508" s="61" t="s">
        <v>4059</v>
      </c>
      <c r="B3508" s="63">
        <v>19</v>
      </c>
      <c r="C3508" s="61" t="s">
        <v>5059</v>
      </c>
      <c r="D3508" s="65">
        <f>IFERROR(VLOOKUP(C3508,測定点マスタ!$E$2:$F$28,2,FALSE)/VLOOKUP(A3508,'焼鈍条件-3CGL'!$A$2:$B$197,2,FALSE)*60,"")</f>
        <v>139.4078192171782</v>
      </c>
      <c r="E3508" s="67">
        <v>74.7</v>
      </c>
      <c r="F3508" s="65">
        <f t="shared" si="54"/>
        <v>-9.064567573963366</v>
      </c>
      <c r="G3508" s="61" t="s">
        <v>9</v>
      </c>
      <c r="H3508" s="61" t="s">
        <v>5061</v>
      </c>
    </row>
  </sheetData>
  <phoneticPr fontId="3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測定点マスタ!$E$2:$E$28</xm:f>
          </x14:formula1>
          <xm:sqref>C2:C5000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97"/>
  <sheetViews>
    <sheetView workbookViewId="0"/>
  </sheetViews>
  <sheetFormatPr defaultRowHeight="14.25"/>
  <cols>
    <col min="1" max="1" width="18" customWidth="1"/>
    <col min="2" max="2" width="11" customWidth="1"/>
    <col min="3" max="18" width="12" customWidth="1"/>
    <col min="19" max="19" width="19" customWidth="1"/>
    <col min="20" max="25" width="12" customWidth="1"/>
    <col min="26" max="26" width="19" customWidth="1"/>
    <col min="27" max="29" width="12" customWidth="1"/>
    <col min="30" max="31" width="16" customWidth="1"/>
    <col min="32" max="32" width="18" customWidth="1"/>
    <col min="33" max="33" width="12" customWidth="1"/>
    <col min="34" max="34" width="13" customWidth="1"/>
    <col min="35" max="35" width="28" customWidth="1"/>
  </cols>
  <sheetData>
    <row r="1" spans="1:35" ht="42" customHeight="1">
      <c r="A1" s="68" t="s">
        <v>5071</v>
      </c>
      <c r="B1" s="68" t="s">
        <v>5072</v>
      </c>
      <c r="C1" s="68" t="s">
        <v>5073</v>
      </c>
      <c r="D1" s="68" t="s">
        <v>5074</v>
      </c>
      <c r="E1" s="68" t="s">
        <v>5075</v>
      </c>
      <c r="F1" s="68" t="s">
        <v>5076</v>
      </c>
      <c r="G1" s="68" t="s">
        <v>5077</v>
      </c>
      <c r="H1" s="68" t="s">
        <v>5078</v>
      </c>
      <c r="I1" s="68" t="s">
        <v>5079</v>
      </c>
      <c r="J1" s="68" t="s">
        <v>5080</v>
      </c>
      <c r="K1" s="68" t="s">
        <v>5081</v>
      </c>
      <c r="L1" s="68" t="s">
        <v>5082</v>
      </c>
      <c r="M1" s="68" t="s">
        <v>5083</v>
      </c>
      <c r="N1" s="68" t="s">
        <v>5084</v>
      </c>
      <c r="O1" s="68" t="s">
        <v>5085</v>
      </c>
      <c r="P1" s="68" t="s">
        <v>5086</v>
      </c>
      <c r="Q1" s="68" t="s">
        <v>5087</v>
      </c>
      <c r="R1" s="68" t="s">
        <v>5088</v>
      </c>
      <c r="S1" s="68" t="s">
        <v>5089</v>
      </c>
      <c r="T1" s="68" t="s">
        <v>5090</v>
      </c>
      <c r="U1" s="68" t="s">
        <v>5091</v>
      </c>
      <c r="V1" s="68" t="s">
        <v>5092</v>
      </c>
      <c r="W1" s="68" t="s">
        <v>5093</v>
      </c>
      <c r="X1" s="68" t="s">
        <v>5094</v>
      </c>
      <c r="Y1" s="68" t="s">
        <v>5095</v>
      </c>
      <c r="Z1" s="68" t="s">
        <v>5096</v>
      </c>
      <c r="AA1" s="68" t="s">
        <v>5097</v>
      </c>
      <c r="AB1" s="68" t="s">
        <v>5098</v>
      </c>
      <c r="AC1" s="68" t="s">
        <v>5099</v>
      </c>
      <c r="AD1" s="68" t="s">
        <v>4245</v>
      </c>
      <c r="AE1" s="68" t="s">
        <v>4090</v>
      </c>
      <c r="AF1" s="68" t="s">
        <v>4</v>
      </c>
      <c r="AG1" s="68" t="s">
        <v>5</v>
      </c>
      <c r="AH1" s="68" t="s">
        <v>6</v>
      </c>
      <c r="AI1" s="68" t="s">
        <v>4506</v>
      </c>
    </row>
    <row r="2" spans="1:35">
      <c r="A2" s="77" t="s">
        <v>1856</v>
      </c>
      <c r="B2" s="78">
        <v>119.742</v>
      </c>
      <c r="C2" s="81">
        <v>34.299999999999997</v>
      </c>
      <c r="D2" s="81">
        <v>164.1</v>
      </c>
      <c r="E2" s="81"/>
      <c r="F2" s="81">
        <v>630.5</v>
      </c>
      <c r="G2" s="81">
        <v>764.8</v>
      </c>
      <c r="H2" s="81">
        <v>748.7</v>
      </c>
      <c r="I2" s="81">
        <v>707.3</v>
      </c>
      <c r="J2" s="81">
        <v>666.2</v>
      </c>
      <c r="K2" s="81">
        <v>545</v>
      </c>
      <c r="L2" s="81">
        <v>492.6</v>
      </c>
      <c r="M2" s="81">
        <v>442.5</v>
      </c>
      <c r="N2" s="81"/>
      <c r="O2" s="81">
        <v>321.89999999999998</v>
      </c>
      <c r="P2" s="81"/>
      <c r="Q2" s="81"/>
      <c r="R2" s="81">
        <v>497.5</v>
      </c>
      <c r="S2" s="81"/>
      <c r="T2" s="81">
        <v>500.3</v>
      </c>
      <c r="U2" s="81">
        <v>510.4</v>
      </c>
      <c r="V2" s="81">
        <v>245.6</v>
      </c>
      <c r="W2" s="81"/>
      <c r="X2" s="81"/>
      <c r="Y2" s="81"/>
      <c r="Z2" s="81"/>
      <c r="AA2" s="81">
        <v>179.4</v>
      </c>
      <c r="AB2" s="81">
        <v>104.3</v>
      </c>
      <c r="AC2" s="81">
        <v>48.3</v>
      </c>
      <c r="AD2" s="79" t="s">
        <v>5100</v>
      </c>
      <c r="AE2" s="79" t="s">
        <v>5101</v>
      </c>
      <c r="AF2" s="79" t="s">
        <v>11</v>
      </c>
      <c r="AG2" s="79" t="s">
        <v>12</v>
      </c>
      <c r="AH2" s="80">
        <v>45749</v>
      </c>
      <c r="AI2" s="79"/>
    </row>
    <row r="3" spans="1:35">
      <c r="A3" s="69" t="s">
        <v>1867</v>
      </c>
      <c r="B3" s="70">
        <v>125.94799999999999</v>
      </c>
      <c r="C3" s="82">
        <v>39.4</v>
      </c>
      <c r="D3" s="82">
        <v>187.6</v>
      </c>
      <c r="E3" s="82"/>
      <c r="F3" s="82">
        <v>638.1</v>
      </c>
      <c r="G3" s="82">
        <v>771.9</v>
      </c>
      <c r="H3" s="82">
        <v>726.9</v>
      </c>
      <c r="I3" s="82">
        <v>717.5</v>
      </c>
      <c r="J3" s="82"/>
      <c r="K3" s="82">
        <v>562</v>
      </c>
      <c r="L3" s="82">
        <v>456.9</v>
      </c>
      <c r="M3" s="82">
        <v>440.4</v>
      </c>
      <c r="N3" s="82">
        <v>404.5</v>
      </c>
      <c r="O3" s="82">
        <v>325.7</v>
      </c>
      <c r="P3" s="82"/>
      <c r="Q3" s="82"/>
      <c r="R3" s="82">
        <v>511.7</v>
      </c>
      <c r="S3" s="82"/>
      <c r="T3" s="82">
        <v>493.2</v>
      </c>
      <c r="U3" s="82"/>
      <c r="V3" s="82">
        <v>248.1</v>
      </c>
      <c r="W3" s="82"/>
      <c r="X3" s="82"/>
      <c r="Y3" s="82"/>
      <c r="Z3" s="82"/>
      <c r="AA3" s="82">
        <v>175.3</v>
      </c>
      <c r="AB3" s="82">
        <v>101</v>
      </c>
      <c r="AC3" s="82">
        <v>53</v>
      </c>
      <c r="AD3" s="71" t="s">
        <v>5102</v>
      </c>
      <c r="AE3" s="71" t="s">
        <v>5101</v>
      </c>
      <c r="AF3" s="71" t="s">
        <v>14</v>
      </c>
      <c r="AG3" s="71" t="s">
        <v>9</v>
      </c>
      <c r="AH3" s="72">
        <v>45752</v>
      </c>
      <c r="AI3" s="71"/>
    </row>
    <row r="4" spans="1:35">
      <c r="A4" s="77" t="s">
        <v>1886</v>
      </c>
      <c r="B4" s="78">
        <v>111.04900000000001</v>
      </c>
      <c r="C4" s="81">
        <v>35.5</v>
      </c>
      <c r="D4" s="81">
        <v>168.3</v>
      </c>
      <c r="E4" s="81"/>
      <c r="F4" s="81">
        <v>659.2</v>
      </c>
      <c r="G4" s="81">
        <v>803.8</v>
      </c>
      <c r="H4" s="81"/>
      <c r="I4" s="81">
        <v>751.6</v>
      </c>
      <c r="J4" s="81"/>
      <c r="K4" s="81">
        <v>585.6</v>
      </c>
      <c r="L4" s="81">
        <v>468.6</v>
      </c>
      <c r="M4" s="81">
        <v>455.3</v>
      </c>
      <c r="N4" s="81">
        <v>407.4</v>
      </c>
      <c r="O4" s="81">
        <v>334.6</v>
      </c>
      <c r="P4" s="81"/>
      <c r="Q4" s="81"/>
      <c r="R4" s="81">
        <v>533.6</v>
      </c>
      <c r="S4" s="81"/>
      <c r="T4" s="81">
        <v>519.20000000000005</v>
      </c>
      <c r="U4" s="81"/>
      <c r="V4" s="81">
        <v>272.7</v>
      </c>
      <c r="W4" s="81">
        <v>458.9</v>
      </c>
      <c r="X4" s="81"/>
      <c r="Y4" s="81"/>
      <c r="Z4" s="81"/>
      <c r="AA4" s="81">
        <v>277.39999999999998</v>
      </c>
      <c r="AB4" s="81"/>
      <c r="AC4" s="81">
        <v>40</v>
      </c>
      <c r="AD4" s="79" t="s">
        <v>5103</v>
      </c>
      <c r="AE4" s="79" t="s">
        <v>5101</v>
      </c>
      <c r="AF4" s="79" t="s">
        <v>16</v>
      </c>
      <c r="AG4" s="79" t="s">
        <v>12</v>
      </c>
      <c r="AH4" s="80">
        <v>45755</v>
      </c>
      <c r="AI4" s="79"/>
    </row>
    <row r="5" spans="1:35">
      <c r="A5" s="69" t="s">
        <v>1912</v>
      </c>
      <c r="B5" s="70">
        <v>87.738</v>
      </c>
      <c r="C5" s="82">
        <v>26.5</v>
      </c>
      <c r="D5" s="82">
        <v>187.6</v>
      </c>
      <c r="E5" s="82"/>
      <c r="F5" s="82">
        <v>687.6</v>
      </c>
      <c r="G5" s="82">
        <v>822.8</v>
      </c>
      <c r="H5" s="82">
        <v>796</v>
      </c>
      <c r="I5" s="82">
        <v>763.7</v>
      </c>
      <c r="J5" s="82"/>
      <c r="K5" s="82">
        <v>600.20000000000005</v>
      </c>
      <c r="L5" s="82">
        <v>525.29999999999995</v>
      </c>
      <c r="M5" s="82">
        <v>484.2</v>
      </c>
      <c r="N5" s="82"/>
      <c r="O5" s="82">
        <v>349.1</v>
      </c>
      <c r="P5" s="82"/>
      <c r="Q5" s="82"/>
      <c r="R5" s="82">
        <v>536.79999999999995</v>
      </c>
      <c r="S5" s="82">
        <v>531.79999999999995</v>
      </c>
      <c r="T5" s="82">
        <v>509</v>
      </c>
      <c r="U5" s="82"/>
      <c r="V5" s="82">
        <v>259.5</v>
      </c>
      <c r="W5" s="82"/>
      <c r="X5" s="82"/>
      <c r="Y5" s="82"/>
      <c r="Z5" s="82"/>
      <c r="AA5" s="82">
        <v>242.4</v>
      </c>
      <c r="AB5" s="82"/>
      <c r="AC5" s="82">
        <v>63.6</v>
      </c>
      <c r="AD5" s="71" t="s">
        <v>5104</v>
      </c>
      <c r="AE5" s="71" t="s">
        <v>5101</v>
      </c>
      <c r="AF5" s="71" t="s">
        <v>8</v>
      </c>
      <c r="AG5" s="71" t="s">
        <v>9</v>
      </c>
      <c r="AH5" s="72">
        <v>45758</v>
      </c>
      <c r="AI5" s="71"/>
    </row>
    <row r="6" spans="1:35">
      <c r="A6" s="77" t="s">
        <v>1927</v>
      </c>
      <c r="B6" s="78">
        <v>70.278999999999996</v>
      </c>
      <c r="C6" s="81">
        <v>39.9</v>
      </c>
      <c r="D6" s="81">
        <v>174.2</v>
      </c>
      <c r="E6" s="81"/>
      <c r="F6" s="81">
        <v>667.5</v>
      </c>
      <c r="G6" s="81">
        <v>825.7</v>
      </c>
      <c r="H6" s="81"/>
      <c r="I6" s="81">
        <v>772.8</v>
      </c>
      <c r="J6" s="81"/>
      <c r="K6" s="81">
        <v>622.79999999999995</v>
      </c>
      <c r="L6" s="81">
        <v>488.3</v>
      </c>
      <c r="M6" s="81">
        <v>442.1</v>
      </c>
      <c r="N6" s="81"/>
      <c r="O6" s="81">
        <v>340.9</v>
      </c>
      <c r="P6" s="81"/>
      <c r="Q6" s="81"/>
      <c r="R6" s="81">
        <v>528.20000000000005</v>
      </c>
      <c r="S6" s="81"/>
      <c r="T6" s="81">
        <v>510.3</v>
      </c>
      <c r="U6" s="81"/>
      <c r="V6" s="81">
        <v>276.89999999999998</v>
      </c>
      <c r="W6" s="81">
        <v>452.4</v>
      </c>
      <c r="X6" s="81">
        <v>546.5</v>
      </c>
      <c r="Y6" s="81">
        <v>531.29999999999995</v>
      </c>
      <c r="Z6" s="81"/>
      <c r="AA6" s="81">
        <v>208.4</v>
      </c>
      <c r="AB6" s="81"/>
      <c r="AC6" s="81">
        <v>53.7</v>
      </c>
      <c r="AD6" s="79" t="s">
        <v>5105</v>
      </c>
      <c r="AE6" s="79" t="s">
        <v>5101</v>
      </c>
      <c r="AF6" s="79" t="s">
        <v>11</v>
      </c>
      <c r="AG6" s="79" t="s">
        <v>12</v>
      </c>
      <c r="AH6" s="80">
        <v>45761</v>
      </c>
      <c r="AI6" s="79"/>
    </row>
    <row r="7" spans="1:35">
      <c r="A7" s="69" t="s">
        <v>1936</v>
      </c>
      <c r="B7" s="70">
        <v>60.695999999999998</v>
      </c>
      <c r="C7" s="82">
        <v>38.1</v>
      </c>
      <c r="D7" s="82">
        <v>189.9</v>
      </c>
      <c r="E7" s="82"/>
      <c r="F7" s="82">
        <v>656.9</v>
      </c>
      <c r="G7" s="82">
        <v>790.3</v>
      </c>
      <c r="H7" s="82"/>
      <c r="I7" s="82">
        <v>712.1</v>
      </c>
      <c r="J7" s="82"/>
      <c r="K7" s="82">
        <v>581.20000000000005</v>
      </c>
      <c r="L7" s="82">
        <v>493.9</v>
      </c>
      <c r="M7" s="82">
        <v>455</v>
      </c>
      <c r="N7" s="82"/>
      <c r="O7" s="82">
        <v>333.9</v>
      </c>
      <c r="P7" s="82"/>
      <c r="Q7" s="82"/>
      <c r="R7" s="82">
        <v>498</v>
      </c>
      <c r="S7" s="82"/>
      <c r="T7" s="82">
        <v>484.6</v>
      </c>
      <c r="U7" s="82"/>
      <c r="V7" s="82">
        <v>251</v>
      </c>
      <c r="W7" s="82">
        <v>460.8</v>
      </c>
      <c r="X7" s="82">
        <v>543.29999999999995</v>
      </c>
      <c r="Y7" s="82">
        <v>533.20000000000005</v>
      </c>
      <c r="Z7" s="82"/>
      <c r="AA7" s="82">
        <v>188.1</v>
      </c>
      <c r="AB7" s="82"/>
      <c r="AC7" s="82">
        <v>46.8</v>
      </c>
      <c r="AD7" s="71" t="s">
        <v>5106</v>
      </c>
      <c r="AE7" s="71" t="s">
        <v>5101</v>
      </c>
      <c r="AF7" s="71" t="s">
        <v>16</v>
      </c>
      <c r="AG7" s="71" t="s">
        <v>12</v>
      </c>
      <c r="AH7" s="72">
        <v>45767</v>
      </c>
      <c r="AI7" s="71"/>
    </row>
    <row r="8" spans="1:35">
      <c r="A8" s="77" t="s">
        <v>1939</v>
      </c>
      <c r="B8" s="78">
        <v>133.61500000000001</v>
      </c>
      <c r="C8" s="81">
        <v>37.700000000000003</v>
      </c>
      <c r="D8" s="81">
        <v>170</v>
      </c>
      <c r="E8" s="81">
        <v>335.9</v>
      </c>
      <c r="F8" s="81">
        <v>621.70000000000005</v>
      </c>
      <c r="G8" s="81">
        <v>742.5</v>
      </c>
      <c r="H8" s="81">
        <v>717.8</v>
      </c>
      <c r="I8" s="81">
        <v>691.3</v>
      </c>
      <c r="J8" s="81"/>
      <c r="K8" s="81">
        <v>551.9</v>
      </c>
      <c r="L8" s="81">
        <v>470.5</v>
      </c>
      <c r="M8" s="81">
        <v>417.6</v>
      </c>
      <c r="N8" s="81"/>
      <c r="O8" s="81">
        <v>329</v>
      </c>
      <c r="P8" s="81"/>
      <c r="Q8" s="81"/>
      <c r="R8" s="81">
        <v>493.2</v>
      </c>
      <c r="S8" s="81">
        <v>498.8</v>
      </c>
      <c r="T8" s="81">
        <v>478.6</v>
      </c>
      <c r="U8" s="81"/>
      <c r="V8" s="81">
        <v>252.6</v>
      </c>
      <c r="W8" s="81">
        <v>467.2</v>
      </c>
      <c r="X8" s="81"/>
      <c r="Y8" s="81"/>
      <c r="Z8" s="81">
        <v>372.4</v>
      </c>
      <c r="AA8" s="81">
        <v>266.8</v>
      </c>
      <c r="AB8" s="81">
        <v>135.69999999999999</v>
      </c>
      <c r="AC8" s="81">
        <v>52.2</v>
      </c>
      <c r="AD8" s="79" t="s">
        <v>5107</v>
      </c>
      <c r="AE8" s="79" t="s">
        <v>5101</v>
      </c>
      <c r="AF8" s="79" t="s">
        <v>8</v>
      </c>
      <c r="AG8" s="79" t="s">
        <v>9</v>
      </c>
      <c r="AH8" s="80">
        <v>45770</v>
      </c>
      <c r="AI8" s="79"/>
    </row>
    <row r="9" spans="1:35">
      <c r="A9" s="69" t="s">
        <v>1944</v>
      </c>
      <c r="B9" s="70">
        <v>138.33000000000001</v>
      </c>
      <c r="C9" s="82">
        <v>35.5</v>
      </c>
      <c r="D9" s="82">
        <v>184.8</v>
      </c>
      <c r="E9" s="82"/>
      <c r="F9" s="82">
        <v>612.70000000000005</v>
      </c>
      <c r="G9" s="82">
        <v>768.1</v>
      </c>
      <c r="H9" s="82">
        <v>733</v>
      </c>
      <c r="I9" s="82">
        <v>694.1</v>
      </c>
      <c r="J9" s="82"/>
      <c r="K9" s="82">
        <v>558.20000000000005</v>
      </c>
      <c r="L9" s="82">
        <v>471.7</v>
      </c>
      <c r="M9" s="82">
        <v>429.9</v>
      </c>
      <c r="N9" s="82">
        <v>378.9</v>
      </c>
      <c r="O9" s="82">
        <v>339.9</v>
      </c>
      <c r="P9" s="82"/>
      <c r="Q9" s="82"/>
      <c r="R9" s="82">
        <v>493.1</v>
      </c>
      <c r="S9" s="82"/>
      <c r="T9" s="82">
        <v>482.7</v>
      </c>
      <c r="U9" s="82"/>
      <c r="V9" s="82">
        <v>244.5</v>
      </c>
      <c r="W9" s="82">
        <v>463.1</v>
      </c>
      <c r="X9" s="82"/>
      <c r="Y9" s="82"/>
      <c r="Z9" s="82">
        <v>361.8</v>
      </c>
      <c r="AA9" s="82">
        <v>269.39999999999998</v>
      </c>
      <c r="AB9" s="82"/>
      <c r="AC9" s="82">
        <v>69.900000000000006</v>
      </c>
      <c r="AD9" s="71" t="s">
        <v>5108</v>
      </c>
      <c r="AE9" s="71" t="s">
        <v>5101</v>
      </c>
      <c r="AF9" s="71" t="s">
        <v>11</v>
      </c>
      <c r="AG9" s="71" t="s">
        <v>12</v>
      </c>
      <c r="AH9" s="72">
        <v>45773</v>
      </c>
      <c r="AI9" s="71"/>
    </row>
    <row r="10" spans="1:35">
      <c r="A10" s="77" t="s">
        <v>1949</v>
      </c>
      <c r="B10" s="78">
        <v>128.024</v>
      </c>
      <c r="C10" s="81">
        <v>25.4</v>
      </c>
      <c r="D10" s="81">
        <v>183.5</v>
      </c>
      <c r="E10" s="81"/>
      <c r="F10" s="81">
        <v>640.9</v>
      </c>
      <c r="G10" s="81">
        <v>806.7</v>
      </c>
      <c r="H10" s="81"/>
      <c r="I10" s="81">
        <v>715.9</v>
      </c>
      <c r="J10" s="81"/>
      <c r="K10" s="81">
        <v>588.1</v>
      </c>
      <c r="L10" s="81">
        <v>502</v>
      </c>
      <c r="M10" s="81">
        <v>456.9</v>
      </c>
      <c r="N10" s="81"/>
      <c r="O10" s="81">
        <v>338.1</v>
      </c>
      <c r="P10" s="81"/>
      <c r="Q10" s="81"/>
      <c r="R10" s="81">
        <v>541.29999999999995</v>
      </c>
      <c r="S10" s="81"/>
      <c r="T10" s="81">
        <v>536.6</v>
      </c>
      <c r="U10" s="81"/>
      <c r="V10" s="81">
        <v>278</v>
      </c>
      <c r="W10" s="81">
        <v>466.7</v>
      </c>
      <c r="X10" s="81">
        <v>528.79999999999995</v>
      </c>
      <c r="Y10" s="81">
        <v>520.29999999999995</v>
      </c>
      <c r="Z10" s="81"/>
      <c r="AA10" s="81">
        <v>186.2</v>
      </c>
      <c r="AB10" s="81"/>
      <c r="AC10" s="81">
        <v>58.2</v>
      </c>
      <c r="AD10" s="79" t="s">
        <v>5109</v>
      </c>
      <c r="AE10" s="79" t="s">
        <v>5101</v>
      </c>
      <c r="AF10" s="79" t="s">
        <v>14</v>
      </c>
      <c r="AG10" s="79" t="s">
        <v>9</v>
      </c>
      <c r="AH10" s="80">
        <v>45776</v>
      </c>
      <c r="AI10" s="79"/>
    </row>
    <row r="11" spans="1:35">
      <c r="A11" s="69" t="s">
        <v>1965</v>
      </c>
      <c r="B11" s="70">
        <v>73.141000000000005</v>
      </c>
      <c r="C11" s="82">
        <v>31.8</v>
      </c>
      <c r="D11" s="82">
        <v>198.1</v>
      </c>
      <c r="E11" s="82"/>
      <c r="F11" s="82">
        <v>694</v>
      </c>
      <c r="G11" s="82">
        <v>852.2</v>
      </c>
      <c r="H11" s="82"/>
      <c r="I11" s="82">
        <v>763.2</v>
      </c>
      <c r="J11" s="82"/>
      <c r="K11" s="82">
        <v>650.1</v>
      </c>
      <c r="L11" s="82">
        <v>506.7</v>
      </c>
      <c r="M11" s="82">
        <v>461.3</v>
      </c>
      <c r="N11" s="82"/>
      <c r="O11" s="82">
        <v>372.2</v>
      </c>
      <c r="P11" s="82"/>
      <c r="Q11" s="82">
        <v>549.4</v>
      </c>
      <c r="R11" s="82">
        <v>548</v>
      </c>
      <c r="S11" s="82"/>
      <c r="T11" s="82">
        <v>525.1</v>
      </c>
      <c r="U11" s="82"/>
      <c r="V11" s="82">
        <v>266.3</v>
      </c>
      <c r="W11" s="82">
        <v>458</v>
      </c>
      <c r="X11" s="82"/>
      <c r="Y11" s="82"/>
      <c r="Z11" s="82"/>
      <c r="AA11" s="82">
        <v>173.6</v>
      </c>
      <c r="AB11" s="82"/>
      <c r="AC11" s="82">
        <v>35.700000000000003</v>
      </c>
      <c r="AD11" s="71" t="s">
        <v>5110</v>
      </c>
      <c r="AE11" s="71" t="s">
        <v>5111</v>
      </c>
      <c r="AF11" s="71" t="s">
        <v>16</v>
      </c>
      <c r="AG11" s="71" t="s">
        <v>12</v>
      </c>
      <c r="AH11" s="72">
        <v>45779</v>
      </c>
      <c r="AI11" s="71"/>
    </row>
    <row r="12" spans="1:35">
      <c r="A12" s="77" t="s">
        <v>1980</v>
      </c>
      <c r="B12" s="78">
        <v>55.076999999999998</v>
      </c>
      <c r="C12" s="81">
        <v>37.5</v>
      </c>
      <c r="D12" s="81">
        <v>174.1</v>
      </c>
      <c r="E12" s="81">
        <v>379.5</v>
      </c>
      <c r="F12" s="81">
        <v>695.4</v>
      </c>
      <c r="G12" s="81">
        <v>851</v>
      </c>
      <c r="H12" s="81"/>
      <c r="I12" s="81">
        <v>803.8</v>
      </c>
      <c r="J12" s="81"/>
      <c r="K12" s="81">
        <v>615.79999999999995</v>
      </c>
      <c r="L12" s="81">
        <v>543.1</v>
      </c>
      <c r="M12" s="81">
        <v>476.2</v>
      </c>
      <c r="N12" s="81"/>
      <c r="O12" s="81">
        <v>377.1</v>
      </c>
      <c r="P12" s="81"/>
      <c r="Q12" s="81"/>
      <c r="R12" s="81">
        <v>541</v>
      </c>
      <c r="S12" s="81"/>
      <c r="T12" s="81">
        <v>525.70000000000005</v>
      </c>
      <c r="U12" s="81"/>
      <c r="V12" s="81">
        <v>278.3</v>
      </c>
      <c r="W12" s="81">
        <v>460.6</v>
      </c>
      <c r="X12" s="81">
        <v>513.5</v>
      </c>
      <c r="Y12" s="81">
        <v>494.3</v>
      </c>
      <c r="Z12" s="81"/>
      <c r="AA12" s="81">
        <v>202.4</v>
      </c>
      <c r="AB12" s="81"/>
      <c r="AC12" s="81">
        <v>62.4</v>
      </c>
      <c r="AD12" s="79" t="s">
        <v>5112</v>
      </c>
      <c r="AE12" s="79" t="s">
        <v>5111</v>
      </c>
      <c r="AF12" s="79" t="s">
        <v>8</v>
      </c>
      <c r="AG12" s="79" t="s">
        <v>9</v>
      </c>
      <c r="AH12" s="80">
        <v>45782</v>
      </c>
      <c r="AI12" s="79"/>
    </row>
    <row r="13" spans="1:35">
      <c r="A13" s="69" t="s">
        <v>1989</v>
      </c>
      <c r="B13" s="70">
        <v>70.447000000000003</v>
      </c>
      <c r="C13" s="82">
        <v>37.4</v>
      </c>
      <c r="D13" s="82">
        <v>198</v>
      </c>
      <c r="E13" s="82"/>
      <c r="F13" s="82">
        <v>709.2</v>
      </c>
      <c r="G13" s="82">
        <v>839.1</v>
      </c>
      <c r="H13" s="82"/>
      <c r="I13" s="82">
        <v>783.9</v>
      </c>
      <c r="J13" s="82"/>
      <c r="K13" s="82">
        <v>627.6</v>
      </c>
      <c r="L13" s="82">
        <v>536.6</v>
      </c>
      <c r="M13" s="82">
        <v>492.6</v>
      </c>
      <c r="N13" s="82">
        <v>423.9</v>
      </c>
      <c r="O13" s="82">
        <v>376.2</v>
      </c>
      <c r="P13" s="82"/>
      <c r="Q13" s="82"/>
      <c r="R13" s="82">
        <v>533.4</v>
      </c>
      <c r="S13" s="82"/>
      <c r="T13" s="82">
        <v>519.70000000000005</v>
      </c>
      <c r="U13" s="82"/>
      <c r="V13" s="82">
        <v>261.3</v>
      </c>
      <c r="W13" s="82">
        <v>463.6</v>
      </c>
      <c r="X13" s="82"/>
      <c r="Y13" s="82"/>
      <c r="Z13" s="82"/>
      <c r="AA13" s="82">
        <v>196.8</v>
      </c>
      <c r="AB13" s="82">
        <v>137.80000000000001</v>
      </c>
      <c r="AC13" s="82">
        <v>45.6</v>
      </c>
      <c r="AD13" s="71" t="s">
        <v>5113</v>
      </c>
      <c r="AE13" s="71" t="s">
        <v>5111</v>
      </c>
      <c r="AF13" s="71" t="s">
        <v>8</v>
      </c>
      <c r="AG13" s="71" t="s">
        <v>9</v>
      </c>
      <c r="AH13" s="72">
        <v>45782</v>
      </c>
      <c r="AI13" s="71"/>
    </row>
    <row r="14" spans="1:35">
      <c r="A14" s="77" t="s">
        <v>2004</v>
      </c>
      <c r="B14" s="78">
        <v>131.732</v>
      </c>
      <c r="C14" s="81">
        <v>34</v>
      </c>
      <c r="D14" s="81">
        <v>182.7</v>
      </c>
      <c r="E14" s="81"/>
      <c r="F14" s="81">
        <v>630.9</v>
      </c>
      <c r="G14" s="81">
        <v>780.4</v>
      </c>
      <c r="H14" s="81">
        <v>749.3</v>
      </c>
      <c r="I14" s="81">
        <v>730.4</v>
      </c>
      <c r="J14" s="81"/>
      <c r="K14" s="81">
        <v>571.6</v>
      </c>
      <c r="L14" s="81">
        <v>481.8</v>
      </c>
      <c r="M14" s="81">
        <v>440.8</v>
      </c>
      <c r="N14" s="81"/>
      <c r="O14" s="81">
        <v>321.89999999999998</v>
      </c>
      <c r="P14" s="81"/>
      <c r="Q14" s="81"/>
      <c r="R14" s="81">
        <v>506.5</v>
      </c>
      <c r="S14" s="81"/>
      <c r="T14" s="81">
        <v>494.1</v>
      </c>
      <c r="U14" s="81"/>
      <c r="V14" s="81">
        <v>252.1</v>
      </c>
      <c r="W14" s="81"/>
      <c r="X14" s="81"/>
      <c r="Y14" s="81"/>
      <c r="Z14" s="81"/>
      <c r="AA14" s="81">
        <v>181.4</v>
      </c>
      <c r="AB14" s="81">
        <v>129.1</v>
      </c>
      <c r="AC14" s="81">
        <v>74</v>
      </c>
      <c r="AD14" s="79" t="s">
        <v>5114</v>
      </c>
      <c r="AE14" s="79" t="s">
        <v>5111</v>
      </c>
      <c r="AF14" s="79" t="s">
        <v>14</v>
      </c>
      <c r="AG14" s="79" t="s">
        <v>9</v>
      </c>
      <c r="AH14" s="80">
        <v>45788</v>
      </c>
      <c r="AI14" s="79"/>
    </row>
    <row r="15" spans="1:35">
      <c r="A15" s="69" t="s">
        <v>2013</v>
      </c>
      <c r="B15" s="70">
        <v>104.11199999999999</v>
      </c>
      <c r="C15" s="82">
        <v>35.4</v>
      </c>
      <c r="D15" s="82">
        <v>175.1</v>
      </c>
      <c r="E15" s="82"/>
      <c r="F15" s="82">
        <v>680.2</v>
      </c>
      <c r="G15" s="82">
        <v>837.4</v>
      </c>
      <c r="H15" s="82"/>
      <c r="I15" s="82">
        <v>787.8</v>
      </c>
      <c r="J15" s="82"/>
      <c r="K15" s="82">
        <v>635.29999999999995</v>
      </c>
      <c r="L15" s="82">
        <v>521.9</v>
      </c>
      <c r="M15" s="82">
        <v>491.5</v>
      </c>
      <c r="N15" s="82"/>
      <c r="O15" s="82">
        <v>371.7</v>
      </c>
      <c r="P15" s="82"/>
      <c r="Q15" s="82">
        <v>518.1</v>
      </c>
      <c r="R15" s="82">
        <v>540.5</v>
      </c>
      <c r="S15" s="82"/>
      <c r="T15" s="82">
        <v>521.79999999999995</v>
      </c>
      <c r="U15" s="82"/>
      <c r="V15" s="82">
        <v>287.60000000000002</v>
      </c>
      <c r="W15" s="82">
        <v>455.6</v>
      </c>
      <c r="X15" s="82">
        <v>549.9</v>
      </c>
      <c r="Y15" s="82">
        <v>522.1</v>
      </c>
      <c r="Z15" s="82"/>
      <c r="AA15" s="82">
        <v>286.3</v>
      </c>
      <c r="AB15" s="82"/>
      <c r="AC15" s="82">
        <v>67.8</v>
      </c>
      <c r="AD15" s="71" t="s">
        <v>5115</v>
      </c>
      <c r="AE15" s="71" t="s">
        <v>5111</v>
      </c>
      <c r="AF15" s="71" t="s">
        <v>8</v>
      </c>
      <c r="AG15" s="71" t="s">
        <v>9</v>
      </c>
      <c r="AH15" s="72">
        <v>45794</v>
      </c>
      <c r="AI15" s="71"/>
    </row>
    <row r="16" spans="1:35">
      <c r="A16" s="77" t="s">
        <v>2031</v>
      </c>
      <c r="B16" s="78">
        <v>98.849000000000004</v>
      </c>
      <c r="C16" s="81">
        <v>37.299999999999997</v>
      </c>
      <c r="D16" s="81">
        <v>200.5</v>
      </c>
      <c r="E16" s="81"/>
      <c r="F16" s="81">
        <v>708.7</v>
      </c>
      <c r="G16" s="81">
        <v>866.2</v>
      </c>
      <c r="H16" s="81"/>
      <c r="I16" s="81">
        <v>802.9</v>
      </c>
      <c r="J16" s="81"/>
      <c r="K16" s="81">
        <v>665</v>
      </c>
      <c r="L16" s="81">
        <v>552.20000000000005</v>
      </c>
      <c r="M16" s="81">
        <v>480.7</v>
      </c>
      <c r="N16" s="81">
        <v>421.6</v>
      </c>
      <c r="O16" s="81">
        <v>380.3</v>
      </c>
      <c r="P16" s="81"/>
      <c r="Q16" s="81">
        <v>540.9</v>
      </c>
      <c r="R16" s="81">
        <v>575.79999999999995</v>
      </c>
      <c r="S16" s="81"/>
      <c r="T16" s="81">
        <v>559.70000000000005</v>
      </c>
      <c r="U16" s="81"/>
      <c r="V16" s="81">
        <v>277.10000000000002</v>
      </c>
      <c r="W16" s="81"/>
      <c r="X16" s="81"/>
      <c r="Y16" s="81"/>
      <c r="Z16" s="81"/>
      <c r="AA16" s="81">
        <v>267</v>
      </c>
      <c r="AB16" s="81">
        <v>141.4</v>
      </c>
      <c r="AC16" s="81">
        <v>66.099999999999994</v>
      </c>
      <c r="AD16" s="79" t="s">
        <v>5116</v>
      </c>
      <c r="AE16" s="79" t="s">
        <v>5111</v>
      </c>
      <c r="AF16" s="79" t="s">
        <v>11</v>
      </c>
      <c r="AG16" s="79" t="s">
        <v>12</v>
      </c>
      <c r="AH16" s="80">
        <v>45797</v>
      </c>
      <c r="AI16" s="79"/>
    </row>
    <row r="17" spans="1:35">
      <c r="A17" s="69" t="s">
        <v>2046</v>
      </c>
      <c r="B17" s="70">
        <v>86.421999999999997</v>
      </c>
      <c r="C17" s="82">
        <v>28.5</v>
      </c>
      <c r="D17" s="82">
        <v>183.5</v>
      </c>
      <c r="E17" s="82"/>
      <c r="F17" s="82">
        <v>692.8</v>
      </c>
      <c r="G17" s="82">
        <v>853</v>
      </c>
      <c r="H17" s="82"/>
      <c r="I17" s="82">
        <v>781</v>
      </c>
      <c r="J17" s="82">
        <v>766.5</v>
      </c>
      <c r="K17" s="82">
        <v>635.29999999999995</v>
      </c>
      <c r="L17" s="82">
        <v>508.8</v>
      </c>
      <c r="M17" s="82">
        <v>497.2</v>
      </c>
      <c r="N17" s="82"/>
      <c r="O17" s="82">
        <v>362</v>
      </c>
      <c r="P17" s="82"/>
      <c r="Q17" s="82"/>
      <c r="R17" s="82">
        <v>574.1</v>
      </c>
      <c r="S17" s="82"/>
      <c r="T17" s="82">
        <v>574.9</v>
      </c>
      <c r="U17" s="82">
        <v>586.1</v>
      </c>
      <c r="V17" s="82">
        <v>302.5</v>
      </c>
      <c r="W17" s="82"/>
      <c r="X17" s="82"/>
      <c r="Y17" s="82"/>
      <c r="Z17" s="82">
        <v>365.8</v>
      </c>
      <c r="AA17" s="82">
        <v>281.2</v>
      </c>
      <c r="AB17" s="82">
        <v>99.4</v>
      </c>
      <c r="AC17" s="82">
        <v>58.8</v>
      </c>
      <c r="AD17" s="71" t="s">
        <v>5117</v>
      </c>
      <c r="AE17" s="71" t="s">
        <v>5111</v>
      </c>
      <c r="AF17" s="71" t="s">
        <v>14</v>
      </c>
      <c r="AG17" s="71" t="s">
        <v>9</v>
      </c>
      <c r="AH17" s="72">
        <v>45800</v>
      </c>
      <c r="AI17" s="71"/>
    </row>
    <row r="18" spans="1:35">
      <c r="A18" s="77" t="s">
        <v>2057</v>
      </c>
      <c r="B18" s="78">
        <v>80.88</v>
      </c>
      <c r="C18" s="81">
        <v>37.299999999999997</v>
      </c>
      <c r="D18" s="81">
        <v>207</v>
      </c>
      <c r="E18" s="81"/>
      <c r="F18" s="81">
        <v>732.1</v>
      </c>
      <c r="G18" s="81">
        <v>878.3</v>
      </c>
      <c r="H18" s="81"/>
      <c r="I18" s="81">
        <v>808.9</v>
      </c>
      <c r="J18" s="81"/>
      <c r="K18" s="81">
        <v>643.1</v>
      </c>
      <c r="L18" s="81">
        <v>516.70000000000005</v>
      </c>
      <c r="M18" s="81">
        <v>479.6</v>
      </c>
      <c r="N18" s="81">
        <v>439.8</v>
      </c>
      <c r="O18" s="81">
        <v>383.2</v>
      </c>
      <c r="P18" s="81"/>
      <c r="Q18" s="81">
        <v>563.20000000000005</v>
      </c>
      <c r="R18" s="81">
        <v>578.70000000000005</v>
      </c>
      <c r="S18" s="81">
        <v>580.4</v>
      </c>
      <c r="T18" s="81">
        <v>569.20000000000005</v>
      </c>
      <c r="U18" s="81">
        <v>583.70000000000005</v>
      </c>
      <c r="V18" s="81">
        <v>273.60000000000002</v>
      </c>
      <c r="W18" s="81"/>
      <c r="X18" s="81"/>
      <c r="Y18" s="81"/>
      <c r="Z18" s="81">
        <v>406.5</v>
      </c>
      <c r="AA18" s="81">
        <v>243.1</v>
      </c>
      <c r="AB18" s="81">
        <v>136.30000000000001</v>
      </c>
      <c r="AC18" s="81">
        <v>63.9</v>
      </c>
      <c r="AD18" s="79" t="s">
        <v>5118</v>
      </c>
      <c r="AE18" s="79" t="s">
        <v>5111</v>
      </c>
      <c r="AF18" s="79" t="s">
        <v>16</v>
      </c>
      <c r="AG18" s="79" t="s">
        <v>12</v>
      </c>
      <c r="AH18" s="80">
        <v>45803</v>
      </c>
      <c r="AI18" s="79"/>
    </row>
    <row r="19" spans="1:35">
      <c r="A19" s="69" t="s">
        <v>2074</v>
      </c>
      <c r="B19" s="70">
        <v>134.82599999999999</v>
      </c>
      <c r="C19" s="82">
        <v>28.2</v>
      </c>
      <c r="D19" s="82">
        <v>164.3</v>
      </c>
      <c r="E19" s="82">
        <v>312.89999999999998</v>
      </c>
      <c r="F19" s="82">
        <v>608.6</v>
      </c>
      <c r="G19" s="82">
        <v>720.9</v>
      </c>
      <c r="H19" s="82"/>
      <c r="I19" s="82">
        <v>672.2</v>
      </c>
      <c r="J19" s="82"/>
      <c r="K19" s="82">
        <v>533.4</v>
      </c>
      <c r="L19" s="82">
        <v>432.8</v>
      </c>
      <c r="M19" s="82">
        <v>400.6</v>
      </c>
      <c r="N19" s="82"/>
      <c r="O19" s="82">
        <v>314.89999999999998</v>
      </c>
      <c r="P19" s="82"/>
      <c r="Q19" s="82"/>
      <c r="R19" s="82">
        <v>461.1</v>
      </c>
      <c r="S19" s="82"/>
      <c r="T19" s="82">
        <v>447.7</v>
      </c>
      <c r="U19" s="82"/>
      <c r="V19" s="82">
        <v>231.8</v>
      </c>
      <c r="W19" s="82"/>
      <c r="X19" s="82"/>
      <c r="Y19" s="82"/>
      <c r="Z19" s="82"/>
      <c r="AA19" s="82">
        <v>202.8</v>
      </c>
      <c r="AB19" s="82"/>
      <c r="AC19" s="82">
        <v>54.5</v>
      </c>
      <c r="AD19" s="71" t="s">
        <v>5119</v>
      </c>
      <c r="AE19" s="71" t="s">
        <v>5111</v>
      </c>
      <c r="AF19" s="71" t="s">
        <v>8</v>
      </c>
      <c r="AG19" s="71" t="s">
        <v>9</v>
      </c>
      <c r="AH19" s="72">
        <v>45806</v>
      </c>
      <c r="AI19" s="71"/>
    </row>
    <row r="20" spans="1:35">
      <c r="A20" s="77" t="s">
        <v>2089</v>
      </c>
      <c r="B20" s="78">
        <v>2.3250000000000002</v>
      </c>
      <c r="C20" s="81">
        <v>26.3</v>
      </c>
      <c r="D20" s="81">
        <v>178.9</v>
      </c>
      <c r="E20" s="81"/>
      <c r="F20" s="81">
        <v>632</v>
      </c>
      <c r="G20" s="81">
        <v>782.3</v>
      </c>
      <c r="H20" s="81"/>
      <c r="I20" s="81">
        <v>710.7</v>
      </c>
      <c r="J20" s="81"/>
      <c r="K20" s="81">
        <v>599.70000000000005</v>
      </c>
      <c r="L20" s="81">
        <v>495.8</v>
      </c>
      <c r="M20" s="81">
        <v>454.7</v>
      </c>
      <c r="N20" s="81"/>
      <c r="O20" s="81">
        <v>345.9</v>
      </c>
      <c r="P20" s="81"/>
      <c r="Q20" s="81"/>
      <c r="R20" s="81">
        <v>504</v>
      </c>
      <c r="S20" s="81"/>
      <c r="T20" s="81">
        <v>496.1</v>
      </c>
      <c r="U20" s="81"/>
      <c r="V20" s="81">
        <v>254.9</v>
      </c>
      <c r="W20" s="81">
        <v>453.5</v>
      </c>
      <c r="X20" s="81">
        <v>552.20000000000005</v>
      </c>
      <c r="Y20" s="81">
        <v>529.4</v>
      </c>
      <c r="Z20" s="81">
        <v>321.2</v>
      </c>
      <c r="AA20" s="81">
        <v>201.4</v>
      </c>
      <c r="AB20" s="81"/>
      <c r="AC20" s="81">
        <v>50.7</v>
      </c>
      <c r="AD20" s="79" t="s">
        <v>5120</v>
      </c>
      <c r="AE20" s="79" t="s">
        <v>5111</v>
      </c>
      <c r="AF20" s="79" t="s">
        <v>11</v>
      </c>
      <c r="AG20" s="79" t="s">
        <v>12</v>
      </c>
      <c r="AH20" s="80">
        <v>45809</v>
      </c>
      <c r="AI20" s="79" t="s">
        <v>5121</v>
      </c>
    </row>
    <row r="21" spans="1:35">
      <c r="A21" s="69" t="s">
        <v>2100</v>
      </c>
      <c r="B21" s="70">
        <v>161.95099999999999</v>
      </c>
      <c r="C21" s="82">
        <v>30.6</v>
      </c>
      <c r="D21" s="82">
        <v>155.30000000000001</v>
      </c>
      <c r="E21" s="82"/>
      <c r="F21" s="82">
        <v>590.20000000000005</v>
      </c>
      <c r="G21" s="82">
        <v>722.2</v>
      </c>
      <c r="H21" s="82"/>
      <c r="I21" s="82">
        <v>672.7</v>
      </c>
      <c r="J21" s="82"/>
      <c r="K21" s="82">
        <v>543.9</v>
      </c>
      <c r="L21" s="82">
        <v>422.5</v>
      </c>
      <c r="M21" s="82">
        <v>425.8</v>
      </c>
      <c r="N21" s="82"/>
      <c r="O21" s="82">
        <v>313.60000000000002</v>
      </c>
      <c r="P21" s="82"/>
      <c r="Q21" s="82"/>
      <c r="R21" s="82">
        <v>486.9</v>
      </c>
      <c r="S21" s="82">
        <v>487.6</v>
      </c>
      <c r="T21" s="82">
        <v>474.6</v>
      </c>
      <c r="U21" s="82">
        <v>499.8</v>
      </c>
      <c r="V21" s="82">
        <v>226.1</v>
      </c>
      <c r="W21" s="82">
        <v>461.4</v>
      </c>
      <c r="X21" s="82">
        <v>537.20000000000005</v>
      </c>
      <c r="Y21" s="82">
        <v>525.29999999999995</v>
      </c>
      <c r="Z21" s="82"/>
      <c r="AA21" s="82">
        <v>178.4</v>
      </c>
      <c r="AB21" s="82">
        <v>139.6</v>
      </c>
      <c r="AC21" s="82">
        <v>35.799999999999997</v>
      </c>
      <c r="AD21" s="71" t="s">
        <v>5122</v>
      </c>
      <c r="AE21" s="71" t="s">
        <v>5123</v>
      </c>
      <c r="AF21" s="71" t="s">
        <v>11</v>
      </c>
      <c r="AG21" s="71" t="s">
        <v>12</v>
      </c>
      <c r="AH21" s="72">
        <v>45809</v>
      </c>
      <c r="AI21" s="71"/>
    </row>
    <row r="22" spans="1:35">
      <c r="A22" s="77" t="s">
        <v>2117</v>
      </c>
      <c r="B22" s="78">
        <v>146.21600000000001</v>
      </c>
      <c r="C22" s="81">
        <v>38.700000000000003</v>
      </c>
      <c r="D22" s="81">
        <v>171.5</v>
      </c>
      <c r="E22" s="81"/>
      <c r="F22" s="81">
        <v>651.9</v>
      </c>
      <c r="G22" s="81">
        <v>794.8</v>
      </c>
      <c r="H22" s="81">
        <v>764.6</v>
      </c>
      <c r="I22" s="81">
        <v>741.1</v>
      </c>
      <c r="J22" s="81">
        <v>691.7</v>
      </c>
      <c r="K22" s="81">
        <v>574.5</v>
      </c>
      <c r="L22" s="81">
        <v>470.9</v>
      </c>
      <c r="M22" s="81">
        <v>450.3</v>
      </c>
      <c r="N22" s="81">
        <v>403.9</v>
      </c>
      <c r="O22" s="81">
        <v>327.9</v>
      </c>
      <c r="P22" s="81"/>
      <c r="Q22" s="81"/>
      <c r="R22" s="81">
        <v>523</v>
      </c>
      <c r="S22" s="81">
        <v>524</v>
      </c>
      <c r="T22" s="81">
        <v>515.29999999999995</v>
      </c>
      <c r="U22" s="81">
        <v>543.4</v>
      </c>
      <c r="V22" s="81">
        <v>272.10000000000002</v>
      </c>
      <c r="W22" s="81"/>
      <c r="X22" s="81"/>
      <c r="Y22" s="81"/>
      <c r="Z22" s="81">
        <v>381.1</v>
      </c>
      <c r="AA22" s="81">
        <v>189.3</v>
      </c>
      <c r="AB22" s="81"/>
      <c r="AC22" s="81">
        <v>74.099999999999994</v>
      </c>
      <c r="AD22" s="79" t="s">
        <v>5124</v>
      </c>
      <c r="AE22" s="79" t="s">
        <v>5123</v>
      </c>
      <c r="AF22" s="79" t="s">
        <v>14</v>
      </c>
      <c r="AG22" s="79" t="s">
        <v>9</v>
      </c>
      <c r="AH22" s="80">
        <v>45812</v>
      </c>
      <c r="AI22" s="79"/>
    </row>
    <row r="23" spans="1:35">
      <c r="A23" s="69" t="s">
        <v>2129</v>
      </c>
      <c r="B23" s="70">
        <v>105.10599999999999</v>
      </c>
      <c r="C23" s="82">
        <v>33</v>
      </c>
      <c r="D23" s="82">
        <v>179.4</v>
      </c>
      <c r="E23" s="82">
        <v>339</v>
      </c>
      <c r="F23" s="82">
        <v>658.9</v>
      </c>
      <c r="G23" s="82">
        <v>786.4</v>
      </c>
      <c r="H23" s="82"/>
      <c r="I23" s="82">
        <v>705.7</v>
      </c>
      <c r="J23" s="82"/>
      <c r="K23" s="82">
        <v>574</v>
      </c>
      <c r="L23" s="82">
        <v>459.7</v>
      </c>
      <c r="M23" s="82">
        <v>431.8</v>
      </c>
      <c r="N23" s="82"/>
      <c r="O23" s="82">
        <v>336.9</v>
      </c>
      <c r="P23" s="82"/>
      <c r="Q23" s="82"/>
      <c r="R23" s="82">
        <v>520</v>
      </c>
      <c r="S23" s="82">
        <v>527.6</v>
      </c>
      <c r="T23" s="82">
        <v>519.5</v>
      </c>
      <c r="U23" s="82"/>
      <c r="V23" s="82">
        <v>268.60000000000002</v>
      </c>
      <c r="W23" s="82">
        <v>459.8</v>
      </c>
      <c r="X23" s="82"/>
      <c r="Y23" s="82"/>
      <c r="Z23" s="82"/>
      <c r="AA23" s="82">
        <v>274.10000000000002</v>
      </c>
      <c r="AB23" s="82"/>
      <c r="AC23" s="82">
        <v>59.6</v>
      </c>
      <c r="AD23" s="71" t="s">
        <v>5125</v>
      </c>
      <c r="AE23" s="71" t="s">
        <v>5123</v>
      </c>
      <c r="AF23" s="71" t="s">
        <v>8</v>
      </c>
      <c r="AG23" s="71" t="s">
        <v>9</v>
      </c>
      <c r="AH23" s="72">
        <v>45818</v>
      </c>
      <c r="AI23" s="71"/>
    </row>
    <row r="24" spans="1:35">
      <c r="A24" s="77" t="s">
        <v>2144</v>
      </c>
      <c r="B24" s="78">
        <v>85.468999999999994</v>
      </c>
      <c r="C24" s="81">
        <v>37.5</v>
      </c>
      <c r="D24" s="81">
        <v>179.2</v>
      </c>
      <c r="E24" s="81"/>
      <c r="F24" s="81">
        <v>682.5</v>
      </c>
      <c r="G24" s="81">
        <v>828.3</v>
      </c>
      <c r="H24" s="81"/>
      <c r="I24" s="81">
        <v>737.4</v>
      </c>
      <c r="J24" s="81"/>
      <c r="K24" s="81">
        <v>597.6</v>
      </c>
      <c r="L24" s="81">
        <v>493.8</v>
      </c>
      <c r="M24" s="81">
        <v>459.7</v>
      </c>
      <c r="N24" s="81"/>
      <c r="O24" s="81">
        <v>342.3</v>
      </c>
      <c r="P24" s="81"/>
      <c r="Q24" s="81">
        <v>523.9</v>
      </c>
      <c r="R24" s="81">
        <v>537.6</v>
      </c>
      <c r="S24" s="81"/>
      <c r="T24" s="81">
        <v>530.1</v>
      </c>
      <c r="U24" s="81"/>
      <c r="V24" s="81">
        <v>293.89999999999998</v>
      </c>
      <c r="W24" s="81">
        <v>453.8</v>
      </c>
      <c r="X24" s="81">
        <v>510.1</v>
      </c>
      <c r="Y24" s="81">
        <v>489.9</v>
      </c>
      <c r="Z24" s="81"/>
      <c r="AA24" s="81">
        <v>238.7</v>
      </c>
      <c r="AB24" s="81"/>
      <c r="AC24" s="81">
        <v>70.900000000000006</v>
      </c>
      <c r="AD24" s="79" t="s">
        <v>5126</v>
      </c>
      <c r="AE24" s="79" t="s">
        <v>5123</v>
      </c>
      <c r="AF24" s="79" t="s">
        <v>11</v>
      </c>
      <c r="AG24" s="79" t="s">
        <v>12</v>
      </c>
      <c r="AH24" s="80">
        <v>45821</v>
      </c>
      <c r="AI24" s="79"/>
    </row>
    <row r="25" spans="1:35">
      <c r="A25" s="69" t="s">
        <v>2153</v>
      </c>
      <c r="B25" s="70">
        <v>81.792000000000002</v>
      </c>
      <c r="C25" s="82">
        <v>38.200000000000003</v>
      </c>
      <c r="D25" s="82">
        <v>184.3</v>
      </c>
      <c r="E25" s="82">
        <v>379.8</v>
      </c>
      <c r="F25" s="82">
        <v>657.4</v>
      </c>
      <c r="G25" s="82">
        <v>821.6</v>
      </c>
      <c r="H25" s="82"/>
      <c r="I25" s="82">
        <v>779.4</v>
      </c>
      <c r="J25" s="82"/>
      <c r="K25" s="82">
        <v>614.4</v>
      </c>
      <c r="L25" s="82">
        <v>482</v>
      </c>
      <c r="M25" s="82">
        <v>463.2</v>
      </c>
      <c r="N25" s="82"/>
      <c r="O25" s="82">
        <v>336.4</v>
      </c>
      <c r="P25" s="82"/>
      <c r="Q25" s="82"/>
      <c r="R25" s="82">
        <v>539.29999999999995</v>
      </c>
      <c r="S25" s="82"/>
      <c r="T25" s="82">
        <v>541.29999999999995</v>
      </c>
      <c r="U25" s="82"/>
      <c r="V25" s="82">
        <v>286.10000000000002</v>
      </c>
      <c r="W25" s="82">
        <v>467.5</v>
      </c>
      <c r="X25" s="82"/>
      <c r="Y25" s="82"/>
      <c r="Z25" s="82"/>
      <c r="AA25" s="82">
        <v>222.4</v>
      </c>
      <c r="AB25" s="82"/>
      <c r="AC25" s="82">
        <v>70.599999999999994</v>
      </c>
      <c r="AD25" s="71" t="s">
        <v>5127</v>
      </c>
      <c r="AE25" s="71" t="s">
        <v>5123</v>
      </c>
      <c r="AF25" s="71" t="s">
        <v>14</v>
      </c>
      <c r="AG25" s="71" t="s">
        <v>9</v>
      </c>
      <c r="AH25" s="72">
        <v>45824</v>
      </c>
      <c r="AI25" s="71"/>
    </row>
    <row r="26" spans="1:35">
      <c r="A26" s="77" t="s">
        <v>2168</v>
      </c>
      <c r="B26" s="78">
        <v>77.111999999999995</v>
      </c>
      <c r="C26" s="81">
        <v>36.299999999999997</v>
      </c>
      <c r="D26" s="81">
        <v>203.5</v>
      </c>
      <c r="E26" s="81"/>
      <c r="F26" s="81">
        <v>686.2</v>
      </c>
      <c r="G26" s="81">
        <v>857.6</v>
      </c>
      <c r="H26" s="81"/>
      <c r="I26" s="81">
        <v>793.1</v>
      </c>
      <c r="J26" s="81">
        <v>774.4</v>
      </c>
      <c r="K26" s="81">
        <v>618.6</v>
      </c>
      <c r="L26" s="81">
        <v>503.8</v>
      </c>
      <c r="M26" s="81">
        <v>500.8</v>
      </c>
      <c r="N26" s="81">
        <v>418.7</v>
      </c>
      <c r="O26" s="81">
        <v>358.1</v>
      </c>
      <c r="P26" s="81"/>
      <c r="Q26" s="81">
        <v>547</v>
      </c>
      <c r="R26" s="81">
        <v>548.4</v>
      </c>
      <c r="S26" s="81"/>
      <c r="T26" s="81">
        <v>531.5</v>
      </c>
      <c r="U26" s="81">
        <v>599.4</v>
      </c>
      <c r="V26" s="81">
        <v>295</v>
      </c>
      <c r="W26" s="81"/>
      <c r="X26" s="81"/>
      <c r="Y26" s="81"/>
      <c r="Z26" s="81">
        <v>338.9</v>
      </c>
      <c r="AA26" s="81">
        <v>199.4</v>
      </c>
      <c r="AB26" s="81">
        <v>88.2</v>
      </c>
      <c r="AC26" s="81">
        <v>66.7</v>
      </c>
      <c r="AD26" s="79" t="s">
        <v>5128</v>
      </c>
      <c r="AE26" s="79" t="s">
        <v>5123</v>
      </c>
      <c r="AF26" s="79" t="s">
        <v>14</v>
      </c>
      <c r="AG26" s="79" t="s">
        <v>9</v>
      </c>
      <c r="AH26" s="80">
        <v>45824</v>
      </c>
      <c r="AI26" s="79"/>
    </row>
    <row r="27" spans="1:35">
      <c r="A27" s="69" t="s">
        <v>2179</v>
      </c>
      <c r="B27" s="70">
        <v>116.786</v>
      </c>
      <c r="C27" s="82">
        <v>29</v>
      </c>
      <c r="D27" s="82">
        <v>153.69999999999999</v>
      </c>
      <c r="E27" s="82">
        <v>333.3</v>
      </c>
      <c r="F27" s="82">
        <v>640.1</v>
      </c>
      <c r="G27" s="82">
        <v>773</v>
      </c>
      <c r="H27" s="82"/>
      <c r="I27" s="82">
        <v>719.3</v>
      </c>
      <c r="J27" s="82"/>
      <c r="K27" s="82">
        <v>591</v>
      </c>
      <c r="L27" s="82">
        <v>458.1</v>
      </c>
      <c r="M27" s="82">
        <v>451.3</v>
      </c>
      <c r="N27" s="82"/>
      <c r="O27" s="82">
        <v>318.10000000000002</v>
      </c>
      <c r="P27" s="82"/>
      <c r="Q27" s="82"/>
      <c r="R27" s="82">
        <v>501.4</v>
      </c>
      <c r="S27" s="82"/>
      <c r="T27" s="82">
        <v>494</v>
      </c>
      <c r="U27" s="82">
        <v>527</v>
      </c>
      <c r="V27" s="82">
        <v>252.6</v>
      </c>
      <c r="W27" s="82"/>
      <c r="X27" s="82"/>
      <c r="Y27" s="82"/>
      <c r="Z27" s="82">
        <v>340.5</v>
      </c>
      <c r="AA27" s="82">
        <v>186.7</v>
      </c>
      <c r="AB27" s="82"/>
      <c r="AC27" s="82">
        <v>64.5</v>
      </c>
      <c r="AD27" s="71" t="s">
        <v>5129</v>
      </c>
      <c r="AE27" s="71" t="s">
        <v>5123</v>
      </c>
      <c r="AF27" s="71" t="s">
        <v>16</v>
      </c>
      <c r="AG27" s="71" t="s">
        <v>12</v>
      </c>
      <c r="AH27" s="72">
        <v>45827</v>
      </c>
      <c r="AI27" s="71"/>
    </row>
    <row r="28" spans="1:35">
      <c r="A28" s="77" t="s">
        <v>2196</v>
      </c>
      <c r="B28" s="78">
        <v>115.661</v>
      </c>
      <c r="C28" s="81">
        <v>38.200000000000003</v>
      </c>
      <c r="D28" s="81">
        <v>165.7</v>
      </c>
      <c r="E28" s="81"/>
      <c r="F28" s="81">
        <v>647</v>
      </c>
      <c r="G28" s="81">
        <v>798.8</v>
      </c>
      <c r="H28" s="81">
        <v>772.1</v>
      </c>
      <c r="I28" s="81">
        <v>745</v>
      </c>
      <c r="J28" s="81">
        <v>708.6</v>
      </c>
      <c r="K28" s="81">
        <v>580.79999999999995</v>
      </c>
      <c r="L28" s="81">
        <v>472.3</v>
      </c>
      <c r="M28" s="81">
        <v>462.6</v>
      </c>
      <c r="N28" s="81"/>
      <c r="O28" s="81">
        <v>363</v>
      </c>
      <c r="P28" s="81"/>
      <c r="Q28" s="81"/>
      <c r="R28" s="81">
        <v>507.1</v>
      </c>
      <c r="S28" s="81"/>
      <c r="T28" s="81">
        <v>497.1</v>
      </c>
      <c r="U28" s="81"/>
      <c r="V28" s="81">
        <v>258.8</v>
      </c>
      <c r="W28" s="81"/>
      <c r="X28" s="81"/>
      <c r="Y28" s="81"/>
      <c r="Z28" s="81"/>
      <c r="AA28" s="81">
        <v>219.9</v>
      </c>
      <c r="AB28" s="81"/>
      <c r="AC28" s="81">
        <v>72.599999999999994</v>
      </c>
      <c r="AD28" s="79" t="s">
        <v>5130</v>
      </c>
      <c r="AE28" s="79" t="s">
        <v>5123</v>
      </c>
      <c r="AF28" s="79" t="s">
        <v>8</v>
      </c>
      <c r="AG28" s="79" t="s">
        <v>9</v>
      </c>
      <c r="AH28" s="80">
        <v>45830</v>
      </c>
      <c r="AI28" s="79"/>
    </row>
    <row r="29" spans="1:35">
      <c r="A29" s="69" t="s">
        <v>2209</v>
      </c>
      <c r="B29" s="70">
        <v>105.946</v>
      </c>
      <c r="C29" s="82">
        <v>36.799999999999997</v>
      </c>
      <c r="D29" s="82">
        <v>160.80000000000001</v>
      </c>
      <c r="E29" s="82">
        <v>374.8</v>
      </c>
      <c r="F29" s="82">
        <v>662.3</v>
      </c>
      <c r="G29" s="82">
        <v>816.5</v>
      </c>
      <c r="H29" s="82"/>
      <c r="I29" s="82">
        <v>728.1</v>
      </c>
      <c r="J29" s="82"/>
      <c r="K29" s="82">
        <v>620.20000000000005</v>
      </c>
      <c r="L29" s="82">
        <v>478</v>
      </c>
      <c r="M29" s="82">
        <v>444.3</v>
      </c>
      <c r="N29" s="82">
        <v>390.3</v>
      </c>
      <c r="O29" s="82">
        <v>364.2</v>
      </c>
      <c r="P29" s="82"/>
      <c r="Q29" s="82">
        <v>527.4</v>
      </c>
      <c r="R29" s="82">
        <v>527.29999999999995</v>
      </c>
      <c r="S29" s="82"/>
      <c r="T29" s="82">
        <v>522.29999999999995</v>
      </c>
      <c r="U29" s="82"/>
      <c r="V29" s="82">
        <v>274.7</v>
      </c>
      <c r="W29" s="82">
        <v>466.1</v>
      </c>
      <c r="X29" s="82"/>
      <c r="Y29" s="82"/>
      <c r="Z29" s="82"/>
      <c r="AA29" s="82">
        <v>206.1</v>
      </c>
      <c r="AB29" s="82">
        <v>121.2</v>
      </c>
      <c r="AC29" s="82">
        <v>36.299999999999997</v>
      </c>
      <c r="AD29" s="71" t="s">
        <v>5131</v>
      </c>
      <c r="AE29" s="71" t="s">
        <v>5123</v>
      </c>
      <c r="AF29" s="71" t="s">
        <v>11</v>
      </c>
      <c r="AG29" s="71" t="s">
        <v>12</v>
      </c>
      <c r="AH29" s="72">
        <v>45833</v>
      </c>
      <c r="AI29" s="71"/>
    </row>
    <row r="30" spans="1:35">
      <c r="A30" s="77" t="s">
        <v>2232</v>
      </c>
      <c r="B30" s="78">
        <v>117.751</v>
      </c>
      <c r="C30" s="81">
        <v>33.6</v>
      </c>
      <c r="D30" s="81">
        <v>192.6</v>
      </c>
      <c r="E30" s="81"/>
      <c r="F30" s="81">
        <v>659.6</v>
      </c>
      <c r="G30" s="81">
        <v>799.8</v>
      </c>
      <c r="H30" s="81">
        <v>762.1</v>
      </c>
      <c r="I30" s="81">
        <v>732.7</v>
      </c>
      <c r="J30" s="81"/>
      <c r="K30" s="81">
        <v>598.5</v>
      </c>
      <c r="L30" s="81">
        <v>461.2</v>
      </c>
      <c r="M30" s="81">
        <v>463.8</v>
      </c>
      <c r="N30" s="81"/>
      <c r="O30" s="81">
        <v>344.2</v>
      </c>
      <c r="P30" s="81"/>
      <c r="Q30" s="81"/>
      <c r="R30" s="81">
        <v>533.4</v>
      </c>
      <c r="S30" s="81"/>
      <c r="T30" s="81">
        <v>519.20000000000005</v>
      </c>
      <c r="U30" s="81"/>
      <c r="V30" s="81">
        <v>280.10000000000002</v>
      </c>
      <c r="W30" s="81">
        <v>456.3</v>
      </c>
      <c r="X30" s="81">
        <v>542.29999999999995</v>
      </c>
      <c r="Y30" s="81">
        <v>534</v>
      </c>
      <c r="Z30" s="81"/>
      <c r="AA30" s="81">
        <v>284.5</v>
      </c>
      <c r="AB30" s="81">
        <v>144.4</v>
      </c>
      <c r="AC30" s="81">
        <v>62.4</v>
      </c>
      <c r="AD30" s="79" t="s">
        <v>5132</v>
      </c>
      <c r="AE30" s="79" t="s">
        <v>5123</v>
      </c>
      <c r="AF30" s="79" t="s">
        <v>14</v>
      </c>
      <c r="AG30" s="79" t="s">
        <v>9</v>
      </c>
      <c r="AH30" s="80">
        <v>45836</v>
      </c>
      <c r="AI30" s="79"/>
    </row>
    <row r="31" spans="1:35">
      <c r="A31" s="69" t="s">
        <v>2249</v>
      </c>
      <c r="B31" s="70">
        <v>72.233000000000004</v>
      </c>
      <c r="C31" s="82">
        <v>34.700000000000003</v>
      </c>
      <c r="D31" s="82">
        <v>181.6</v>
      </c>
      <c r="E31" s="82"/>
      <c r="F31" s="82">
        <v>691.2</v>
      </c>
      <c r="G31" s="82">
        <v>863.6</v>
      </c>
      <c r="H31" s="82">
        <v>815.8</v>
      </c>
      <c r="I31" s="82">
        <v>812.9</v>
      </c>
      <c r="J31" s="82"/>
      <c r="K31" s="82">
        <v>622.20000000000005</v>
      </c>
      <c r="L31" s="82">
        <v>521</v>
      </c>
      <c r="M31" s="82">
        <v>501.8</v>
      </c>
      <c r="N31" s="82"/>
      <c r="O31" s="82">
        <v>355.4</v>
      </c>
      <c r="P31" s="82"/>
      <c r="Q31" s="82"/>
      <c r="R31" s="82">
        <v>556.79999999999995</v>
      </c>
      <c r="S31" s="82"/>
      <c r="T31" s="82">
        <v>529.6</v>
      </c>
      <c r="U31" s="82"/>
      <c r="V31" s="82">
        <v>292</v>
      </c>
      <c r="W31" s="82">
        <v>455</v>
      </c>
      <c r="X31" s="82"/>
      <c r="Y31" s="82"/>
      <c r="Z31" s="82">
        <v>367.5</v>
      </c>
      <c r="AA31" s="82">
        <v>211.5</v>
      </c>
      <c r="AB31" s="82">
        <v>139.19999999999999</v>
      </c>
      <c r="AC31" s="82">
        <v>52.1</v>
      </c>
      <c r="AD31" s="71" t="s">
        <v>5133</v>
      </c>
      <c r="AE31" s="71" t="s">
        <v>5134</v>
      </c>
      <c r="AF31" s="71" t="s">
        <v>8</v>
      </c>
      <c r="AG31" s="71" t="s">
        <v>9</v>
      </c>
      <c r="AH31" s="72">
        <v>45842</v>
      </c>
      <c r="AI31" s="71"/>
    </row>
    <row r="32" spans="1:35">
      <c r="A32" s="77" t="s">
        <v>2256</v>
      </c>
      <c r="B32" s="78">
        <v>72.820999999999998</v>
      </c>
      <c r="C32" s="81">
        <v>28.1</v>
      </c>
      <c r="D32" s="81">
        <v>199.2</v>
      </c>
      <c r="E32" s="81"/>
      <c r="F32" s="81">
        <v>673.1</v>
      </c>
      <c r="G32" s="81">
        <v>848.1</v>
      </c>
      <c r="H32" s="81"/>
      <c r="I32" s="81">
        <v>768.7</v>
      </c>
      <c r="J32" s="81"/>
      <c r="K32" s="81">
        <v>607.79999999999995</v>
      </c>
      <c r="L32" s="81">
        <v>505.8</v>
      </c>
      <c r="M32" s="81">
        <v>466</v>
      </c>
      <c r="N32" s="81">
        <v>410.9</v>
      </c>
      <c r="O32" s="81">
        <v>366.9</v>
      </c>
      <c r="P32" s="81"/>
      <c r="Q32" s="81"/>
      <c r="R32" s="81">
        <v>564.4</v>
      </c>
      <c r="S32" s="81"/>
      <c r="T32" s="81">
        <v>544.6</v>
      </c>
      <c r="U32" s="81"/>
      <c r="V32" s="81">
        <v>289.10000000000002</v>
      </c>
      <c r="W32" s="81"/>
      <c r="X32" s="81"/>
      <c r="Y32" s="81"/>
      <c r="Z32" s="81">
        <v>394.7</v>
      </c>
      <c r="AA32" s="81">
        <v>249.7</v>
      </c>
      <c r="AB32" s="81">
        <v>120.7</v>
      </c>
      <c r="AC32" s="81">
        <v>74.8</v>
      </c>
      <c r="AD32" s="79" t="s">
        <v>5135</v>
      </c>
      <c r="AE32" s="79" t="s">
        <v>5134</v>
      </c>
      <c r="AF32" s="79" t="s">
        <v>11</v>
      </c>
      <c r="AG32" s="79" t="s">
        <v>12</v>
      </c>
      <c r="AH32" s="80">
        <v>45845</v>
      </c>
      <c r="AI32" s="79"/>
    </row>
    <row r="33" spans="1:35">
      <c r="A33" s="69" t="s">
        <v>2269</v>
      </c>
      <c r="B33" s="70">
        <v>164.29499999999999</v>
      </c>
      <c r="C33" s="82">
        <v>37.4</v>
      </c>
      <c r="D33" s="82">
        <v>181.8</v>
      </c>
      <c r="E33" s="82">
        <v>373</v>
      </c>
      <c r="F33" s="82">
        <v>637.9</v>
      </c>
      <c r="G33" s="82">
        <v>799.4</v>
      </c>
      <c r="H33" s="82"/>
      <c r="I33" s="82">
        <v>750.2</v>
      </c>
      <c r="J33" s="82"/>
      <c r="K33" s="82">
        <v>603.9</v>
      </c>
      <c r="L33" s="82">
        <v>500.6</v>
      </c>
      <c r="M33" s="82">
        <v>438.1</v>
      </c>
      <c r="N33" s="82"/>
      <c r="O33" s="82">
        <v>344.4</v>
      </c>
      <c r="P33" s="82"/>
      <c r="Q33" s="82">
        <v>488.7</v>
      </c>
      <c r="R33" s="82">
        <v>521.9</v>
      </c>
      <c r="S33" s="82"/>
      <c r="T33" s="82">
        <v>505</v>
      </c>
      <c r="U33" s="82"/>
      <c r="V33" s="82">
        <v>281.2</v>
      </c>
      <c r="W33" s="82">
        <v>455.8</v>
      </c>
      <c r="X33" s="82"/>
      <c r="Y33" s="82"/>
      <c r="Z33" s="82"/>
      <c r="AA33" s="82">
        <v>271.3</v>
      </c>
      <c r="AB33" s="82">
        <v>140.80000000000001</v>
      </c>
      <c r="AC33" s="82">
        <v>69.2</v>
      </c>
      <c r="AD33" s="71" t="s">
        <v>5136</v>
      </c>
      <c r="AE33" s="71" t="s">
        <v>5134</v>
      </c>
      <c r="AF33" s="71" t="s">
        <v>14</v>
      </c>
      <c r="AG33" s="71" t="s">
        <v>9</v>
      </c>
      <c r="AH33" s="72">
        <v>45848</v>
      </c>
      <c r="AI33" s="71"/>
    </row>
    <row r="34" spans="1:35">
      <c r="A34" s="77" t="s">
        <v>2292</v>
      </c>
      <c r="B34" s="78">
        <v>100.417</v>
      </c>
      <c r="C34" s="81">
        <v>25.9</v>
      </c>
      <c r="D34" s="81">
        <v>173.3</v>
      </c>
      <c r="E34" s="81"/>
      <c r="F34" s="81">
        <v>629</v>
      </c>
      <c r="G34" s="81">
        <v>783.7</v>
      </c>
      <c r="H34" s="81"/>
      <c r="I34" s="81">
        <v>729.3</v>
      </c>
      <c r="J34" s="81"/>
      <c r="K34" s="81">
        <v>588.79999999999995</v>
      </c>
      <c r="L34" s="81">
        <v>481.3</v>
      </c>
      <c r="M34" s="81">
        <v>433.3</v>
      </c>
      <c r="N34" s="81"/>
      <c r="O34" s="81">
        <v>341.1</v>
      </c>
      <c r="P34" s="81"/>
      <c r="Q34" s="81"/>
      <c r="R34" s="81">
        <v>508.7</v>
      </c>
      <c r="S34" s="81"/>
      <c r="T34" s="81">
        <v>496</v>
      </c>
      <c r="U34" s="81"/>
      <c r="V34" s="81">
        <v>252</v>
      </c>
      <c r="W34" s="81">
        <v>461.7</v>
      </c>
      <c r="X34" s="81">
        <v>515</v>
      </c>
      <c r="Y34" s="81">
        <v>502.2</v>
      </c>
      <c r="Z34" s="81"/>
      <c r="AA34" s="81">
        <v>177.7</v>
      </c>
      <c r="AB34" s="81"/>
      <c r="AC34" s="81">
        <v>70.099999999999994</v>
      </c>
      <c r="AD34" s="79" t="s">
        <v>5137</v>
      </c>
      <c r="AE34" s="79" t="s">
        <v>5134</v>
      </c>
      <c r="AF34" s="79" t="s">
        <v>16</v>
      </c>
      <c r="AG34" s="79" t="s">
        <v>12</v>
      </c>
      <c r="AH34" s="80">
        <v>45851</v>
      </c>
      <c r="AI34" s="79"/>
    </row>
    <row r="35" spans="1:35">
      <c r="A35" s="69" t="s">
        <v>2299</v>
      </c>
      <c r="B35" s="70">
        <v>102.913</v>
      </c>
      <c r="C35" s="82">
        <v>27.8</v>
      </c>
      <c r="D35" s="82">
        <v>184.9</v>
      </c>
      <c r="E35" s="82">
        <v>378.8</v>
      </c>
      <c r="F35" s="82">
        <v>679.9</v>
      </c>
      <c r="G35" s="82">
        <v>822.1</v>
      </c>
      <c r="H35" s="82"/>
      <c r="I35" s="82">
        <v>772.5</v>
      </c>
      <c r="J35" s="82">
        <v>728.4</v>
      </c>
      <c r="K35" s="82">
        <v>620.4</v>
      </c>
      <c r="L35" s="82">
        <v>484.5</v>
      </c>
      <c r="M35" s="82">
        <v>448.3</v>
      </c>
      <c r="N35" s="82"/>
      <c r="O35" s="82">
        <v>342.6</v>
      </c>
      <c r="P35" s="82"/>
      <c r="Q35" s="82">
        <v>538.20000000000005</v>
      </c>
      <c r="R35" s="82">
        <v>527.1</v>
      </c>
      <c r="S35" s="82"/>
      <c r="T35" s="82">
        <v>510.8</v>
      </c>
      <c r="U35" s="82">
        <v>575.20000000000005</v>
      </c>
      <c r="V35" s="82">
        <v>274.60000000000002</v>
      </c>
      <c r="W35" s="82">
        <v>467.9</v>
      </c>
      <c r="X35" s="82"/>
      <c r="Y35" s="82"/>
      <c r="Z35" s="82">
        <v>346</v>
      </c>
      <c r="AA35" s="82">
        <v>210.4</v>
      </c>
      <c r="AB35" s="82"/>
      <c r="AC35" s="82">
        <v>37.1</v>
      </c>
      <c r="AD35" s="71" t="s">
        <v>5138</v>
      </c>
      <c r="AE35" s="71" t="s">
        <v>5134</v>
      </c>
      <c r="AF35" s="71" t="s">
        <v>11</v>
      </c>
      <c r="AG35" s="71" t="s">
        <v>12</v>
      </c>
      <c r="AH35" s="72">
        <v>45857</v>
      </c>
      <c r="AI35" s="71"/>
    </row>
    <row r="36" spans="1:35">
      <c r="A36" s="77" t="s">
        <v>2303</v>
      </c>
      <c r="B36" s="78">
        <v>99.867000000000004</v>
      </c>
      <c r="C36" s="81">
        <v>31.9</v>
      </c>
      <c r="D36" s="81">
        <v>179.7</v>
      </c>
      <c r="E36" s="81"/>
      <c r="F36" s="81">
        <v>668.9</v>
      </c>
      <c r="G36" s="81">
        <v>840.5</v>
      </c>
      <c r="H36" s="81">
        <v>789.5</v>
      </c>
      <c r="I36" s="81">
        <v>753.2</v>
      </c>
      <c r="J36" s="81"/>
      <c r="K36" s="81">
        <v>639.5</v>
      </c>
      <c r="L36" s="81">
        <v>504.7</v>
      </c>
      <c r="M36" s="81">
        <v>459.8</v>
      </c>
      <c r="N36" s="81"/>
      <c r="O36" s="81">
        <v>347.8</v>
      </c>
      <c r="P36" s="81"/>
      <c r="Q36" s="81"/>
      <c r="R36" s="81">
        <v>543.79999999999995</v>
      </c>
      <c r="S36" s="81"/>
      <c r="T36" s="81">
        <v>533.29999999999995</v>
      </c>
      <c r="U36" s="81">
        <v>586.70000000000005</v>
      </c>
      <c r="V36" s="81">
        <v>277.2</v>
      </c>
      <c r="W36" s="81">
        <v>462.3</v>
      </c>
      <c r="X36" s="81"/>
      <c r="Y36" s="81"/>
      <c r="Z36" s="81"/>
      <c r="AA36" s="81">
        <v>223.5</v>
      </c>
      <c r="AB36" s="81"/>
      <c r="AC36" s="81">
        <v>42.4</v>
      </c>
      <c r="AD36" s="79" t="s">
        <v>5139</v>
      </c>
      <c r="AE36" s="79" t="s">
        <v>5134</v>
      </c>
      <c r="AF36" s="79" t="s">
        <v>14</v>
      </c>
      <c r="AG36" s="79" t="s">
        <v>9</v>
      </c>
      <c r="AH36" s="80">
        <v>45860</v>
      </c>
      <c r="AI36" s="79"/>
    </row>
    <row r="37" spans="1:35">
      <c r="A37" s="69" t="s">
        <v>2308</v>
      </c>
      <c r="B37" s="70">
        <v>72.009</v>
      </c>
      <c r="C37" s="82">
        <v>32.4</v>
      </c>
      <c r="D37" s="82">
        <v>171.9</v>
      </c>
      <c r="E37" s="82">
        <v>386.5</v>
      </c>
      <c r="F37" s="82">
        <v>681.7</v>
      </c>
      <c r="G37" s="82">
        <v>852.6</v>
      </c>
      <c r="H37" s="82"/>
      <c r="I37" s="82">
        <v>795.5</v>
      </c>
      <c r="J37" s="82"/>
      <c r="K37" s="82">
        <v>609.6</v>
      </c>
      <c r="L37" s="82">
        <v>522.6</v>
      </c>
      <c r="M37" s="82">
        <v>475.8</v>
      </c>
      <c r="N37" s="82"/>
      <c r="O37" s="82">
        <v>366.6</v>
      </c>
      <c r="P37" s="82"/>
      <c r="Q37" s="82"/>
      <c r="R37" s="82">
        <v>568.1</v>
      </c>
      <c r="S37" s="82"/>
      <c r="T37" s="82">
        <v>569.29999999999995</v>
      </c>
      <c r="U37" s="82"/>
      <c r="V37" s="82">
        <v>268.5</v>
      </c>
      <c r="W37" s="82">
        <v>462.7</v>
      </c>
      <c r="X37" s="82">
        <v>537.20000000000005</v>
      </c>
      <c r="Y37" s="82">
        <v>520.9</v>
      </c>
      <c r="Z37" s="82">
        <v>342.2</v>
      </c>
      <c r="AA37" s="82">
        <v>247.7</v>
      </c>
      <c r="AB37" s="82">
        <v>116.3</v>
      </c>
      <c r="AC37" s="82">
        <v>58.6</v>
      </c>
      <c r="AD37" s="71" t="s">
        <v>5140</v>
      </c>
      <c r="AE37" s="71" t="s">
        <v>5134</v>
      </c>
      <c r="AF37" s="71" t="s">
        <v>16</v>
      </c>
      <c r="AG37" s="71" t="s">
        <v>12</v>
      </c>
      <c r="AH37" s="72">
        <v>45863</v>
      </c>
      <c r="AI37" s="71"/>
    </row>
    <row r="38" spans="1:35">
      <c r="A38" s="77" t="s">
        <v>2319</v>
      </c>
      <c r="B38" s="78">
        <v>62.561999999999998</v>
      </c>
      <c r="C38" s="81">
        <v>31.7</v>
      </c>
      <c r="D38" s="81">
        <v>204.1</v>
      </c>
      <c r="E38" s="81">
        <v>422.8</v>
      </c>
      <c r="F38" s="81">
        <v>692.2</v>
      </c>
      <c r="G38" s="81">
        <v>860.9</v>
      </c>
      <c r="H38" s="81"/>
      <c r="I38" s="81">
        <v>776.3</v>
      </c>
      <c r="J38" s="81"/>
      <c r="K38" s="81">
        <v>657.9</v>
      </c>
      <c r="L38" s="81">
        <v>547.4</v>
      </c>
      <c r="M38" s="81">
        <v>465.7</v>
      </c>
      <c r="N38" s="81">
        <v>439.5</v>
      </c>
      <c r="O38" s="81">
        <v>368.1</v>
      </c>
      <c r="P38" s="81"/>
      <c r="Q38" s="81"/>
      <c r="R38" s="81">
        <v>554.6</v>
      </c>
      <c r="S38" s="81"/>
      <c r="T38" s="81">
        <v>544.9</v>
      </c>
      <c r="U38" s="81"/>
      <c r="V38" s="81">
        <v>271.7</v>
      </c>
      <c r="W38" s="81">
        <v>456</v>
      </c>
      <c r="X38" s="81">
        <v>514.20000000000005</v>
      </c>
      <c r="Y38" s="81">
        <v>489.9</v>
      </c>
      <c r="Z38" s="81"/>
      <c r="AA38" s="81">
        <v>247.4</v>
      </c>
      <c r="AB38" s="81"/>
      <c r="AC38" s="81">
        <v>40.4</v>
      </c>
      <c r="AD38" s="79" t="s">
        <v>5141</v>
      </c>
      <c r="AE38" s="79" t="s">
        <v>5134</v>
      </c>
      <c r="AF38" s="79" t="s">
        <v>11</v>
      </c>
      <c r="AG38" s="79" t="s">
        <v>12</v>
      </c>
      <c r="AH38" s="80">
        <v>45869</v>
      </c>
      <c r="AI38" s="79"/>
    </row>
    <row r="39" spans="1:35">
      <c r="A39" s="69" t="s">
        <v>2330</v>
      </c>
      <c r="B39" s="70">
        <v>76.805999999999997</v>
      </c>
      <c r="C39" s="82">
        <v>34</v>
      </c>
      <c r="D39" s="82">
        <v>194.7</v>
      </c>
      <c r="E39" s="82"/>
      <c r="F39" s="82">
        <v>688.1</v>
      </c>
      <c r="G39" s="82">
        <v>854.3</v>
      </c>
      <c r="H39" s="82">
        <v>831</v>
      </c>
      <c r="I39" s="82">
        <v>773.9</v>
      </c>
      <c r="J39" s="82"/>
      <c r="K39" s="82">
        <v>653.70000000000005</v>
      </c>
      <c r="L39" s="82">
        <v>542.1</v>
      </c>
      <c r="M39" s="82">
        <v>492.3</v>
      </c>
      <c r="N39" s="82"/>
      <c r="O39" s="82">
        <v>347.8</v>
      </c>
      <c r="P39" s="82"/>
      <c r="Q39" s="82"/>
      <c r="R39" s="82">
        <v>538.70000000000005</v>
      </c>
      <c r="S39" s="82">
        <v>539.4</v>
      </c>
      <c r="T39" s="82">
        <v>517.5</v>
      </c>
      <c r="U39" s="82"/>
      <c r="V39" s="82">
        <v>285.5</v>
      </c>
      <c r="W39" s="82"/>
      <c r="X39" s="82"/>
      <c r="Y39" s="82"/>
      <c r="Z39" s="82">
        <v>388.1</v>
      </c>
      <c r="AA39" s="82">
        <v>272.7</v>
      </c>
      <c r="AB39" s="82"/>
      <c r="AC39" s="82">
        <v>69.900000000000006</v>
      </c>
      <c r="AD39" s="71" t="s">
        <v>5142</v>
      </c>
      <c r="AE39" s="71" t="s">
        <v>5134</v>
      </c>
      <c r="AF39" s="71" t="s">
        <v>11</v>
      </c>
      <c r="AG39" s="71" t="s">
        <v>12</v>
      </c>
      <c r="AH39" s="72">
        <v>45869</v>
      </c>
      <c r="AI39" s="71"/>
    </row>
    <row r="40" spans="1:35">
      <c r="A40" s="77" t="s">
        <v>2343</v>
      </c>
      <c r="B40" s="78">
        <v>74.156999999999996</v>
      </c>
      <c r="C40" s="81">
        <v>35.9</v>
      </c>
      <c r="D40" s="81">
        <v>193.6</v>
      </c>
      <c r="E40" s="81">
        <v>370.5</v>
      </c>
      <c r="F40" s="81">
        <v>710.2</v>
      </c>
      <c r="G40" s="81">
        <v>851.6</v>
      </c>
      <c r="H40" s="81">
        <v>806.7</v>
      </c>
      <c r="I40" s="81">
        <v>801.7</v>
      </c>
      <c r="J40" s="81">
        <v>733</v>
      </c>
      <c r="K40" s="81">
        <v>654.6</v>
      </c>
      <c r="L40" s="81">
        <v>495.9</v>
      </c>
      <c r="M40" s="81">
        <v>483.8</v>
      </c>
      <c r="N40" s="81">
        <v>433.2</v>
      </c>
      <c r="O40" s="81">
        <v>358.2</v>
      </c>
      <c r="P40" s="81"/>
      <c r="Q40" s="81"/>
      <c r="R40" s="81">
        <v>552.70000000000005</v>
      </c>
      <c r="S40" s="81"/>
      <c r="T40" s="81">
        <v>539.70000000000005</v>
      </c>
      <c r="U40" s="81"/>
      <c r="V40" s="81">
        <v>300.3</v>
      </c>
      <c r="W40" s="81"/>
      <c r="X40" s="81"/>
      <c r="Y40" s="81"/>
      <c r="Z40" s="81">
        <v>345.6</v>
      </c>
      <c r="AA40" s="81">
        <v>272.5</v>
      </c>
      <c r="AB40" s="81">
        <v>119.3</v>
      </c>
      <c r="AC40" s="81">
        <v>51.6</v>
      </c>
      <c r="AD40" s="79" t="s">
        <v>5143</v>
      </c>
      <c r="AE40" s="79" t="s">
        <v>5134</v>
      </c>
      <c r="AF40" s="79" t="s">
        <v>14</v>
      </c>
      <c r="AG40" s="79" t="s">
        <v>9</v>
      </c>
      <c r="AH40" s="80">
        <v>45872</v>
      </c>
      <c r="AI40" s="79"/>
    </row>
    <row r="41" spans="1:35">
      <c r="A41" s="69" t="s">
        <v>2363</v>
      </c>
      <c r="B41" s="70">
        <v>148.423</v>
      </c>
      <c r="C41" s="82">
        <v>30.9</v>
      </c>
      <c r="D41" s="82">
        <v>167.5</v>
      </c>
      <c r="E41" s="82"/>
      <c r="F41" s="82">
        <v>644.70000000000005</v>
      </c>
      <c r="G41" s="82">
        <v>769</v>
      </c>
      <c r="H41" s="82"/>
      <c r="I41" s="82">
        <v>713.7</v>
      </c>
      <c r="J41" s="82">
        <v>686.3</v>
      </c>
      <c r="K41" s="82">
        <v>581.20000000000005</v>
      </c>
      <c r="L41" s="82">
        <v>475.9</v>
      </c>
      <c r="M41" s="82">
        <v>417.9</v>
      </c>
      <c r="N41" s="82">
        <v>391.2</v>
      </c>
      <c r="O41" s="82">
        <v>317.3</v>
      </c>
      <c r="P41" s="82"/>
      <c r="Q41" s="82"/>
      <c r="R41" s="82">
        <v>494.7</v>
      </c>
      <c r="S41" s="82"/>
      <c r="T41" s="82">
        <v>491.3</v>
      </c>
      <c r="U41" s="82">
        <v>528.70000000000005</v>
      </c>
      <c r="V41" s="82">
        <v>262.8</v>
      </c>
      <c r="W41" s="82"/>
      <c r="X41" s="82"/>
      <c r="Y41" s="82"/>
      <c r="Z41" s="82"/>
      <c r="AA41" s="82">
        <v>263.39999999999998</v>
      </c>
      <c r="AB41" s="82"/>
      <c r="AC41" s="82">
        <v>57.6</v>
      </c>
      <c r="AD41" s="71" t="s">
        <v>5144</v>
      </c>
      <c r="AE41" s="71" t="s">
        <v>5145</v>
      </c>
      <c r="AF41" s="71" t="s">
        <v>14</v>
      </c>
      <c r="AG41" s="71" t="s">
        <v>9</v>
      </c>
      <c r="AH41" s="72">
        <v>45872</v>
      </c>
      <c r="AI41" s="71"/>
    </row>
    <row r="42" spans="1:35">
      <c r="A42" s="77" t="s">
        <v>2372</v>
      </c>
      <c r="B42" s="78">
        <v>115.339</v>
      </c>
      <c r="C42" s="81">
        <v>39.799999999999997</v>
      </c>
      <c r="D42" s="81">
        <v>157.30000000000001</v>
      </c>
      <c r="E42" s="81"/>
      <c r="F42" s="81">
        <v>622.6</v>
      </c>
      <c r="G42" s="81">
        <v>762.3</v>
      </c>
      <c r="H42" s="81"/>
      <c r="I42" s="81">
        <v>679.7</v>
      </c>
      <c r="J42" s="81"/>
      <c r="K42" s="81">
        <v>582.20000000000005</v>
      </c>
      <c r="L42" s="81">
        <v>481.7</v>
      </c>
      <c r="M42" s="81">
        <v>446.1</v>
      </c>
      <c r="N42" s="81"/>
      <c r="O42" s="81">
        <v>309.60000000000002</v>
      </c>
      <c r="P42" s="81"/>
      <c r="Q42" s="81"/>
      <c r="R42" s="81">
        <v>502.7</v>
      </c>
      <c r="S42" s="81"/>
      <c r="T42" s="81">
        <v>501.2</v>
      </c>
      <c r="U42" s="81"/>
      <c r="V42" s="81">
        <v>260.60000000000002</v>
      </c>
      <c r="W42" s="81">
        <v>454.9</v>
      </c>
      <c r="X42" s="81">
        <v>547.5</v>
      </c>
      <c r="Y42" s="81">
        <v>530.79999999999995</v>
      </c>
      <c r="Z42" s="81"/>
      <c r="AA42" s="81">
        <v>277.60000000000002</v>
      </c>
      <c r="AB42" s="81"/>
      <c r="AC42" s="81">
        <v>43.4</v>
      </c>
      <c r="AD42" s="79" t="s">
        <v>5146</v>
      </c>
      <c r="AE42" s="79" t="s">
        <v>5145</v>
      </c>
      <c r="AF42" s="79" t="s">
        <v>16</v>
      </c>
      <c r="AG42" s="79" t="s">
        <v>12</v>
      </c>
      <c r="AH42" s="80">
        <v>45875</v>
      </c>
      <c r="AI42" s="79"/>
    </row>
    <row r="43" spans="1:35">
      <c r="A43" s="69" t="s">
        <v>2385</v>
      </c>
      <c r="B43" s="70">
        <v>140.07</v>
      </c>
      <c r="C43" s="82">
        <v>38.200000000000003</v>
      </c>
      <c r="D43" s="82">
        <v>171.7</v>
      </c>
      <c r="E43" s="82">
        <v>374</v>
      </c>
      <c r="F43" s="82">
        <v>636.4</v>
      </c>
      <c r="G43" s="82">
        <v>778.7</v>
      </c>
      <c r="H43" s="82"/>
      <c r="I43" s="82">
        <v>712.3</v>
      </c>
      <c r="J43" s="82"/>
      <c r="K43" s="82">
        <v>565.4</v>
      </c>
      <c r="L43" s="82">
        <v>466.1</v>
      </c>
      <c r="M43" s="82">
        <v>457.2</v>
      </c>
      <c r="N43" s="82"/>
      <c r="O43" s="82">
        <v>339.5</v>
      </c>
      <c r="P43" s="82"/>
      <c r="Q43" s="82"/>
      <c r="R43" s="82">
        <v>502.9</v>
      </c>
      <c r="S43" s="82"/>
      <c r="T43" s="82">
        <v>487.4</v>
      </c>
      <c r="U43" s="82"/>
      <c r="V43" s="82">
        <v>277.39999999999998</v>
      </c>
      <c r="W43" s="82"/>
      <c r="X43" s="82"/>
      <c r="Y43" s="82"/>
      <c r="Z43" s="82"/>
      <c r="AA43" s="82">
        <v>242.4</v>
      </c>
      <c r="AB43" s="82"/>
      <c r="AC43" s="82">
        <v>73.900000000000006</v>
      </c>
      <c r="AD43" s="71" t="s">
        <v>5147</v>
      </c>
      <c r="AE43" s="71" t="s">
        <v>5145</v>
      </c>
      <c r="AF43" s="71" t="s">
        <v>8</v>
      </c>
      <c r="AG43" s="71" t="s">
        <v>9</v>
      </c>
      <c r="AH43" s="72">
        <v>45878</v>
      </c>
      <c r="AI43" s="71"/>
    </row>
    <row r="44" spans="1:35">
      <c r="A44" s="77" t="s">
        <v>2400</v>
      </c>
      <c r="B44" s="78">
        <v>97.944999999999993</v>
      </c>
      <c r="C44" s="81">
        <v>39</v>
      </c>
      <c r="D44" s="81">
        <v>181</v>
      </c>
      <c r="E44" s="81"/>
      <c r="F44" s="81">
        <v>673.6</v>
      </c>
      <c r="G44" s="81">
        <v>848.2</v>
      </c>
      <c r="H44" s="81">
        <v>822.6</v>
      </c>
      <c r="I44" s="81">
        <v>794.9</v>
      </c>
      <c r="J44" s="81">
        <v>748.8</v>
      </c>
      <c r="K44" s="81">
        <v>630.4</v>
      </c>
      <c r="L44" s="81">
        <v>536.5</v>
      </c>
      <c r="M44" s="81">
        <v>485.8</v>
      </c>
      <c r="N44" s="81"/>
      <c r="O44" s="81">
        <v>359.6</v>
      </c>
      <c r="P44" s="81"/>
      <c r="Q44" s="81"/>
      <c r="R44" s="81">
        <v>560.79999999999995</v>
      </c>
      <c r="S44" s="81"/>
      <c r="T44" s="81">
        <v>555.20000000000005</v>
      </c>
      <c r="U44" s="81"/>
      <c r="V44" s="81">
        <v>286</v>
      </c>
      <c r="W44" s="81"/>
      <c r="X44" s="81"/>
      <c r="Y44" s="81"/>
      <c r="Z44" s="81"/>
      <c r="AA44" s="81">
        <v>264.10000000000002</v>
      </c>
      <c r="AB44" s="81"/>
      <c r="AC44" s="81">
        <v>66.900000000000006</v>
      </c>
      <c r="AD44" s="79" t="s">
        <v>5148</v>
      </c>
      <c r="AE44" s="79" t="s">
        <v>5145</v>
      </c>
      <c r="AF44" s="79" t="s">
        <v>14</v>
      </c>
      <c r="AG44" s="79" t="s">
        <v>9</v>
      </c>
      <c r="AH44" s="80">
        <v>45884</v>
      </c>
      <c r="AI44" s="79"/>
    </row>
    <row r="45" spans="1:35">
      <c r="A45" s="69" t="s">
        <v>2415</v>
      </c>
      <c r="B45" s="70">
        <v>83.606999999999999</v>
      </c>
      <c r="C45" s="82">
        <v>39.5</v>
      </c>
      <c r="D45" s="82">
        <v>184.8</v>
      </c>
      <c r="E45" s="82"/>
      <c r="F45" s="82">
        <v>710.5</v>
      </c>
      <c r="G45" s="82">
        <v>856.8</v>
      </c>
      <c r="H45" s="82"/>
      <c r="I45" s="82">
        <v>778</v>
      </c>
      <c r="J45" s="82"/>
      <c r="K45" s="82">
        <v>616.70000000000005</v>
      </c>
      <c r="L45" s="82">
        <v>538.6</v>
      </c>
      <c r="M45" s="82">
        <v>491.6</v>
      </c>
      <c r="N45" s="82"/>
      <c r="O45" s="82">
        <v>348.5</v>
      </c>
      <c r="P45" s="82"/>
      <c r="Q45" s="82"/>
      <c r="R45" s="82">
        <v>543.4</v>
      </c>
      <c r="S45" s="82"/>
      <c r="T45" s="82">
        <v>513.6</v>
      </c>
      <c r="U45" s="82"/>
      <c r="V45" s="82">
        <v>299.5</v>
      </c>
      <c r="W45" s="82">
        <v>458.2</v>
      </c>
      <c r="X45" s="82">
        <v>525.29999999999995</v>
      </c>
      <c r="Y45" s="82">
        <v>512.70000000000005</v>
      </c>
      <c r="Z45" s="82"/>
      <c r="AA45" s="82">
        <v>286.5</v>
      </c>
      <c r="AB45" s="82"/>
      <c r="AC45" s="82">
        <v>57.3</v>
      </c>
      <c r="AD45" s="71" t="s">
        <v>5149</v>
      </c>
      <c r="AE45" s="71" t="s">
        <v>5145</v>
      </c>
      <c r="AF45" s="71" t="s">
        <v>16</v>
      </c>
      <c r="AG45" s="71" t="s">
        <v>12</v>
      </c>
      <c r="AH45" s="72">
        <v>45887</v>
      </c>
      <c r="AI45" s="71"/>
    </row>
    <row r="46" spans="1:35">
      <c r="A46" s="77" t="s">
        <v>2424</v>
      </c>
      <c r="B46" s="78">
        <v>137.17099999999999</v>
      </c>
      <c r="C46" s="81">
        <v>28.3</v>
      </c>
      <c r="D46" s="81">
        <v>191.5</v>
      </c>
      <c r="E46" s="81"/>
      <c r="F46" s="81">
        <v>668.6</v>
      </c>
      <c r="G46" s="81">
        <v>795</v>
      </c>
      <c r="H46" s="81">
        <v>741.1</v>
      </c>
      <c r="I46" s="81">
        <v>725.9</v>
      </c>
      <c r="J46" s="81"/>
      <c r="K46" s="81">
        <v>577.1</v>
      </c>
      <c r="L46" s="81">
        <v>473.2</v>
      </c>
      <c r="M46" s="81">
        <v>441.4</v>
      </c>
      <c r="N46" s="81"/>
      <c r="O46" s="81">
        <v>340.5</v>
      </c>
      <c r="P46" s="81"/>
      <c r="Q46" s="81"/>
      <c r="R46" s="81">
        <v>531.20000000000005</v>
      </c>
      <c r="S46" s="81"/>
      <c r="T46" s="81">
        <v>513.6</v>
      </c>
      <c r="U46" s="81"/>
      <c r="V46" s="81">
        <v>245.9</v>
      </c>
      <c r="W46" s="81">
        <v>456.4</v>
      </c>
      <c r="X46" s="81"/>
      <c r="Y46" s="81"/>
      <c r="Z46" s="81"/>
      <c r="AA46" s="81">
        <v>174.8</v>
      </c>
      <c r="AB46" s="81"/>
      <c r="AC46" s="81">
        <v>59.7</v>
      </c>
      <c r="AD46" s="79" t="s">
        <v>5150</v>
      </c>
      <c r="AE46" s="79" t="s">
        <v>5145</v>
      </c>
      <c r="AF46" s="79" t="s">
        <v>11</v>
      </c>
      <c r="AG46" s="79" t="s">
        <v>12</v>
      </c>
      <c r="AH46" s="80">
        <v>45893</v>
      </c>
      <c r="AI46" s="79"/>
    </row>
    <row r="47" spans="1:35">
      <c r="A47" s="69" t="s">
        <v>2444</v>
      </c>
      <c r="B47" s="70">
        <v>151.16800000000001</v>
      </c>
      <c r="C47" s="82">
        <v>28.1</v>
      </c>
      <c r="D47" s="82">
        <v>180.4</v>
      </c>
      <c r="E47" s="82">
        <v>352.5</v>
      </c>
      <c r="F47" s="82">
        <v>618.20000000000005</v>
      </c>
      <c r="G47" s="82">
        <v>764.7</v>
      </c>
      <c r="H47" s="82"/>
      <c r="I47" s="82">
        <v>695</v>
      </c>
      <c r="J47" s="82"/>
      <c r="K47" s="82">
        <v>553.9</v>
      </c>
      <c r="L47" s="82">
        <v>455.5</v>
      </c>
      <c r="M47" s="82">
        <v>441.5</v>
      </c>
      <c r="N47" s="82">
        <v>400.5</v>
      </c>
      <c r="O47" s="82">
        <v>320.7</v>
      </c>
      <c r="P47" s="82"/>
      <c r="Q47" s="82"/>
      <c r="R47" s="82">
        <v>507.1</v>
      </c>
      <c r="S47" s="82"/>
      <c r="T47" s="82">
        <v>504.4</v>
      </c>
      <c r="U47" s="82"/>
      <c r="V47" s="82">
        <v>254.4</v>
      </c>
      <c r="W47" s="82">
        <v>464.9</v>
      </c>
      <c r="X47" s="82"/>
      <c r="Y47" s="82"/>
      <c r="Z47" s="82">
        <v>419.2</v>
      </c>
      <c r="AA47" s="82">
        <v>228.8</v>
      </c>
      <c r="AB47" s="82"/>
      <c r="AC47" s="82">
        <v>46.5</v>
      </c>
      <c r="AD47" s="71" t="s">
        <v>5151</v>
      </c>
      <c r="AE47" s="71" t="s">
        <v>5145</v>
      </c>
      <c r="AF47" s="71" t="s">
        <v>14</v>
      </c>
      <c r="AG47" s="71" t="s">
        <v>9</v>
      </c>
      <c r="AH47" s="72">
        <v>45896</v>
      </c>
      <c r="AI47" s="71"/>
    </row>
    <row r="48" spans="1:35">
      <c r="A48" s="77" t="s">
        <v>2455</v>
      </c>
      <c r="B48" s="78">
        <v>129.267</v>
      </c>
      <c r="C48" s="81">
        <v>39.799999999999997</v>
      </c>
      <c r="D48" s="81">
        <v>155.1</v>
      </c>
      <c r="E48" s="81"/>
      <c r="F48" s="81">
        <v>610.20000000000005</v>
      </c>
      <c r="G48" s="81">
        <v>741.6</v>
      </c>
      <c r="H48" s="81"/>
      <c r="I48" s="81">
        <v>656</v>
      </c>
      <c r="J48" s="81"/>
      <c r="K48" s="81">
        <v>554.79999999999995</v>
      </c>
      <c r="L48" s="81">
        <v>461.3</v>
      </c>
      <c r="M48" s="81">
        <v>413.9</v>
      </c>
      <c r="N48" s="81">
        <v>385.2</v>
      </c>
      <c r="O48" s="81">
        <v>331.2</v>
      </c>
      <c r="P48" s="81"/>
      <c r="Q48" s="81"/>
      <c r="R48" s="81">
        <v>498.8</v>
      </c>
      <c r="S48" s="81"/>
      <c r="T48" s="81">
        <v>486.8</v>
      </c>
      <c r="U48" s="81"/>
      <c r="V48" s="81">
        <v>231.4</v>
      </c>
      <c r="W48" s="81">
        <v>461.9</v>
      </c>
      <c r="X48" s="81">
        <v>549.79999999999995</v>
      </c>
      <c r="Y48" s="81">
        <v>536.1</v>
      </c>
      <c r="Z48" s="81"/>
      <c r="AA48" s="81">
        <v>223.5</v>
      </c>
      <c r="AB48" s="81"/>
      <c r="AC48" s="81">
        <v>47.2</v>
      </c>
      <c r="AD48" s="79" t="s">
        <v>5152</v>
      </c>
      <c r="AE48" s="79" t="s">
        <v>5145</v>
      </c>
      <c r="AF48" s="79" t="s">
        <v>16</v>
      </c>
      <c r="AG48" s="79" t="s">
        <v>12</v>
      </c>
      <c r="AH48" s="80">
        <v>45899</v>
      </c>
      <c r="AI48" s="79"/>
    </row>
    <row r="49" spans="1:35">
      <c r="A49" s="69" t="s">
        <v>2457</v>
      </c>
      <c r="B49" s="70">
        <v>113.535</v>
      </c>
      <c r="C49" s="82">
        <v>25.3</v>
      </c>
      <c r="D49" s="82">
        <v>160.4</v>
      </c>
      <c r="E49" s="82"/>
      <c r="F49" s="82">
        <v>632.70000000000005</v>
      </c>
      <c r="G49" s="82">
        <v>776.5</v>
      </c>
      <c r="H49" s="82"/>
      <c r="I49" s="82">
        <v>690.5</v>
      </c>
      <c r="J49" s="82"/>
      <c r="K49" s="82">
        <v>582.9</v>
      </c>
      <c r="L49" s="82">
        <v>470.1</v>
      </c>
      <c r="M49" s="82">
        <v>435.2</v>
      </c>
      <c r="N49" s="82"/>
      <c r="O49" s="82">
        <v>321</v>
      </c>
      <c r="P49" s="82"/>
      <c r="Q49" s="82"/>
      <c r="R49" s="82">
        <v>504.7</v>
      </c>
      <c r="S49" s="82"/>
      <c r="T49" s="82">
        <v>476.6</v>
      </c>
      <c r="U49" s="82"/>
      <c r="V49" s="82">
        <v>245</v>
      </c>
      <c r="W49" s="82"/>
      <c r="X49" s="82"/>
      <c r="Y49" s="82"/>
      <c r="Z49" s="82">
        <v>416.5</v>
      </c>
      <c r="AA49" s="82">
        <v>176.5</v>
      </c>
      <c r="AB49" s="82"/>
      <c r="AC49" s="82">
        <v>40.799999999999997</v>
      </c>
      <c r="AD49" s="71" t="s">
        <v>5153</v>
      </c>
      <c r="AE49" s="71" t="s">
        <v>5145</v>
      </c>
      <c r="AF49" s="71" t="s">
        <v>8</v>
      </c>
      <c r="AG49" s="71" t="s">
        <v>9</v>
      </c>
      <c r="AH49" s="72">
        <v>45902</v>
      </c>
      <c r="AI49" s="71"/>
    </row>
    <row r="50" spans="1:35">
      <c r="A50" s="77" t="s">
        <v>2475</v>
      </c>
      <c r="B50" s="78">
        <v>87.549000000000007</v>
      </c>
      <c r="C50" s="81">
        <v>29.7</v>
      </c>
      <c r="D50" s="81">
        <v>183</v>
      </c>
      <c r="E50" s="81"/>
      <c r="F50" s="81">
        <v>713</v>
      </c>
      <c r="G50" s="81">
        <v>857.5</v>
      </c>
      <c r="H50" s="81"/>
      <c r="I50" s="81">
        <v>787.1</v>
      </c>
      <c r="J50" s="81"/>
      <c r="K50" s="81">
        <v>607.79999999999995</v>
      </c>
      <c r="L50" s="81">
        <v>531.79999999999995</v>
      </c>
      <c r="M50" s="81">
        <v>472.4</v>
      </c>
      <c r="N50" s="81"/>
      <c r="O50" s="81">
        <v>379.6</v>
      </c>
      <c r="P50" s="81"/>
      <c r="Q50" s="81"/>
      <c r="R50" s="81">
        <v>560.6</v>
      </c>
      <c r="S50" s="81"/>
      <c r="T50" s="81">
        <v>538.9</v>
      </c>
      <c r="U50" s="81">
        <v>595.20000000000005</v>
      </c>
      <c r="V50" s="81">
        <v>274.7</v>
      </c>
      <c r="W50" s="81">
        <v>465.7</v>
      </c>
      <c r="X50" s="81"/>
      <c r="Y50" s="81"/>
      <c r="Z50" s="81"/>
      <c r="AA50" s="81">
        <v>281.3</v>
      </c>
      <c r="AB50" s="81">
        <v>135.69999999999999</v>
      </c>
      <c r="AC50" s="81">
        <v>47.8</v>
      </c>
      <c r="AD50" s="79" t="s">
        <v>5154</v>
      </c>
      <c r="AE50" s="79" t="s">
        <v>5145</v>
      </c>
      <c r="AF50" s="79" t="s">
        <v>11</v>
      </c>
      <c r="AG50" s="79" t="s">
        <v>12</v>
      </c>
      <c r="AH50" s="80">
        <v>45905</v>
      </c>
      <c r="AI50" s="79"/>
    </row>
    <row r="51" spans="1:35">
      <c r="A51" s="69" t="s">
        <v>2486</v>
      </c>
      <c r="B51" s="70">
        <v>109.325</v>
      </c>
      <c r="C51" s="82">
        <v>33.700000000000003</v>
      </c>
      <c r="D51" s="82">
        <v>175.2</v>
      </c>
      <c r="E51" s="82"/>
      <c r="F51" s="82">
        <v>694.3</v>
      </c>
      <c r="G51" s="82">
        <v>830.9</v>
      </c>
      <c r="H51" s="82"/>
      <c r="I51" s="82">
        <v>757.1</v>
      </c>
      <c r="J51" s="82"/>
      <c r="K51" s="82">
        <v>637.79999999999995</v>
      </c>
      <c r="L51" s="82">
        <v>493.5</v>
      </c>
      <c r="M51" s="82">
        <v>456.3</v>
      </c>
      <c r="N51" s="82"/>
      <c r="O51" s="82">
        <v>340.3</v>
      </c>
      <c r="P51" s="82"/>
      <c r="Q51" s="82">
        <v>524.79999999999995</v>
      </c>
      <c r="R51" s="82">
        <v>549.4</v>
      </c>
      <c r="S51" s="82"/>
      <c r="T51" s="82">
        <v>529.5</v>
      </c>
      <c r="U51" s="82"/>
      <c r="V51" s="82">
        <v>294.7</v>
      </c>
      <c r="W51" s="82">
        <v>467</v>
      </c>
      <c r="X51" s="82">
        <v>527</v>
      </c>
      <c r="Y51" s="82">
        <v>515.9</v>
      </c>
      <c r="Z51" s="82"/>
      <c r="AA51" s="82">
        <v>272.8</v>
      </c>
      <c r="AB51" s="82"/>
      <c r="AC51" s="82">
        <v>74.900000000000006</v>
      </c>
      <c r="AD51" s="71" t="s">
        <v>5155</v>
      </c>
      <c r="AE51" s="71" t="s">
        <v>5156</v>
      </c>
      <c r="AF51" s="71" t="s">
        <v>14</v>
      </c>
      <c r="AG51" s="71" t="s">
        <v>9</v>
      </c>
      <c r="AH51" s="72">
        <v>45908</v>
      </c>
      <c r="AI51" s="71"/>
    </row>
    <row r="52" spans="1:35">
      <c r="A52" s="77" t="s">
        <v>2491</v>
      </c>
      <c r="B52" s="78">
        <v>73.846000000000004</v>
      </c>
      <c r="C52" s="81">
        <v>25.9</v>
      </c>
      <c r="D52" s="81">
        <v>175.9</v>
      </c>
      <c r="E52" s="81">
        <v>381.3</v>
      </c>
      <c r="F52" s="81">
        <v>661.7</v>
      </c>
      <c r="G52" s="81">
        <v>785.9</v>
      </c>
      <c r="H52" s="81"/>
      <c r="I52" s="81">
        <v>740.9</v>
      </c>
      <c r="J52" s="81"/>
      <c r="K52" s="81">
        <v>586.4</v>
      </c>
      <c r="L52" s="81">
        <v>493.1</v>
      </c>
      <c r="M52" s="81">
        <v>438.7</v>
      </c>
      <c r="N52" s="81"/>
      <c r="O52" s="81">
        <v>328.8</v>
      </c>
      <c r="P52" s="81"/>
      <c r="Q52" s="81"/>
      <c r="R52" s="81">
        <v>514.5</v>
      </c>
      <c r="S52" s="81"/>
      <c r="T52" s="81">
        <v>508.9</v>
      </c>
      <c r="U52" s="81"/>
      <c r="V52" s="81">
        <v>264.3</v>
      </c>
      <c r="W52" s="81">
        <v>459.1</v>
      </c>
      <c r="X52" s="81"/>
      <c r="Y52" s="81"/>
      <c r="Z52" s="81"/>
      <c r="AA52" s="81">
        <v>240.6</v>
      </c>
      <c r="AB52" s="81"/>
      <c r="AC52" s="81">
        <v>42.3</v>
      </c>
      <c r="AD52" s="79" t="s">
        <v>5157</v>
      </c>
      <c r="AE52" s="79" t="s">
        <v>5156</v>
      </c>
      <c r="AF52" s="79" t="s">
        <v>16</v>
      </c>
      <c r="AG52" s="79" t="s">
        <v>12</v>
      </c>
      <c r="AH52" s="80">
        <v>45911</v>
      </c>
      <c r="AI52" s="79"/>
    </row>
    <row r="53" spans="1:35">
      <c r="A53" s="69" t="s">
        <v>2506</v>
      </c>
      <c r="B53" s="70">
        <v>93.436000000000007</v>
      </c>
      <c r="C53" s="82">
        <v>26.9</v>
      </c>
      <c r="D53" s="82">
        <v>186.3</v>
      </c>
      <c r="E53" s="82">
        <v>405.8</v>
      </c>
      <c r="F53" s="82">
        <v>676.4</v>
      </c>
      <c r="G53" s="82">
        <v>837.2</v>
      </c>
      <c r="H53" s="82"/>
      <c r="I53" s="82">
        <v>778.6</v>
      </c>
      <c r="J53" s="82">
        <v>742.8</v>
      </c>
      <c r="K53" s="82">
        <v>637</v>
      </c>
      <c r="L53" s="82">
        <v>500.4</v>
      </c>
      <c r="M53" s="82">
        <v>477.1</v>
      </c>
      <c r="N53" s="82"/>
      <c r="O53" s="82">
        <v>367.3</v>
      </c>
      <c r="P53" s="82"/>
      <c r="Q53" s="82">
        <v>527.1</v>
      </c>
      <c r="R53" s="82">
        <v>544.20000000000005</v>
      </c>
      <c r="S53" s="82">
        <v>541.5</v>
      </c>
      <c r="T53" s="82">
        <v>518.5</v>
      </c>
      <c r="U53" s="82"/>
      <c r="V53" s="82">
        <v>263.3</v>
      </c>
      <c r="W53" s="82"/>
      <c r="X53" s="82"/>
      <c r="Y53" s="82"/>
      <c r="Z53" s="82">
        <v>324.10000000000002</v>
      </c>
      <c r="AA53" s="82">
        <v>275</v>
      </c>
      <c r="AB53" s="82">
        <v>126.9</v>
      </c>
      <c r="AC53" s="82">
        <v>68.400000000000006</v>
      </c>
      <c r="AD53" s="71" t="s">
        <v>5158</v>
      </c>
      <c r="AE53" s="71" t="s">
        <v>5156</v>
      </c>
      <c r="AF53" s="71" t="s">
        <v>8</v>
      </c>
      <c r="AG53" s="71" t="s">
        <v>9</v>
      </c>
      <c r="AH53" s="72">
        <v>45914</v>
      </c>
      <c r="AI53" s="71"/>
    </row>
    <row r="54" spans="1:35">
      <c r="A54" s="77" t="s">
        <v>2521</v>
      </c>
      <c r="B54" s="78">
        <v>84.305000000000007</v>
      </c>
      <c r="C54" s="81">
        <v>39.6</v>
      </c>
      <c r="D54" s="81">
        <v>196.4</v>
      </c>
      <c r="E54" s="81"/>
      <c r="F54" s="81">
        <v>688.4</v>
      </c>
      <c r="G54" s="81">
        <v>833.7</v>
      </c>
      <c r="H54" s="81">
        <v>810</v>
      </c>
      <c r="I54" s="81">
        <v>757.7</v>
      </c>
      <c r="J54" s="81"/>
      <c r="K54" s="81">
        <v>599.4</v>
      </c>
      <c r="L54" s="81">
        <v>490.8</v>
      </c>
      <c r="M54" s="81">
        <v>464.8</v>
      </c>
      <c r="N54" s="81">
        <v>430.7</v>
      </c>
      <c r="O54" s="81">
        <v>364.4</v>
      </c>
      <c r="P54" s="81"/>
      <c r="Q54" s="81">
        <v>545.1</v>
      </c>
      <c r="R54" s="81">
        <v>561.70000000000005</v>
      </c>
      <c r="S54" s="81"/>
      <c r="T54" s="81">
        <v>550.20000000000005</v>
      </c>
      <c r="U54" s="81"/>
      <c r="V54" s="81">
        <v>291.60000000000002</v>
      </c>
      <c r="W54" s="81"/>
      <c r="X54" s="81"/>
      <c r="Y54" s="81"/>
      <c r="Z54" s="81"/>
      <c r="AA54" s="81">
        <v>202.3</v>
      </c>
      <c r="AB54" s="81"/>
      <c r="AC54" s="81">
        <v>71</v>
      </c>
      <c r="AD54" s="79" t="s">
        <v>5159</v>
      </c>
      <c r="AE54" s="79" t="s">
        <v>5156</v>
      </c>
      <c r="AF54" s="79" t="s">
        <v>14</v>
      </c>
      <c r="AG54" s="79" t="s">
        <v>9</v>
      </c>
      <c r="AH54" s="80">
        <v>45932</v>
      </c>
      <c r="AI54" s="79"/>
    </row>
    <row r="55" spans="1:35">
      <c r="A55" s="69" t="s">
        <v>2544</v>
      </c>
      <c r="B55" s="70">
        <v>165</v>
      </c>
      <c r="C55" s="82">
        <v>34.4</v>
      </c>
      <c r="D55" s="82">
        <v>175.3</v>
      </c>
      <c r="E55" s="82"/>
      <c r="F55" s="82">
        <v>635.20000000000005</v>
      </c>
      <c r="G55" s="82">
        <v>763.1</v>
      </c>
      <c r="H55" s="82"/>
      <c r="I55" s="82">
        <v>703.5</v>
      </c>
      <c r="J55" s="82">
        <v>643</v>
      </c>
      <c r="K55" s="82">
        <v>539.4</v>
      </c>
      <c r="L55" s="82">
        <v>468.5</v>
      </c>
      <c r="M55" s="82">
        <v>413.7</v>
      </c>
      <c r="N55" s="82"/>
      <c r="O55" s="82">
        <v>345.6</v>
      </c>
      <c r="P55" s="82"/>
      <c r="Q55" s="82"/>
      <c r="R55" s="82">
        <v>511.6</v>
      </c>
      <c r="S55" s="82"/>
      <c r="T55" s="82">
        <v>492.5</v>
      </c>
      <c r="U55" s="82">
        <v>500.7</v>
      </c>
      <c r="V55" s="82">
        <v>248.5</v>
      </c>
      <c r="W55" s="82"/>
      <c r="X55" s="82"/>
      <c r="Y55" s="82"/>
      <c r="Z55" s="82">
        <v>408.9</v>
      </c>
      <c r="AA55" s="82">
        <v>218.7</v>
      </c>
      <c r="AB55" s="82"/>
      <c r="AC55" s="82">
        <v>39.4</v>
      </c>
      <c r="AD55" s="71" t="s">
        <v>5160</v>
      </c>
      <c r="AE55" s="71" t="s">
        <v>5156</v>
      </c>
      <c r="AF55" s="71" t="s">
        <v>16</v>
      </c>
      <c r="AG55" s="71" t="s">
        <v>12</v>
      </c>
      <c r="AH55" s="72">
        <v>45935</v>
      </c>
      <c r="AI55" s="71"/>
    </row>
    <row r="56" spans="1:35">
      <c r="A56" s="77" t="s">
        <v>2567</v>
      </c>
      <c r="B56" s="78">
        <v>107.28700000000001</v>
      </c>
      <c r="C56" s="81">
        <v>31.1</v>
      </c>
      <c r="D56" s="81">
        <v>186</v>
      </c>
      <c r="E56" s="81"/>
      <c r="F56" s="81">
        <v>645.70000000000005</v>
      </c>
      <c r="G56" s="81">
        <v>795.2</v>
      </c>
      <c r="H56" s="81"/>
      <c r="I56" s="81">
        <v>706.4</v>
      </c>
      <c r="J56" s="81">
        <v>684.8</v>
      </c>
      <c r="K56" s="81">
        <v>589.4</v>
      </c>
      <c r="L56" s="81">
        <v>508.7</v>
      </c>
      <c r="M56" s="81">
        <v>466.4</v>
      </c>
      <c r="N56" s="81">
        <v>391.1</v>
      </c>
      <c r="O56" s="81">
        <v>352</v>
      </c>
      <c r="P56" s="81"/>
      <c r="Q56" s="81"/>
      <c r="R56" s="81">
        <v>521.70000000000005</v>
      </c>
      <c r="S56" s="81"/>
      <c r="T56" s="81">
        <v>499.1</v>
      </c>
      <c r="U56" s="81">
        <v>542.79999999999995</v>
      </c>
      <c r="V56" s="81">
        <v>279.89999999999998</v>
      </c>
      <c r="W56" s="81"/>
      <c r="X56" s="81"/>
      <c r="Y56" s="81"/>
      <c r="Z56" s="81">
        <v>342.4</v>
      </c>
      <c r="AA56" s="81">
        <v>215.7</v>
      </c>
      <c r="AB56" s="81"/>
      <c r="AC56" s="81">
        <v>74.8</v>
      </c>
      <c r="AD56" s="79" t="s">
        <v>5161</v>
      </c>
      <c r="AE56" s="79" t="s">
        <v>5156</v>
      </c>
      <c r="AF56" s="79" t="s">
        <v>11</v>
      </c>
      <c r="AG56" s="79" t="s">
        <v>12</v>
      </c>
      <c r="AH56" s="80">
        <v>45941</v>
      </c>
      <c r="AI56" s="79"/>
    </row>
    <row r="57" spans="1:35">
      <c r="A57" s="69" t="s">
        <v>2582</v>
      </c>
      <c r="B57" s="70">
        <v>92.537999999999997</v>
      </c>
      <c r="C57" s="82">
        <v>27.3</v>
      </c>
      <c r="D57" s="82">
        <v>195.1</v>
      </c>
      <c r="E57" s="82">
        <v>397</v>
      </c>
      <c r="F57" s="82">
        <v>669.8</v>
      </c>
      <c r="G57" s="82">
        <v>819.7</v>
      </c>
      <c r="H57" s="82"/>
      <c r="I57" s="82">
        <v>725.4</v>
      </c>
      <c r="J57" s="82">
        <v>688.6</v>
      </c>
      <c r="K57" s="82">
        <v>609.1</v>
      </c>
      <c r="L57" s="82">
        <v>476.8</v>
      </c>
      <c r="M57" s="82">
        <v>448.6</v>
      </c>
      <c r="N57" s="82">
        <v>411.3</v>
      </c>
      <c r="O57" s="82">
        <v>356.7</v>
      </c>
      <c r="P57" s="82"/>
      <c r="Q57" s="82">
        <v>527.6</v>
      </c>
      <c r="R57" s="82">
        <v>523.4</v>
      </c>
      <c r="S57" s="82"/>
      <c r="T57" s="82">
        <v>500.3</v>
      </c>
      <c r="U57" s="82"/>
      <c r="V57" s="82">
        <v>280.7</v>
      </c>
      <c r="W57" s="82">
        <v>460.8</v>
      </c>
      <c r="X57" s="82"/>
      <c r="Y57" s="82"/>
      <c r="Z57" s="82"/>
      <c r="AA57" s="82">
        <v>207.9</v>
      </c>
      <c r="AB57" s="82">
        <v>112.9</v>
      </c>
      <c r="AC57" s="82">
        <v>68.7</v>
      </c>
      <c r="AD57" s="71" t="s">
        <v>5162</v>
      </c>
      <c r="AE57" s="71" t="s">
        <v>5156</v>
      </c>
      <c r="AF57" s="71" t="s">
        <v>16</v>
      </c>
      <c r="AG57" s="71" t="s">
        <v>12</v>
      </c>
      <c r="AH57" s="72">
        <v>45947</v>
      </c>
      <c r="AI57" s="71"/>
    </row>
    <row r="58" spans="1:35">
      <c r="A58" s="77" t="s">
        <v>2592</v>
      </c>
      <c r="B58" s="78">
        <v>89.025000000000006</v>
      </c>
      <c r="C58" s="81">
        <v>27.3</v>
      </c>
      <c r="D58" s="81">
        <v>180.2</v>
      </c>
      <c r="E58" s="81"/>
      <c r="F58" s="81">
        <v>700.5</v>
      </c>
      <c r="G58" s="81">
        <v>867.2</v>
      </c>
      <c r="H58" s="81"/>
      <c r="I58" s="81">
        <v>784.8</v>
      </c>
      <c r="J58" s="81"/>
      <c r="K58" s="81">
        <v>646.4</v>
      </c>
      <c r="L58" s="81">
        <v>525.20000000000005</v>
      </c>
      <c r="M58" s="81">
        <v>497.8</v>
      </c>
      <c r="N58" s="81"/>
      <c r="O58" s="81">
        <v>368.3</v>
      </c>
      <c r="P58" s="81"/>
      <c r="Q58" s="81"/>
      <c r="R58" s="81">
        <v>571.70000000000005</v>
      </c>
      <c r="S58" s="81">
        <v>573.6</v>
      </c>
      <c r="T58" s="81">
        <v>566.9</v>
      </c>
      <c r="U58" s="81"/>
      <c r="V58" s="81">
        <v>272.5</v>
      </c>
      <c r="W58" s="81">
        <v>455.9</v>
      </c>
      <c r="X58" s="81"/>
      <c r="Y58" s="81"/>
      <c r="Z58" s="81"/>
      <c r="AA58" s="81">
        <v>247.8</v>
      </c>
      <c r="AB58" s="81"/>
      <c r="AC58" s="81">
        <v>39.700000000000003</v>
      </c>
      <c r="AD58" s="79" t="s">
        <v>5163</v>
      </c>
      <c r="AE58" s="79" t="s">
        <v>5156</v>
      </c>
      <c r="AF58" s="79" t="s">
        <v>11</v>
      </c>
      <c r="AG58" s="79" t="s">
        <v>12</v>
      </c>
      <c r="AH58" s="80">
        <v>45303</v>
      </c>
      <c r="AI58" s="79"/>
    </row>
    <row r="59" spans="1:35">
      <c r="A59" s="69" t="s">
        <v>2597</v>
      </c>
      <c r="B59" s="70">
        <v>143.624</v>
      </c>
      <c r="C59" s="82">
        <v>28.3</v>
      </c>
      <c r="D59" s="82">
        <v>184.4</v>
      </c>
      <c r="E59" s="82"/>
      <c r="F59" s="82">
        <v>644.9</v>
      </c>
      <c r="G59" s="82">
        <v>778.2</v>
      </c>
      <c r="H59" s="82">
        <v>762.3</v>
      </c>
      <c r="I59" s="82">
        <v>698.1</v>
      </c>
      <c r="J59" s="82"/>
      <c r="K59" s="82">
        <v>574.29999999999995</v>
      </c>
      <c r="L59" s="82">
        <v>479.8</v>
      </c>
      <c r="M59" s="82">
        <v>431.5</v>
      </c>
      <c r="N59" s="82"/>
      <c r="O59" s="82">
        <v>352.2</v>
      </c>
      <c r="P59" s="82"/>
      <c r="Q59" s="82"/>
      <c r="R59" s="82">
        <v>525.9</v>
      </c>
      <c r="S59" s="82">
        <v>530.70000000000005</v>
      </c>
      <c r="T59" s="82">
        <v>522.6</v>
      </c>
      <c r="U59" s="82"/>
      <c r="V59" s="82">
        <v>260.3</v>
      </c>
      <c r="W59" s="82">
        <v>458.7</v>
      </c>
      <c r="X59" s="82"/>
      <c r="Y59" s="82"/>
      <c r="Z59" s="82"/>
      <c r="AA59" s="82">
        <v>219.8</v>
      </c>
      <c r="AB59" s="82"/>
      <c r="AC59" s="82">
        <v>67.2</v>
      </c>
      <c r="AD59" s="71" t="s">
        <v>5164</v>
      </c>
      <c r="AE59" s="71" t="s">
        <v>5156</v>
      </c>
      <c r="AF59" s="71" t="s">
        <v>16</v>
      </c>
      <c r="AG59" s="71" t="s">
        <v>12</v>
      </c>
      <c r="AH59" s="72">
        <v>45309</v>
      </c>
      <c r="AI59" s="71"/>
    </row>
    <row r="60" spans="1:35">
      <c r="A60" s="77" t="s">
        <v>2612</v>
      </c>
      <c r="B60" s="78">
        <v>137.81</v>
      </c>
      <c r="C60" s="81">
        <v>39.200000000000003</v>
      </c>
      <c r="D60" s="81">
        <v>160</v>
      </c>
      <c r="E60" s="81">
        <v>322.3</v>
      </c>
      <c r="F60" s="81">
        <v>624</v>
      </c>
      <c r="G60" s="81">
        <v>747.2</v>
      </c>
      <c r="H60" s="81"/>
      <c r="I60" s="81">
        <v>697.1</v>
      </c>
      <c r="J60" s="81"/>
      <c r="K60" s="81">
        <v>558.1</v>
      </c>
      <c r="L60" s="81">
        <v>472</v>
      </c>
      <c r="M60" s="81">
        <v>443.5</v>
      </c>
      <c r="N60" s="81"/>
      <c r="O60" s="81">
        <v>341.8</v>
      </c>
      <c r="P60" s="81"/>
      <c r="Q60" s="81"/>
      <c r="R60" s="81">
        <v>490.8</v>
      </c>
      <c r="S60" s="81"/>
      <c r="T60" s="81">
        <v>483</v>
      </c>
      <c r="U60" s="81"/>
      <c r="V60" s="81">
        <v>249.4</v>
      </c>
      <c r="W60" s="81"/>
      <c r="X60" s="81"/>
      <c r="Y60" s="81"/>
      <c r="Z60" s="81">
        <v>349.3</v>
      </c>
      <c r="AA60" s="81">
        <v>281.2</v>
      </c>
      <c r="AB60" s="81"/>
      <c r="AC60" s="81">
        <v>36.200000000000003</v>
      </c>
      <c r="AD60" s="79" t="s">
        <v>5165</v>
      </c>
      <c r="AE60" s="79" t="s">
        <v>5156</v>
      </c>
      <c r="AF60" s="79" t="s">
        <v>8</v>
      </c>
      <c r="AG60" s="79" t="s">
        <v>9</v>
      </c>
      <c r="AH60" s="80">
        <v>45312</v>
      </c>
      <c r="AI60" s="79"/>
    </row>
    <row r="61" spans="1:35">
      <c r="A61" s="69" t="s">
        <v>2619</v>
      </c>
      <c r="B61" s="70">
        <v>100.97</v>
      </c>
      <c r="C61" s="82">
        <v>34.1</v>
      </c>
      <c r="D61" s="82">
        <v>195.7</v>
      </c>
      <c r="E61" s="82">
        <v>385.8</v>
      </c>
      <c r="F61" s="82">
        <v>669.9</v>
      </c>
      <c r="G61" s="82">
        <v>806.3</v>
      </c>
      <c r="H61" s="82">
        <v>784.6</v>
      </c>
      <c r="I61" s="82">
        <v>758.2</v>
      </c>
      <c r="J61" s="82"/>
      <c r="K61" s="82">
        <v>613.1</v>
      </c>
      <c r="L61" s="82">
        <v>513.4</v>
      </c>
      <c r="M61" s="82">
        <v>447.7</v>
      </c>
      <c r="N61" s="82">
        <v>396.4</v>
      </c>
      <c r="O61" s="82">
        <v>348.6</v>
      </c>
      <c r="P61" s="82"/>
      <c r="Q61" s="82"/>
      <c r="R61" s="82">
        <v>532.70000000000005</v>
      </c>
      <c r="S61" s="82"/>
      <c r="T61" s="82">
        <v>520</v>
      </c>
      <c r="U61" s="82"/>
      <c r="V61" s="82">
        <v>263.3</v>
      </c>
      <c r="W61" s="82">
        <v>457.7</v>
      </c>
      <c r="X61" s="82"/>
      <c r="Y61" s="82"/>
      <c r="Z61" s="82"/>
      <c r="AA61" s="82">
        <v>251.8</v>
      </c>
      <c r="AB61" s="82">
        <v>101.9</v>
      </c>
      <c r="AC61" s="82">
        <v>45</v>
      </c>
      <c r="AD61" s="71" t="s">
        <v>5166</v>
      </c>
      <c r="AE61" s="71" t="s">
        <v>5167</v>
      </c>
      <c r="AF61" s="71" t="s">
        <v>8</v>
      </c>
      <c r="AG61" s="71" t="s">
        <v>9</v>
      </c>
      <c r="AH61" s="72">
        <v>45312</v>
      </c>
      <c r="AI61" s="71"/>
    </row>
    <row r="62" spans="1:35">
      <c r="A62" s="77" t="s">
        <v>2628</v>
      </c>
      <c r="B62" s="78">
        <v>126.31</v>
      </c>
      <c r="C62" s="81">
        <v>25.8</v>
      </c>
      <c r="D62" s="81">
        <v>178.1</v>
      </c>
      <c r="E62" s="81"/>
      <c r="F62" s="81">
        <v>636.20000000000005</v>
      </c>
      <c r="G62" s="81">
        <v>791.7</v>
      </c>
      <c r="H62" s="81"/>
      <c r="I62" s="81">
        <v>733.5</v>
      </c>
      <c r="J62" s="81">
        <v>670.3</v>
      </c>
      <c r="K62" s="81">
        <v>607.29999999999995</v>
      </c>
      <c r="L62" s="81">
        <v>504.5</v>
      </c>
      <c r="M62" s="81">
        <v>448.4</v>
      </c>
      <c r="N62" s="81"/>
      <c r="O62" s="81">
        <v>327.2</v>
      </c>
      <c r="P62" s="81"/>
      <c r="Q62" s="81">
        <v>486.5</v>
      </c>
      <c r="R62" s="81">
        <v>527.70000000000005</v>
      </c>
      <c r="S62" s="81"/>
      <c r="T62" s="81">
        <v>511.2</v>
      </c>
      <c r="U62" s="81"/>
      <c r="V62" s="81">
        <v>259.89999999999998</v>
      </c>
      <c r="W62" s="81">
        <v>452.6</v>
      </c>
      <c r="X62" s="81"/>
      <c r="Y62" s="81"/>
      <c r="Z62" s="81">
        <v>353.3</v>
      </c>
      <c r="AA62" s="81">
        <v>198.3</v>
      </c>
      <c r="AB62" s="81"/>
      <c r="AC62" s="81">
        <v>47.1</v>
      </c>
      <c r="AD62" s="79" t="s">
        <v>5168</v>
      </c>
      <c r="AE62" s="79" t="s">
        <v>5167</v>
      </c>
      <c r="AF62" s="79" t="s">
        <v>11</v>
      </c>
      <c r="AG62" s="79" t="s">
        <v>12</v>
      </c>
      <c r="AH62" s="80">
        <v>45315</v>
      </c>
      <c r="AI62" s="79"/>
    </row>
    <row r="63" spans="1:35">
      <c r="A63" s="69" t="s">
        <v>2640</v>
      </c>
      <c r="B63" s="70">
        <v>84.759</v>
      </c>
      <c r="C63" s="82">
        <v>36</v>
      </c>
      <c r="D63" s="82">
        <v>183.5</v>
      </c>
      <c r="E63" s="82"/>
      <c r="F63" s="82">
        <v>640.29999999999995</v>
      </c>
      <c r="G63" s="82">
        <v>796.4</v>
      </c>
      <c r="H63" s="82">
        <v>743.4</v>
      </c>
      <c r="I63" s="82">
        <v>751.5</v>
      </c>
      <c r="J63" s="82"/>
      <c r="K63" s="82">
        <v>583.4</v>
      </c>
      <c r="L63" s="82">
        <v>471.6</v>
      </c>
      <c r="M63" s="82">
        <v>444.8</v>
      </c>
      <c r="N63" s="82"/>
      <c r="O63" s="82">
        <v>353.5</v>
      </c>
      <c r="P63" s="82"/>
      <c r="Q63" s="82"/>
      <c r="R63" s="82">
        <v>503.7</v>
      </c>
      <c r="S63" s="82"/>
      <c r="T63" s="82">
        <v>476.9</v>
      </c>
      <c r="U63" s="82"/>
      <c r="V63" s="82">
        <v>276.39999999999998</v>
      </c>
      <c r="W63" s="82">
        <v>460.9</v>
      </c>
      <c r="X63" s="82">
        <v>512.6</v>
      </c>
      <c r="Y63" s="82">
        <v>502</v>
      </c>
      <c r="Z63" s="82"/>
      <c r="AA63" s="82">
        <v>198.2</v>
      </c>
      <c r="AB63" s="82"/>
      <c r="AC63" s="82">
        <v>40</v>
      </c>
      <c r="AD63" s="71" t="s">
        <v>5169</v>
      </c>
      <c r="AE63" s="71" t="s">
        <v>5167</v>
      </c>
      <c r="AF63" s="71" t="s">
        <v>14</v>
      </c>
      <c r="AG63" s="71" t="s">
        <v>9</v>
      </c>
      <c r="AH63" s="72">
        <v>45318</v>
      </c>
      <c r="AI63" s="71"/>
    </row>
    <row r="64" spans="1:35">
      <c r="A64" s="77" t="s">
        <v>2649</v>
      </c>
      <c r="B64" s="78">
        <v>99.209000000000003</v>
      </c>
      <c r="C64" s="81">
        <v>33.1</v>
      </c>
      <c r="D64" s="81">
        <v>177.5</v>
      </c>
      <c r="E64" s="81"/>
      <c r="F64" s="81">
        <v>672.3</v>
      </c>
      <c r="G64" s="81">
        <v>833.2</v>
      </c>
      <c r="H64" s="81"/>
      <c r="I64" s="81">
        <v>761.8</v>
      </c>
      <c r="J64" s="81">
        <v>748</v>
      </c>
      <c r="K64" s="81">
        <v>610.4</v>
      </c>
      <c r="L64" s="81">
        <v>511.4</v>
      </c>
      <c r="M64" s="81">
        <v>478</v>
      </c>
      <c r="N64" s="81"/>
      <c r="O64" s="81">
        <v>341.6</v>
      </c>
      <c r="P64" s="81"/>
      <c r="Q64" s="81"/>
      <c r="R64" s="81">
        <v>535.5</v>
      </c>
      <c r="S64" s="81">
        <v>528.6</v>
      </c>
      <c r="T64" s="81">
        <v>522.4</v>
      </c>
      <c r="U64" s="81"/>
      <c r="V64" s="81">
        <v>272.2</v>
      </c>
      <c r="W64" s="81">
        <v>461.7</v>
      </c>
      <c r="X64" s="81"/>
      <c r="Y64" s="81"/>
      <c r="Z64" s="81">
        <v>413.2</v>
      </c>
      <c r="AA64" s="81">
        <v>269.60000000000002</v>
      </c>
      <c r="AB64" s="81">
        <v>88.9</v>
      </c>
      <c r="AC64" s="81">
        <v>53.6</v>
      </c>
      <c r="AD64" s="79" t="s">
        <v>5170</v>
      </c>
      <c r="AE64" s="79" t="s">
        <v>5167</v>
      </c>
      <c r="AF64" s="79" t="s">
        <v>16</v>
      </c>
      <c r="AG64" s="79" t="s">
        <v>12</v>
      </c>
      <c r="AH64" s="80">
        <v>45321</v>
      </c>
      <c r="AI64" s="79"/>
    </row>
    <row r="65" spans="1:35">
      <c r="A65" s="69" t="s">
        <v>2654</v>
      </c>
      <c r="B65" s="70">
        <v>92.033000000000001</v>
      </c>
      <c r="C65" s="82">
        <v>25.3</v>
      </c>
      <c r="D65" s="82">
        <v>186.8</v>
      </c>
      <c r="E65" s="82">
        <v>412.1</v>
      </c>
      <c r="F65" s="82">
        <v>720.6</v>
      </c>
      <c r="G65" s="82">
        <v>875.8</v>
      </c>
      <c r="H65" s="82">
        <v>847.6</v>
      </c>
      <c r="I65" s="82">
        <v>784.3</v>
      </c>
      <c r="J65" s="82">
        <v>776.2</v>
      </c>
      <c r="K65" s="82">
        <v>630.70000000000005</v>
      </c>
      <c r="L65" s="82">
        <v>520.5</v>
      </c>
      <c r="M65" s="82">
        <v>478.9</v>
      </c>
      <c r="N65" s="82"/>
      <c r="O65" s="82">
        <v>390.8</v>
      </c>
      <c r="P65" s="82"/>
      <c r="Q65" s="82">
        <v>536.79999999999995</v>
      </c>
      <c r="R65" s="82">
        <v>573.6</v>
      </c>
      <c r="S65" s="82">
        <v>569.20000000000005</v>
      </c>
      <c r="T65" s="82">
        <v>548.29999999999995</v>
      </c>
      <c r="U65" s="82"/>
      <c r="V65" s="82">
        <v>293</v>
      </c>
      <c r="W65" s="82"/>
      <c r="X65" s="82"/>
      <c r="Y65" s="82"/>
      <c r="Z65" s="82"/>
      <c r="AA65" s="82">
        <v>210.1</v>
      </c>
      <c r="AB65" s="82">
        <v>105.5</v>
      </c>
      <c r="AC65" s="82">
        <v>66.8</v>
      </c>
      <c r="AD65" s="71" t="s">
        <v>5171</v>
      </c>
      <c r="AE65" s="71" t="s">
        <v>5167</v>
      </c>
      <c r="AF65" s="71" t="s">
        <v>8</v>
      </c>
      <c r="AG65" s="71" t="s">
        <v>9</v>
      </c>
      <c r="AH65" s="72">
        <v>45324</v>
      </c>
      <c r="AI65" s="71"/>
    </row>
    <row r="66" spans="1:35">
      <c r="A66" s="77" t="s">
        <v>2659</v>
      </c>
      <c r="B66" s="78">
        <v>113.623</v>
      </c>
      <c r="C66" s="81">
        <v>30</v>
      </c>
      <c r="D66" s="81">
        <v>187</v>
      </c>
      <c r="E66" s="81"/>
      <c r="F66" s="81">
        <v>631.6</v>
      </c>
      <c r="G66" s="81">
        <v>790.8</v>
      </c>
      <c r="H66" s="81">
        <v>738</v>
      </c>
      <c r="I66" s="81">
        <v>734</v>
      </c>
      <c r="J66" s="81">
        <v>673.7</v>
      </c>
      <c r="K66" s="81">
        <v>569.4</v>
      </c>
      <c r="L66" s="81">
        <v>505.4</v>
      </c>
      <c r="M66" s="81">
        <v>446.7</v>
      </c>
      <c r="N66" s="81">
        <v>402</v>
      </c>
      <c r="O66" s="81">
        <v>357</v>
      </c>
      <c r="P66" s="81"/>
      <c r="Q66" s="81"/>
      <c r="R66" s="81">
        <v>513.70000000000005</v>
      </c>
      <c r="S66" s="81">
        <v>516.6</v>
      </c>
      <c r="T66" s="81">
        <v>492.7</v>
      </c>
      <c r="U66" s="81"/>
      <c r="V66" s="81">
        <v>265.39999999999998</v>
      </c>
      <c r="W66" s="81"/>
      <c r="X66" s="81"/>
      <c r="Y66" s="81"/>
      <c r="Z66" s="81">
        <v>349.6</v>
      </c>
      <c r="AA66" s="81">
        <v>232.4</v>
      </c>
      <c r="AB66" s="81"/>
      <c r="AC66" s="81">
        <v>42</v>
      </c>
      <c r="AD66" s="79" t="s">
        <v>5172</v>
      </c>
      <c r="AE66" s="79" t="s">
        <v>5167</v>
      </c>
      <c r="AF66" s="79" t="s">
        <v>14</v>
      </c>
      <c r="AG66" s="79" t="s">
        <v>9</v>
      </c>
      <c r="AH66" s="80">
        <v>45330</v>
      </c>
      <c r="AI66" s="79"/>
    </row>
    <row r="67" spans="1:35">
      <c r="A67" s="69" t="s">
        <v>2674</v>
      </c>
      <c r="B67" s="70">
        <v>89.480999999999995</v>
      </c>
      <c r="C67" s="82">
        <v>38.6</v>
      </c>
      <c r="D67" s="82">
        <v>158.4</v>
      </c>
      <c r="E67" s="82"/>
      <c r="F67" s="82">
        <v>665.8</v>
      </c>
      <c r="G67" s="82">
        <v>796.9</v>
      </c>
      <c r="H67" s="82"/>
      <c r="I67" s="82">
        <v>735.7</v>
      </c>
      <c r="J67" s="82">
        <v>680.5</v>
      </c>
      <c r="K67" s="82">
        <v>583.1</v>
      </c>
      <c r="L67" s="82">
        <v>495.6</v>
      </c>
      <c r="M67" s="82">
        <v>449.8</v>
      </c>
      <c r="N67" s="82"/>
      <c r="O67" s="82">
        <v>325</v>
      </c>
      <c r="P67" s="82"/>
      <c r="Q67" s="82">
        <v>524.9</v>
      </c>
      <c r="R67" s="82">
        <v>529.70000000000005</v>
      </c>
      <c r="S67" s="82"/>
      <c r="T67" s="82">
        <v>504.4</v>
      </c>
      <c r="U67" s="82"/>
      <c r="V67" s="82">
        <v>258.8</v>
      </c>
      <c r="W67" s="82"/>
      <c r="X67" s="82"/>
      <c r="Y67" s="82"/>
      <c r="Z67" s="82"/>
      <c r="AA67" s="82">
        <v>208.9</v>
      </c>
      <c r="AB67" s="82">
        <v>106.5</v>
      </c>
      <c r="AC67" s="82">
        <v>62.2</v>
      </c>
      <c r="AD67" s="71" t="s">
        <v>5173</v>
      </c>
      <c r="AE67" s="71" t="s">
        <v>5167</v>
      </c>
      <c r="AF67" s="71" t="s">
        <v>11</v>
      </c>
      <c r="AG67" s="71" t="s">
        <v>12</v>
      </c>
      <c r="AH67" s="72">
        <v>45339</v>
      </c>
      <c r="AI67" s="71"/>
    </row>
    <row r="68" spans="1:35">
      <c r="A68" s="77" t="s">
        <v>2689</v>
      </c>
      <c r="B68" s="78">
        <v>88.382000000000005</v>
      </c>
      <c r="C68" s="81">
        <v>36.5</v>
      </c>
      <c r="D68" s="81">
        <v>176.6</v>
      </c>
      <c r="E68" s="81"/>
      <c r="F68" s="81">
        <v>660.6</v>
      </c>
      <c r="G68" s="81">
        <v>829.6</v>
      </c>
      <c r="H68" s="81"/>
      <c r="I68" s="81">
        <v>758.4</v>
      </c>
      <c r="J68" s="81"/>
      <c r="K68" s="81">
        <v>633.79999999999995</v>
      </c>
      <c r="L68" s="81">
        <v>526</v>
      </c>
      <c r="M68" s="81">
        <v>449.6</v>
      </c>
      <c r="N68" s="81">
        <v>418.6</v>
      </c>
      <c r="O68" s="81">
        <v>372.7</v>
      </c>
      <c r="P68" s="81"/>
      <c r="Q68" s="81"/>
      <c r="R68" s="81">
        <v>558.4</v>
      </c>
      <c r="S68" s="81"/>
      <c r="T68" s="81">
        <v>532.9</v>
      </c>
      <c r="U68" s="81"/>
      <c r="V68" s="81">
        <v>278.60000000000002</v>
      </c>
      <c r="W68" s="81"/>
      <c r="X68" s="81"/>
      <c r="Y68" s="81"/>
      <c r="Z68" s="81">
        <v>330.7</v>
      </c>
      <c r="AA68" s="81">
        <v>201.9</v>
      </c>
      <c r="AB68" s="81"/>
      <c r="AC68" s="81">
        <v>71.599999999999994</v>
      </c>
      <c r="AD68" s="79" t="s">
        <v>5174</v>
      </c>
      <c r="AE68" s="79" t="s">
        <v>5167</v>
      </c>
      <c r="AF68" s="79" t="s">
        <v>14</v>
      </c>
      <c r="AG68" s="79" t="s">
        <v>9</v>
      </c>
      <c r="AH68" s="80">
        <v>45342</v>
      </c>
      <c r="AI68" s="79"/>
    </row>
    <row r="69" spans="1:35">
      <c r="A69" s="69" t="s">
        <v>2704</v>
      </c>
      <c r="B69" s="70">
        <v>72.358999999999995</v>
      </c>
      <c r="C69" s="82">
        <v>31.8</v>
      </c>
      <c r="D69" s="82">
        <v>205.4</v>
      </c>
      <c r="E69" s="82"/>
      <c r="F69" s="82">
        <v>719.8</v>
      </c>
      <c r="G69" s="82">
        <v>859.2</v>
      </c>
      <c r="H69" s="82"/>
      <c r="I69" s="82">
        <v>777.9</v>
      </c>
      <c r="J69" s="82"/>
      <c r="K69" s="82">
        <v>660.1</v>
      </c>
      <c r="L69" s="82">
        <v>527.6</v>
      </c>
      <c r="M69" s="82">
        <v>491</v>
      </c>
      <c r="N69" s="82"/>
      <c r="O69" s="82">
        <v>372</v>
      </c>
      <c r="P69" s="82"/>
      <c r="Q69" s="82"/>
      <c r="R69" s="82">
        <v>569.6</v>
      </c>
      <c r="S69" s="82">
        <v>574.20000000000005</v>
      </c>
      <c r="T69" s="82">
        <v>566.29999999999995</v>
      </c>
      <c r="U69" s="82"/>
      <c r="V69" s="82">
        <v>287.2</v>
      </c>
      <c r="W69" s="82">
        <v>462.9</v>
      </c>
      <c r="X69" s="82"/>
      <c r="Y69" s="82"/>
      <c r="Z69" s="82"/>
      <c r="AA69" s="82">
        <v>245.2</v>
      </c>
      <c r="AB69" s="82"/>
      <c r="AC69" s="82">
        <v>35</v>
      </c>
      <c r="AD69" s="71" t="s">
        <v>5175</v>
      </c>
      <c r="AE69" s="71" t="s">
        <v>5167</v>
      </c>
      <c r="AF69" s="71" t="s">
        <v>8</v>
      </c>
      <c r="AG69" s="71" t="s">
        <v>9</v>
      </c>
      <c r="AH69" s="72">
        <v>45348</v>
      </c>
      <c r="AI69" s="71"/>
    </row>
    <row r="70" spans="1:35">
      <c r="A70" s="77" t="s">
        <v>2707</v>
      </c>
      <c r="B70" s="78">
        <v>98.804000000000002</v>
      </c>
      <c r="C70" s="81">
        <v>25.5</v>
      </c>
      <c r="D70" s="81">
        <v>194</v>
      </c>
      <c r="E70" s="81"/>
      <c r="F70" s="81">
        <v>675.9</v>
      </c>
      <c r="G70" s="81">
        <v>848.3</v>
      </c>
      <c r="H70" s="81">
        <v>803</v>
      </c>
      <c r="I70" s="81">
        <v>774</v>
      </c>
      <c r="J70" s="81"/>
      <c r="K70" s="81">
        <v>636.79999999999995</v>
      </c>
      <c r="L70" s="81">
        <v>538.4</v>
      </c>
      <c r="M70" s="81">
        <v>490</v>
      </c>
      <c r="N70" s="81">
        <v>424.2</v>
      </c>
      <c r="O70" s="81">
        <v>377.3</v>
      </c>
      <c r="P70" s="81"/>
      <c r="Q70" s="81"/>
      <c r="R70" s="81">
        <v>565.29999999999995</v>
      </c>
      <c r="S70" s="81">
        <v>566.1</v>
      </c>
      <c r="T70" s="81">
        <v>559.70000000000005</v>
      </c>
      <c r="U70" s="81"/>
      <c r="V70" s="81">
        <v>268</v>
      </c>
      <c r="W70" s="81">
        <v>466.8</v>
      </c>
      <c r="X70" s="81"/>
      <c r="Y70" s="81"/>
      <c r="Z70" s="81">
        <v>404.7</v>
      </c>
      <c r="AA70" s="81">
        <v>266</v>
      </c>
      <c r="AB70" s="81"/>
      <c r="AC70" s="81">
        <v>75</v>
      </c>
      <c r="AD70" s="79" t="s">
        <v>5176</v>
      </c>
      <c r="AE70" s="79" t="s">
        <v>5167</v>
      </c>
      <c r="AF70" s="79" t="s">
        <v>11</v>
      </c>
      <c r="AG70" s="79" t="s">
        <v>12</v>
      </c>
      <c r="AH70" s="80">
        <v>45351</v>
      </c>
      <c r="AI70" s="79"/>
    </row>
    <row r="71" spans="1:35">
      <c r="A71" s="69" t="s">
        <v>2712</v>
      </c>
      <c r="B71" s="70">
        <v>55</v>
      </c>
      <c r="C71" s="82">
        <v>26.7</v>
      </c>
      <c r="D71" s="82">
        <v>177.1</v>
      </c>
      <c r="E71" s="82"/>
      <c r="F71" s="82">
        <v>668.4</v>
      </c>
      <c r="G71" s="82">
        <v>810.9</v>
      </c>
      <c r="H71" s="82"/>
      <c r="I71" s="82">
        <v>748</v>
      </c>
      <c r="J71" s="82"/>
      <c r="K71" s="82">
        <v>604.20000000000005</v>
      </c>
      <c r="L71" s="82">
        <v>507.8</v>
      </c>
      <c r="M71" s="82">
        <v>479.8</v>
      </c>
      <c r="N71" s="82">
        <v>415.6</v>
      </c>
      <c r="O71" s="82">
        <v>352.9</v>
      </c>
      <c r="P71" s="82"/>
      <c r="Q71" s="82"/>
      <c r="R71" s="82">
        <v>524.4</v>
      </c>
      <c r="S71" s="82"/>
      <c r="T71" s="82">
        <v>496.9</v>
      </c>
      <c r="U71" s="82">
        <v>554.70000000000005</v>
      </c>
      <c r="V71" s="82">
        <v>276.8</v>
      </c>
      <c r="W71" s="82"/>
      <c r="X71" s="82"/>
      <c r="Y71" s="82"/>
      <c r="Z71" s="82"/>
      <c r="AA71" s="82">
        <v>210.4</v>
      </c>
      <c r="AB71" s="82">
        <v>120.8</v>
      </c>
      <c r="AC71" s="82">
        <v>68.599999999999994</v>
      </c>
      <c r="AD71" s="71" t="s">
        <v>5177</v>
      </c>
      <c r="AE71" s="71" t="s">
        <v>5178</v>
      </c>
      <c r="AF71" s="71" t="s">
        <v>11</v>
      </c>
      <c r="AG71" s="71" t="s">
        <v>12</v>
      </c>
      <c r="AH71" s="72">
        <v>45351</v>
      </c>
      <c r="AI71" s="71"/>
    </row>
    <row r="72" spans="1:35">
      <c r="A72" s="77" t="s">
        <v>2721</v>
      </c>
      <c r="B72" s="78">
        <v>144.34299999999999</v>
      </c>
      <c r="C72" s="81">
        <v>39</v>
      </c>
      <c r="D72" s="81">
        <v>182.3</v>
      </c>
      <c r="E72" s="81"/>
      <c r="F72" s="81">
        <v>600</v>
      </c>
      <c r="G72" s="81">
        <v>755.9</v>
      </c>
      <c r="H72" s="81">
        <v>729.8</v>
      </c>
      <c r="I72" s="81">
        <v>706.3</v>
      </c>
      <c r="J72" s="81">
        <v>664.9</v>
      </c>
      <c r="K72" s="81">
        <v>543.6</v>
      </c>
      <c r="L72" s="81">
        <v>481.2</v>
      </c>
      <c r="M72" s="81">
        <v>410.9</v>
      </c>
      <c r="N72" s="81"/>
      <c r="O72" s="81">
        <v>330.7</v>
      </c>
      <c r="P72" s="81"/>
      <c r="Q72" s="81"/>
      <c r="R72" s="81">
        <v>497.3</v>
      </c>
      <c r="S72" s="81"/>
      <c r="T72" s="81">
        <v>493.1</v>
      </c>
      <c r="U72" s="81"/>
      <c r="V72" s="81">
        <v>240.3</v>
      </c>
      <c r="W72" s="81"/>
      <c r="X72" s="81"/>
      <c r="Y72" s="81"/>
      <c r="Z72" s="81">
        <v>386.1</v>
      </c>
      <c r="AA72" s="81">
        <v>211.5</v>
      </c>
      <c r="AB72" s="81"/>
      <c r="AC72" s="81">
        <v>51.1</v>
      </c>
      <c r="AD72" s="79" t="s">
        <v>5179</v>
      </c>
      <c r="AE72" s="79" t="s">
        <v>5178</v>
      </c>
      <c r="AF72" s="79" t="s">
        <v>14</v>
      </c>
      <c r="AG72" s="79" t="s">
        <v>9</v>
      </c>
      <c r="AH72" s="80">
        <v>45354</v>
      </c>
      <c r="AI72" s="79"/>
    </row>
    <row r="73" spans="1:35">
      <c r="A73" s="69" t="s">
        <v>2729</v>
      </c>
      <c r="B73" s="70">
        <v>130.33799999999999</v>
      </c>
      <c r="C73" s="82">
        <v>38.5</v>
      </c>
      <c r="D73" s="82">
        <v>180.8</v>
      </c>
      <c r="E73" s="82"/>
      <c r="F73" s="82">
        <v>634.6</v>
      </c>
      <c r="G73" s="82">
        <v>791.5</v>
      </c>
      <c r="H73" s="82"/>
      <c r="I73" s="82">
        <v>722.7</v>
      </c>
      <c r="J73" s="82"/>
      <c r="K73" s="82">
        <v>570</v>
      </c>
      <c r="L73" s="82">
        <v>495.9</v>
      </c>
      <c r="M73" s="82">
        <v>429.6</v>
      </c>
      <c r="N73" s="82">
        <v>378.4</v>
      </c>
      <c r="O73" s="82">
        <v>348.4</v>
      </c>
      <c r="P73" s="82"/>
      <c r="Q73" s="82"/>
      <c r="R73" s="82">
        <v>510.2</v>
      </c>
      <c r="S73" s="82">
        <v>511.3</v>
      </c>
      <c r="T73" s="82">
        <v>501.7</v>
      </c>
      <c r="U73" s="82"/>
      <c r="V73" s="82">
        <v>271.60000000000002</v>
      </c>
      <c r="W73" s="82">
        <v>453.8</v>
      </c>
      <c r="X73" s="82"/>
      <c r="Y73" s="82"/>
      <c r="Z73" s="82"/>
      <c r="AA73" s="82">
        <v>253.4</v>
      </c>
      <c r="AB73" s="82"/>
      <c r="AC73" s="82">
        <v>41.6</v>
      </c>
      <c r="AD73" s="71" t="s">
        <v>5180</v>
      </c>
      <c r="AE73" s="71" t="s">
        <v>5178</v>
      </c>
      <c r="AF73" s="71" t="s">
        <v>16</v>
      </c>
      <c r="AG73" s="71" t="s">
        <v>12</v>
      </c>
      <c r="AH73" s="72">
        <v>45357</v>
      </c>
      <c r="AI73" s="71"/>
    </row>
    <row r="74" spans="1:35">
      <c r="A74" s="77" t="s">
        <v>2750</v>
      </c>
      <c r="B74" s="78">
        <v>102.91500000000001</v>
      </c>
      <c r="C74" s="81">
        <v>36.6</v>
      </c>
      <c r="D74" s="81">
        <v>162</v>
      </c>
      <c r="E74" s="81"/>
      <c r="F74" s="81">
        <v>667.5</v>
      </c>
      <c r="G74" s="81">
        <v>799.1</v>
      </c>
      <c r="H74" s="81"/>
      <c r="I74" s="81">
        <v>733.5</v>
      </c>
      <c r="J74" s="81"/>
      <c r="K74" s="81">
        <v>579.29999999999995</v>
      </c>
      <c r="L74" s="81">
        <v>499.5</v>
      </c>
      <c r="M74" s="81">
        <v>442.5</v>
      </c>
      <c r="N74" s="81"/>
      <c r="O74" s="81">
        <v>341.5</v>
      </c>
      <c r="P74" s="81"/>
      <c r="Q74" s="81">
        <v>486</v>
      </c>
      <c r="R74" s="81">
        <v>510.8</v>
      </c>
      <c r="S74" s="81">
        <v>518.20000000000005</v>
      </c>
      <c r="T74" s="81">
        <v>509.3</v>
      </c>
      <c r="U74" s="81">
        <v>537.4</v>
      </c>
      <c r="V74" s="81">
        <v>273.89999999999998</v>
      </c>
      <c r="W74" s="81">
        <v>466</v>
      </c>
      <c r="X74" s="81">
        <v>511.2</v>
      </c>
      <c r="Y74" s="81">
        <v>496.1</v>
      </c>
      <c r="Z74" s="81"/>
      <c r="AA74" s="81">
        <v>252.8</v>
      </c>
      <c r="AB74" s="81"/>
      <c r="AC74" s="81">
        <v>45.4</v>
      </c>
      <c r="AD74" s="79" t="s">
        <v>5181</v>
      </c>
      <c r="AE74" s="79" t="s">
        <v>5178</v>
      </c>
      <c r="AF74" s="79" t="s">
        <v>8</v>
      </c>
      <c r="AG74" s="79" t="s">
        <v>9</v>
      </c>
      <c r="AH74" s="80">
        <v>45360</v>
      </c>
      <c r="AI74" s="79"/>
    </row>
    <row r="75" spans="1:35">
      <c r="A75" s="69" t="s">
        <v>2757</v>
      </c>
      <c r="B75" s="70">
        <v>110.937</v>
      </c>
      <c r="C75" s="82">
        <v>29.8</v>
      </c>
      <c r="D75" s="82">
        <v>167</v>
      </c>
      <c r="E75" s="82"/>
      <c r="F75" s="82">
        <v>643.70000000000005</v>
      </c>
      <c r="G75" s="82">
        <v>804.6</v>
      </c>
      <c r="H75" s="82"/>
      <c r="I75" s="82">
        <v>725.7</v>
      </c>
      <c r="J75" s="82"/>
      <c r="K75" s="82">
        <v>587.20000000000005</v>
      </c>
      <c r="L75" s="82">
        <v>483.2</v>
      </c>
      <c r="M75" s="82">
        <v>430.1</v>
      </c>
      <c r="N75" s="82"/>
      <c r="O75" s="82">
        <v>328</v>
      </c>
      <c r="P75" s="82"/>
      <c r="Q75" s="82"/>
      <c r="R75" s="82">
        <v>522.9</v>
      </c>
      <c r="S75" s="82">
        <v>531.79999999999995</v>
      </c>
      <c r="T75" s="82">
        <v>511.6</v>
      </c>
      <c r="U75" s="82">
        <v>522.79999999999995</v>
      </c>
      <c r="V75" s="82">
        <v>268.5</v>
      </c>
      <c r="W75" s="82">
        <v>456.6</v>
      </c>
      <c r="X75" s="82"/>
      <c r="Y75" s="82"/>
      <c r="Z75" s="82">
        <v>364.9</v>
      </c>
      <c r="AA75" s="82">
        <v>233.5</v>
      </c>
      <c r="AB75" s="82"/>
      <c r="AC75" s="82">
        <v>45.7</v>
      </c>
      <c r="AD75" s="71" t="s">
        <v>5182</v>
      </c>
      <c r="AE75" s="71" t="s">
        <v>5178</v>
      </c>
      <c r="AF75" s="71" t="s">
        <v>11</v>
      </c>
      <c r="AG75" s="71" t="s">
        <v>12</v>
      </c>
      <c r="AH75" s="72">
        <v>45363</v>
      </c>
      <c r="AI75" s="71"/>
    </row>
    <row r="76" spans="1:35">
      <c r="A76" s="77" t="s">
        <v>2769</v>
      </c>
      <c r="B76" s="78">
        <v>85.085999999999999</v>
      </c>
      <c r="C76" s="81">
        <v>38.200000000000003</v>
      </c>
      <c r="D76" s="81">
        <v>197.8</v>
      </c>
      <c r="E76" s="81"/>
      <c r="F76" s="81">
        <v>717.3</v>
      </c>
      <c r="G76" s="81">
        <v>865.7</v>
      </c>
      <c r="H76" s="81"/>
      <c r="I76" s="81">
        <v>806.8</v>
      </c>
      <c r="J76" s="81"/>
      <c r="K76" s="81">
        <v>635.9</v>
      </c>
      <c r="L76" s="81">
        <v>532.20000000000005</v>
      </c>
      <c r="M76" s="81">
        <v>469.6</v>
      </c>
      <c r="N76" s="81"/>
      <c r="O76" s="81">
        <v>354.8</v>
      </c>
      <c r="P76" s="81"/>
      <c r="Q76" s="81"/>
      <c r="R76" s="81">
        <v>568.79999999999995</v>
      </c>
      <c r="S76" s="81"/>
      <c r="T76" s="81">
        <v>547.6</v>
      </c>
      <c r="U76" s="81"/>
      <c r="V76" s="81">
        <v>294</v>
      </c>
      <c r="W76" s="81">
        <v>466.8</v>
      </c>
      <c r="X76" s="81">
        <v>512.29999999999995</v>
      </c>
      <c r="Y76" s="81">
        <v>504.1</v>
      </c>
      <c r="Z76" s="81"/>
      <c r="AA76" s="81">
        <v>211.9</v>
      </c>
      <c r="AB76" s="81"/>
      <c r="AC76" s="81">
        <v>64.400000000000006</v>
      </c>
      <c r="AD76" s="79" t="s">
        <v>5183</v>
      </c>
      <c r="AE76" s="79" t="s">
        <v>5178</v>
      </c>
      <c r="AF76" s="79" t="s">
        <v>8</v>
      </c>
      <c r="AG76" s="79" t="s">
        <v>9</v>
      </c>
      <c r="AH76" s="80">
        <v>45372</v>
      </c>
      <c r="AI76" s="79"/>
    </row>
    <row r="77" spans="1:35">
      <c r="A77" s="69" t="s">
        <v>2774</v>
      </c>
      <c r="B77" s="70">
        <v>93.186000000000007</v>
      </c>
      <c r="C77" s="82">
        <v>30.2</v>
      </c>
      <c r="D77" s="82">
        <v>190.5</v>
      </c>
      <c r="E77" s="82">
        <v>381</v>
      </c>
      <c r="F77" s="82">
        <v>692.3</v>
      </c>
      <c r="G77" s="82">
        <v>846.5</v>
      </c>
      <c r="H77" s="82">
        <v>818.9</v>
      </c>
      <c r="I77" s="82">
        <v>773.2</v>
      </c>
      <c r="J77" s="82"/>
      <c r="K77" s="82">
        <v>602.20000000000005</v>
      </c>
      <c r="L77" s="82">
        <v>532.9</v>
      </c>
      <c r="M77" s="82">
        <v>462.1</v>
      </c>
      <c r="N77" s="82"/>
      <c r="O77" s="82">
        <v>374.7</v>
      </c>
      <c r="P77" s="82"/>
      <c r="Q77" s="82"/>
      <c r="R77" s="82">
        <v>557.1</v>
      </c>
      <c r="S77" s="82"/>
      <c r="T77" s="82">
        <v>545.79999999999995</v>
      </c>
      <c r="U77" s="82"/>
      <c r="V77" s="82">
        <v>283.39999999999998</v>
      </c>
      <c r="W77" s="82">
        <v>459.8</v>
      </c>
      <c r="X77" s="82"/>
      <c r="Y77" s="82"/>
      <c r="Z77" s="82"/>
      <c r="AA77" s="82">
        <v>222.8</v>
      </c>
      <c r="AB77" s="82"/>
      <c r="AC77" s="82">
        <v>46.2</v>
      </c>
      <c r="AD77" s="71" t="s">
        <v>5184</v>
      </c>
      <c r="AE77" s="71" t="s">
        <v>5178</v>
      </c>
      <c r="AF77" s="71" t="s">
        <v>11</v>
      </c>
      <c r="AG77" s="71" t="s">
        <v>12</v>
      </c>
      <c r="AH77" s="72">
        <v>45375</v>
      </c>
      <c r="AI77" s="71"/>
    </row>
    <row r="78" spans="1:35">
      <c r="A78" s="77" t="s">
        <v>2789</v>
      </c>
      <c r="B78" s="78">
        <v>133.464</v>
      </c>
      <c r="C78" s="81">
        <v>31.4</v>
      </c>
      <c r="D78" s="81">
        <v>160</v>
      </c>
      <c r="E78" s="81">
        <v>350.2</v>
      </c>
      <c r="F78" s="81">
        <v>626.6</v>
      </c>
      <c r="G78" s="81">
        <v>756.1</v>
      </c>
      <c r="H78" s="81"/>
      <c r="I78" s="81">
        <v>670.2</v>
      </c>
      <c r="J78" s="81"/>
      <c r="K78" s="81">
        <v>574.20000000000005</v>
      </c>
      <c r="L78" s="81">
        <v>441.8</v>
      </c>
      <c r="M78" s="81">
        <v>446.3</v>
      </c>
      <c r="N78" s="81">
        <v>363.4</v>
      </c>
      <c r="O78" s="81">
        <v>325.7</v>
      </c>
      <c r="P78" s="81"/>
      <c r="Q78" s="81"/>
      <c r="R78" s="81">
        <v>495.2</v>
      </c>
      <c r="S78" s="81"/>
      <c r="T78" s="81">
        <v>485.5</v>
      </c>
      <c r="U78" s="81"/>
      <c r="V78" s="81">
        <v>261.10000000000002</v>
      </c>
      <c r="W78" s="81">
        <v>467.9</v>
      </c>
      <c r="X78" s="81">
        <v>547.20000000000005</v>
      </c>
      <c r="Y78" s="81">
        <v>538.6</v>
      </c>
      <c r="Z78" s="81"/>
      <c r="AA78" s="81">
        <v>176</v>
      </c>
      <c r="AB78" s="81"/>
      <c r="AC78" s="81">
        <v>40.6</v>
      </c>
      <c r="AD78" s="79" t="s">
        <v>5185</v>
      </c>
      <c r="AE78" s="79" t="s">
        <v>5178</v>
      </c>
      <c r="AF78" s="79" t="s">
        <v>14</v>
      </c>
      <c r="AG78" s="79" t="s">
        <v>9</v>
      </c>
      <c r="AH78" s="80">
        <v>45378</v>
      </c>
      <c r="AI78" s="79"/>
    </row>
    <row r="79" spans="1:35">
      <c r="A79" s="69" t="s">
        <v>2809</v>
      </c>
      <c r="B79" s="70">
        <v>128.887</v>
      </c>
      <c r="C79" s="82">
        <v>26.8</v>
      </c>
      <c r="D79" s="82">
        <v>172.6</v>
      </c>
      <c r="E79" s="82"/>
      <c r="F79" s="82">
        <v>629.9</v>
      </c>
      <c r="G79" s="82">
        <v>756.3</v>
      </c>
      <c r="H79" s="82">
        <v>698.9</v>
      </c>
      <c r="I79" s="82">
        <v>686.5</v>
      </c>
      <c r="J79" s="82"/>
      <c r="K79" s="82">
        <v>566.20000000000005</v>
      </c>
      <c r="L79" s="82">
        <v>450.2</v>
      </c>
      <c r="M79" s="82">
        <v>443.3</v>
      </c>
      <c r="N79" s="82">
        <v>385.6</v>
      </c>
      <c r="O79" s="82">
        <v>336.1</v>
      </c>
      <c r="P79" s="82"/>
      <c r="Q79" s="82"/>
      <c r="R79" s="82">
        <v>500.6</v>
      </c>
      <c r="S79" s="82"/>
      <c r="T79" s="82">
        <v>487</v>
      </c>
      <c r="U79" s="82"/>
      <c r="V79" s="82">
        <v>237.4</v>
      </c>
      <c r="W79" s="82">
        <v>466.5</v>
      </c>
      <c r="X79" s="82"/>
      <c r="Y79" s="82"/>
      <c r="Z79" s="82"/>
      <c r="AA79" s="82">
        <v>231.5</v>
      </c>
      <c r="AB79" s="82">
        <v>86.9</v>
      </c>
      <c r="AC79" s="82">
        <v>54.4</v>
      </c>
      <c r="AD79" s="71" t="s">
        <v>5186</v>
      </c>
      <c r="AE79" s="71" t="s">
        <v>5178</v>
      </c>
      <c r="AF79" s="71" t="s">
        <v>16</v>
      </c>
      <c r="AG79" s="71" t="s">
        <v>12</v>
      </c>
      <c r="AH79" s="72">
        <v>45381</v>
      </c>
      <c r="AI79" s="71"/>
    </row>
    <row r="80" spans="1:35">
      <c r="A80" s="77" t="s">
        <v>2824</v>
      </c>
      <c r="B80" s="78">
        <v>130.197</v>
      </c>
      <c r="C80" s="81">
        <v>33.299999999999997</v>
      </c>
      <c r="D80" s="81">
        <v>192.8</v>
      </c>
      <c r="E80" s="81">
        <v>357.4</v>
      </c>
      <c r="F80" s="81">
        <v>664.1</v>
      </c>
      <c r="G80" s="81">
        <v>800.2</v>
      </c>
      <c r="H80" s="81">
        <v>777.9</v>
      </c>
      <c r="I80" s="81">
        <v>747.1</v>
      </c>
      <c r="J80" s="81">
        <v>709</v>
      </c>
      <c r="K80" s="81">
        <v>599.5</v>
      </c>
      <c r="L80" s="81">
        <v>469</v>
      </c>
      <c r="M80" s="81">
        <v>455.6</v>
      </c>
      <c r="N80" s="81">
        <v>421.3</v>
      </c>
      <c r="O80" s="81">
        <v>333.1</v>
      </c>
      <c r="P80" s="81"/>
      <c r="Q80" s="81"/>
      <c r="R80" s="81">
        <v>526.70000000000005</v>
      </c>
      <c r="S80" s="81"/>
      <c r="T80" s="81">
        <v>512.29999999999995</v>
      </c>
      <c r="U80" s="81">
        <v>553.5</v>
      </c>
      <c r="V80" s="81">
        <v>252.8</v>
      </c>
      <c r="W80" s="81"/>
      <c r="X80" s="81"/>
      <c r="Y80" s="81"/>
      <c r="Z80" s="81"/>
      <c r="AA80" s="81">
        <v>174</v>
      </c>
      <c r="AB80" s="81">
        <v>110.2</v>
      </c>
      <c r="AC80" s="81">
        <v>57.1</v>
      </c>
      <c r="AD80" s="79" t="s">
        <v>5187</v>
      </c>
      <c r="AE80" s="79" t="s">
        <v>5178</v>
      </c>
      <c r="AF80" s="79" t="s">
        <v>16</v>
      </c>
      <c r="AG80" s="79" t="s">
        <v>12</v>
      </c>
      <c r="AH80" s="80">
        <v>45381</v>
      </c>
      <c r="AI80" s="79"/>
    </row>
    <row r="81" spans="1:35">
      <c r="A81" s="69" t="s">
        <v>2840</v>
      </c>
      <c r="B81" s="70">
        <v>88.918999999999997</v>
      </c>
      <c r="C81" s="82">
        <v>36.9</v>
      </c>
      <c r="D81" s="82">
        <v>187.7</v>
      </c>
      <c r="E81" s="82"/>
      <c r="F81" s="82">
        <v>682.8</v>
      </c>
      <c r="G81" s="82">
        <v>845.9</v>
      </c>
      <c r="H81" s="82"/>
      <c r="I81" s="82">
        <v>794.9</v>
      </c>
      <c r="J81" s="82">
        <v>724.7</v>
      </c>
      <c r="K81" s="82">
        <v>641.70000000000005</v>
      </c>
      <c r="L81" s="82">
        <v>507.5</v>
      </c>
      <c r="M81" s="82">
        <v>462.7</v>
      </c>
      <c r="N81" s="82">
        <v>420.7</v>
      </c>
      <c r="O81" s="82">
        <v>350.4</v>
      </c>
      <c r="P81" s="82"/>
      <c r="Q81" s="82"/>
      <c r="R81" s="82">
        <v>563</v>
      </c>
      <c r="S81" s="82"/>
      <c r="T81" s="82">
        <v>547.1</v>
      </c>
      <c r="U81" s="82">
        <v>577.70000000000005</v>
      </c>
      <c r="V81" s="82">
        <v>266.7</v>
      </c>
      <c r="W81" s="82"/>
      <c r="X81" s="82"/>
      <c r="Y81" s="82"/>
      <c r="Z81" s="82">
        <v>412.1</v>
      </c>
      <c r="AA81" s="82">
        <v>250.9</v>
      </c>
      <c r="AB81" s="82">
        <v>93.6</v>
      </c>
      <c r="AC81" s="82">
        <v>57.3</v>
      </c>
      <c r="AD81" s="71" t="s">
        <v>5188</v>
      </c>
      <c r="AE81" s="71" t="s">
        <v>5189</v>
      </c>
      <c r="AF81" s="71" t="s">
        <v>8</v>
      </c>
      <c r="AG81" s="71" t="s">
        <v>9</v>
      </c>
      <c r="AH81" s="72">
        <v>45384</v>
      </c>
      <c r="AI81" s="71"/>
    </row>
    <row r="82" spans="1:35">
      <c r="A82" s="77" t="s">
        <v>2859</v>
      </c>
      <c r="B82" s="78">
        <v>108.97499999999999</v>
      </c>
      <c r="C82" s="81">
        <v>38</v>
      </c>
      <c r="D82" s="81">
        <v>174</v>
      </c>
      <c r="E82" s="81"/>
      <c r="F82" s="81">
        <v>663.9</v>
      </c>
      <c r="G82" s="81">
        <v>831.4</v>
      </c>
      <c r="H82" s="81"/>
      <c r="I82" s="81">
        <v>757.8</v>
      </c>
      <c r="J82" s="81">
        <v>719.4</v>
      </c>
      <c r="K82" s="81">
        <v>633.9</v>
      </c>
      <c r="L82" s="81">
        <v>522.4</v>
      </c>
      <c r="M82" s="81">
        <v>455</v>
      </c>
      <c r="N82" s="81">
        <v>403.1</v>
      </c>
      <c r="O82" s="81">
        <v>373</v>
      </c>
      <c r="P82" s="81"/>
      <c r="Q82" s="81">
        <v>530.79999999999995</v>
      </c>
      <c r="R82" s="81">
        <v>547.1</v>
      </c>
      <c r="S82" s="81">
        <v>556.79999999999995</v>
      </c>
      <c r="T82" s="81">
        <v>532</v>
      </c>
      <c r="U82" s="81"/>
      <c r="V82" s="81">
        <v>295</v>
      </c>
      <c r="W82" s="81"/>
      <c r="X82" s="81"/>
      <c r="Y82" s="81"/>
      <c r="Z82" s="81">
        <v>373.2</v>
      </c>
      <c r="AA82" s="81">
        <v>279.10000000000002</v>
      </c>
      <c r="AB82" s="81"/>
      <c r="AC82" s="81">
        <v>60.1</v>
      </c>
      <c r="AD82" s="79" t="s">
        <v>5190</v>
      </c>
      <c r="AE82" s="79" t="s">
        <v>5189</v>
      </c>
      <c r="AF82" s="79" t="s">
        <v>14</v>
      </c>
      <c r="AG82" s="79" t="s">
        <v>9</v>
      </c>
      <c r="AH82" s="80">
        <v>45390</v>
      </c>
      <c r="AI82" s="79"/>
    </row>
    <row r="83" spans="1:35">
      <c r="A83" s="69" t="s">
        <v>2864</v>
      </c>
      <c r="B83" s="70">
        <v>147.77799999999999</v>
      </c>
      <c r="C83" s="82">
        <v>28.6</v>
      </c>
      <c r="D83" s="82">
        <v>179.7</v>
      </c>
      <c r="E83" s="82"/>
      <c r="F83" s="82">
        <v>627</v>
      </c>
      <c r="G83" s="82">
        <v>786.4</v>
      </c>
      <c r="H83" s="82"/>
      <c r="I83" s="82">
        <v>738.8</v>
      </c>
      <c r="J83" s="82"/>
      <c r="K83" s="82">
        <v>592.70000000000005</v>
      </c>
      <c r="L83" s="82">
        <v>485.5</v>
      </c>
      <c r="M83" s="82">
        <v>448.5</v>
      </c>
      <c r="N83" s="82"/>
      <c r="O83" s="82">
        <v>356.8</v>
      </c>
      <c r="P83" s="82"/>
      <c r="Q83" s="82"/>
      <c r="R83" s="82">
        <v>512.70000000000005</v>
      </c>
      <c r="S83" s="82"/>
      <c r="T83" s="82">
        <v>489.9</v>
      </c>
      <c r="U83" s="82"/>
      <c r="V83" s="82">
        <v>246.9</v>
      </c>
      <c r="W83" s="82"/>
      <c r="X83" s="82"/>
      <c r="Y83" s="82"/>
      <c r="Z83" s="82"/>
      <c r="AA83" s="82">
        <v>246.9</v>
      </c>
      <c r="AB83" s="82">
        <v>102.6</v>
      </c>
      <c r="AC83" s="82">
        <v>46.2</v>
      </c>
      <c r="AD83" s="71" t="s">
        <v>5191</v>
      </c>
      <c r="AE83" s="71" t="s">
        <v>5189</v>
      </c>
      <c r="AF83" s="71" t="s">
        <v>11</v>
      </c>
      <c r="AG83" s="71" t="s">
        <v>12</v>
      </c>
      <c r="AH83" s="72">
        <v>45399</v>
      </c>
      <c r="AI83" s="71"/>
    </row>
    <row r="84" spans="1:35">
      <c r="A84" s="77" t="s">
        <v>2876</v>
      </c>
      <c r="B84" s="78">
        <v>156.28100000000001</v>
      </c>
      <c r="C84" s="81">
        <v>32.700000000000003</v>
      </c>
      <c r="D84" s="81">
        <v>185.2</v>
      </c>
      <c r="E84" s="81"/>
      <c r="F84" s="81">
        <v>651.20000000000005</v>
      </c>
      <c r="G84" s="81">
        <v>772.1</v>
      </c>
      <c r="H84" s="81"/>
      <c r="I84" s="81">
        <v>717.5</v>
      </c>
      <c r="J84" s="81"/>
      <c r="K84" s="81">
        <v>583.9</v>
      </c>
      <c r="L84" s="81">
        <v>476.9</v>
      </c>
      <c r="M84" s="81">
        <v>434.4</v>
      </c>
      <c r="N84" s="81"/>
      <c r="O84" s="81">
        <v>337.9</v>
      </c>
      <c r="P84" s="81"/>
      <c r="Q84" s="81">
        <v>486.5</v>
      </c>
      <c r="R84" s="81">
        <v>490</v>
      </c>
      <c r="S84" s="81"/>
      <c r="T84" s="81">
        <v>488</v>
      </c>
      <c r="U84" s="81"/>
      <c r="V84" s="81">
        <v>265.3</v>
      </c>
      <c r="W84" s="81">
        <v>460</v>
      </c>
      <c r="X84" s="81">
        <v>554.20000000000005</v>
      </c>
      <c r="Y84" s="81">
        <v>532.79999999999995</v>
      </c>
      <c r="Z84" s="81"/>
      <c r="AA84" s="81">
        <v>267.2</v>
      </c>
      <c r="AB84" s="81"/>
      <c r="AC84" s="81">
        <v>69.099999999999994</v>
      </c>
      <c r="AD84" s="79" t="s">
        <v>5192</v>
      </c>
      <c r="AE84" s="79" t="s">
        <v>5189</v>
      </c>
      <c r="AF84" s="79" t="s">
        <v>14</v>
      </c>
      <c r="AG84" s="79" t="s">
        <v>9</v>
      </c>
      <c r="AH84" s="80">
        <v>45402</v>
      </c>
      <c r="AI84" s="79"/>
    </row>
    <row r="85" spans="1:35">
      <c r="A85" s="69" t="s">
        <v>2891</v>
      </c>
      <c r="B85" s="70">
        <v>114.702</v>
      </c>
      <c r="C85" s="82">
        <v>30.5</v>
      </c>
      <c r="D85" s="82">
        <v>172.4</v>
      </c>
      <c r="E85" s="82"/>
      <c r="F85" s="82">
        <v>660.6</v>
      </c>
      <c r="G85" s="82">
        <v>801.7</v>
      </c>
      <c r="H85" s="82">
        <v>751</v>
      </c>
      <c r="I85" s="82">
        <v>726.2</v>
      </c>
      <c r="J85" s="82">
        <v>672.8</v>
      </c>
      <c r="K85" s="82">
        <v>598.9</v>
      </c>
      <c r="L85" s="82">
        <v>504.5</v>
      </c>
      <c r="M85" s="82">
        <v>467.4</v>
      </c>
      <c r="N85" s="82">
        <v>397.8</v>
      </c>
      <c r="O85" s="82">
        <v>344.1</v>
      </c>
      <c r="P85" s="82"/>
      <c r="Q85" s="82"/>
      <c r="R85" s="82">
        <v>505</v>
      </c>
      <c r="S85" s="82">
        <v>503.6</v>
      </c>
      <c r="T85" s="82">
        <v>482.6</v>
      </c>
      <c r="U85" s="82"/>
      <c r="V85" s="82">
        <v>266.7</v>
      </c>
      <c r="W85" s="82"/>
      <c r="X85" s="82"/>
      <c r="Y85" s="82"/>
      <c r="Z85" s="82">
        <v>351.5</v>
      </c>
      <c r="AA85" s="82">
        <v>171.2</v>
      </c>
      <c r="AB85" s="82">
        <v>101.4</v>
      </c>
      <c r="AC85" s="82">
        <v>63.9</v>
      </c>
      <c r="AD85" s="71" t="s">
        <v>5193</v>
      </c>
      <c r="AE85" s="71" t="s">
        <v>5189</v>
      </c>
      <c r="AF85" s="71" t="s">
        <v>14</v>
      </c>
      <c r="AG85" s="71" t="s">
        <v>9</v>
      </c>
      <c r="AH85" s="72">
        <v>45402</v>
      </c>
      <c r="AI85" s="71"/>
    </row>
    <row r="86" spans="1:35">
      <c r="A86" s="77" t="s">
        <v>2898</v>
      </c>
      <c r="B86" s="78">
        <v>108.21599999999999</v>
      </c>
      <c r="C86" s="81">
        <v>25.5</v>
      </c>
      <c r="D86" s="81">
        <v>182.5</v>
      </c>
      <c r="E86" s="81"/>
      <c r="F86" s="81">
        <v>624.20000000000005</v>
      </c>
      <c r="G86" s="81">
        <v>784.6</v>
      </c>
      <c r="H86" s="81"/>
      <c r="I86" s="81">
        <v>719.2</v>
      </c>
      <c r="J86" s="81"/>
      <c r="K86" s="81">
        <v>600.70000000000005</v>
      </c>
      <c r="L86" s="81">
        <v>501.5</v>
      </c>
      <c r="M86" s="81">
        <v>461.2</v>
      </c>
      <c r="N86" s="81">
        <v>375.2</v>
      </c>
      <c r="O86" s="81">
        <v>326.89999999999998</v>
      </c>
      <c r="P86" s="81"/>
      <c r="Q86" s="81">
        <v>504.9</v>
      </c>
      <c r="R86" s="81">
        <v>516.70000000000005</v>
      </c>
      <c r="S86" s="81"/>
      <c r="T86" s="81">
        <v>488.4</v>
      </c>
      <c r="U86" s="81">
        <v>549.4</v>
      </c>
      <c r="V86" s="81">
        <v>270</v>
      </c>
      <c r="W86" s="81"/>
      <c r="X86" s="81"/>
      <c r="Y86" s="81"/>
      <c r="Z86" s="81"/>
      <c r="AA86" s="81">
        <v>237.3</v>
      </c>
      <c r="AB86" s="81"/>
      <c r="AC86" s="81">
        <v>67.3</v>
      </c>
      <c r="AD86" s="79" t="s">
        <v>5194</v>
      </c>
      <c r="AE86" s="79" t="s">
        <v>5189</v>
      </c>
      <c r="AF86" s="79" t="s">
        <v>14</v>
      </c>
      <c r="AG86" s="79" t="s">
        <v>9</v>
      </c>
      <c r="AH86" s="80">
        <v>45402</v>
      </c>
      <c r="AI86" s="79"/>
    </row>
    <row r="87" spans="1:35">
      <c r="A87" s="69" t="s">
        <v>2903</v>
      </c>
      <c r="B87" s="70">
        <v>105.027</v>
      </c>
      <c r="C87" s="82">
        <v>34.6</v>
      </c>
      <c r="D87" s="82">
        <v>159.80000000000001</v>
      </c>
      <c r="E87" s="82"/>
      <c r="F87" s="82">
        <v>663.1</v>
      </c>
      <c r="G87" s="82">
        <v>798.9</v>
      </c>
      <c r="H87" s="82">
        <v>747.6</v>
      </c>
      <c r="I87" s="82">
        <v>724.4</v>
      </c>
      <c r="J87" s="82"/>
      <c r="K87" s="82">
        <v>579.20000000000005</v>
      </c>
      <c r="L87" s="82">
        <v>466.2</v>
      </c>
      <c r="M87" s="82">
        <v>466.6</v>
      </c>
      <c r="N87" s="82">
        <v>422.1</v>
      </c>
      <c r="O87" s="82">
        <v>356.2</v>
      </c>
      <c r="P87" s="82"/>
      <c r="Q87" s="82"/>
      <c r="R87" s="82">
        <v>535.29999999999995</v>
      </c>
      <c r="S87" s="82"/>
      <c r="T87" s="82">
        <v>531.1</v>
      </c>
      <c r="U87" s="82">
        <v>558.29999999999995</v>
      </c>
      <c r="V87" s="82">
        <v>276.3</v>
      </c>
      <c r="W87" s="82"/>
      <c r="X87" s="82"/>
      <c r="Y87" s="82"/>
      <c r="Z87" s="82">
        <v>363.7</v>
      </c>
      <c r="AA87" s="82">
        <v>245.5</v>
      </c>
      <c r="AB87" s="82">
        <v>91.2</v>
      </c>
      <c r="AC87" s="82">
        <v>39.4</v>
      </c>
      <c r="AD87" s="71" t="s">
        <v>5195</v>
      </c>
      <c r="AE87" s="71" t="s">
        <v>5189</v>
      </c>
      <c r="AF87" s="71" t="s">
        <v>16</v>
      </c>
      <c r="AG87" s="71" t="s">
        <v>12</v>
      </c>
      <c r="AH87" s="72">
        <v>45405</v>
      </c>
      <c r="AI87" s="71"/>
    </row>
    <row r="88" spans="1:35">
      <c r="A88" s="77" t="s">
        <v>2918</v>
      </c>
      <c r="B88" s="78">
        <v>123.175</v>
      </c>
      <c r="C88" s="81">
        <v>26.3</v>
      </c>
      <c r="D88" s="81">
        <v>165.7</v>
      </c>
      <c r="E88" s="81">
        <v>333</v>
      </c>
      <c r="F88" s="81">
        <v>643.4</v>
      </c>
      <c r="G88" s="81">
        <v>773.1</v>
      </c>
      <c r="H88" s="81">
        <v>747.2</v>
      </c>
      <c r="I88" s="81">
        <v>711.8</v>
      </c>
      <c r="J88" s="81">
        <v>676.5</v>
      </c>
      <c r="K88" s="81">
        <v>552.1</v>
      </c>
      <c r="L88" s="81">
        <v>484.5</v>
      </c>
      <c r="M88" s="81">
        <v>427</v>
      </c>
      <c r="N88" s="81"/>
      <c r="O88" s="81">
        <v>319.3</v>
      </c>
      <c r="P88" s="81"/>
      <c r="Q88" s="81"/>
      <c r="R88" s="81">
        <v>496.6</v>
      </c>
      <c r="S88" s="81"/>
      <c r="T88" s="81">
        <v>479.8</v>
      </c>
      <c r="U88" s="81"/>
      <c r="V88" s="81">
        <v>245.5</v>
      </c>
      <c r="W88" s="81">
        <v>455.9</v>
      </c>
      <c r="X88" s="81"/>
      <c r="Y88" s="81"/>
      <c r="Z88" s="81"/>
      <c r="AA88" s="81">
        <v>269.60000000000002</v>
      </c>
      <c r="AB88" s="81">
        <v>99.4</v>
      </c>
      <c r="AC88" s="81">
        <v>70.7</v>
      </c>
      <c r="AD88" s="79" t="s">
        <v>5196</v>
      </c>
      <c r="AE88" s="79" t="s">
        <v>5189</v>
      </c>
      <c r="AF88" s="79" t="s">
        <v>8</v>
      </c>
      <c r="AG88" s="79" t="s">
        <v>9</v>
      </c>
      <c r="AH88" s="80">
        <v>45408</v>
      </c>
      <c r="AI88" s="79"/>
    </row>
    <row r="89" spans="1:35">
      <c r="A89" s="69" t="s">
        <v>2935</v>
      </c>
      <c r="B89" s="70">
        <v>96.59</v>
      </c>
      <c r="C89" s="82">
        <v>29.8</v>
      </c>
      <c r="D89" s="82">
        <v>166.7</v>
      </c>
      <c r="E89" s="82">
        <v>354.7</v>
      </c>
      <c r="F89" s="82">
        <v>662</v>
      </c>
      <c r="G89" s="82">
        <v>832.4</v>
      </c>
      <c r="H89" s="82"/>
      <c r="I89" s="82">
        <v>786.5</v>
      </c>
      <c r="J89" s="82"/>
      <c r="K89" s="82">
        <v>631.79999999999995</v>
      </c>
      <c r="L89" s="82">
        <v>521.70000000000005</v>
      </c>
      <c r="M89" s="82">
        <v>459.4</v>
      </c>
      <c r="N89" s="82"/>
      <c r="O89" s="82">
        <v>371</v>
      </c>
      <c r="P89" s="82"/>
      <c r="Q89" s="82"/>
      <c r="R89" s="82">
        <v>535.6</v>
      </c>
      <c r="S89" s="82"/>
      <c r="T89" s="82">
        <v>536.29999999999995</v>
      </c>
      <c r="U89" s="82"/>
      <c r="V89" s="82">
        <v>277.8</v>
      </c>
      <c r="W89" s="82">
        <v>460.4</v>
      </c>
      <c r="X89" s="82">
        <v>544.79999999999995</v>
      </c>
      <c r="Y89" s="82">
        <v>517.6</v>
      </c>
      <c r="Z89" s="82">
        <v>342.9</v>
      </c>
      <c r="AA89" s="82">
        <v>202.2</v>
      </c>
      <c r="AB89" s="82">
        <v>131.69999999999999</v>
      </c>
      <c r="AC89" s="82">
        <v>70</v>
      </c>
      <c r="AD89" s="71" t="s">
        <v>5197</v>
      </c>
      <c r="AE89" s="71" t="s">
        <v>5189</v>
      </c>
      <c r="AF89" s="71" t="s">
        <v>11</v>
      </c>
      <c r="AG89" s="71" t="s">
        <v>12</v>
      </c>
      <c r="AH89" s="72">
        <v>45411</v>
      </c>
      <c r="AI89" s="71"/>
    </row>
    <row r="90" spans="1:35">
      <c r="A90" s="77" t="s">
        <v>2958</v>
      </c>
      <c r="B90" s="78">
        <v>82.281999999999996</v>
      </c>
      <c r="C90" s="81">
        <v>25.5</v>
      </c>
      <c r="D90" s="81">
        <v>177.8</v>
      </c>
      <c r="E90" s="81"/>
      <c r="F90" s="81">
        <v>705.2</v>
      </c>
      <c r="G90" s="81">
        <v>869.6</v>
      </c>
      <c r="H90" s="81"/>
      <c r="I90" s="81">
        <v>811.2</v>
      </c>
      <c r="J90" s="81"/>
      <c r="K90" s="81">
        <v>635.9</v>
      </c>
      <c r="L90" s="81">
        <v>519.4</v>
      </c>
      <c r="M90" s="81">
        <v>501.9</v>
      </c>
      <c r="N90" s="81"/>
      <c r="O90" s="81">
        <v>372.3</v>
      </c>
      <c r="P90" s="81"/>
      <c r="Q90" s="81">
        <v>534.5</v>
      </c>
      <c r="R90" s="81">
        <v>582.29999999999995</v>
      </c>
      <c r="S90" s="81"/>
      <c r="T90" s="81">
        <v>579.79999999999995</v>
      </c>
      <c r="U90" s="81"/>
      <c r="V90" s="81">
        <v>300.5</v>
      </c>
      <c r="W90" s="81">
        <v>462.5</v>
      </c>
      <c r="X90" s="81">
        <v>522.29999999999995</v>
      </c>
      <c r="Y90" s="81">
        <v>509.1</v>
      </c>
      <c r="Z90" s="81"/>
      <c r="AA90" s="81">
        <v>204.1</v>
      </c>
      <c r="AB90" s="81">
        <v>130.6</v>
      </c>
      <c r="AC90" s="81">
        <v>38.4</v>
      </c>
      <c r="AD90" s="79" t="s">
        <v>5198</v>
      </c>
      <c r="AE90" s="79" t="s">
        <v>5189</v>
      </c>
      <c r="AF90" s="79" t="s">
        <v>14</v>
      </c>
      <c r="AG90" s="79" t="s">
        <v>9</v>
      </c>
      <c r="AH90" s="80">
        <v>45414</v>
      </c>
      <c r="AI90" s="79"/>
    </row>
    <row r="91" spans="1:35">
      <c r="A91" s="69" t="s">
        <v>2979</v>
      </c>
      <c r="B91" s="70">
        <v>125.224</v>
      </c>
      <c r="C91" s="82">
        <v>25.8</v>
      </c>
      <c r="D91" s="82">
        <v>168.8</v>
      </c>
      <c r="E91" s="82"/>
      <c r="F91" s="82">
        <v>667.4</v>
      </c>
      <c r="G91" s="82">
        <v>800.1</v>
      </c>
      <c r="H91" s="82"/>
      <c r="I91" s="82">
        <v>716.4</v>
      </c>
      <c r="J91" s="82"/>
      <c r="K91" s="82">
        <v>578.29999999999995</v>
      </c>
      <c r="L91" s="82">
        <v>486.5</v>
      </c>
      <c r="M91" s="82">
        <v>458.7</v>
      </c>
      <c r="N91" s="82"/>
      <c r="O91" s="82">
        <v>337.9</v>
      </c>
      <c r="P91" s="82"/>
      <c r="Q91" s="82"/>
      <c r="R91" s="82">
        <v>511.4</v>
      </c>
      <c r="S91" s="82"/>
      <c r="T91" s="82">
        <v>490.2</v>
      </c>
      <c r="U91" s="82">
        <v>551.79999999999995</v>
      </c>
      <c r="V91" s="82">
        <v>273.8</v>
      </c>
      <c r="W91" s="82">
        <v>454.9</v>
      </c>
      <c r="X91" s="82">
        <v>537</v>
      </c>
      <c r="Y91" s="82">
        <v>514.5</v>
      </c>
      <c r="Z91" s="82"/>
      <c r="AA91" s="82">
        <v>244.1</v>
      </c>
      <c r="AB91" s="82"/>
      <c r="AC91" s="82">
        <v>53.5</v>
      </c>
      <c r="AD91" s="71" t="s">
        <v>5199</v>
      </c>
      <c r="AE91" s="71" t="s">
        <v>5200</v>
      </c>
      <c r="AF91" s="71" t="s">
        <v>8</v>
      </c>
      <c r="AG91" s="71" t="s">
        <v>9</v>
      </c>
      <c r="AH91" s="72">
        <v>45420</v>
      </c>
      <c r="AI91" s="71"/>
    </row>
    <row r="92" spans="1:35">
      <c r="A92" s="77" t="s">
        <v>2991</v>
      </c>
      <c r="B92" s="78">
        <v>138.982</v>
      </c>
      <c r="C92" s="81">
        <v>39.9</v>
      </c>
      <c r="D92" s="81">
        <v>161.1</v>
      </c>
      <c r="E92" s="81"/>
      <c r="F92" s="81">
        <v>626.5</v>
      </c>
      <c r="G92" s="81">
        <v>765.1</v>
      </c>
      <c r="H92" s="81"/>
      <c r="I92" s="81">
        <v>686.8</v>
      </c>
      <c r="J92" s="81">
        <v>670.1</v>
      </c>
      <c r="K92" s="81">
        <v>591.29999999999995</v>
      </c>
      <c r="L92" s="81">
        <v>493.8</v>
      </c>
      <c r="M92" s="81">
        <v>438.9</v>
      </c>
      <c r="N92" s="81"/>
      <c r="O92" s="81">
        <v>332.5</v>
      </c>
      <c r="P92" s="81"/>
      <c r="Q92" s="81"/>
      <c r="R92" s="81">
        <v>497.6</v>
      </c>
      <c r="S92" s="81"/>
      <c r="T92" s="81">
        <v>493.5</v>
      </c>
      <c r="U92" s="81"/>
      <c r="V92" s="81">
        <v>248.1</v>
      </c>
      <c r="W92" s="81">
        <v>455.7</v>
      </c>
      <c r="X92" s="81">
        <v>530</v>
      </c>
      <c r="Y92" s="81">
        <v>507.8</v>
      </c>
      <c r="Z92" s="81"/>
      <c r="AA92" s="81">
        <v>224.2</v>
      </c>
      <c r="AB92" s="81">
        <v>141</v>
      </c>
      <c r="AC92" s="81">
        <v>65.900000000000006</v>
      </c>
      <c r="AD92" s="79" t="s">
        <v>5201</v>
      </c>
      <c r="AE92" s="79" t="s">
        <v>5200</v>
      </c>
      <c r="AF92" s="79" t="s">
        <v>11</v>
      </c>
      <c r="AG92" s="79" t="s">
        <v>12</v>
      </c>
      <c r="AH92" s="80">
        <v>45423</v>
      </c>
      <c r="AI92" s="79"/>
    </row>
    <row r="93" spans="1:35">
      <c r="A93" s="69" t="s">
        <v>3000</v>
      </c>
      <c r="B93" s="70">
        <v>149.964</v>
      </c>
      <c r="C93" s="82">
        <v>36</v>
      </c>
      <c r="D93" s="82">
        <v>181.7</v>
      </c>
      <c r="E93" s="82"/>
      <c r="F93" s="82">
        <v>619.9</v>
      </c>
      <c r="G93" s="82">
        <v>784.6</v>
      </c>
      <c r="H93" s="82"/>
      <c r="I93" s="82">
        <v>707.3</v>
      </c>
      <c r="J93" s="82"/>
      <c r="K93" s="82">
        <v>582.29999999999995</v>
      </c>
      <c r="L93" s="82">
        <v>486.3</v>
      </c>
      <c r="M93" s="82">
        <v>422.8</v>
      </c>
      <c r="N93" s="82"/>
      <c r="O93" s="82">
        <v>326.2</v>
      </c>
      <c r="P93" s="82"/>
      <c r="Q93" s="82"/>
      <c r="R93" s="82">
        <v>497.5</v>
      </c>
      <c r="S93" s="82"/>
      <c r="T93" s="82">
        <v>497.8</v>
      </c>
      <c r="U93" s="82"/>
      <c r="V93" s="82">
        <v>265.89999999999998</v>
      </c>
      <c r="W93" s="82">
        <v>460</v>
      </c>
      <c r="X93" s="82"/>
      <c r="Y93" s="82"/>
      <c r="Z93" s="82">
        <v>371.5</v>
      </c>
      <c r="AA93" s="82">
        <v>283.60000000000002</v>
      </c>
      <c r="AB93" s="82">
        <v>143.4</v>
      </c>
      <c r="AC93" s="82">
        <v>67.599999999999994</v>
      </c>
      <c r="AD93" s="71" t="s">
        <v>5202</v>
      </c>
      <c r="AE93" s="71" t="s">
        <v>5200</v>
      </c>
      <c r="AF93" s="71" t="s">
        <v>11</v>
      </c>
      <c r="AG93" s="71" t="s">
        <v>12</v>
      </c>
      <c r="AH93" s="72">
        <v>45423</v>
      </c>
      <c r="AI93" s="71"/>
    </row>
    <row r="94" spans="1:35">
      <c r="A94" s="77" t="s">
        <v>3002</v>
      </c>
      <c r="B94" s="78">
        <v>95.263999999999996</v>
      </c>
      <c r="C94" s="81">
        <v>26.3</v>
      </c>
      <c r="D94" s="81">
        <v>187.5</v>
      </c>
      <c r="E94" s="81">
        <v>374.3</v>
      </c>
      <c r="F94" s="81">
        <v>660.4</v>
      </c>
      <c r="G94" s="81">
        <v>814.8</v>
      </c>
      <c r="H94" s="81"/>
      <c r="I94" s="81">
        <v>732.6</v>
      </c>
      <c r="J94" s="81"/>
      <c r="K94" s="81">
        <v>602.6</v>
      </c>
      <c r="L94" s="81">
        <v>512.5</v>
      </c>
      <c r="M94" s="81">
        <v>476.7</v>
      </c>
      <c r="N94" s="81">
        <v>415.3</v>
      </c>
      <c r="O94" s="81">
        <v>367.5</v>
      </c>
      <c r="P94" s="81"/>
      <c r="Q94" s="81"/>
      <c r="R94" s="81">
        <v>514.1</v>
      </c>
      <c r="S94" s="81"/>
      <c r="T94" s="81">
        <v>509.3</v>
      </c>
      <c r="U94" s="81"/>
      <c r="V94" s="81">
        <v>281</v>
      </c>
      <c r="W94" s="81">
        <v>454.2</v>
      </c>
      <c r="X94" s="81"/>
      <c r="Y94" s="81"/>
      <c r="Z94" s="81"/>
      <c r="AA94" s="81">
        <v>236.3</v>
      </c>
      <c r="AB94" s="81"/>
      <c r="AC94" s="81">
        <v>59</v>
      </c>
      <c r="AD94" s="79" t="s">
        <v>5203</v>
      </c>
      <c r="AE94" s="79" t="s">
        <v>5200</v>
      </c>
      <c r="AF94" s="79" t="s">
        <v>14</v>
      </c>
      <c r="AG94" s="79" t="s">
        <v>9</v>
      </c>
      <c r="AH94" s="80">
        <v>45426</v>
      </c>
      <c r="AI94" s="79"/>
    </row>
    <row r="95" spans="1:35">
      <c r="A95" s="69" t="s">
        <v>3028</v>
      </c>
      <c r="B95" s="70">
        <v>108.377</v>
      </c>
      <c r="C95" s="82">
        <v>38</v>
      </c>
      <c r="D95" s="82">
        <v>172.8</v>
      </c>
      <c r="E95" s="82"/>
      <c r="F95" s="82">
        <v>660.7</v>
      </c>
      <c r="G95" s="82">
        <v>788.6</v>
      </c>
      <c r="H95" s="82"/>
      <c r="I95" s="82">
        <v>713.4</v>
      </c>
      <c r="J95" s="82"/>
      <c r="K95" s="82">
        <v>567.5</v>
      </c>
      <c r="L95" s="82">
        <v>498.7</v>
      </c>
      <c r="M95" s="82">
        <v>444.6</v>
      </c>
      <c r="N95" s="82">
        <v>390.1</v>
      </c>
      <c r="O95" s="82">
        <v>351.7</v>
      </c>
      <c r="P95" s="82"/>
      <c r="Q95" s="82"/>
      <c r="R95" s="82">
        <v>501.2</v>
      </c>
      <c r="S95" s="82">
        <v>495.7</v>
      </c>
      <c r="T95" s="82">
        <v>487.2</v>
      </c>
      <c r="U95" s="82"/>
      <c r="V95" s="82">
        <v>276.5</v>
      </c>
      <c r="W95" s="82"/>
      <c r="X95" s="82"/>
      <c r="Y95" s="82"/>
      <c r="Z95" s="82"/>
      <c r="AA95" s="82">
        <v>187.3</v>
      </c>
      <c r="AB95" s="82">
        <v>101.7</v>
      </c>
      <c r="AC95" s="82">
        <v>56.4</v>
      </c>
      <c r="AD95" s="71" t="s">
        <v>5204</v>
      </c>
      <c r="AE95" s="71" t="s">
        <v>5200</v>
      </c>
      <c r="AF95" s="71" t="s">
        <v>16</v>
      </c>
      <c r="AG95" s="71" t="s">
        <v>12</v>
      </c>
      <c r="AH95" s="72">
        <v>45429</v>
      </c>
      <c r="AI95" s="71"/>
    </row>
    <row r="96" spans="1:35">
      <c r="A96" s="77" t="s">
        <v>3051</v>
      </c>
      <c r="B96" s="78">
        <v>111.119</v>
      </c>
      <c r="C96" s="81">
        <v>39.4</v>
      </c>
      <c r="D96" s="81">
        <v>181.7</v>
      </c>
      <c r="E96" s="81">
        <v>360.2</v>
      </c>
      <c r="F96" s="81">
        <v>663.5</v>
      </c>
      <c r="G96" s="81">
        <v>802.6</v>
      </c>
      <c r="H96" s="81"/>
      <c r="I96" s="81">
        <v>726.2</v>
      </c>
      <c r="J96" s="81"/>
      <c r="K96" s="81">
        <v>601</v>
      </c>
      <c r="L96" s="81">
        <v>471.4</v>
      </c>
      <c r="M96" s="81">
        <v>468.5</v>
      </c>
      <c r="N96" s="81">
        <v>387.9</v>
      </c>
      <c r="O96" s="81">
        <v>361.1</v>
      </c>
      <c r="P96" s="81"/>
      <c r="Q96" s="81"/>
      <c r="R96" s="81">
        <v>509.3</v>
      </c>
      <c r="S96" s="81">
        <v>514.20000000000005</v>
      </c>
      <c r="T96" s="81">
        <v>493.7</v>
      </c>
      <c r="U96" s="81"/>
      <c r="V96" s="81">
        <v>266.39999999999998</v>
      </c>
      <c r="W96" s="81">
        <v>453.6</v>
      </c>
      <c r="X96" s="81"/>
      <c r="Y96" s="81"/>
      <c r="Z96" s="81"/>
      <c r="AA96" s="81">
        <v>180.3</v>
      </c>
      <c r="AB96" s="81">
        <v>89.4</v>
      </c>
      <c r="AC96" s="81">
        <v>64.8</v>
      </c>
      <c r="AD96" s="79" t="s">
        <v>5205</v>
      </c>
      <c r="AE96" s="79" t="s">
        <v>5200</v>
      </c>
      <c r="AF96" s="79" t="s">
        <v>16</v>
      </c>
      <c r="AG96" s="79" t="s">
        <v>12</v>
      </c>
      <c r="AH96" s="80">
        <v>45429</v>
      </c>
      <c r="AI96" s="79"/>
    </row>
    <row r="97" spans="1:35">
      <c r="A97" s="69" t="s">
        <v>3066</v>
      </c>
      <c r="B97" s="70">
        <v>99.608000000000004</v>
      </c>
      <c r="C97" s="82">
        <v>30</v>
      </c>
      <c r="D97" s="82">
        <v>186</v>
      </c>
      <c r="E97" s="82"/>
      <c r="F97" s="82">
        <v>664.8</v>
      </c>
      <c r="G97" s="82">
        <v>827.1</v>
      </c>
      <c r="H97" s="82">
        <v>797.8</v>
      </c>
      <c r="I97" s="82">
        <v>754.5</v>
      </c>
      <c r="J97" s="82"/>
      <c r="K97" s="82">
        <v>622.79999999999995</v>
      </c>
      <c r="L97" s="82">
        <v>496.8</v>
      </c>
      <c r="M97" s="82">
        <v>478.1</v>
      </c>
      <c r="N97" s="82">
        <v>418.8</v>
      </c>
      <c r="O97" s="82">
        <v>345.6</v>
      </c>
      <c r="P97" s="82"/>
      <c r="Q97" s="82">
        <v>505.7</v>
      </c>
      <c r="R97" s="82">
        <v>522.9</v>
      </c>
      <c r="S97" s="82">
        <v>520.20000000000005</v>
      </c>
      <c r="T97" s="82">
        <v>496.4</v>
      </c>
      <c r="U97" s="82">
        <v>567.4</v>
      </c>
      <c r="V97" s="82">
        <v>287.3</v>
      </c>
      <c r="W97" s="82"/>
      <c r="X97" s="82"/>
      <c r="Y97" s="82"/>
      <c r="Z97" s="82"/>
      <c r="AA97" s="82">
        <v>280.39999999999998</v>
      </c>
      <c r="AB97" s="82">
        <v>97.8</v>
      </c>
      <c r="AC97" s="82">
        <v>51.5</v>
      </c>
      <c r="AD97" s="71" t="s">
        <v>5206</v>
      </c>
      <c r="AE97" s="71" t="s">
        <v>5200</v>
      </c>
      <c r="AF97" s="71" t="s">
        <v>11</v>
      </c>
      <c r="AG97" s="71" t="s">
        <v>12</v>
      </c>
      <c r="AH97" s="72">
        <v>45435</v>
      </c>
      <c r="AI97" s="71"/>
    </row>
    <row r="98" spans="1:35">
      <c r="A98" s="77" t="s">
        <v>3087</v>
      </c>
      <c r="B98" s="78">
        <v>79.882000000000005</v>
      </c>
      <c r="C98" s="81">
        <v>32.299999999999997</v>
      </c>
      <c r="D98" s="81">
        <v>185.2</v>
      </c>
      <c r="E98" s="81"/>
      <c r="F98" s="81">
        <v>676.2</v>
      </c>
      <c r="G98" s="81">
        <v>835.2</v>
      </c>
      <c r="H98" s="81"/>
      <c r="I98" s="81">
        <v>774.2</v>
      </c>
      <c r="J98" s="81"/>
      <c r="K98" s="81">
        <v>599.4</v>
      </c>
      <c r="L98" s="81">
        <v>524.6</v>
      </c>
      <c r="M98" s="81">
        <v>472.9</v>
      </c>
      <c r="N98" s="81">
        <v>410.4</v>
      </c>
      <c r="O98" s="81">
        <v>372</v>
      </c>
      <c r="P98" s="81"/>
      <c r="Q98" s="81"/>
      <c r="R98" s="81">
        <v>561.29999999999995</v>
      </c>
      <c r="S98" s="81">
        <v>571.20000000000005</v>
      </c>
      <c r="T98" s="81">
        <v>560.6</v>
      </c>
      <c r="U98" s="81">
        <v>561.9</v>
      </c>
      <c r="V98" s="81">
        <v>265.7</v>
      </c>
      <c r="W98" s="81"/>
      <c r="X98" s="81"/>
      <c r="Y98" s="81"/>
      <c r="Z98" s="81">
        <v>374</v>
      </c>
      <c r="AA98" s="81">
        <v>205.4</v>
      </c>
      <c r="AB98" s="81">
        <v>123.7</v>
      </c>
      <c r="AC98" s="81">
        <v>72.8</v>
      </c>
      <c r="AD98" s="79" t="s">
        <v>5207</v>
      </c>
      <c r="AE98" s="79" t="s">
        <v>5200</v>
      </c>
      <c r="AF98" s="79" t="s">
        <v>14</v>
      </c>
      <c r="AG98" s="79" t="s">
        <v>9</v>
      </c>
      <c r="AH98" s="80">
        <v>45438</v>
      </c>
      <c r="AI98" s="79"/>
    </row>
    <row r="99" spans="1:35">
      <c r="A99" s="69" t="s">
        <v>3102</v>
      </c>
      <c r="B99" s="70">
        <v>84.128</v>
      </c>
      <c r="C99" s="82">
        <v>38.700000000000003</v>
      </c>
      <c r="D99" s="82">
        <v>180.7</v>
      </c>
      <c r="E99" s="82">
        <v>388.3</v>
      </c>
      <c r="F99" s="82">
        <v>690.4</v>
      </c>
      <c r="G99" s="82">
        <v>820.7</v>
      </c>
      <c r="H99" s="82">
        <v>780.8</v>
      </c>
      <c r="I99" s="82">
        <v>757.1</v>
      </c>
      <c r="J99" s="82">
        <v>711.7</v>
      </c>
      <c r="K99" s="82">
        <v>620.6</v>
      </c>
      <c r="L99" s="82">
        <v>504.6</v>
      </c>
      <c r="M99" s="82">
        <v>483.8</v>
      </c>
      <c r="N99" s="82">
        <v>409.4</v>
      </c>
      <c r="O99" s="82">
        <v>364.7</v>
      </c>
      <c r="P99" s="82"/>
      <c r="Q99" s="82">
        <v>529.79999999999995</v>
      </c>
      <c r="R99" s="82">
        <v>552.4</v>
      </c>
      <c r="S99" s="82">
        <v>552.20000000000005</v>
      </c>
      <c r="T99" s="82">
        <v>535.6</v>
      </c>
      <c r="U99" s="82"/>
      <c r="V99" s="82">
        <v>291.10000000000002</v>
      </c>
      <c r="W99" s="82"/>
      <c r="X99" s="82"/>
      <c r="Y99" s="82"/>
      <c r="Z99" s="82"/>
      <c r="AA99" s="82">
        <v>236.4</v>
      </c>
      <c r="AB99" s="82"/>
      <c r="AC99" s="82">
        <v>51.6</v>
      </c>
      <c r="AD99" s="71" t="s">
        <v>5208</v>
      </c>
      <c r="AE99" s="71" t="s">
        <v>5200</v>
      </c>
      <c r="AF99" s="71" t="s">
        <v>14</v>
      </c>
      <c r="AG99" s="71" t="s">
        <v>9</v>
      </c>
      <c r="AH99" s="72">
        <v>45438</v>
      </c>
      <c r="AI99" s="71"/>
    </row>
    <row r="100" spans="1:35">
      <c r="A100" s="77" t="s">
        <v>3122</v>
      </c>
      <c r="B100" s="78">
        <v>94.489000000000004</v>
      </c>
      <c r="C100" s="81">
        <v>39.799999999999997</v>
      </c>
      <c r="D100" s="81">
        <v>162.4</v>
      </c>
      <c r="E100" s="81">
        <v>399.1</v>
      </c>
      <c r="F100" s="81">
        <v>651.20000000000005</v>
      </c>
      <c r="G100" s="81">
        <v>806.9</v>
      </c>
      <c r="H100" s="81"/>
      <c r="I100" s="81">
        <v>750.5</v>
      </c>
      <c r="J100" s="81">
        <v>722.2</v>
      </c>
      <c r="K100" s="81">
        <v>586</v>
      </c>
      <c r="L100" s="81">
        <v>503.6</v>
      </c>
      <c r="M100" s="81">
        <v>440.1</v>
      </c>
      <c r="N100" s="81">
        <v>418.3</v>
      </c>
      <c r="O100" s="81">
        <v>366.9</v>
      </c>
      <c r="P100" s="81"/>
      <c r="Q100" s="81"/>
      <c r="R100" s="81">
        <v>526.4</v>
      </c>
      <c r="S100" s="81">
        <v>535.1</v>
      </c>
      <c r="T100" s="81">
        <v>523.6</v>
      </c>
      <c r="U100" s="81"/>
      <c r="V100" s="81">
        <v>266.89999999999998</v>
      </c>
      <c r="W100" s="81">
        <v>462</v>
      </c>
      <c r="X100" s="81"/>
      <c r="Y100" s="81"/>
      <c r="Z100" s="81">
        <v>390.5</v>
      </c>
      <c r="AA100" s="81">
        <v>178.2</v>
      </c>
      <c r="AB100" s="81"/>
      <c r="AC100" s="81">
        <v>73.8</v>
      </c>
      <c r="AD100" s="79" t="s">
        <v>5209</v>
      </c>
      <c r="AE100" s="79" t="s">
        <v>5200</v>
      </c>
      <c r="AF100" s="79" t="s">
        <v>16</v>
      </c>
      <c r="AG100" s="79" t="s">
        <v>12</v>
      </c>
      <c r="AH100" s="80">
        <v>45441</v>
      </c>
      <c r="AI100" s="79"/>
    </row>
    <row r="101" spans="1:35">
      <c r="A101" s="69" t="s">
        <v>3145</v>
      </c>
      <c r="B101" s="70">
        <v>60.917999999999999</v>
      </c>
      <c r="C101" s="82">
        <v>32.9</v>
      </c>
      <c r="D101" s="82">
        <v>171.1</v>
      </c>
      <c r="E101" s="82"/>
      <c r="F101" s="82">
        <v>671.5</v>
      </c>
      <c r="G101" s="82">
        <v>833.7</v>
      </c>
      <c r="H101" s="82"/>
      <c r="I101" s="82">
        <v>757.1</v>
      </c>
      <c r="J101" s="82"/>
      <c r="K101" s="82">
        <v>621</v>
      </c>
      <c r="L101" s="82">
        <v>520.4</v>
      </c>
      <c r="M101" s="82">
        <v>450.6</v>
      </c>
      <c r="N101" s="82"/>
      <c r="O101" s="82">
        <v>355.7</v>
      </c>
      <c r="P101" s="82"/>
      <c r="Q101" s="82"/>
      <c r="R101" s="82">
        <v>534.5</v>
      </c>
      <c r="S101" s="82"/>
      <c r="T101" s="82">
        <v>523.4</v>
      </c>
      <c r="U101" s="82"/>
      <c r="V101" s="82">
        <v>279.2</v>
      </c>
      <c r="W101" s="82">
        <v>452.3</v>
      </c>
      <c r="X101" s="82">
        <v>511.3</v>
      </c>
      <c r="Y101" s="82">
        <v>496.8</v>
      </c>
      <c r="Z101" s="82"/>
      <c r="AA101" s="82">
        <v>246.4</v>
      </c>
      <c r="AB101" s="82"/>
      <c r="AC101" s="82">
        <v>65.2</v>
      </c>
      <c r="AD101" s="71" t="s">
        <v>5210</v>
      </c>
      <c r="AE101" s="71" t="s">
        <v>5211</v>
      </c>
      <c r="AF101" s="71" t="s">
        <v>8</v>
      </c>
      <c r="AG101" s="71" t="s">
        <v>9</v>
      </c>
      <c r="AH101" s="72">
        <v>45444</v>
      </c>
      <c r="AI101" s="71"/>
    </row>
    <row r="102" spans="1:35">
      <c r="A102" s="77" t="s">
        <v>3160</v>
      </c>
      <c r="B102" s="78">
        <v>138.18700000000001</v>
      </c>
      <c r="C102" s="81">
        <v>34.6</v>
      </c>
      <c r="D102" s="81">
        <v>176.8</v>
      </c>
      <c r="E102" s="81">
        <v>349.4</v>
      </c>
      <c r="F102" s="81">
        <v>648.79999999999995</v>
      </c>
      <c r="G102" s="81">
        <v>799.3</v>
      </c>
      <c r="H102" s="81"/>
      <c r="I102" s="81">
        <v>730.8</v>
      </c>
      <c r="J102" s="81"/>
      <c r="K102" s="81">
        <v>584.9</v>
      </c>
      <c r="L102" s="81">
        <v>484.6</v>
      </c>
      <c r="M102" s="81">
        <v>460.5</v>
      </c>
      <c r="N102" s="81"/>
      <c r="O102" s="81">
        <v>349.4</v>
      </c>
      <c r="P102" s="81"/>
      <c r="Q102" s="81"/>
      <c r="R102" s="81">
        <v>518.4</v>
      </c>
      <c r="S102" s="81">
        <v>527.4</v>
      </c>
      <c r="T102" s="81">
        <v>518.70000000000005</v>
      </c>
      <c r="U102" s="81"/>
      <c r="V102" s="81">
        <v>266.60000000000002</v>
      </c>
      <c r="W102" s="81">
        <v>455.2</v>
      </c>
      <c r="X102" s="81"/>
      <c r="Y102" s="81"/>
      <c r="Z102" s="81">
        <v>331.3</v>
      </c>
      <c r="AA102" s="81">
        <v>253.3</v>
      </c>
      <c r="AB102" s="81"/>
      <c r="AC102" s="81">
        <v>61.2</v>
      </c>
      <c r="AD102" s="79" t="s">
        <v>5212</v>
      </c>
      <c r="AE102" s="79" t="s">
        <v>5211</v>
      </c>
      <c r="AF102" s="79" t="s">
        <v>14</v>
      </c>
      <c r="AG102" s="79" t="s">
        <v>9</v>
      </c>
      <c r="AH102" s="80">
        <v>45450</v>
      </c>
      <c r="AI102" s="79"/>
    </row>
    <row r="103" spans="1:35">
      <c r="A103" s="69" t="s">
        <v>3172</v>
      </c>
      <c r="B103" s="70">
        <v>103.88200000000001</v>
      </c>
      <c r="C103" s="82">
        <v>31.8</v>
      </c>
      <c r="D103" s="82">
        <v>188.9</v>
      </c>
      <c r="E103" s="82"/>
      <c r="F103" s="82">
        <v>677.7</v>
      </c>
      <c r="G103" s="82">
        <v>834.5</v>
      </c>
      <c r="H103" s="82"/>
      <c r="I103" s="82">
        <v>755.1</v>
      </c>
      <c r="J103" s="82"/>
      <c r="K103" s="82">
        <v>600.5</v>
      </c>
      <c r="L103" s="82">
        <v>511.4</v>
      </c>
      <c r="M103" s="82">
        <v>466.4</v>
      </c>
      <c r="N103" s="82">
        <v>416</v>
      </c>
      <c r="O103" s="82">
        <v>344.9</v>
      </c>
      <c r="P103" s="82"/>
      <c r="Q103" s="82">
        <v>515.70000000000005</v>
      </c>
      <c r="R103" s="82">
        <v>533.70000000000005</v>
      </c>
      <c r="S103" s="82"/>
      <c r="T103" s="82">
        <v>523.20000000000005</v>
      </c>
      <c r="U103" s="82">
        <v>545.1</v>
      </c>
      <c r="V103" s="82">
        <v>275</v>
      </c>
      <c r="W103" s="82"/>
      <c r="X103" s="82"/>
      <c r="Y103" s="82"/>
      <c r="Z103" s="82"/>
      <c r="AA103" s="82">
        <v>261.3</v>
      </c>
      <c r="AB103" s="82"/>
      <c r="AC103" s="82">
        <v>68</v>
      </c>
      <c r="AD103" s="71" t="s">
        <v>5213</v>
      </c>
      <c r="AE103" s="71" t="s">
        <v>5211</v>
      </c>
      <c r="AF103" s="71" t="s">
        <v>16</v>
      </c>
      <c r="AG103" s="71" t="s">
        <v>12</v>
      </c>
      <c r="AH103" s="72">
        <v>45453</v>
      </c>
      <c r="AI103" s="71"/>
    </row>
    <row r="104" spans="1:35">
      <c r="A104" s="77" t="s">
        <v>3196</v>
      </c>
      <c r="B104" s="78">
        <v>74.06</v>
      </c>
      <c r="C104" s="81">
        <v>26.1</v>
      </c>
      <c r="D104" s="81">
        <v>186.5</v>
      </c>
      <c r="E104" s="81"/>
      <c r="F104" s="81">
        <v>668.3</v>
      </c>
      <c r="G104" s="81">
        <v>824.6</v>
      </c>
      <c r="H104" s="81"/>
      <c r="I104" s="81">
        <v>780.1</v>
      </c>
      <c r="J104" s="81"/>
      <c r="K104" s="81">
        <v>634.4</v>
      </c>
      <c r="L104" s="81">
        <v>483.2</v>
      </c>
      <c r="M104" s="81">
        <v>457.8</v>
      </c>
      <c r="N104" s="81"/>
      <c r="O104" s="81">
        <v>343.9</v>
      </c>
      <c r="P104" s="81"/>
      <c r="Q104" s="81"/>
      <c r="R104" s="81">
        <v>526.9</v>
      </c>
      <c r="S104" s="81"/>
      <c r="T104" s="81">
        <v>499.7</v>
      </c>
      <c r="U104" s="81"/>
      <c r="V104" s="81">
        <v>293.60000000000002</v>
      </c>
      <c r="W104" s="81">
        <v>459.1</v>
      </c>
      <c r="X104" s="81">
        <v>514.6</v>
      </c>
      <c r="Y104" s="81">
        <v>494.1</v>
      </c>
      <c r="Z104" s="81">
        <v>369.8</v>
      </c>
      <c r="AA104" s="81">
        <v>207.5</v>
      </c>
      <c r="AB104" s="81"/>
      <c r="AC104" s="81">
        <v>48.5</v>
      </c>
      <c r="AD104" s="79" t="s">
        <v>5214</v>
      </c>
      <c r="AE104" s="79" t="s">
        <v>5211</v>
      </c>
      <c r="AF104" s="79" t="s">
        <v>8</v>
      </c>
      <c r="AG104" s="79" t="s">
        <v>9</v>
      </c>
      <c r="AH104" s="80">
        <v>45456</v>
      </c>
      <c r="AI104" s="79"/>
    </row>
    <row r="105" spans="1:35">
      <c r="A105" s="69" t="s">
        <v>3211</v>
      </c>
      <c r="B105" s="70">
        <v>98.831000000000003</v>
      </c>
      <c r="C105" s="82">
        <v>32.1</v>
      </c>
      <c r="D105" s="82">
        <v>187.2</v>
      </c>
      <c r="E105" s="82">
        <v>402.1</v>
      </c>
      <c r="F105" s="82">
        <v>686.9</v>
      </c>
      <c r="G105" s="82">
        <v>830.6</v>
      </c>
      <c r="H105" s="82">
        <v>808.4</v>
      </c>
      <c r="I105" s="82">
        <v>783.8</v>
      </c>
      <c r="J105" s="82"/>
      <c r="K105" s="82">
        <v>597.6</v>
      </c>
      <c r="L105" s="82">
        <v>527.5</v>
      </c>
      <c r="M105" s="82">
        <v>456.7</v>
      </c>
      <c r="N105" s="82"/>
      <c r="O105" s="82">
        <v>339.9</v>
      </c>
      <c r="P105" s="82"/>
      <c r="Q105" s="82">
        <v>523.4</v>
      </c>
      <c r="R105" s="82">
        <v>535.29999999999995</v>
      </c>
      <c r="S105" s="82">
        <v>529.70000000000005</v>
      </c>
      <c r="T105" s="82">
        <v>507.2</v>
      </c>
      <c r="U105" s="82">
        <v>569.9</v>
      </c>
      <c r="V105" s="82">
        <v>288</v>
      </c>
      <c r="W105" s="82"/>
      <c r="X105" s="82"/>
      <c r="Y105" s="82"/>
      <c r="Z105" s="82">
        <v>396.9</v>
      </c>
      <c r="AA105" s="82">
        <v>177</v>
      </c>
      <c r="AB105" s="82"/>
      <c r="AC105" s="82">
        <v>64.099999999999994</v>
      </c>
      <c r="AD105" s="71" t="s">
        <v>5215</v>
      </c>
      <c r="AE105" s="71" t="s">
        <v>5211</v>
      </c>
      <c r="AF105" s="71" t="s">
        <v>11</v>
      </c>
      <c r="AG105" s="71" t="s">
        <v>12</v>
      </c>
      <c r="AH105" s="72">
        <v>45459</v>
      </c>
      <c r="AI105" s="71"/>
    </row>
    <row r="106" spans="1:35">
      <c r="A106" s="77" t="s">
        <v>3234</v>
      </c>
      <c r="B106" s="78">
        <v>87.347999999999999</v>
      </c>
      <c r="C106" s="81">
        <v>32.9</v>
      </c>
      <c r="D106" s="81">
        <v>165.8</v>
      </c>
      <c r="E106" s="81"/>
      <c r="F106" s="81">
        <v>659</v>
      </c>
      <c r="G106" s="81">
        <v>810.7</v>
      </c>
      <c r="H106" s="81"/>
      <c r="I106" s="81">
        <v>747.4</v>
      </c>
      <c r="J106" s="81"/>
      <c r="K106" s="81">
        <v>584.1</v>
      </c>
      <c r="L106" s="81">
        <v>478.2</v>
      </c>
      <c r="M106" s="81">
        <v>464</v>
      </c>
      <c r="N106" s="81">
        <v>387.9</v>
      </c>
      <c r="O106" s="81">
        <v>330.4</v>
      </c>
      <c r="P106" s="81"/>
      <c r="Q106" s="81"/>
      <c r="R106" s="81">
        <v>518.5</v>
      </c>
      <c r="S106" s="81">
        <v>524.4</v>
      </c>
      <c r="T106" s="81">
        <v>503.9</v>
      </c>
      <c r="U106" s="81"/>
      <c r="V106" s="81">
        <v>275.3</v>
      </c>
      <c r="W106" s="81">
        <v>464.9</v>
      </c>
      <c r="X106" s="81"/>
      <c r="Y106" s="81"/>
      <c r="Z106" s="81"/>
      <c r="AA106" s="81">
        <v>277.3</v>
      </c>
      <c r="AB106" s="81"/>
      <c r="AC106" s="81">
        <v>35.4</v>
      </c>
      <c r="AD106" s="79" t="s">
        <v>5216</v>
      </c>
      <c r="AE106" s="79" t="s">
        <v>5211</v>
      </c>
      <c r="AF106" s="79" t="s">
        <v>14</v>
      </c>
      <c r="AG106" s="79" t="s">
        <v>9</v>
      </c>
      <c r="AH106" s="80">
        <v>45462</v>
      </c>
      <c r="AI106" s="79"/>
    </row>
    <row r="107" spans="1:35">
      <c r="A107" s="69" t="s">
        <v>3243</v>
      </c>
      <c r="B107" s="70">
        <v>115.233</v>
      </c>
      <c r="C107" s="82">
        <v>38.700000000000003</v>
      </c>
      <c r="D107" s="82">
        <v>174.6</v>
      </c>
      <c r="E107" s="82"/>
      <c r="F107" s="82">
        <v>669.8</v>
      </c>
      <c r="G107" s="82">
        <v>824</v>
      </c>
      <c r="H107" s="82"/>
      <c r="I107" s="82">
        <v>734.4</v>
      </c>
      <c r="J107" s="82"/>
      <c r="K107" s="82">
        <v>621.4</v>
      </c>
      <c r="L107" s="82">
        <v>521</v>
      </c>
      <c r="M107" s="82">
        <v>452.2</v>
      </c>
      <c r="N107" s="82">
        <v>407.4</v>
      </c>
      <c r="O107" s="82">
        <v>355.8</v>
      </c>
      <c r="P107" s="82"/>
      <c r="Q107" s="82">
        <v>538.79999999999995</v>
      </c>
      <c r="R107" s="82">
        <v>552.1</v>
      </c>
      <c r="S107" s="82"/>
      <c r="T107" s="82">
        <v>522.20000000000005</v>
      </c>
      <c r="U107" s="82"/>
      <c r="V107" s="82">
        <v>275.7</v>
      </c>
      <c r="W107" s="82"/>
      <c r="X107" s="82"/>
      <c r="Y107" s="82"/>
      <c r="Z107" s="82"/>
      <c r="AA107" s="82">
        <v>205.3</v>
      </c>
      <c r="AB107" s="82"/>
      <c r="AC107" s="82">
        <v>61.3</v>
      </c>
      <c r="AD107" s="71" t="s">
        <v>5217</v>
      </c>
      <c r="AE107" s="71" t="s">
        <v>5211</v>
      </c>
      <c r="AF107" s="71" t="s">
        <v>16</v>
      </c>
      <c r="AG107" s="71" t="s">
        <v>12</v>
      </c>
      <c r="AH107" s="72">
        <v>45465</v>
      </c>
      <c r="AI107" s="71"/>
    </row>
    <row r="108" spans="1:35">
      <c r="A108" s="77" t="s">
        <v>3253</v>
      </c>
      <c r="B108" s="78">
        <v>79.596000000000004</v>
      </c>
      <c r="C108" s="81">
        <v>34</v>
      </c>
      <c r="D108" s="81">
        <v>178.1</v>
      </c>
      <c r="E108" s="81"/>
      <c r="F108" s="81">
        <v>689.3</v>
      </c>
      <c r="G108" s="81">
        <v>831.3</v>
      </c>
      <c r="H108" s="81"/>
      <c r="I108" s="81">
        <v>784.1</v>
      </c>
      <c r="J108" s="81"/>
      <c r="K108" s="81">
        <v>595</v>
      </c>
      <c r="L108" s="81">
        <v>532.9</v>
      </c>
      <c r="M108" s="81">
        <v>474.8</v>
      </c>
      <c r="N108" s="81"/>
      <c r="O108" s="81">
        <v>356.9</v>
      </c>
      <c r="P108" s="81"/>
      <c r="Q108" s="81"/>
      <c r="R108" s="81">
        <v>562.79999999999995</v>
      </c>
      <c r="S108" s="81"/>
      <c r="T108" s="81">
        <v>541.79999999999995</v>
      </c>
      <c r="U108" s="81"/>
      <c r="V108" s="81">
        <v>294.3</v>
      </c>
      <c r="W108" s="81">
        <v>463.4</v>
      </c>
      <c r="X108" s="81">
        <v>543.70000000000005</v>
      </c>
      <c r="Y108" s="81">
        <v>535.29999999999995</v>
      </c>
      <c r="Z108" s="81"/>
      <c r="AA108" s="81">
        <v>201.8</v>
      </c>
      <c r="AB108" s="81"/>
      <c r="AC108" s="81">
        <v>51.9</v>
      </c>
      <c r="AD108" s="79" t="s">
        <v>5218</v>
      </c>
      <c r="AE108" s="79" t="s">
        <v>5211</v>
      </c>
      <c r="AF108" s="79" t="s">
        <v>16</v>
      </c>
      <c r="AG108" s="79" t="s">
        <v>12</v>
      </c>
      <c r="AH108" s="80">
        <v>45465</v>
      </c>
      <c r="AI108" s="79"/>
    </row>
    <row r="109" spans="1:35">
      <c r="A109" s="69" t="s">
        <v>3264</v>
      </c>
      <c r="B109" s="70">
        <v>83.41</v>
      </c>
      <c r="C109" s="82">
        <v>25.8</v>
      </c>
      <c r="D109" s="82">
        <v>176.3</v>
      </c>
      <c r="E109" s="82"/>
      <c r="F109" s="82">
        <v>699</v>
      </c>
      <c r="G109" s="82">
        <v>850.1</v>
      </c>
      <c r="H109" s="82"/>
      <c r="I109" s="82">
        <v>774.3</v>
      </c>
      <c r="J109" s="82"/>
      <c r="K109" s="82">
        <v>615.20000000000005</v>
      </c>
      <c r="L109" s="82">
        <v>535.6</v>
      </c>
      <c r="M109" s="82">
        <v>489.3</v>
      </c>
      <c r="N109" s="82"/>
      <c r="O109" s="82">
        <v>352.1</v>
      </c>
      <c r="P109" s="82"/>
      <c r="Q109" s="82"/>
      <c r="R109" s="82">
        <v>554.29999999999995</v>
      </c>
      <c r="S109" s="82"/>
      <c r="T109" s="82">
        <v>536.1</v>
      </c>
      <c r="U109" s="82"/>
      <c r="V109" s="82">
        <v>299.5</v>
      </c>
      <c r="W109" s="82">
        <v>461.5</v>
      </c>
      <c r="X109" s="82">
        <v>548.1</v>
      </c>
      <c r="Y109" s="82">
        <v>533.9</v>
      </c>
      <c r="Z109" s="82"/>
      <c r="AA109" s="82">
        <v>189.7</v>
      </c>
      <c r="AB109" s="82">
        <v>125</v>
      </c>
      <c r="AC109" s="82">
        <v>72.3</v>
      </c>
      <c r="AD109" s="71" t="s">
        <v>5219</v>
      </c>
      <c r="AE109" s="71" t="s">
        <v>5211</v>
      </c>
      <c r="AF109" s="71" t="s">
        <v>8</v>
      </c>
      <c r="AG109" s="71" t="s">
        <v>9</v>
      </c>
      <c r="AH109" s="72">
        <v>45468</v>
      </c>
      <c r="AI109" s="71"/>
    </row>
    <row r="110" spans="1:35">
      <c r="A110" s="77" t="s">
        <v>3269</v>
      </c>
      <c r="B110" s="78">
        <v>131.54400000000001</v>
      </c>
      <c r="C110" s="81">
        <v>28</v>
      </c>
      <c r="D110" s="81">
        <v>158.1</v>
      </c>
      <c r="E110" s="81">
        <v>354.7</v>
      </c>
      <c r="F110" s="81">
        <v>627.20000000000005</v>
      </c>
      <c r="G110" s="81">
        <v>765.3</v>
      </c>
      <c r="H110" s="81"/>
      <c r="I110" s="81">
        <v>689.1</v>
      </c>
      <c r="J110" s="81">
        <v>657</v>
      </c>
      <c r="K110" s="81">
        <v>572.70000000000005</v>
      </c>
      <c r="L110" s="81">
        <v>464.8</v>
      </c>
      <c r="M110" s="81">
        <v>444.9</v>
      </c>
      <c r="N110" s="81">
        <v>368.6</v>
      </c>
      <c r="O110" s="81">
        <v>343</v>
      </c>
      <c r="P110" s="81"/>
      <c r="Q110" s="81"/>
      <c r="R110" s="81">
        <v>510.7</v>
      </c>
      <c r="S110" s="81">
        <v>516.4</v>
      </c>
      <c r="T110" s="81">
        <v>505</v>
      </c>
      <c r="U110" s="81"/>
      <c r="V110" s="81">
        <v>275.3</v>
      </c>
      <c r="W110" s="81">
        <v>456.2</v>
      </c>
      <c r="X110" s="81"/>
      <c r="Y110" s="81"/>
      <c r="Z110" s="81">
        <v>394</v>
      </c>
      <c r="AA110" s="81">
        <v>215.5</v>
      </c>
      <c r="AB110" s="81"/>
      <c r="AC110" s="81">
        <v>67.7</v>
      </c>
      <c r="AD110" s="79" t="s">
        <v>5220</v>
      </c>
      <c r="AE110" s="79" t="s">
        <v>5211</v>
      </c>
      <c r="AF110" s="79" t="s">
        <v>11</v>
      </c>
      <c r="AG110" s="79" t="s">
        <v>12</v>
      </c>
      <c r="AH110" s="80">
        <v>45471</v>
      </c>
      <c r="AI110" s="79"/>
    </row>
    <row r="111" spans="1:35">
      <c r="A111" s="69" t="s">
        <v>3288</v>
      </c>
      <c r="B111" s="70">
        <v>141.66399999999999</v>
      </c>
      <c r="C111" s="82">
        <v>28</v>
      </c>
      <c r="D111" s="82">
        <v>154.80000000000001</v>
      </c>
      <c r="E111" s="82"/>
      <c r="F111" s="82">
        <v>652.6</v>
      </c>
      <c r="G111" s="82">
        <v>771.5</v>
      </c>
      <c r="H111" s="82"/>
      <c r="I111" s="82">
        <v>711.1</v>
      </c>
      <c r="J111" s="82">
        <v>690.8</v>
      </c>
      <c r="K111" s="82">
        <v>559.5</v>
      </c>
      <c r="L111" s="82">
        <v>467.4</v>
      </c>
      <c r="M111" s="82">
        <v>449.6</v>
      </c>
      <c r="N111" s="82">
        <v>380.4</v>
      </c>
      <c r="O111" s="82">
        <v>319.5</v>
      </c>
      <c r="P111" s="82"/>
      <c r="Q111" s="82">
        <v>478.3</v>
      </c>
      <c r="R111" s="82">
        <v>491.2</v>
      </c>
      <c r="S111" s="82"/>
      <c r="T111" s="82">
        <v>464.7</v>
      </c>
      <c r="U111" s="82"/>
      <c r="V111" s="82">
        <v>249.2</v>
      </c>
      <c r="W111" s="82">
        <v>460</v>
      </c>
      <c r="X111" s="82"/>
      <c r="Y111" s="82"/>
      <c r="Z111" s="82">
        <v>417.6</v>
      </c>
      <c r="AA111" s="82">
        <v>279</v>
      </c>
      <c r="AB111" s="82"/>
      <c r="AC111" s="82">
        <v>59.8</v>
      </c>
      <c r="AD111" s="71" t="s">
        <v>5221</v>
      </c>
      <c r="AE111" s="71" t="s">
        <v>5222</v>
      </c>
      <c r="AF111" s="71" t="s">
        <v>14</v>
      </c>
      <c r="AG111" s="71" t="s">
        <v>9</v>
      </c>
      <c r="AH111" s="72">
        <v>45474</v>
      </c>
      <c r="AI111" s="71"/>
    </row>
    <row r="112" spans="1:35">
      <c r="A112" s="77" t="s">
        <v>3305</v>
      </c>
      <c r="B112" s="78">
        <v>113.69</v>
      </c>
      <c r="C112" s="81">
        <v>36.200000000000003</v>
      </c>
      <c r="D112" s="81">
        <v>183.9</v>
      </c>
      <c r="E112" s="81">
        <v>380.9</v>
      </c>
      <c r="F112" s="81">
        <v>646.4</v>
      </c>
      <c r="G112" s="81">
        <v>796.8</v>
      </c>
      <c r="H112" s="81">
        <v>770.7</v>
      </c>
      <c r="I112" s="81">
        <v>716.1</v>
      </c>
      <c r="J112" s="81">
        <v>694.3</v>
      </c>
      <c r="K112" s="81">
        <v>586.5</v>
      </c>
      <c r="L112" s="81">
        <v>479.5</v>
      </c>
      <c r="M112" s="81">
        <v>434.3</v>
      </c>
      <c r="N112" s="81"/>
      <c r="O112" s="81">
        <v>350.7</v>
      </c>
      <c r="P112" s="81"/>
      <c r="Q112" s="81"/>
      <c r="R112" s="81">
        <v>520</v>
      </c>
      <c r="S112" s="81"/>
      <c r="T112" s="81">
        <v>511</v>
      </c>
      <c r="U112" s="81"/>
      <c r="V112" s="81">
        <v>267</v>
      </c>
      <c r="W112" s="81">
        <v>466.3</v>
      </c>
      <c r="X112" s="81"/>
      <c r="Y112" s="81"/>
      <c r="Z112" s="81"/>
      <c r="AA112" s="81">
        <v>216</v>
      </c>
      <c r="AB112" s="81"/>
      <c r="AC112" s="81">
        <v>57.9</v>
      </c>
      <c r="AD112" s="79" t="s">
        <v>5223</v>
      </c>
      <c r="AE112" s="79" t="s">
        <v>5222</v>
      </c>
      <c r="AF112" s="79" t="s">
        <v>16</v>
      </c>
      <c r="AG112" s="79" t="s">
        <v>12</v>
      </c>
      <c r="AH112" s="80">
        <v>45477</v>
      </c>
      <c r="AI112" s="79"/>
    </row>
    <row r="113" spans="1:35">
      <c r="A113" s="69" t="s">
        <v>3310</v>
      </c>
      <c r="B113" s="70">
        <v>114.503</v>
      </c>
      <c r="C113" s="82">
        <v>26.7</v>
      </c>
      <c r="D113" s="82">
        <v>166</v>
      </c>
      <c r="E113" s="82"/>
      <c r="F113" s="82">
        <v>677</v>
      </c>
      <c r="G113" s="82">
        <v>809.7</v>
      </c>
      <c r="H113" s="82">
        <v>773.9</v>
      </c>
      <c r="I113" s="82">
        <v>724.8</v>
      </c>
      <c r="J113" s="82">
        <v>683.5</v>
      </c>
      <c r="K113" s="82">
        <v>621.29999999999995</v>
      </c>
      <c r="L113" s="82">
        <v>500.9</v>
      </c>
      <c r="M113" s="82">
        <v>441.3</v>
      </c>
      <c r="N113" s="82"/>
      <c r="O113" s="82">
        <v>350</v>
      </c>
      <c r="P113" s="82"/>
      <c r="Q113" s="82"/>
      <c r="R113" s="82">
        <v>518.9</v>
      </c>
      <c r="S113" s="82"/>
      <c r="T113" s="82">
        <v>488.1</v>
      </c>
      <c r="U113" s="82"/>
      <c r="V113" s="82">
        <v>281.10000000000002</v>
      </c>
      <c r="W113" s="82"/>
      <c r="X113" s="82"/>
      <c r="Y113" s="82"/>
      <c r="Z113" s="82">
        <v>412.3</v>
      </c>
      <c r="AA113" s="82">
        <v>173.9</v>
      </c>
      <c r="AB113" s="82"/>
      <c r="AC113" s="82">
        <v>74.099999999999994</v>
      </c>
      <c r="AD113" s="71" t="s">
        <v>5224</v>
      </c>
      <c r="AE113" s="71" t="s">
        <v>5222</v>
      </c>
      <c r="AF113" s="71" t="s">
        <v>8</v>
      </c>
      <c r="AG113" s="71" t="s">
        <v>9</v>
      </c>
      <c r="AH113" s="72">
        <v>45480</v>
      </c>
      <c r="AI113" s="71"/>
    </row>
    <row r="114" spans="1:35">
      <c r="A114" s="77" t="s">
        <v>3319</v>
      </c>
      <c r="B114" s="78">
        <v>82.522999999999996</v>
      </c>
      <c r="C114" s="81">
        <v>37.4</v>
      </c>
      <c r="D114" s="81">
        <v>174.6</v>
      </c>
      <c r="E114" s="81">
        <v>404.6</v>
      </c>
      <c r="F114" s="81">
        <v>689.9</v>
      </c>
      <c r="G114" s="81">
        <v>828.4</v>
      </c>
      <c r="H114" s="81"/>
      <c r="I114" s="81">
        <v>771.4</v>
      </c>
      <c r="J114" s="81">
        <v>699</v>
      </c>
      <c r="K114" s="81">
        <v>633.29999999999995</v>
      </c>
      <c r="L114" s="81">
        <v>496</v>
      </c>
      <c r="M114" s="81">
        <v>485</v>
      </c>
      <c r="N114" s="81"/>
      <c r="O114" s="81">
        <v>374.2</v>
      </c>
      <c r="P114" s="81"/>
      <c r="Q114" s="81"/>
      <c r="R114" s="81">
        <v>539.6</v>
      </c>
      <c r="S114" s="81">
        <v>545.5</v>
      </c>
      <c r="T114" s="81">
        <v>524.79999999999995</v>
      </c>
      <c r="U114" s="81"/>
      <c r="V114" s="81">
        <v>282.2</v>
      </c>
      <c r="W114" s="81"/>
      <c r="X114" s="81"/>
      <c r="Y114" s="81"/>
      <c r="Z114" s="81">
        <v>325.2</v>
      </c>
      <c r="AA114" s="81">
        <v>189</v>
      </c>
      <c r="AB114" s="81"/>
      <c r="AC114" s="81">
        <v>53.4</v>
      </c>
      <c r="AD114" s="79" t="s">
        <v>5225</v>
      </c>
      <c r="AE114" s="79" t="s">
        <v>5222</v>
      </c>
      <c r="AF114" s="79" t="s">
        <v>11</v>
      </c>
      <c r="AG114" s="79" t="s">
        <v>12</v>
      </c>
      <c r="AH114" s="80">
        <v>45483</v>
      </c>
      <c r="AI114" s="79"/>
    </row>
    <row r="115" spans="1:35">
      <c r="A115" s="69" t="s">
        <v>3328</v>
      </c>
      <c r="B115" s="70">
        <v>95.468999999999994</v>
      </c>
      <c r="C115" s="82">
        <v>29.5</v>
      </c>
      <c r="D115" s="82">
        <v>186.7</v>
      </c>
      <c r="E115" s="82"/>
      <c r="F115" s="82">
        <v>679.4</v>
      </c>
      <c r="G115" s="82">
        <v>827.4</v>
      </c>
      <c r="H115" s="82"/>
      <c r="I115" s="82">
        <v>750.3</v>
      </c>
      <c r="J115" s="82">
        <v>713.8</v>
      </c>
      <c r="K115" s="82">
        <v>631.6</v>
      </c>
      <c r="L115" s="82">
        <v>483</v>
      </c>
      <c r="M115" s="82">
        <v>446.4</v>
      </c>
      <c r="N115" s="82">
        <v>402.5</v>
      </c>
      <c r="O115" s="82">
        <v>346.4</v>
      </c>
      <c r="P115" s="82"/>
      <c r="Q115" s="82">
        <v>527.20000000000005</v>
      </c>
      <c r="R115" s="82">
        <v>535.4</v>
      </c>
      <c r="S115" s="82"/>
      <c r="T115" s="82">
        <v>520</v>
      </c>
      <c r="U115" s="82"/>
      <c r="V115" s="82">
        <v>261.7</v>
      </c>
      <c r="W115" s="82"/>
      <c r="X115" s="82"/>
      <c r="Y115" s="82"/>
      <c r="Z115" s="82">
        <v>409.5</v>
      </c>
      <c r="AA115" s="82">
        <v>256.39999999999998</v>
      </c>
      <c r="AB115" s="82">
        <v>130.9</v>
      </c>
      <c r="AC115" s="82">
        <v>42.5</v>
      </c>
      <c r="AD115" s="71" t="s">
        <v>5226</v>
      </c>
      <c r="AE115" s="71" t="s">
        <v>5222</v>
      </c>
      <c r="AF115" s="71" t="s">
        <v>14</v>
      </c>
      <c r="AG115" s="71" t="s">
        <v>9</v>
      </c>
      <c r="AH115" s="72">
        <v>45486</v>
      </c>
      <c r="AI115" s="71"/>
    </row>
    <row r="116" spans="1:35">
      <c r="A116" s="77" t="s">
        <v>3340</v>
      </c>
      <c r="B116" s="78">
        <v>86.453000000000003</v>
      </c>
      <c r="C116" s="81">
        <v>25.6</v>
      </c>
      <c r="D116" s="81">
        <v>175.7</v>
      </c>
      <c r="E116" s="81">
        <v>398.5</v>
      </c>
      <c r="F116" s="81">
        <v>695.2</v>
      </c>
      <c r="G116" s="81">
        <v>858.6</v>
      </c>
      <c r="H116" s="81"/>
      <c r="I116" s="81">
        <v>789.7</v>
      </c>
      <c r="J116" s="81"/>
      <c r="K116" s="81">
        <v>634.6</v>
      </c>
      <c r="L116" s="81">
        <v>524.79999999999995</v>
      </c>
      <c r="M116" s="81">
        <v>498.7</v>
      </c>
      <c r="N116" s="81"/>
      <c r="O116" s="81">
        <v>383.1</v>
      </c>
      <c r="P116" s="81"/>
      <c r="Q116" s="81"/>
      <c r="R116" s="81">
        <v>576.5</v>
      </c>
      <c r="S116" s="81"/>
      <c r="T116" s="81">
        <v>570</v>
      </c>
      <c r="U116" s="81"/>
      <c r="V116" s="81">
        <v>282.89999999999998</v>
      </c>
      <c r="W116" s="81"/>
      <c r="X116" s="81"/>
      <c r="Y116" s="81"/>
      <c r="Z116" s="81"/>
      <c r="AA116" s="81">
        <v>288.7</v>
      </c>
      <c r="AB116" s="81"/>
      <c r="AC116" s="81">
        <v>36.299999999999997</v>
      </c>
      <c r="AD116" s="79" t="s">
        <v>5227</v>
      </c>
      <c r="AE116" s="79" t="s">
        <v>5222</v>
      </c>
      <c r="AF116" s="79" t="s">
        <v>14</v>
      </c>
      <c r="AG116" s="79" t="s">
        <v>9</v>
      </c>
      <c r="AH116" s="80">
        <v>45486</v>
      </c>
      <c r="AI116" s="79"/>
    </row>
    <row r="117" spans="1:35">
      <c r="A117" s="69" t="s">
        <v>3362</v>
      </c>
      <c r="B117" s="70">
        <v>85.087999999999994</v>
      </c>
      <c r="C117" s="82">
        <v>30.2</v>
      </c>
      <c r="D117" s="82">
        <v>182.4</v>
      </c>
      <c r="E117" s="82"/>
      <c r="F117" s="82">
        <v>673.4</v>
      </c>
      <c r="G117" s="82">
        <v>825.7</v>
      </c>
      <c r="H117" s="82"/>
      <c r="I117" s="82">
        <v>774.9</v>
      </c>
      <c r="J117" s="82">
        <v>695.2</v>
      </c>
      <c r="K117" s="82">
        <v>599.4</v>
      </c>
      <c r="L117" s="82">
        <v>487.9</v>
      </c>
      <c r="M117" s="82">
        <v>446.7</v>
      </c>
      <c r="N117" s="82"/>
      <c r="O117" s="82">
        <v>336.2</v>
      </c>
      <c r="P117" s="82"/>
      <c r="Q117" s="82">
        <v>532.9</v>
      </c>
      <c r="R117" s="82">
        <v>527.79999999999995</v>
      </c>
      <c r="S117" s="82"/>
      <c r="T117" s="82">
        <v>513.79999999999995</v>
      </c>
      <c r="U117" s="82">
        <v>558.9</v>
      </c>
      <c r="V117" s="82">
        <v>288.39999999999998</v>
      </c>
      <c r="W117" s="82"/>
      <c r="X117" s="82"/>
      <c r="Y117" s="82"/>
      <c r="Z117" s="82">
        <v>324.39999999999998</v>
      </c>
      <c r="AA117" s="82">
        <v>205</v>
      </c>
      <c r="AB117" s="82">
        <v>143.5</v>
      </c>
      <c r="AC117" s="82">
        <v>51.9</v>
      </c>
      <c r="AD117" s="71" t="s">
        <v>5228</v>
      </c>
      <c r="AE117" s="71" t="s">
        <v>5222</v>
      </c>
      <c r="AF117" s="71" t="s">
        <v>16</v>
      </c>
      <c r="AG117" s="71" t="s">
        <v>12</v>
      </c>
      <c r="AH117" s="72">
        <v>45489</v>
      </c>
      <c r="AI117" s="71"/>
    </row>
    <row r="118" spans="1:35">
      <c r="A118" s="77" t="s">
        <v>3377</v>
      </c>
      <c r="B118" s="78">
        <v>87.460999999999999</v>
      </c>
      <c r="C118" s="81">
        <v>26.8</v>
      </c>
      <c r="D118" s="81">
        <v>194.8</v>
      </c>
      <c r="E118" s="81"/>
      <c r="F118" s="81">
        <v>663.5</v>
      </c>
      <c r="G118" s="81">
        <v>812.9</v>
      </c>
      <c r="H118" s="81"/>
      <c r="I118" s="81">
        <v>735.1</v>
      </c>
      <c r="J118" s="81">
        <v>715.1</v>
      </c>
      <c r="K118" s="81">
        <v>620.9</v>
      </c>
      <c r="L118" s="81">
        <v>515.9</v>
      </c>
      <c r="M118" s="81">
        <v>449.7</v>
      </c>
      <c r="N118" s="81"/>
      <c r="O118" s="81">
        <v>354.7</v>
      </c>
      <c r="P118" s="81"/>
      <c r="Q118" s="81"/>
      <c r="R118" s="81">
        <v>541.6</v>
      </c>
      <c r="S118" s="81"/>
      <c r="T118" s="81">
        <v>540.29999999999995</v>
      </c>
      <c r="U118" s="81"/>
      <c r="V118" s="81">
        <v>283.39999999999998</v>
      </c>
      <c r="W118" s="81">
        <v>462.1</v>
      </c>
      <c r="X118" s="81">
        <v>523.29999999999995</v>
      </c>
      <c r="Y118" s="81">
        <v>501.1</v>
      </c>
      <c r="Z118" s="81">
        <v>403.4</v>
      </c>
      <c r="AA118" s="81">
        <v>199.2</v>
      </c>
      <c r="AB118" s="81"/>
      <c r="AC118" s="81">
        <v>65.5</v>
      </c>
      <c r="AD118" s="79" t="s">
        <v>5229</v>
      </c>
      <c r="AE118" s="79" t="s">
        <v>5222</v>
      </c>
      <c r="AF118" s="79" t="s">
        <v>8</v>
      </c>
      <c r="AG118" s="79" t="s">
        <v>9</v>
      </c>
      <c r="AH118" s="80">
        <v>45492</v>
      </c>
      <c r="AI118" s="79"/>
    </row>
    <row r="119" spans="1:35">
      <c r="A119" s="69" t="s">
        <v>3386</v>
      </c>
      <c r="B119" s="70">
        <v>77.108000000000004</v>
      </c>
      <c r="C119" s="82">
        <v>30.6</v>
      </c>
      <c r="D119" s="82">
        <v>166.3</v>
      </c>
      <c r="E119" s="82">
        <v>357.4</v>
      </c>
      <c r="F119" s="82">
        <v>684.7</v>
      </c>
      <c r="G119" s="82">
        <v>822.2</v>
      </c>
      <c r="H119" s="82">
        <v>775.2</v>
      </c>
      <c r="I119" s="82">
        <v>777.7</v>
      </c>
      <c r="J119" s="82"/>
      <c r="K119" s="82">
        <v>627.5</v>
      </c>
      <c r="L119" s="82">
        <v>514.4</v>
      </c>
      <c r="M119" s="82">
        <v>487.2</v>
      </c>
      <c r="N119" s="82"/>
      <c r="O119" s="82">
        <v>336.9</v>
      </c>
      <c r="P119" s="82"/>
      <c r="Q119" s="82"/>
      <c r="R119" s="82">
        <v>548</v>
      </c>
      <c r="S119" s="82"/>
      <c r="T119" s="82">
        <v>525.79999999999995</v>
      </c>
      <c r="U119" s="82">
        <v>561.5</v>
      </c>
      <c r="V119" s="82">
        <v>288.7</v>
      </c>
      <c r="W119" s="82"/>
      <c r="X119" s="82"/>
      <c r="Y119" s="82"/>
      <c r="Z119" s="82"/>
      <c r="AA119" s="82">
        <v>183</v>
      </c>
      <c r="AB119" s="82"/>
      <c r="AC119" s="82">
        <v>41</v>
      </c>
      <c r="AD119" s="71" t="s">
        <v>5230</v>
      </c>
      <c r="AE119" s="71" t="s">
        <v>5222</v>
      </c>
      <c r="AF119" s="71" t="s">
        <v>11</v>
      </c>
      <c r="AG119" s="71" t="s">
        <v>12</v>
      </c>
      <c r="AH119" s="72">
        <v>45495</v>
      </c>
      <c r="AI119" s="71"/>
    </row>
    <row r="120" spans="1:35">
      <c r="A120" s="77" t="s">
        <v>3400</v>
      </c>
      <c r="B120" s="78">
        <v>68.724000000000004</v>
      </c>
      <c r="C120" s="81">
        <v>39.1</v>
      </c>
      <c r="D120" s="81">
        <v>181.6</v>
      </c>
      <c r="E120" s="81">
        <v>403.8</v>
      </c>
      <c r="F120" s="81">
        <v>682.1</v>
      </c>
      <c r="G120" s="81">
        <v>837</v>
      </c>
      <c r="H120" s="81">
        <v>798.7</v>
      </c>
      <c r="I120" s="81">
        <v>767.5</v>
      </c>
      <c r="J120" s="81">
        <v>719.1</v>
      </c>
      <c r="K120" s="81">
        <v>633.1</v>
      </c>
      <c r="L120" s="81">
        <v>489</v>
      </c>
      <c r="M120" s="81">
        <v>451.2</v>
      </c>
      <c r="N120" s="81"/>
      <c r="O120" s="81">
        <v>350.9</v>
      </c>
      <c r="P120" s="81"/>
      <c r="Q120" s="81"/>
      <c r="R120" s="81">
        <v>560.5</v>
      </c>
      <c r="S120" s="81"/>
      <c r="T120" s="81">
        <v>534.6</v>
      </c>
      <c r="U120" s="81">
        <v>550.5</v>
      </c>
      <c r="V120" s="81">
        <v>283.39999999999998</v>
      </c>
      <c r="W120" s="81"/>
      <c r="X120" s="81"/>
      <c r="Y120" s="81"/>
      <c r="Z120" s="81">
        <v>322.60000000000002</v>
      </c>
      <c r="AA120" s="81">
        <v>283.2</v>
      </c>
      <c r="AB120" s="81">
        <v>129.19999999999999</v>
      </c>
      <c r="AC120" s="81">
        <v>44.9</v>
      </c>
      <c r="AD120" s="79" t="s">
        <v>5231</v>
      </c>
      <c r="AE120" s="79" t="s">
        <v>5222</v>
      </c>
      <c r="AF120" s="79" t="s">
        <v>14</v>
      </c>
      <c r="AG120" s="79" t="s">
        <v>9</v>
      </c>
      <c r="AH120" s="80">
        <v>45498</v>
      </c>
      <c r="AI120" s="79"/>
    </row>
    <row r="121" spans="1:35">
      <c r="A121" s="69" t="s">
        <v>3411</v>
      </c>
      <c r="B121" s="70">
        <v>126.465</v>
      </c>
      <c r="C121" s="82">
        <v>33.5</v>
      </c>
      <c r="D121" s="82">
        <v>178.1</v>
      </c>
      <c r="E121" s="82"/>
      <c r="F121" s="82">
        <v>658.9</v>
      </c>
      <c r="G121" s="82">
        <v>788.2</v>
      </c>
      <c r="H121" s="82"/>
      <c r="I121" s="82">
        <v>738.2</v>
      </c>
      <c r="J121" s="82">
        <v>661.3</v>
      </c>
      <c r="K121" s="82">
        <v>562.1</v>
      </c>
      <c r="L121" s="82">
        <v>478.2</v>
      </c>
      <c r="M121" s="82">
        <v>443.3</v>
      </c>
      <c r="N121" s="82">
        <v>378.8</v>
      </c>
      <c r="O121" s="82">
        <v>351.4</v>
      </c>
      <c r="P121" s="82"/>
      <c r="Q121" s="82"/>
      <c r="R121" s="82">
        <v>507.2</v>
      </c>
      <c r="S121" s="82"/>
      <c r="T121" s="82">
        <v>498.5</v>
      </c>
      <c r="U121" s="82"/>
      <c r="V121" s="82">
        <v>248.7</v>
      </c>
      <c r="W121" s="82"/>
      <c r="X121" s="82"/>
      <c r="Y121" s="82"/>
      <c r="Z121" s="82">
        <v>389</v>
      </c>
      <c r="AA121" s="82">
        <v>191.4</v>
      </c>
      <c r="AB121" s="82"/>
      <c r="AC121" s="82">
        <v>71</v>
      </c>
      <c r="AD121" s="71" t="s">
        <v>5232</v>
      </c>
      <c r="AE121" s="71" t="s">
        <v>5233</v>
      </c>
      <c r="AF121" s="71" t="s">
        <v>16</v>
      </c>
      <c r="AG121" s="71" t="s">
        <v>12</v>
      </c>
      <c r="AH121" s="72">
        <v>45501</v>
      </c>
      <c r="AI121" s="71"/>
    </row>
    <row r="122" spans="1:35">
      <c r="A122" s="77" t="s">
        <v>3416</v>
      </c>
      <c r="B122" s="78">
        <v>116.813</v>
      </c>
      <c r="C122" s="81">
        <v>28.9</v>
      </c>
      <c r="D122" s="81">
        <v>178</v>
      </c>
      <c r="E122" s="81">
        <v>337.7</v>
      </c>
      <c r="F122" s="81">
        <v>616.4</v>
      </c>
      <c r="G122" s="81">
        <v>775.1</v>
      </c>
      <c r="H122" s="81"/>
      <c r="I122" s="81">
        <v>711.3</v>
      </c>
      <c r="J122" s="81">
        <v>670.8</v>
      </c>
      <c r="K122" s="81">
        <v>565.1</v>
      </c>
      <c r="L122" s="81">
        <v>489.8</v>
      </c>
      <c r="M122" s="81">
        <v>413.4</v>
      </c>
      <c r="N122" s="81">
        <v>382.4</v>
      </c>
      <c r="O122" s="81">
        <v>330.1</v>
      </c>
      <c r="P122" s="81"/>
      <c r="Q122" s="81"/>
      <c r="R122" s="81">
        <v>498.5</v>
      </c>
      <c r="S122" s="81"/>
      <c r="T122" s="81">
        <v>469.5</v>
      </c>
      <c r="U122" s="81"/>
      <c r="V122" s="81">
        <v>274.39999999999998</v>
      </c>
      <c r="W122" s="81">
        <v>464.2</v>
      </c>
      <c r="X122" s="81"/>
      <c r="Y122" s="81"/>
      <c r="Z122" s="81">
        <v>347</v>
      </c>
      <c r="AA122" s="81">
        <v>192.8</v>
      </c>
      <c r="AB122" s="81">
        <v>126</v>
      </c>
      <c r="AC122" s="81">
        <v>40</v>
      </c>
      <c r="AD122" s="79" t="s">
        <v>5234</v>
      </c>
      <c r="AE122" s="79" t="s">
        <v>5233</v>
      </c>
      <c r="AF122" s="79" t="s">
        <v>8</v>
      </c>
      <c r="AG122" s="79" t="s">
        <v>9</v>
      </c>
      <c r="AH122" s="80">
        <v>45504</v>
      </c>
      <c r="AI122" s="79"/>
    </row>
    <row r="123" spans="1:35">
      <c r="A123" s="69" t="s">
        <v>3442</v>
      </c>
      <c r="B123" s="70">
        <v>140.07599999999999</v>
      </c>
      <c r="C123" s="82">
        <v>36.6</v>
      </c>
      <c r="D123" s="82">
        <v>159.30000000000001</v>
      </c>
      <c r="E123" s="82"/>
      <c r="F123" s="82">
        <v>623.4</v>
      </c>
      <c r="G123" s="82">
        <v>754.7</v>
      </c>
      <c r="H123" s="82">
        <v>700.7</v>
      </c>
      <c r="I123" s="82">
        <v>690</v>
      </c>
      <c r="J123" s="82"/>
      <c r="K123" s="82">
        <v>577.6</v>
      </c>
      <c r="L123" s="82">
        <v>483.8</v>
      </c>
      <c r="M123" s="82">
        <v>404.2</v>
      </c>
      <c r="N123" s="82"/>
      <c r="O123" s="82">
        <v>309.89999999999998</v>
      </c>
      <c r="P123" s="82"/>
      <c r="Q123" s="82">
        <v>470.4</v>
      </c>
      <c r="R123" s="82">
        <v>481.1</v>
      </c>
      <c r="S123" s="82"/>
      <c r="T123" s="82">
        <v>452.3</v>
      </c>
      <c r="U123" s="82"/>
      <c r="V123" s="82">
        <v>262.3</v>
      </c>
      <c r="W123" s="82"/>
      <c r="X123" s="82"/>
      <c r="Y123" s="82"/>
      <c r="Z123" s="82"/>
      <c r="AA123" s="82">
        <v>268.5</v>
      </c>
      <c r="AB123" s="82">
        <v>114.2</v>
      </c>
      <c r="AC123" s="82">
        <v>39</v>
      </c>
      <c r="AD123" s="71" t="s">
        <v>5235</v>
      </c>
      <c r="AE123" s="71" t="s">
        <v>5233</v>
      </c>
      <c r="AF123" s="71" t="s">
        <v>16</v>
      </c>
      <c r="AG123" s="71" t="s">
        <v>12</v>
      </c>
      <c r="AH123" s="72">
        <v>45501</v>
      </c>
      <c r="AI123" s="71"/>
    </row>
    <row r="124" spans="1:35">
      <c r="A124" s="77" t="s">
        <v>3449</v>
      </c>
      <c r="B124" s="78">
        <v>150.84399999999999</v>
      </c>
      <c r="C124" s="81">
        <v>35.9</v>
      </c>
      <c r="D124" s="81">
        <v>154.5</v>
      </c>
      <c r="E124" s="81"/>
      <c r="F124" s="81">
        <v>615.29999999999995</v>
      </c>
      <c r="G124" s="81">
        <v>768.3</v>
      </c>
      <c r="H124" s="81"/>
      <c r="I124" s="81">
        <v>709.9</v>
      </c>
      <c r="J124" s="81"/>
      <c r="K124" s="81">
        <v>566.79999999999995</v>
      </c>
      <c r="L124" s="81">
        <v>470.4</v>
      </c>
      <c r="M124" s="81">
        <v>413.3</v>
      </c>
      <c r="N124" s="81">
        <v>389.7</v>
      </c>
      <c r="O124" s="81">
        <v>340.1</v>
      </c>
      <c r="P124" s="81"/>
      <c r="Q124" s="81"/>
      <c r="R124" s="81">
        <v>502.8</v>
      </c>
      <c r="S124" s="81"/>
      <c r="T124" s="81">
        <v>491</v>
      </c>
      <c r="U124" s="81"/>
      <c r="V124" s="81">
        <v>250.8</v>
      </c>
      <c r="W124" s="81">
        <v>463.4</v>
      </c>
      <c r="X124" s="81"/>
      <c r="Y124" s="81"/>
      <c r="Z124" s="81"/>
      <c r="AA124" s="81">
        <v>257.2</v>
      </c>
      <c r="AB124" s="81"/>
      <c r="AC124" s="81">
        <v>39</v>
      </c>
      <c r="AD124" s="79" t="s">
        <v>5236</v>
      </c>
      <c r="AE124" s="79" t="s">
        <v>5233</v>
      </c>
      <c r="AF124" s="79" t="s">
        <v>8</v>
      </c>
      <c r="AG124" s="79" t="s">
        <v>9</v>
      </c>
      <c r="AH124" s="80">
        <v>45504</v>
      </c>
      <c r="AI124" s="79"/>
    </row>
    <row r="125" spans="1:35">
      <c r="A125" s="69" t="s">
        <v>3468</v>
      </c>
      <c r="B125" s="70">
        <v>86.658000000000001</v>
      </c>
      <c r="C125" s="82">
        <v>38.299999999999997</v>
      </c>
      <c r="D125" s="82">
        <v>168.4</v>
      </c>
      <c r="E125" s="82"/>
      <c r="F125" s="82">
        <v>669.8</v>
      </c>
      <c r="G125" s="82">
        <v>838.3</v>
      </c>
      <c r="H125" s="82"/>
      <c r="I125" s="82">
        <v>774.6</v>
      </c>
      <c r="J125" s="82"/>
      <c r="K125" s="82">
        <v>639.29999999999995</v>
      </c>
      <c r="L125" s="82">
        <v>520</v>
      </c>
      <c r="M125" s="82">
        <v>486</v>
      </c>
      <c r="N125" s="82">
        <v>426.7</v>
      </c>
      <c r="O125" s="82">
        <v>368.3</v>
      </c>
      <c r="P125" s="82"/>
      <c r="Q125" s="82"/>
      <c r="R125" s="82">
        <v>555.9</v>
      </c>
      <c r="S125" s="82">
        <v>562</v>
      </c>
      <c r="T125" s="82">
        <v>545.6</v>
      </c>
      <c r="U125" s="82"/>
      <c r="V125" s="82">
        <v>259.60000000000002</v>
      </c>
      <c r="W125" s="82">
        <v>454</v>
      </c>
      <c r="X125" s="82"/>
      <c r="Y125" s="82"/>
      <c r="Z125" s="82">
        <v>399.7</v>
      </c>
      <c r="AA125" s="82">
        <v>193.2</v>
      </c>
      <c r="AB125" s="82"/>
      <c r="AC125" s="82">
        <v>58.5</v>
      </c>
      <c r="AD125" s="71" t="s">
        <v>5237</v>
      </c>
      <c r="AE125" s="71" t="s">
        <v>5233</v>
      </c>
      <c r="AF125" s="71" t="s">
        <v>11</v>
      </c>
      <c r="AG125" s="71" t="s">
        <v>12</v>
      </c>
      <c r="AH125" s="72">
        <v>45519</v>
      </c>
      <c r="AI125" s="71"/>
    </row>
    <row r="126" spans="1:35">
      <c r="A126" s="77" t="s">
        <v>3480</v>
      </c>
      <c r="B126" s="78">
        <v>120.28</v>
      </c>
      <c r="C126" s="81">
        <v>36.9</v>
      </c>
      <c r="D126" s="81">
        <v>180.3</v>
      </c>
      <c r="E126" s="81">
        <v>366.6</v>
      </c>
      <c r="F126" s="81">
        <v>659.9</v>
      </c>
      <c r="G126" s="81">
        <v>816</v>
      </c>
      <c r="H126" s="81"/>
      <c r="I126" s="81">
        <v>724.6</v>
      </c>
      <c r="J126" s="81"/>
      <c r="K126" s="81">
        <v>587.9</v>
      </c>
      <c r="L126" s="81">
        <v>512.9</v>
      </c>
      <c r="M126" s="81">
        <v>462.5</v>
      </c>
      <c r="N126" s="81"/>
      <c r="O126" s="81">
        <v>359.4</v>
      </c>
      <c r="P126" s="81"/>
      <c r="Q126" s="81"/>
      <c r="R126" s="81">
        <v>544.29999999999995</v>
      </c>
      <c r="S126" s="81"/>
      <c r="T126" s="81">
        <v>530.79999999999995</v>
      </c>
      <c r="U126" s="81"/>
      <c r="V126" s="81">
        <v>262</v>
      </c>
      <c r="W126" s="81">
        <v>464.2</v>
      </c>
      <c r="X126" s="81"/>
      <c r="Y126" s="81"/>
      <c r="Z126" s="81"/>
      <c r="AA126" s="81">
        <v>270.3</v>
      </c>
      <c r="AB126" s="81">
        <v>140.9</v>
      </c>
      <c r="AC126" s="81">
        <v>49.1</v>
      </c>
      <c r="AD126" s="79" t="s">
        <v>5238</v>
      </c>
      <c r="AE126" s="79" t="s">
        <v>5233</v>
      </c>
      <c r="AF126" s="79" t="s">
        <v>14</v>
      </c>
      <c r="AG126" s="79" t="s">
        <v>9</v>
      </c>
      <c r="AH126" s="80">
        <v>45522</v>
      </c>
      <c r="AI126" s="79"/>
    </row>
    <row r="127" spans="1:35">
      <c r="A127" s="69" t="s">
        <v>3496</v>
      </c>
      <c r="B127" s="70">
        <v>131.709</v>
      </c>
      <c r="C127" s="82">
        <v>36.799999999999997</v>
      </c>
      <c r="D127" s="82">
        <v>165.8</v>
      </c>
      <c r="E127" s="82"/>
      <c r="F127" s="82">
        <v>658.9</v>
      </c>
      <c r="G127" s="82">
        <v>798.5</v>
      </c>
      <c r="H127" s="82">
        <v>775.8</v>
      </c>
      <c r="I127" s="82">
        <v>736.1</v>
      </c>
      <c r="J127" s="82"/>
      <c r="K127" s="82">
        <v>581.70000000000005</v>
      </c>
      <c r="L127" s="82">
        <v>465.4</v>
      </c>
      <c r="M127" s="82">
        <v>450</v>
      </c>
      <c r="N127" s="82">
        <v>423.3</v>
      </c>
      <c r="O127" s="82">
        <v>339.7</v>
      </c>
      <c r="P127" s="82"/>
      <c r="Q127" s="82"/>
      <c r="R127" s="82">
        <v>514.70000000000005</v>
      </c>
      <c r="S127" s="82">
        <v>510.3</v>
      </c>
      <c r="T127" s="82">
        <v>488</v>
      </c>
      <c r="U127" s="82">
        <v>553.20000000000005</v>
      </c>
      <c r="V127" s="82">
        <v>272.60000000000002</v>
      </c>
      <c r="W127" s="82">
        <v>454.1</v>
      </c>
      <c r="X127" s="82"/>
      <c r="Y127" s="82"/>
      <c r="Z127" s="82"/>
      <c r="AA127" s="82">
        <v>180.3</v>
      </c>
      <c r="AB127" s="82">
        <v>129.19999999999999</v>
      </c>
      <c r="AC127" s="82">
        <v>60.5</v>
      </c>
      <c r="AD127" s="71" t="s">
        <v>5239</v>
      </c>
      <c r="AE127" s="71" t="s">
        <v>5233</v>
      </c>
      <c r="AF127" s="71" t="s">
        <v>8</v>
      </c>
      <c r="AG127" s="71" t="s">
        <v>9</v>
      </c>
      <c r="AH127" s="72">
        <v>45528</v>
      </c>
      <c r="AI127" s="71"/>
    </row>
    <row r="128" spans="1:35">
      <c r="A128" s="77" t="s">
        <v>3498</v>
      </c>
      <c r="B128" s="78">
        <v>128.03800000000001</v>
      </c>
      <c r="C128" s="81">
        <v>35.9</v>
      </c>
      <c r="D128" s="81">
        <v>196.1</v>
      </c>
      <c r="E128" s="81"/>
      <c r="F128" s="81">
        <v>683.4</v>
      </c>
      <c r="G128" s="81">
        <v>825</v>
      </c>
      <c r="H128" s="81"/>
      <c r="I128" s="81">
        <v>748.7</v>
      </c>
      <c r="J128" s="81"/>
      <c r="K128" s="81">
        <v>607.29999999999995</v>
      </c>
      <c r="L128" s="81">
        <v>509.5</v>
      </c>
      <c r="M128" s="81">
        <v>454.5</v>
      </c>
      <c r="N128" s="81"/>
      <c r="O128" s="81">
        <v>343.9</v>
      </c>
      <c r="P128" s="81"/>
      <c r="Q128" s="81">
        <v>525.6</v>
      </c>
      <c r="R128" s="81">
        <v>548.9</v>
      </c>
      <c r="S128" s="81"/>
      <c r="T128" s="81">
        <v>533.20000000000005</v>
      </c>
      <c r="U128" s="81"/>
      <c r="V128" s="81">
        <v>267.5</v>
      </c>
      <c r="W128" s="81">
        <v>464.5</v>
      </c>
      <c r="X128" s="81"/>
      <c r="Y128" s="81"/>
      <c r="Z128" s="81"/>
      <c r="AA128" s="81">
        <v>251.9</v>
      </c>
      <c r="AB128" s="81">
        <v>122</v>
      </c>
      <c r="AC128" s="81">
        <v>53</v>
      </c>
      <c r="AD128" s="79" t="s">
        <v>5240</v>
      </c>
      <c r="AE128" s="79" t="s">
        <v>5233</v>
      </c>
      <c r="AF128" s="79" t="s">
        <v>11</v>
      </c>
      <c r="AG128" s="79" t="s">
        <v>12</v>
      </c>
      <c r="AH128" s="80">
        <v>45531</v>
      </c>
      <c r="AI128" s="79"/>
    </row>
    <row r="129" spans="1:35">
      <c r="A129" s="69" t="s">
        <v>3503</v>
      </c>
      <c r="B129" s="70">
        <v>106.619</v>
      </c>
      <c r="C129" s="82">
        <v>25</v>
      </c>
      <c r="D129" s="82">
        <v>194</v>
      </c>
      <c r="E129" s="82"/>
      <c r="F129" s="82">
        <v>667.1</v>
      </c>
      <c r="G129" s="82">
        <v>812.8</v>
      </c>
      <c r="H129" s="82"/>
      <c r="I129" s="82">
        <v>748</v>
      </c>
      <c r="J129" s="82"/>
      <c r="K129" s="82">
        <v>574.5</v>
      </c>
      <c r="L129" s="82">
        <v>501.9</v>
      </c>
      <c r="M129" s="82">
        <v>454.5</v>
      </c>
      <c r="N129" s="82"/>
      <c r="O129" s="82">
        <v>332.4</v>
      </c>
      <c r="P129" s="82"/>
      <c r="Q129" s="82"/>
      <c r="R129" s="82">
        <v>517.5</v>
      </c>
      <c r="S129" s="82"/>
      <c r="T129" s="82">
        <v>502.6</v>
      </c>
      <c r="U129" s="82"/>
      <c r="V129" s="82">
        <v>259.10000000000002</v>
      </c>
      <c r="W129" s="82">
        <v>460.1</v>
      </c>
      <c r="X129" s="82">
        <v>547.4</v>
      </c>
      <c r="Y129" s="82">
        <v>523.6</v>
      </c>
      <c r="Z129" s="82">
        <v>366</v>
      </c>
      <c r="AA129" s="82">
        <v>268.10000000000002</v>
      </c>
      <c r="AB129" s="82"/>
      <c r="AC129" s="82">
        <v>50.4</v>
      </c>
      <c r="AD129" s="71" t="s">
        <v>5241</v>
      </c>
      <c r="AE129" s="71" t="s">
        <v>5233</v>
      </c>
      <c r="AF129" s="71" t="s">
        <v>14</v>
      </c>
      <c r="AG129" s="71" t="s">
        <v>9</v>
      </c>
      <c r="AH129" s="72">
        <v>45534</v>
      </c>
      <c r="AI129" s="71"/>
    </row>
    <row r="130" spans="1:35">
      <c r="A130" s="77" t="s">
        <v>3506</v>
      </c>
      <c r="B130" s="78">
        <v>104.892</v>
      </c>
      <c r="C130" s="81">
        <v>33</v>
      </c>
      <c r="D130" s="81">
        <v>188.3</v>
      </c>
      <c r="E130" s="81"/>
      <c r="F130" s="81">
        <v>668.5</v>
      </c>
      <c r="G130" s="81">
        <v>799.2</v>
      </c>
      <c r="H130" s="81">
        <v>776.5</v>
      </c>
      <c r="I130" s="81">
        <v>708.9</v>
      </c>
      <c r="J130" s="81">
        <v>709.5</v>
      </c>
      <c r="K130" s="81">
        <v>569.4</v>
      </c>
      <c r="L130" s="81">
        <v>504.8</v>
      </c>
      <c r="M130" s="81">
        <v>464.2</v>
      </c>
      <c r="N130" s="81"/>
      <c r="O130" s="81">
        <v>328.2</v>
      </c>
      <c r="P130" s="81"/>
      <c r="Q130" s="81">
        <v>519.5</v>
      </c>
      <c r="R130" s="81">
        <v>518.70000000000005</v>
      </c>
      <c r="S130" s="81"/>
      <c r="T130" s="81">
        <v>510.4</v>
      </c>
      <c r="U130" s="81"/>
      <c r="V130" s="81">
        <v>274.2</v>
      </c>
      <c r="W130" s="81">
        <v>459.6</v>
      </c>
      <c r="X130" s="81"/>
      <c r="Y130" s="81"/>
      <c r="Z130" s="81">
        <v>386.7</v>
      </c>
      <c r="AA130" s="81">
        <v>179.7</v>
      </c>
      <c r="AB130" s="81">
        <v>125.1</v>
      </c>
      <c r="AC130" s="81">
        <v>68.099999999999994</v>
      </c>
      <c r="AD130" s="79" t="s">
        <v>5242</v>
      </c>
      <c r="AE130" s="79" t="s">
        <v>5233</v>
      </c>
      <c r="AF130" s="79" t="s">
        <v>16</v>
      </c>
      <c r="AG130" s="79" t="s">
        <v>12</v>
      </c>
      <c r="AH130" s="80">
        <v>45537</v>
      </c>
      <c r="AI130" s="79"/>
    </row>
    <row r="131" spans="1:35">
      <c r="A131" s="69" t="s">
        <v>3513</v>
      </c>
      <c r="B131" s="70">
        <v>90.893000000000001</v>
      </c>
      <c r="C131" s="82">
        <v>33.9</v>
      </c>
      <c r="D131" s="82">
        <v>167</v>
      </c>
      <c r="E131" s="82">
        <v>385.8</v>
      </c>
      <c r="F131" s="82">
        <v>640.4</v>
      </c>
      <c r="G131" s="82">
        <v>807.3</v>
      </c>
      <c r="H131" s="82"/>
      <c r="I131" s="82">
        <v>753.5</v>
      </c>
      <c r="J131" s="82"/>
      <c r="K131" s="82">
        <v>585</v>
      </c>
      <c r="L131" s="82">
        <v>489.6</v>
      </c>
      <c r="M131" s="82">
        <v>429.5</v>
      </c>
      <c r="N131" s="82"/>
      <c r="O131" s="82">
        <v>356</v>
      </c>
      <c r="P131" s="82"/>
      <c r="Q131" s="82"/>
      <c r="R131" s="82">
        <v>518.29999999999995</v>
      </c>
      <c r="S131" s="82">
        <v>527</v>
      </c>
      <c r="T131" s="82">
        <v>509.4</v>
      </c>
      <c r="U131" s="82">
        <v>562.70000000000005</v>
      </c>
      <c r="V131" s="82">
        <v>284.2</v>
      </c>
      <c r="W131" s="82">
        <v>461.3</v>
      </c>
      <c r="X131" s="82">
        <v>533.70000000000005</v>
      </c>
      <c r="Y131" s="82">
        <v>513.20000000000005</v>
      </c>
      <c r="Z131" s="82"/>
      <c r="AA131" s="82">
        <v>200.6</v>
      </c>
      <c r="AB131" s="82"/>
      <c r="AC131" s="82">
        <v>46.3</v>
      </c>
      <c r="AD131" s="71" t="s">
        <v>5243</v>
      </c>
      <c r="AE131" s="71" t="s">
        <v>5244</v>
      </c>
      <c r="AF131" s="71" t="s">
        <v>8</v>
      </c>
      <c r="AG131" s="71" t="s">
        <v>9</v>
      </c>
      <c r="AH131" s="72">
        <v>45540</v>
      </c>
      <c r="AI131" s="71"/>
    </row>
    <row r="132" spans="1:35">
      <c r="A132" s="77" t="s">
        <v>3515</v>
      </c>
      <c r="B132" s="78">
        <v>92.444000000000003</v>
      </c>
      <c r="C132" s="81">
        <v>38.799999999999997</v>
      </c>
      <c r="D132" s="81">
        <v>185.5</v>
      </c>
      <c r="E132" s="81"/>
      <c r="F132" s="81">
        <v>694.1</v>
      </c>
      <c r="G132" s="81">
        <v>824.1</v>
      </c>
      <c r="H132" s="81"/>
      <c r="I132" s="81">
        <v>748</v>
      </c>
      <c r="J132" s="81"/>
      <c r="K132" s="81">
        <v>605.29999999999995</v>
      </c>
      <c r="L132" s="81">
        <v>500.1</v>
      </c>
      <c r="M132" s="81">
        <v>481.2</v>
      </c>
      <c r="N132" s="81">
        <v>437.7</v>
      </c>
      <c r="O132" s="81">
        <v>363.8</v>
      </c>
      <c r="P132" s="81"/>
      <c r="Q132" s="81"/>
      <c r="R132" s="81">
        <v>538.5</v>
      </c>
      <c r="S132" s="81">
        <v>536.9</v>
      </c>
      <c r="T132" s="81">
        <v>512.4</v>
      </c>
      <c r="U132" s="81"/>
      <c r="V132" s="81">
        <v>291.3</v>
      </c>
      <c r="W132" s="81">
        <v>456.6</v>
      </c>
      <c r="X132" s="81"/>
      <c r="Y132" s="81"/>
      <c r="Z132" s="81"/>
      <c r="AA132" s="81">
        <v>248.9</v>
      </c>
      <c r="AB132" s="81"/>
      <c r="AC132" s="81">
        <v>36.200000000000003</v>
      </c>
      <c r="AD132" s="79" t="s">
        <v>5245</v>
      </c>
      <c r="AE132" s="79" t="s">
        <v>5244</v>
      </c>
      <c r="AF132" s="79" t="s">
        <v>8</v>
      </c>
      <c r="AG132" s="79" t="s">
        <v>9</v>
      </c>
      <c r="AH132" s="80">
        <v>45540</v>
      </c>
      <c r="AI132" s="79"/>
    </row>
    <row r="133" spans="1:35">
      <c r="A133" s="69" t="s">
        <v>3525</v>
      </c>
      <c r="B133" s="70">
        <v>94.212999999999994</v>
      </c>
      <c r="C133" s="82">
        <v>35.6</v>
      </c>
      <c r="D133" s="82">
        <v>170.6</v>
      </c>
      <c r="E133" s="82"/>
      <c r="F133" s="82">
        <v>650.20000000000005</v>
      </c>
      <c r="G133" s="82">
        <v>812.6</v>
      </c>
      <c r="H133" s="82"/>
      <c r="I133" s="82">
        <v>747.7</v>
      </c>
      <c r="J133" s="82">
        <v>683</v>
      </c>
      <c r="K133" s="82">
        <v>602.9</v>
      </c>
      <c r="L133" s="82">
        <v>479.1</v>
      </c>
      <c r="M133" s="82">
        <v>443.8</v>
      </c>
      <c r="N133" s="82">
        <v>405.9</v>
      </c>
      <c r="O133" s="82">
        <v>355.4</v>
      </c>
      <c r="P133" s="82"/>
      <c r="Q133" s="82"/>
      <c r="R133" s="82">
        <v>525.9</v>
      </c>
      <c r="S133" s="82"/>
      <c r="T133" s="82">
        <v>512.1</v>
      </c>
      <c r="U133" s="82">
        <v>540.1</v>
      </c>
      <c r="V133" s="82">
        <v>252.5</v>
      </c>
      <c r="W133" s="82"/>
      <c r="X133" s="82"/>
      <c r="Y133" s="82"/>
      <c r="Z133" s="82"/>
      <c r="AA133" s="82">
        <v>246.7</v>
      </c>
      <c r="AB133" s="82">
        <v>98.5</v>
      </c>
      <c r="AC133" s="82">
        <v>47.4</v>
      </c>
      <c r="AD133" s="71" t="s">
        <v>5246</v>
      </c>
      <c r="AE133" s="71" t="s">
        <v>5244</v>
      </c>
      <c r="AF133" s="71" t="s">
        <v>11</v>
      </c>
      <c r="AG133" s="71" t="s">
        <v>12</v>
      </c>
      <c r="AH133" s="72">
        <v>45543</v>
      </c>
      <c r="AI133" s="71"/>
    </row>
    <row r="134" spans="1:35">
      <c r="A134" s="77" t="s">
        <v>3528</v>
      </c>
      <c r="B134" s="78">
        <v>97.75</v>
      </c>
      <c r="C134" s="81">
        <v>37.1</v>
      </c>
      <c r="D134" s="81">
        <v>192.7</v>
      </c>
      <c r="E134" s="81">
        <v>364.2</v>
      </c>
      <c r="F134" s="81">
        <v>648.70000000000005</v>
      </c>
      <c r="G134" s="81">
        <v>813.4</v>
      </c>
      <c r="H134" s="81">
        <v>788.8</v>
      </c>
      <c r="I134" s="81">
        <v>728.8</v>
      </c>
      <c r="J134" s="81"/>
      <c r="K134" s="81">
        <v>619.6</v>
      </c>
      <c r="L134" s="81">
        <v>519.4</v>
      </c>
      <c r="M134" s="81">
        <v>463</v>
      </c>
      <c r="N134" s="81">
        <v>415.4</v>
      </c>
      <c r="O134" s="81">
        <v>343</v>
      </c>
      <c r="P134" s="81"/>
      <c r="Q134" s="81"/>
      <c r="R134" s="81">
        <v>536.29999999999995</v>
      </c>
      <c r="S134" s="81"/>
      <c r="T134" s="81">
        <v>535.1</v>
      </c>
      <c r="U134" s="81"/>
      <c r="V134" s="81">
        <v>262.60000000000002</v>
      </c>
      <c r="W134" s="81"/>
      <c r="X134" s="81"/>
      <c r="Y134" s="81"/>
      <c r="Z134" s="81">
        <v>326.60000000000002</v>
      </c>
      <c r="AA134" s="81">
        <v>262.2</v>
      </c>
      <c r="AB134" s="81"/>
      <c r="AC134" s="81">
        <v>45</v>
      </c>
      <c r="AD134" s="79" t="s">
        <v>5247</v>
      </c>
      <c r="AE134" s="79" t="s">
        <v>5244</v>
      </c>
      <c r="AF134" s="79" t="s">
        <v>11</v>
      </c>
      <c r="AG134" s="79" t="s">
        <v>12</v>
      </c>
      <c r="AH134" s="80">
        <v>45543</v>
      </c>
      <c r="AI134" s="79"/>
    </row>
    <row r="135" spans="1:35">
      <c r="A135" s="69" t="s">
        <v>3534</v>
      </c>
      <c r="B135" s="70">
        <v>91.763000000000005</v>
      </c>
      <c r="C135" s="82">
        <v>31.4</v>
      </c>
      <c r="D135" s="82">
        <v>178.6</v>
      </c>
      <c r="E135" s="82">
        <v>378.5</v>
      </c>
      <c r="F135" s="82">
        <v>670</v>
      </c>
      <c r="G135" s="82">
        <v>817.7</v>
      </c>
      <c r="H135" s="82"/>
      <c r="I135" s="82">
        <v>758.2</v>
      </c>
      <c r="J135" s="82"/>
      <c r="K135" s="82">
        <v>612.4</v>
      </c>
      <c r="L135" s="82">
        <v>492.4</v>
      </c>
      <c r="M135" s="82">
        <v>457</v>
      </c>
      <c r="N135" s="82"/>
      <c r="O135" s="82">
        <v>371.2</v>
      </c>
      <c r="P135" s="82"/>
      <c r="Q135" s="82"/>
      <c r="R135" s="82">
        <v>542.6</v>
      </c>
      <c r="S135" s="82"/>
      <c r="T135" s="82">
        <v>523.79999999999995</v>
      </c>
      <c r="U135" s="82"/>
      <c r="V135" s="82">
        <v>259.8</v>
      </c>
      <c r="W135" s="82">
        <v>461.7</v>
      </c>
      <c r="X135" s="82"/>
      <c r="Y135" s="82"/>
      <c r="Z135" s="82"/>
      <c r="AA135" s="82">
        <v>187.3</v>
      </c>
      <c r="AB135" s="82"/>
      <c r="AC135" s="82">
        <v>40</v>
      </c>
      <c r="AD135" s="71" t="s">
        <v>5248</v>
      </c>
      <c r="AE135" s="71" t="s">
        <v>5244</v>
      </c>
      <c r="AF135" s="71" t="s">
        <v>11</v>
      </c>
      <c r="AG135" s="71" t="s">
        <v>12</v>
      </c>
      <c r="AH135" s="72">
        <v>45543</v>
      </c>
      <c r="AI135" s="71"/>
    </row>
    <row r="136" spans="1:35">
      <c r="A136" s="77" t="s">
        <v>3537</v>
      </c>
      <c r="B136" s="78">
        <v>96.834000000000003</v>
      </c>
      <c r="C136" s="81">
        <v>26.7</v>
      </c>
      <c r="D136" s="81">
        <v>189.1</v>
      </c>
      <c r="E136" s="81">
        <v>411.8</v>
      </c>
      <c r="F136" s="81">
        <v>709.3</v>
      </c>
      <c r="G136" s="81">
        <v>866.9</v>
      </c>
      <c r="H136" s="81"/>
      <c r="I136" s="81">
        <v>810.5</v>
      </c>
      <c r="J136" s="81">
        <v>769.5</v>
      </c>
      <c r="K136" s="81">
        <v>621.1</v>
      </c>
      <c r="L136" s="81">
        <v>540</v>
      </c>
      <c r="M136" s="81">
        <v>466.6</v>
      </c>
      <c r="N136" s="81">
        <v>419.7</v>
      </c>
      <c r="O136" s="81">
        <v>379.4</v>
      </c>
      <c r="P136" s="81"/>
      <c r="Q136" s="81">
        <v>549.1</v>
      </c>
      <c r="R136" s="81">
        <v>557.1</v>
      </c>
      <c r="S136" s="81"/>
      <c r="T136" s="81">
        <v>554.20000000000005</v>
      </c>
      <c r="U136" s="81"/>
      <c r="V136" s="81">
        <v>303.39999999999998</v>
      </c>
      <c r="W136" s="81">
        <v>461.9</v>
      </c>
      <c r="X136" s="81"/>
      <c r="Y136" s="81"/>
      <c r="Z136" s="81"/>
      <c r="AA136" s="81">
        <v>262.5</v>
      </c>
      <c r="AB136" s="81"/>
      <c r="AC136" s="81">
        <v>55.4</v>
      </c>
      <c r="AD136" s="79" t="s">
        <v>5249</v>
      </c>
      <c r="AE136" s="79" t="s">
        <v>5244</v>
      </c>
      <c r="AF136" s="79" t="s">
        <v>14</v>
      </c>
      <c r="AG136" s="79" t="s">
        <v>9</v>
      </c>
      <c r="AH136" s="80">
        <v>45546</v>
      </c>
      <c r="AI136" s="79"/>
    </row>
    <row r="137" spans="1:35">
      <c r="A137" s="69" t="s">
        <v>3540</v>
      </c>
      <c r="B137" s="70">
        <v>65.17</v>
      </c>
      <c r="C137" s="82">
        <v>25.5</v>
      </c>
      <c r="D137" s="82">
        <v>188.8</v>
      </c>
      <c r="E137" s="82"/>
      <c r="F137" s="82">
        <v>695.7</v>
      </c>
      <c r="G137" s="82">
        <v>856.6</v>
      </c>
      <c r="H137" s="82"/>
      <c r="I137" s="82">
        <v>803.6</v>
      </c>
      <c r="J137" s="82"/>
      <c r="K137" s="82">
        <v>615.79999999999995</v>
      </c>
      <c r="L137" s="82">
        <v>535.1</v>
      </c>
      <c r="M137" s="82">
        <v>478.6</v>
      </c>
      <c r="N137" s="82">
        <v>425.7</v>
      </c>
      <c r="O137" s="82">
        <v>364.7</v>
      </c>
      <c r="P137" s="82"/>
      <c r="Q137" s="82"/>
      <c r="R137" s="82">
        <v>555.5</v>
      </c>
      <c r="S137" s="82">
        <v>562.1</v>
      </c>
      <c r="T137" s="82">
        <v>546.4</v>
      </c>
      <c r="U137" s="82"/>
      <c r="V137" s="82">
        <v>268.10000000000002</v>
      </c>
      <c r="W137" s="82">
        <v>453.2</v>
      </c>
      <c r="X137" s="82"/>
      <c r="Y137" s="82"/>
      <c r="Z137" s="82"/>
      <c r="AA137" s="82">
        <v>199</v>
      </c>
      <c r="AB137" s="82"/>
      <c r="AC137" s="82">
        <v>47.5</v>
      </c>
      <c r="AD137" s="71" t="s">
        <v>5250</v>
      </c>
      <c r="AE137" s="71" t="s">
        <v>5244</v>
      </c>
      <c r="AF137" s="71" t="s">
        <v>16</v>
      </c>
      <c r="AG137" s="71" t="s">
        <v>12</v>
      </c>
      <c r="AH137" s="72">
        <v>45549</v>
      </c>
      <c r="AI137" s="71"/>
    </row>
    <row r="138" spans="1:35">
      <c r="A138" s="77" t="s">
        <v>3543</v>
      </c>
      <c r="B138" s="78">
        <v>76.498999999999995</v>
      </c>
      <c r="C138" s="81">
        <v>33.700000000000003</v>
      </c>
      <c r="D138" s="81">
        <v>187.5</v>
      </c>
      <c r="E138" s="81">
        <v>396.7</v>
      </c>
      <c r="F138" s="81">
        <v>695.9</v>
      </c>
      <c r="G138" s="81">
        <v>851.9</v>
      </c>
      <c r="H138" s="81"/>
      <c r="I138" s="81">
        <v>767.8</v>
      </c>
      <c r="J138" s="81">
        <v>757.8</v>
      </c>
      <c r="K138" s="81">
        <v>642.1</v>
      </c>
      <c r="L138" s="81">
        <v>516.6</v>
      </c>
      <c r="M138" s="81">
        <v>493.7</v>
      </c>
      <c r="N138" s="81">
        <v>410.6</v>
      </c>
      <c r="O138" s="81">
        <v>385.4</v>
      </c>
      <c r="P138" s="81"/>
      <c r="Q138" s="81">
        <v>528.5</v>
      </c>
      <c r="R138" s="81">
        <v>557.79999999999995</v>
      </c>
      <c r="S138" s="81"/>
      <c r="T138" s="81">
        <v>541.1</v>
      </c>
      <c r="U138" s="81"/>
      <c r="V138" s="81">
        <v>288.3</v>
      </c>
      <c r="W138" s="81"/>
      <c r="X138" s="81"/>
      <c r="Y138" s="81"/>
      <c r="Z138" s="81">
        <v>363.6</v>
      </c>
      <c r="AA138" s="81">
        <v>216.8</v>
      </c>
      <c r="AB138" s="81">
        <v>137.69999999999999</v>
      </c>
      <c r="AC138" s="81">
        <v>61.5</v>
      </c>
      <c r="AD138" s="79" t="s">
        <v>5251</v>
      </c>
      <c r="AE138" s="79" t="s">
        <v>5244</v>
      </c>
      <c r="AF138" s="79" t="s">
        <v>8</v>
      </c>
      <c r="AG138" s="79" t="s">
        <v>9</v>
      </c>
      <c r="AH138" s="80">
        <v>45552</v>
      </c>
      <c r="AI138" s="79"/>
    </row>
    <row r="139" spans="1:35">
      <c r="A139" s="69" t="s">
        <v>3550</v>
      </c>
      <c r="B139" s="70">
        <v>90.652000000000001</v>
      </c>
      <c r="C139" s="82">
        <v>26.8</v>
      </c>
      <c r="D139" s="82">
        <v>175.7</v>
      </c>
      <c r="E139" s="82"/>
      <c r="F139" s="82">
        <v>672.8</v>
      </c>
      <c r="G139" s="82">
        <v>843.6</v>
      </c>
      <c r="H139" s="82">
        <v>810</v>
      </c>
      <c r="I139" s="82">
        <v>790.8</v>
      </c>
      <c r="J139" s="82"/>
      <c r="K139" s="82">
        <v>646.5</v>
      </c>
      <c r="L139" s="82">
        <v>501</v>
      </c>
      <c r="M139" s="82">
        <v>481.7</v>
      </c>
      <c r="N139" s="82"/>
      <c r="O139" s="82">
        <v>363.7</v>
      </c>
      <c r="P139" s="82"/>
      <c r="Q139" s="82"/>
      <c r="R139" s="82">
        <v>556.4</v>
      </c>
      <c r="S139" s="82"/>
      <c r="T139" s="82">
        <v>562.1</v>
      </c>
      <c r="U139" s="82"/>
      <c r="V139" s="82">
        <v>294.2</v>
      </c>
      <c r="W139" s="82">
        <v>464.3</v>
      </c>
      <c r="X139" s="82"/>
      <c r="Y139" s="82"/>
      <c r="Z139" s="82"/>
      <c r="AA139" s="82">
        <v>198.7</v>
      </c>
      <c r="AB139" s="82"/>
      <c r="AC139" s="82">
        <v>35.200000000000003</v>
      </c>
      <c r="AD139" s="71" t="s">
        <v>5252</v>
      </c>
      <c r="AE139" s="71" t="s">
        <v>5244</v>
      </c>
      <c r="AF139" s="71" t="s">
        <v>16</v>
      </c>
      <c r="AG139" s="71" t="s">
        <v>12</v>
      </c>
      <c r="AH139" s="72">
        <v>45549</v>
      </c>
      <c r="AI139" s="71"/>
    </row>
    <row r="140" spans="1:35">
      <c r="A140" s="77" t="s">
        <v>3556</v>
      </c>
      <c r="B140" s="78">
        <v>141.71700000000001</v>
      </c>
      <c r="C140" s="81">
        <v>36.6</v>
      </c>
      <c r="D140" s="81">
        <v>144.1</v>
      </c>
      <c r="E140" s="81">
        <v>353.6</v>
      </c>
      <c r="F140" s="81">
        <v>603.9</v>
      </c>
      <c r="G140" s="81">
        <v>725.3</v>
      </c>
      <c r="H140" s="81"/>
      <c r="I140" s="81">
        <v>672</v>
      </c>
      <c r="J140" s="81"/>
      <c r="K140" s="81">
        <v>544.29999999999995</v>
      </c>
      <c r="L140" s="81">
        <v>433.3</v>
      </c>
      <c r="M140" s="81">
        <v>418.2</v>
      </c>
      <c r="N140" s="81"/>
      <c r="O140" s="81">
        <v>320.10000000000002</v>
      </c>
      <c r="P140" s="81"/>
      <c r="Q140" s="81">
        <v>458.1</v>
      </c>
      <c r="R140" s="81">
        <v>485.4</v>
      </c>
      <c r="S140" s="81">
        <v>491.9</v>
      </c>
      <c r="T140" s="81">
        <v>478.7</v>
      </c>
      <c r="U140" s="81">
        <v>499.6</v>
      </c>
      <c r="V140" s="81">
        <v>259.2</v>
      </c>
      <c r="W140" s="81">
        <v>455.4</v>
      </c>
      <c r="X140" s="81"/>
      <c r="Y140" s="81"/>
      <c r="Z140" s="81"/>
      <c r="AA140" s="81">
        <v>283.3</v>
      </c>
      <c r="AB140" s="81"/>
      <c r="AC140" s="81">
        <v>40.4</v>
      </c>
      <c r="AD140" s="79" t="s">
        <v>5253</v>
      </c>
      <c r="AE140" s="79" t="s">
        <v>5244</v>
      </c>
      <c r="AF140" s="79" t="s">
        <v>11</v>
      </c>
      <c r="AG140" s="79" t="s">
        <v>12</v>
      </c>
      <c r="AH140" s="80">
        <v>45555</v>
      </c>
      <c r="AI140" s="79"/>
    </row>
    <row r="141" spans="1:35">
      <c r="A141" s="69" t="s">
        <v>3565</v>
      </c>
      <c r="B141" s="70">
        <v>146.65</v>
      </c>
      <c r="C141" s="82">
        <v>36.299999999999997</v>
      </c>
      <c r="D141" s="82">
        <v>155.69999999999999</v>
      </c>
      <c r="E141" s="82">
        <v>357.1</v>
      </c>
      <c r="F141" s="82">
        <v>611.6</v>
      </c>
      <c r="G141" s="82">
        <v>741</v>
      </c>
      <c r="H141" s="82"/>
      <c r="I141" s="82">
        <v>677.4</v>
      </c>
      <c r="J141" s="82">
        <v>627.1</v>
      </c>
      <c r="K141" s="82">
        <v>565.5</v>
      </c>
      <c r="L141" s="82">
        <v>427.1</v>
      </c>
      <c r="M141" s="82">
        <v>418.9</v>
      </c>
      <c r="N141" s="82"/>
      <c r="O141" s="82">
        <v>335.6</v>
      </c>
      <c r="P141" s="82"/>
      <c r="Q141" s="82"/>
      <c r="R141" s="82">
        <v>488.3</v>
      </c>
      <c r="S141" s="82"/>
      <c r="T141" s="82">
        <v>475.1</v>
      </c>
      <c r="U141" s="82"/>
      <c r="V141" s="82">
        <v>256</v>
      </c>
      <c r="W141" s="82">
        <v>462.7</v>
      </c>
      <c r="X141" s="82"/>
      <c r="Y141" s="82"/>
      <c r="Z141" s="82"/>
      <c r="AA141" s="82">
        <v>223.5</v>
      </c>
      <c r="AB141" s="82">
        <v>137.19999999999999</v>
      </c>
      <c r="AC141" s="82">
        <v>47.5</v>
      </c>
      <c r="AD141" s="71" t="s">
        <v>5254</v>
      </c>
      <c r="AE141" s="71" t="s">
        <v>5255</v>
      </c>
      <c r="AF141" s="71" t="s">
        <v>14</v>
      </c>
      <c r="AG141" s="71" t="s">
        <v>9</v>
      </c>
      <c r="AH141" s="72">
        <v>45558</v>
      </c>
      <c r="AI141" s="71"/>
    </row>
    <row r="142" spans="1:35">
      <c r="A142" s="77" t="s">
        <v>3575</v>
      </c>
      <c r="B142" s="78">
        <v>136.767</v>
      </c>
      <c r="C142" s="81">
        <v>37</v>
      </c>
      <c r="D142" s="81">
        <v>181.8</v>
      </c>
      <c r="E142" s="81"/>
      <c r="F142" s="81">
        <v>638.9</v>
      </c>
      <c r="G142" s="81">
        <v>805.7</v>
      </c>
      <c r="H142" s="81">
        <v>776.8</v>
      </c>
      <c r="I142" s="81">
        <v>714.9</v>
      </c>
      <c r="J142" s="81"/>
      <c r="K142" s="81">
        <v>595.4</v>
      </c>
      <c r="L142" s="81">
        <v>470.2</v>
      </c>
      <c r="M142" s="81">
        <v>461.1</v>
      </c>
      <c r="N142" s="81">
        <v>399.1</v>
      </c>
      <c r="O142" s="81">
        <v>351.7</v>
      </c>
      <c r="P142" s="81"/>
      <c r="Q142" s="81"/>
      <c r="R142" s="81">
        <v>512.79999999999995</v>
      </c>
      <c r="S142" s="81">
        <v>521.1</v>
      </c>
      <c r="T142" s="81">
        <v>502.8</v>
      </c>
      <c r="U142" s="81">
        <v>538.79999999999995</v>
      </c>
      <c r="V142" s="81">
        <v>279.39999999999998</v>
      </c>
      <c r="W142" s="81">
        <v>465</v>
      </c>
      <c r="X142" s="81"/>
      <c r="Y142" s="81"/>
      <c r="Z142" s="81">
        <v>361.3</v>
      </c>
      <c r="AA142" s="81">
        <v>232.3</v>
      </c>
      <c r="AB142" s="81"/>
      <c r="AC142" s="81">
        <v>67.599999999999994</v>
      </c>
      <c r="AD142" s="79" t="s">
        <v>5256</v>
      </c>
      <c r="AE142" s="79" t="s">
        <v>5255</v>
      </c>
      <c r="AF142" s="79" t="s">
        <v>16</v>
      </c>
      <c r="AG142" s="79" t="s">
        <v>12</v>
      </c>
      <c r="AH142" s="80">
        <v>45561</v>
      </c>
      <c r="AI142" s="79"/>
    </row>
    <row r="143" spans="1:35">
      <c r="A143" s="69" t="s">
        <v>3580</v>
      </c>
      <c r="B143" s="70">
        <v>130.77500000000001</v>
      </c>
      <c r="C143" s="82">
        <v>32</v>
      </c>
      <c r="D143" s="82">
        <v>178.6</v>
      </c>
      <c r="E143" s="82"/>
      <c r="F143" s="82">
        <v>640.79999999999995</v>
      </c>
      <c r="G143" s="82">
        <v>801.4</v>
      </c>
      <c r="H143" s="82"/>
      <c r="I143" s="82">
        <v>725.1</v>
      </c>
      <c r="J143" s="82"/>
      <c r="K143" s="82">
        <v>612.20000000000005</v>
      </c>
      <c r="L143" s="82">
        <v>504</v>
      </c>
      <c r="M143" s="82">
        <v>441.1</v>
      </c>
      <c r="N143" s="82"/>
      <c r="O143" s="82">
        <v>359.5</v>
      </c>
      <c r="P143" s="82"/>
      <c r="Q143" s="82"/>
      <c r="R143" s="82">
        <v>520.6</v>
      </c>
      <c r="S143" s="82"/>
      <c r="T143" s="82">
        <v>505.6</v>
      </c>
      <c r="U143" s="82"/>
      <c r="V143" s="82">
        <v>256.89999999999998</v>
      </c>
      <c r="W143" s="82"/>
      <c r="X143" s="82"/>
      <c r="Y143" s="82"/>
      <c r="Z143" s="82">
        <v>331.3</v>
      </c>
      <c r="AA143" s="82">
        <v>259.8</v>
      </c>
      <c r="AB143" s="82"/>
      <c r="AC143" s="82">
        <v>61.6</v>
      </c>
      <c r="AD143" s="71" t="s">
        <v>5257</v>
      </c>
      <c r="AE143" s="71" t="s">
        <v>5255</v>
      </c>
      <c r="AF143" s="71" t="s">
        <v>8</v>
      </c>
      <c r="AG143" s="71" t="s">
        <v>9</v>
      </c>
      <c r="AH143" s="72">
        <v>45564</v>
      </c>
      <c r="AI143" s="71"/>
    </row>
    <row r="144" spans="1:35">
      <c r="A144" s="77" t="s">
        <v>3589</v>
      </c>
      <c r="B144" s="78">
        <v>115.84099999999999</v>
      </c>
      <c r="C144" s="81">
        <v>35.799999999999997</v>
      </c>
      <c r="D144" s="81">
        <v>160.69999999999999</v>
      </c>
      <c r="E144" s="81">
        <v>361.9</v>
      </c>
      <c r="F144" s="81">
        <v>655.8</v>
      </c>
      <c r="G144" s="81">
        <v>799.2</v>
      </c>
      <c r="H144" s="81"/>
      <c r="I144" s="81">
        <v>735.2</v>
      </c>
      <c r="J144" s="81"/>
      <c r="K144" s="81">
        <v>571.6</v>
      </c>
      <c r="L144" s="81">
        <v>504.5</v>
      </c>
      <c r="M144" s="81">
        <v>433.6</v>
      </c>
      <c r="N144" s="81"/>
      <c r="O144" s="81">
        <v>350.9</v>
      </c>
      <c r="P144" s="81"/>
      <c r="Q144" s="81"/>
      <c r="R144" s="81">
        <v>505</v>
      </c>
      <c r="S144" s="81">
        <v>515</v>
      </c>
      <c r="T144" s="81">
        <v>508.9</v>
      </c>
      <c r="U144" s="81"/>
      <c r="V144" s="81">
        <v>259.3</v>
      </c>
      <c r="W144" s="81">
        <v>467.9</v>
      </c>
      <c r="X144" s="81">
        <v>516.4</v>
      </c>
      <c r="Y144" s="81">
        <v>497.8</v>
      </c>
      <c r="Z144" s="81">
        <v>340.6</v>
      </c>
      <c r="AA144" s="81">
        <v>215.7</v>
      </c>
      <c r="AB144" s="81"/>
      <c r="AC144" s="81">
        <v>43.2</v>
      </c>
      <c r="AD144" s="79" t="s">
        <v>5258</v>
      </c>
      <c r="AE144" s="79" t="s">
        <v>5255</v>
      </c>
      <c r="AF144" s="79" t="s">
        <v>11</v>
      </c>
      <c r="AG144" s="79" t="s">
        <v>12</v>
      </c>
      <c r="AH144" s="80">
        <v>45567</v>
      </c>
      <c r="AI144" s="79"/>
    </row>
    <row r="145" spans="1:35">
      <c r="A145" s="69" t="s">
        <v>3595</v>
      </c>
      <c r="B145" s="70">
        <v>63.305</v>
      </c>
      <c r="C145" s="82">
        <v>26.8</v>
      </c>
      <c r="D145" s="82">
        <v>189.4</v>
      </c>
      <c r="E145" s="82">
        <v>383.8</v>
      </c>
      <c r="F145" s="82">
        <v>676.6</v>
      </c>
      <c r="G145" s="82">
        <v>829.2</v>
      </c>
      <c r="H145" s="82"/>
      <c r="I145" s="82">
        <v>761.8</v>
      </c>
      <c r="J145" s="82"/>
      <c r="K145" s="82">
        <v>601.5</v>
      </c>
      <c r="L145" s="82">
        <v>503.2</v>
      </c>
      <c r="M145" s="82">
        <v>481.5</v>
      </c>
      <c r="N145" s="82"/>
      <c r="O145" s="82">
        <v>341.8</v>
      </c>
      <c r="P145" s="82"/>
      <c r="Q145" s="82"/>
      <c r="R145" s="82">
        <v>535</v>
      </c>
      <c r="S145" s="82">
        <v>542.1</v>
      </c>
      <c r="T145" s="82">
        <v>532</v>
      </c>
      <c r="U145" s="82"/>
      <c r="V145" s="82">
        <v>293.89999999999998</v>
      </c>
      <c r="W145" s="82">
        <v>453.4</v>
      </c>
      <c r="X145" s="82"/>
      <c r="Y145" s="82"/>
      <c r="Z145" s="82"/>
      <c r="AA145" s="82">
        <v>179.1</v>
      </c>
      <c r="AB145" s="82">
        <v>103.7</v>
      </c>
      <c r="AC145" s="82">
        <v>55.6</v>
      </c>
      <c r="AD145" s="71" t="s">
        <v>5259</v>
      </c>
      <c r="AE145" s="71" t="s">
        <v>5255</v>
      </c>
      <c r="AF145" s="71" t="s">
        <v>11</v>
      </c>
      <c r="AG145" s="71" t="s">
        <v>12</v>
      </c>
      <c r="AH145" s="72">
        <v>45567</v>
      </c>
      <c r="AI145" s="71"/>
    </row>
    <row r="146" spans="1:35">
      <c r="A146" s="77" t="s">
        <v>3600</v>
      </c>
      <c r="B146" s="78">
        <v>67.575000000000003</v>
      </c>
      <c r="C146" s="81">
        <v>26.2</v>
      </c>
      <c r="D146" s="81">
        <v>189.7</v>
      </c>
      <c r="E146" s="81"/>
      <c r="F146" s="81">
        <v>684.4</v>
      </c>
      <c r="G146" s="81">
        <v>827.1</v>
      </c>
      <c r="H146" s="81"/>
      <c r="I146" s="81">
        <v>747.7</v>
      </c>
      <c r="J146" s="81"/>
      <c r="K146" s="81">
        <v>610.9</v>
      </c>
      <c r="L146" s="81">
        <v>508.6</v>
      </c>
      <c r="M146" s="81">
        <v>473.9</v>
      </c>
      <c r="N146" s="81">
        <v>417</v>
      </c>
      <c r="O146" s="81">
        <v>355</v>
      </c>
      <c r="P146" s="81"/>
      <c r="Q146" s="81"/>
      <c r="R146" s="81">
        <v>540.6</v>
      </c>
      <c r="S146" s="81"/>
      <c r="T146" s="81">
        <v>531</v>
      </c>
      <c r="U146" s="81"/>
      <c r="V146" s="81">
        <v>265.89999999999998</v>
      </c>
      <c r="W146" s="81">
        <v>457</v>
      </c>
      <c r="X146" s="81"/>
      <c r="Y146" s="81"/>
      <c r="Z146" s="81"/>
      <c r="AA146" s="81">
        <v>246.8</v>
      </c>
      <c r="AB146" s="81">
        <v>107.5</v>
      </c>
      <c r="AC146" s="81">
        <v>64.2</v>
      </c>
      <c r="AD146" s="79" t="s">
        <v>5260</v>
      </c>
      <c r="AE146" s="79" t="s">
        <v>5255</v>
      </c>
      <c r="AF146" s="79" t="s">
        <v>14</v>
      </c>
      <c r="AG146" s="79" t="s">
        <v>9</v>
      </c>
      <c r="AH146" s="80">
        <v>45570</v>
      </c>
      <c r="AI146" s="79"/>
    </row>
    <row r="147" spans="1:35">
      <c r="A147" s="69" t="s">
        <v>3607</v>
      </c>
      <c r="B147" s="70">
        <v>109.11499999999999</v>
      </c>
      <c r="C147" s="82">
        <v>28.6</v>
      </c>
      <c r="D147" s="82">
        <v>181.8</v>
      </c>
      <c r="E147" s="82"/>
      <c r="F147" s="82">
        <v>654.20000000000005</v>
      </c>
      <c r="G147" s="82">
        <v>819.6</v>
      </c>
      <c r="H147" s="82"/>
      <c r="I147" s="82">
        <v>763.9</v>
      </c>
      <c r="J147" s="82">
        <v>698.6</v>
      </c>
      <c r="K147" s="82">
        <v>614.70000000000005</v>
      </c>
      <c r="L147" s="82">
        <v>496.8</v>
      </c>
      <c r="M147" s="82">
        <v>443.7</v>
      </c>
      <c r="N147" s="82"/>
      <c r="O147" s="82">
        <v>343.6</v>
      </c>
      <c r="P147" s="82"/>
      <c r="Q147" s="82">
        <v>518.6</v>
      </c>
      <c r="R147" s="82">
        <v>522.1</v>
      </c>
      <c r="S147" s="82"/>
      <c r="T147" s="82">
        <v>509.2</v>
      </c>
      <c r="U147" s="82"/>
      <c r="V147" s="82">
        <v>266</v>
      </c>
      <c r="W147" s="82">
        <v>458.5</v>
      </c>
      <c r="X147" s="82">
        <v>540.9</v>
      </c>
      <c r="Y147" s="82">
        <v>528.4</v>
      </c>
      <c r="Z147" s="82"/>
      <c r="AA147" s="82">
        <v>202.2</v>
      </c>
      <c r="AB147" s="82"/>
      <c r="AC147" s="82">
        <v>71.599999999999994</v>
      </c>
      <c r="AD147" s="71" t="s">
        <v>5261</v>
      </c>
      <c r="AE147" s="71" t="s">
        <v>5255</v>
      </c>
      <c r="AF147" s="71" t="s">
        <v>8</v>
      </c>
      <c r="AG147" s="71" t="s">
        <v>9</v>
      </c>
      <c r="AH147" s="72">
        <v>45576</v>
      </c>
      <c r="AI147" s="71"/>
    </row>
    <row r="148" spans="1:35">
      <c r="A148" s="77" t="s">
        <v>3613</v>
      </c>
      <c r="B148" s="78">
        <v>83.29</v>
      </c>
      <c r="C148" s="81">
        <v>33.200000000000003</v>
      </c>
      <c r="D148" s="81">
        <v>200.1</v>
      </c>
      <c r="E148" s="81"/>
      <c r="F148" s="81">
        <v>702.6</v>
      </c>
      <c r="G148" s="81">
        <v>869.7</v>
      </c>
      <c r="H148" s="81"/>
      <c r="I148" s="81">
        <v>820.6</v>
      </c>
      <c r="J148" s="81"/>
      <c r="K148" s="81">
        <v>652.9</v>
      </c>
      <c r="L148" s="81">
        <v>516.5</v>
      </c>
      <c r="M148" s="81">
        <v>504.9</v>
      </c>
      <c r="N148" s="81"/>
      <c r="O148" s="81">
        <v>382.8</v>
      </c>
      <c r="P148" s="81"/>
      <c r="Q148" s="81"/>
      <c r="R148" s="81">
        <v>572.5</v>
      </c>
      <c r="S148" s="81"/>
      <c r="T148" s="81">
        <v>556.29999999999995</v>
      </c>
      <c r="U148" s="81"/>
      <c r="V148" s="81">
        <v>291.89999999999998</v>
      </c>
      <c r="W148" s="81">
        <v>467.9</v>
      </c>
      <c r="X148" s="81">
        <v>524.9</v>
      </c>
      <c r="Y148" s="81">
        <v>509.9</v>
      </c>
      <c r="Z148" s="81"/>
      <c r="AA148" s="81">
        <v>173.8</v>
      </c>
      <c r="AB148" s="81"/>
      <c r="AC148" s="81">
        <v>49.6</v>
      </c>
      <c r="AD148" s="79" t="s">
        <v>5262</v>
      </c>
      <c r="AE148" s="79" t="s">
        <v>5255</v>
      </c>
      <c r="AF148" s="79" t="s">
        <v>14</v>
      </c>
      <c r="AG148" s="79" t="s">
        <v>9</v>
      </c>
      <c r="AH148" s="80">
        <v>45582</v>
      </c>
      <c r="AI148" s="79"/>
    </row>
    <row r="149" spans="1:35">
      <c r="A149" s="69" t="s">
        <v>3618</v>
      </c>
      <c r="B149" s="70">
        <v>67.004000000000005</v>
      </c>
      <c r="C149" s="82">
        <v>31.3</v>
      </c>
      <c r="D149" s="82">
        <v>164.8</v>
      </c>
      <c r="E149" s="82"/>
      <c r="F149" s="82">
        <v>652.6</v>
      </c>
      <c r="G149" s="82">
        <v>791</v>
      </c>
      <c r="H149" s="82">
        <v>749.9</v>
      </c>
      <c r="I149" s="82">
        <v>727.1</v>
      </c>
      <c r="J149" s="82"/>
      <c r="K149" s="82">
        <v>598.5</v>
      </c>
      <c r="L149" s="82">
        <v>485.6</v>
      </c>
      <c r="M149" s="82">
        <v>457.4</v>
      </c>
      <c r="N149" s="82"/>
      <c r="O149" s="82">
        <v>338.8</v>
      </c>
      <c r="P149" s="82"/>
      <c r="Q149" s="82"/>
      <c r="R149" s="82">
        <v>508.3</v>
      </c>
      <c r="S149" s="82"/>
      <c r="T149" s="82">
        <v>503.4</v>
      </c>
      <c r="U149" s="82"/>
      <c r="V149" s="82">
        <v>272.2</v>
      </c>
      <c r="W149" s="82">
        <v>459.5</v>
      </c>
      <c r="X149" s="82"/>
      <c r="Y149" s="82"/>
      <c r="Z149" s="82">
        <v>398.5</v>
      </c>
      <c r="AA149" s="82">
        <v>196.5</v>
      </c>
      <c r="AB149" s="82">
        <v>101.9</v>
      </c>
      <c r="AC149" s="82">
        <v>63</v>
      </c>
      <c r="AD149" s="71" t="s">
        <v>5263</v>
      </c>
      <c r="AE149" s="71" t="s">
        <v>5255</v>
      </c>
      <c r="AF149" s="71" t="s">
        <v>16</v>
      </c>
      <c r="AG149" s="71" t="s">
        <v>12</v>
      </c>
      <c r="AH149" s="72">
        <v>45585</v>
      </c>
      <c r="AI149" s="71"/>
    </row>
    <row r="150" spans="1:35">
      <c r="A150" s="77" t="s">
        <v>3621</v>
      </c>
      <c r="B150" s="78">
        <v>73.921999999999997</v>
      </c>
      <c r="C150" s="81">
        <v>38.299999999999997</v>
      </c>
      <c r="D150" s="81">
        <v>196.7</v>
      </c>
      <c r="E150" s="81">
        <v>386.3</v>
      </c>
      <c r="F150" s="81">
        <v>694.1</v>
      </c>
      <c r="G150" s="81">
        <v>838.1</v>
      </c>
      <c r="H150" s="81">
        <v>787.6</v>
      </c>
      <c r="I150" s="81">
        <v>779.7</v>
      </c>
      <c r="J150" s="81">
        <v>720</v>
      </c>
      <c r="K150" s="81">
        <v>592.6</v>
      </c>
      <c r="L150" s="81">
        <v>512.1</v>
      </c>
      <c r="M150" s="81">
        <v>468.4</v>
      </c>
      <c r="N150" s="81"/>
      <c r="O150" s="81">
        <v>361.6</v>
      </c>
      <c r="P150" s="81"/>
      <c r="Q150" s="81"/>
      <c r="R150" s="81">
        <v>542.70000000000005</v>
      </c>
      <c r="S150" s="81"/>
      <c r="T150" s="81">
        <v>529.70000000000005</v>
      </c>
      <c r="U150" s="81"/>
      <c r="V150" s="81">
        <v>264.89999999999998</v>
      </c>
      <c r="W150" s="81">
        <v>455.1</v>
      </c>
      <c r="X150" s="81"/>
      <c r="Y150" s="81"/>
      <c r="Z150" s="81">
        <v>353.1</v>
      </c>
      <c r="AA150" s="81">
        <v>252.4</v>
      </c>
      <c r="AB150" s="81"/>
      <c r="AC150" s="81">
        <v>56.6</v>
      </c>
      <c r="AD150" s="79" t="s">
        <v>5264</v>
      </c>
      <c r="AE150" s="79" t="s">
        <v>5255</v>
      </c>
      <c r="AF150" s="79" t="s">
        <v>8</v>
      </c>
      <c r="AG150" s="79" t="s">
        <v>9</v>
      </c>
      <c r="AH150" s="80">
        <v>45588</v>
      </c>
      <c r="AI150" s="79"/>
    </row>
    <row r="151" spans="1:35">
      <c r="A151" s="69" t="s">
        <v>3626</v>
      </c>
      <c r="B151" s="70">
        <v>75.168000000000006</v>
      </c>
      <c r="C151" s="82">
        <v>28.3</v>
      </c>
      <c r="D151" s="82">
        <v>194.7</v>
      </c>
      <c r="E151" s="82"/>
      <c r="F151" s="82">
        <v>689.2</v>
      </c>
      <c r="G151" s="82">
        <v>837.2</v>
      </c>
      <c r="H151" s="82"/>
      <c r="I151" s="82">
        <v>781.5</v>
      </c>
      <c r="J151" s="82"/>
      <c r="K151" s="82">
        <v>604</v>
      </c>
      <c r="L151" s="82">
        <v>523.79999999999995</v>
      </c>
      <c r="M151" s="82">
        <v>459.7</v>
      </c>
      <c r="N151" s="82"/>
      <c r="O151" s="82">
        <v>370.1</v>
      </c>
      <c r="P151" s="82"/>
      <c r="Q151" s="82">
        <v>544.6</v>
      </c>
      <c r="R151" s="82">
        <v>548</v>
      </c>
      <c r="S151" s="82"/>
      <c r="T151" s="82">
        <v>537</v>
      </c>
      <c r="U151" s="82">
        <v>558.79999999999995</v>
      </c>
      <c r="V151" s="82">
        <v>295.2</v>
      </c>
      <c r="W151" s="82">
        <v>462.3</v>
      </c>
      <c r="X151" s="82"/>
      <c r="Y151" s="82"/>
      <c r="Z151" s="82"/>
      <c r="AA151" s="82">
        <v>180.8</v>
      </c>
      <c r="AB151" s="82"/>
      <c r="AC151" s="82">
        <v>49.9</v>
      </c>
      <c r="AD151" s="71" t="s">
        <v>5265</v>
      </c>
      <c r="AE151" s="71" t="s">
        <v>5266</v>
      </c>
      <c r="AF151" s="71" t="s">
        <v>11</v>
      </c>
      <c r="AG151" s="71" t="s">
        <v>12</v>
      </c>
      <c r="AH151" s="72">
        <v>45591</v>
      </c>
      <c r="AI151" s="71"/>
    </row>
    <row r="152" spans="1:35">
      <c r="A152" s="77" t="s">
        <v>3629</v>
      </c>
      <c r="B152" s="78">
        <v>128.608</v>
      </c>
      <c r="C152" s="81">
        <v>28.3</v>
      </c>
      <c r="D152" s="81">
        <v>152.19999999999999</v>
      </c>
      <c r="E152" s="81"/>
      <c r="F152" s="81">
        <v>609.29999999999995</v>
      </c>
      <c r="G152" s="81">
        <v>745</v>
      </c>
      <c r="H152" s="81"/>
      <c r="I152" s="81">
        <v>655.7</v>
      </c>
      <c r="J152" s="81"/>
      <c r="K152" s="81">
        <v>550.70000000000005</v>
      </c>
      <c r="L152" s="81">
        <v>466.5</v>
      </c>
      <c r="M152" s="81">
        <v>437.9</v>
      </c>
      <c r="N152" s="81">
        <v>380.9</v>
      </c>
      <c r="O152" s="81">
        <v>334.5</v>
      </c>
      <c r="P152" s="81"/>
      <c r="Q152" s="81">
        <v>463.9</v>
      </c>
      <c r="R152" s="81">
        <v>479.7</v>
      </c>
      <c r="S152" s="81"/>
      <c r="T152" s="81">
        <v>466.8</v>
      </c>
      <c r="U152" s="81"/>
      <c r="V152" s="81">
        <v>242.6</v>
      </c>
      <c r="W152" s="81">
        <v>452.8</v>
      </c>
      <c r="X152" s="81">
        <v>533.6</v>
      </c>
      <c r="Y152" s="81">
        <v>515.9</v>
      </c>
      <c r="Z152" s="81">
        <v>378.5</v>
      </c>
      <c r="AA152" s="81">
        <v>217.4</v>
      </c>
      <c r="AB152" s="81"/>
      <c r="AC152" s="81">
        <v>47.7</v>
      </c>
      <c r="AD152" s="79" t="s">
        <v>5267</v>
      </c>
      <c r="AE152" s="79" t="s">
        <v>5266</v>
      </c>
      <c r="AF152" s="79" t="s">
        <v>14</v>
      </c>
      <c r="AG152" s="79" t="s">
        <v>9</v>
      </c>
      <c r="AH152" s="80">
        <v>45594</v>
      </c>
      <c r="AI152" s="79"/>
    </row>
    <row r="153" spans="1:35">
      <c r="A153" s="69" t="s">
        <v>3636</v>
      </c>
      <c r="B153" s="70">
        <v>148.97</v>
      </c>
      <c r="C153" s="82">
        <v>37.1</v>
      </c>
      <c r="D153" s="82">
        <v>168.5</v>
      </c>
      <c r="E153" s="82"/>
      <c r="F153" s="82">
        <v>600.9</v>
      </c>
      <c r="G153" s="82">
        <v>746.5</v>
      </c>
      <c r="H153" s="82"/>
      <c r="I153" s="82">
        <v>676.8</v>
      </c>
      <c r="J153" s="82"/>
      <c r="K153" s="82">
        <v>551.1</v>
      </c>
      <c r="L153" s="82">
        <v>448.6</v>
      </c>
      <c r="M153" s="82">
        <v>442.3</v>
      </c>
      <c r="N153" s="82">
        <v>358.2</v>
      </c>
      <c r="O153" s="82">
        <v>306.10000000000002</v>
      </c>
      <c r="P153" s="82"/>
      <c r="Q153" s="82"/>
      <c r="R153" s="82">
        <v>484</v>
      </c>
      <c r="S153" s="82">
        <v>494</v>
      </c>
      <c r="T153" s="82">
        <v>484.7</v>
      </c>
      <c r="U153" s="82">
        <v>499.7</v>
      </c>
      <c r="V153" s="82">
        <v>260.5</v>
      </c>
      <c r="W153" s="82">
        <v>461</v>
      </c>
      <c r="X153" s="82"/>
      <c r="Y153" s="82"/>
      <c r="Z153" s="82"/>
      <c r="AA153" s="82">
        <v>176</v>
      </c>
      <c r="AB153" s="82">
        <v>135.1</v>
      </c>
      <c r="AC153" s="82">
        <v>60.5</v>
      </c>
      <c r="AD153" s="71" t="s">
        <v>5268</v>
      </c>
      <c r="AE153" s="71" t="s">
        <v>5266</v>
      </c>
      <c r="AF153" s="71" t="s">
        <v>8</v>
      </c>
      <c r="AG153" s="71" t="s">
        <v>9</v>
      </c>
      <c r="AH153" s="72">
        <v>45600</v>
      </c>
      <c r="AI153" s="71"/>
    </row>
    <row r="154" spans="1:35">
      <c r="A154" s="77" t="s">
        <v>3643</v>
      </c>
      <c r="B154" s="78">
        <v>122.486</v>
      </c>
      <c r="C154" s="81">
        <v>31.3</v>
      </c>
      <c r="D154" s="81">
        <v>167.3</v>
      </c>
      <c r="E154" s="81">
        <v>367.3</v>
      </c>
      <c r="F154" s="81">
        <v>635.9</v>
      </c>
      <c r="G154" s="81">
        <v>784.6</v>
      </c>
      <c r="H154" s="81"/>
      <c r="I154" s="81">
        <v>724.5</v>
      </c>
      <c r="J154" s="81">
        <v>686</v>
      </c>
      <c r="K154" s="81">
        <v>579.70000000000005</v>
      </c>
      <c r="L154" s="81">
        <v>459.6</v>
      </c>
      <c r="M154" s="81">
        <v>444.3</v>
      </c>
      <c r="N154" s="81"/>
      <c r="O154" s="81">
        <v>335.3</v>
      </c>
      <c r="P154" s="81"/>
      <c r="Q154" s="81"/>
      <c r="R154" s="81">
        <v>525.6</v>
      </c>
      <c r="S154" s="81"/>
      <c r="T154" s="81">
        <v>512.5</v>
      </c>
      <c r="U154" s="81"/>
      <c r="V154" s="81">
        <v>275.89999999999998</v>
      </c>
      <c r="W154" s="81">
        <v>466.2</v>
      </c>
      <c r="X154" s="81">
        <v>510.8</v>
      </c>
      <c r="Y154" s="81">
        <v>497.2</v>
      </c>
      <c r="Z154" s="81"/>
      <c r="AA154" s="81">
        <v>192.8</v>
      </c>
      <c r="AB154" s="81"/>
      <c r="AC154" s="81">
        <v>47.6</v>
      </c>
      <c r="AD154" s="79" t="s">
        <v>5269</v>
      </c>
      <c r="AE154" s="79" t="s">
        <v>5266</v>
      </c>
      <c r="AF154" s="79" t="s">
        <v>11</v>
      </c>
      <c r="AG154" s="79" t="s">
        <v>12</v>
      </c>
      <c r="AH154" s="80">
        <v>45603</v>
      </c>
      <c r="AI154" s="79"/>
    </row>
    <row r="155" spans="1:35">
      <c r="A155" s="69" t="s">
        <v>3648</v>
      </c>
      <c r="B155" s="70">
        <v>102.55500000000001</v>
      </c>
      <c r="C155" s="82">
        <v>25.2</v>
      </c>
      <c r="D155" s="82">
        <v>197.4</v>
      </c>
      <c r="E155" s="82">
        <v>406</v>
      </c>
      <c r="F155" s="82">
        <v>683.7</v>
      </c>
      <c r="G155" s="82">
        <v>827.6</v>
      </c>
      <c r="H155" s="82"/>
      <c r="I155" s="82">
        <v>748.2</v>
      </c>
      <c r="J155" s="82"/>
      <c r="K155" s="82">
        <v>597.4</v>
      </c>
      <c r="L155" s="82">
        <v>494</v>
      </c>
      <c r="M155" s="82">
        <v>462</v>
      </c>
      <c r="N155" s="82"/>
      <c r="O155" s="82">
        <v>371.6</v>
      </c>
      <c r="P155" s="82"/>
      <c r="Q155" s="82"/>
      <c r="R155" s="82">
        <v>540.1</v>
      </c>
      <c r="S155" s="82"/>
      <c r="T155" s="82">
        <v>520.5</v>
      </c>
      <c r="U155" s="82"/>
      <c r="V155" s="82">
        <v>260.2</v>
      </c>
      <c r="W155" s="82">
        <v>456.4</v>
      </c>
      <c r="X155" s="82"/>
      <c r="Y155" s="82"/>
      <c r="Z155" s="82"/>
      <c r="AA155" s="82">
        <v>175.8</v>
      </c>
      <c r="AB155" s="82">
        <v>109.7</v>
      </c>
      <c r="AC155" s="82">
        <v>64.5</v>
      </c>
      <c r="AD155" s="71" t="s">
        <v>5270</v>
      </c>
      <c r="AE155" s="71" t="s">
        <v>5266</v>
      </c>
      <c r="AF155" s="71" t="s">
        <v>14</v>
      </c>
      <c r="AG155" s="71" t="s">
        <v>9</v>
      </c>
      <c r="AH155" s="72">
        <v>45606</v>
      </c>
      <c r="AI155" s="71"/>
    </row>
    <row r="156" spans="1:35">
      <c r="A156" s="77" t="s">
        <v>3649</v>
      </c>
      <c r="B156" s="78">
        <v>86.039000000000001</v>
      </c>
      <c r="C156" s="81">
        <v>32</v>
      </c>
      <c r="D156" s="81">
        <v>175.2</v>
      </c>
      <c r="E156" s="81">
        <v>402.6</v>
      </c>
      <c r="F156" s="81">
        <v>710.7</v>
      </c>
      <c r="G156" s="81">
        <v>847.3</v>
      </c>
      <c r="H156" s="81">
        <v>823.3</v>
      </c>
      <c r="I156" s="81">
        <v>769.3</v>
      </c>
      <c r="J156" s="81"/>
      <c r="K156" s="81">
        <v>627.6</v>
      </c>
      <c r="L156" s="81">
        <v>533.29999999999995</v>
      </c>
      <c r="M156" s="81">
        <v>490.8</v>
      </c>
      <c r="N156" s="81"/>
      <c r="O156" s="81">
        <v>376.5</v>
      </c>
      <c r="P156" s="81"/>
      <c r="Q156" s="81"/>
      <c r="R156" s="81">
        <v>560.5</v>
      </c>
      <c r="S156" s="81"/>
      <c r="T156" s="81">
        <v>552</v>
      </c>
      <c r="U156" s="81">
        <v>588.4</v>
      </c>
      <c r="V156" s="81">
        <v>291.2</v>
      </c>
      <c r="W156" s="81">
        <v>465.3</v>
      </c>
      <c r="X156" s="81">
        <v>553.9</v>
      </c>
      <c r="Y156" s="81">
        <v>540.70000000000005</v>
      </c>
      <c r="Z156" s="81"/>
      <c r="AA156" s="81">
        <v>234</v>
      </c>
      <c r="AB156" s="81"/>
      <c r="AC156" s="81">
        <v>60.7</v>
      </c>
      <c r="AD156" s="79" t="s">
        <v>5271</v>
      </c>
      <c r="AE156" s="79" t="s">
        <v>5266</v>
      </c>
      <c r="AF156" s="79" t="s">
        <v>16</v>
      </c>
      <c r="AG156" s="79" t="s">
        <v>12</v>
      </c>
      <c r="AH156" s="80">
        <v>45609</v>
      </c>
      <c r="AI156" s="79"/>
    </row>
    <row r="157" spans="1:35">
      <c r="A157" s="69" t="s">
        <v>3656</v>
      </c>
      <c r="B157" s="70">
        <v>70.358999999999995</v>
      </c>
      <c r="C157" s="82">
        <v>37.299999999999997</v>
      </c>
      <c r="D157" s="82">
        <v>174.9</v>
      </c>
      <c r="E157" s="82"/>
      <c r="F157" s="82">
        <v>668</v>
      </c>
      <c r="G157" s="82">
        <v>840.1</v>
      </c>
      <c r="H157" s="82"/>
      <c r="I157" s="82">
        <v>775.7</v>
      </c>
      <c r="J157" s="82">
        <v>725.8</v>
      </c>
      <c r="K157" s="82">
        <v>623.1</v>
      </c>
      <c r="L157" s="82">
        <v>494.7</v>
      </c>
      <c r="M157" s="82">
        <v>453.3</v>
      </c>
      <c r="N157" s="82">
        <v>437</v>
      </c>
      <c r="O157" s="82">
        <v>368.4</v>
      </c>
      <c r="P157" s="82"/>
      <c r="Q157" s="82"/>
      <c r="R157" s="82">
        <v>550.4</v>
      </c>
      <c r="S157" s="82"/>
      <c r="T157" s="82">
        <v>522.6</v>
      </c>
      <c r="U157" s="82"/>
      <c r="V157" s="82">
        <v>277.2</v>
      </c>
      <c r="W157" s="82"/>
      <c r="X157" s="82"/>
      <c r="Y157" s="82"/>
      <c r="Z157" s="82"/>
      <c r="AA157" s="82">
        <v>201.5</v>
      </c>
      <c r="AB157" s="82">
        <v>139.80000000000001</v>
      </c>
      <c r="AC157" s="82">
        <v>58.6</v>
      </c>
      <c r="AD157" s="71" t="s">
        <v>5272</v>
      </c>
      <c r="AE157" s="71" t="s">
        <v>5266</v>
      </c>
      <c r="AF157" s="71" t="s">
        <v>8</v>
      </c>
      <c r="AG157" s="71" t="s">
        <v>9</v>
      </c>
      <c r="AH157" s="72">
        <v>45612</v>
      </c>
      <c r="AI157" s="71"/>
    </row>
    <row r="158" spans="1:35">
      <c r="A158" s="77" t="s">
        <v>3663</v>
      </c>
      <c r="B158" s="78">
        <v>91.51</v>
      </c>
      <c r="C158" s="81">
        <v>29.6</v>
      </c>
      <c r="D158" s="81">
        <v>196.1</v>
      </c>
      <c r="E158" s="81"/>
      <c r="F158" s="81">
        <v>703.1</v>
      </c>
      <c r="G158" s="81">
        <v>843.9</v>
      </c>
      <c r="H158" s="81"/>
      <c r="I158" s="81">
        <v>755.4</v>
      </c>
      <c r="J158" s="81"/>
      <c r="K158" s="81">
        <v>625.6</v>
      </c>
      <c r="L158" s="81">
        <v>529.5</v>
      </c>
      <c r="M158" s="81">
        <v>477.2</v>
      </c>
      <c r="N158" s="81"/>
      <c r="O158" s="81">
        <v>355.3</v>
      </c>
      <c r="P158" s="81"/>
      <c r="Q158" s="81"/>
      <c r="R158" s="81">
        <v>550.29999999999995</v>
      </c>
      <c r="S158" s="81">
        <v>552.70000000000005</v>
      </c>
      <c r="T158" s="81">
        <v>530.4</v>
      </c>
      <c r="U158" s="81"/>
      <c r="V158" s="81">
        <v>292.8</v>
      </c>
      <c r="W158" s="81">
        <v>460.8</v>
      </c>
      <c r="X158" s="81"/>
      <c r="Y158" s="81"/>
      <c r="Z158" s="81"/>
      <c r="AA158" s="81">
        <v>195.6</v>
      </c>
      <c r="AB158" s="81">
        <v>139.4</v>
      </c>
      <c r="AC158" s="81">
        <v>49.3</v>
      </c>
      <c r="AD158" s="79" t="s">
        <v>5273</v>
      </c>
      <c r="AE158" s="79" t="s">
        <v>5266</v>
      </c>
      <c r="AF158" s="79" t="s">
        <v>8</v>
      </c>
      <c r="AG158" s="79" t="s">
        <v>9</v>
      </c>
      <c r="AH158" s="80">
        <v>45612</v>
      </c>
      <c r="AI158" s="79"/>
    </row>
    <row r="159" spans="1:35">
      <c r="A159" s="69" t="s">
        <v>3670</v>
      </c>
      <c r="B159" s="70">
        <v>137.99799999999999</v>
      </c>
      <c r="C159" s="82">
        <v>34.700000000000003</v>
      </c>
      <c r="D159" s="82">
        <v>176</v>
      </c>
      <c r="E159" s="82"/>
      <c r="F159" s="82">
        <v>667.2</v>
      </c>
      <c r="G159" s="82">
        <v>799.5</v>
      </c>
      <c r="H159" s="82"/>
      <c r="I159" s="82">
        <v>741.2</v>
      </c>
      <c r="J159" s="82"/>
      <c r="K159" s="82">
        <v>615</v>
      </c>
      <c r="L159" s="82">
        <v>508.3</v>
      </c>
      <c r="M159" s="82">
        <v>429.6</v>
      </c>
      <c r="N159" s="82"/>
      <c r="O159" s="82">
        <v>357</v>
      </c>
      <c r="P159" s="82"/>
      <c r="Q159" s="82">
        <v>508.3</v>
      </c>
      <c r="R159" s="82">
        <v>507.8</v>
      </c>
      <c r="S159" s="82"/>
      <c r="T159" s="82">
        <v>490.5</v>
      </c>
      <c r="U159" s="82"/>
      <c r="V159" s="82">
        <v>262.8</v>
      </c>
      <c r="W159" s="82">
        <v>463.7</v>
      </c>
      <c r="X159" s="82">
        <v>540</v>
      </c>
      <c r="Y159" s="82">
        <v>528.70000000000005</v>
      </c>
      <c r="Z159" s="82"/>
      <c r="AA159" s="82">
        <v>190.3</v>
      </c>
      <c r="AB159" s="82">
        <v>89.8</v>
      </c>
      <c r="AC159" s="82">
        <v>58.1</v>
      </c>
      <c r="AD159" s="71" t="s">
        <v>5274</v>
      </c>
      <c r="AE159" s="71" t="s">
        <v>5266</v>
      </c>
      <c r="AF159" s="71" t="s">
        <v>11</v>
      </c>
      <c r="AG159" s="71" t="s">
        <v>12</v>
      </c>
      <c r="AH159" s="72">
        <v>45615</v>
      </c>
      <c r="AI159" s="71"/>
    </row>
    <row r="160" spans="1:35">
      <c r="A160" s="77" t="s">
        <v>3676</v>
      </c>
      <c r="B160" s="78">
        <v>127.416</v>
      </c>
      <c r="C160" s="81">
        <v>37.700000000000003</v>
      </c>
      <c r="D160" s="81">
        <v>182.5</v>
      </c>
      <c r="E160" s="81">
        <v>356.9</v>
      </c>
      <c r="F160" s="81">
        <v>605.4</v>
      </c>
      <c r="G160" s="81">
        <v>754.7</v>
      </c>
      <c r="H160" s="81"/>
      <c r="I160" s="81">
        <v>705</v>
      </c>
      <c r="J160" s="81"/>
      <c r="K160" s="81">
        <v>547.20000000000005</v>
      </c>
      <c r="L160" s="81">
        <v>437.4</v>
      </c>
      <c r="M160" s="81">
        <v>405.3</v>
      </c>
      <c r="N160" s="81">
        <v>381.3</v>
      </c>
      <c r="O160" s="81">
        <v>342.1</v>
      </c>
      <c r="P160" s="81"/>
      <c r="Q160" s="81"/>
      <c r="R160" s="81">
        <v>482.8</v>
      </c>
      <c r="S160" s="81"/>
      <c r="T160" s="81">
        <v>463.6</v>
      </c>
      <c r="U160" s="81">
        <v>512.9</v>
      </c>
      <c r="V160" s="81">
        <v>236.8</v>
      </c>
      <c r="W160" s="81">
        <v>466.8</v>
      </c>
      <c r="X160" s="81"/>
      <c r="Y160" s="81"/>
      <c r="Z160" s="81"/>
      <c r="AA160" s="81">
        <v>270.2</v>
      </c>
      <c r="AB160" s="81">
        <v>140.9</v>
      </c>
      <c r="AC160" s="81">
        <v>69.7</v>
      </c>
      <c r="AD160" s="79" t="s">
        <v>5275</v>
      </c>
      <c r="AE160" s="79" t="s">
        <v>5266</v>
      </c>
      <c r="AF160" s="79" t="s">
        <v>16</v>
      </c>
      <c r="AG160" s="79" t="s">
        <v>12</v>
      </c>
      <c r="AH160" s="80">
        <v>45621</v>
      </c>
      <c r="AI160" s="79"/>
    </row>
    <row r="161" spans="1:35">
      <c r="A161" s="69" t="s">
        <v>3683</v>
      </c>
      <c r="B161" s="70">
        <v>134.702</v>
      </c>
      <c r="C161" s="82">
        <v>28.9</v>
      </c>
      <c r="D161" s="82">
        <v>174.5</v>
      </c>
      <c r="E161" s="82"/>
      <c r="F161" s="82">
        <v>673.8</v>
      </c>
      <c r="G161" s="82">
        <v>810.8</v>
      </c>
      <c r="H161" s="82"/>
      <c r="I161" s="82">
        <v>730.5</v>
      </c>
      <c r="J161" s="82">
        <v>693.5</v>
      </c>
      <c r="K161" s="82">
        <v>584.20000000000005</v>
      </c>
      <c r="L161" s="82">
        <v>517.29999999999995</v>
      </c>
      <c r="M161" s="82">
        <v>479.1</v>
      </c>
      <c r="N161" s="82"/>
      <c r="O161" s="82">
        <v>340.6</v>
      </c>
      <c r="P161" s="82"/>
      <c r="Q161" s="82">
        <v>500.4</v>
      </c>
      <c r="R161" s="82">
        <v>534.70000000000005</v>
      </c>
      <c r="S161" s="82"/>
      <c r="T161" s="82">
        <v>530.1</v>
      </c>
      <c r="U161" s="82"/>
      <c r="V161" s="82">
        <v>269</v>
      </c>
      <c r="W161" s="82"/>
      <c r="X161" s="82"/>
      <c r="Y161" s="82"/>
      <c r="Z161" s="82"/>
      <c r="AA161" s="82">
        <v>276</v>
      </c>
      <c r="AB161" s="82"/>
      <c r="AC161" s="82">
        <v>67.7</v>
      </c>
      <c r="AD161" s="71" t="s">
        <v>5276</v>
      </c>
      <c r="AE161" s="71" t="s">
        <v>5277</v>
      </c>
      <c r="AF161" s="71" t="s">
        <v>8</v>
      </c>
      <c r="AG161" s="71" t="s">
        <v>9</v>
      </c>
      <c r="AH161" s="72">
        <v>45624</v>
      </c>
      <c r="AI161" s="71"/>
    </row>
    <row r="162" spans="1:35">
      <c r="A162" s="77" t="s">
        <v>3690</v>
      </c>
      <c r="B162" s="78">
        <v>108.27500000000001</v>
      </c>
      <c r="C162" s="81">
        <v>39.1</v>
      </c>
      <c r="D162" s="81">
        <v>160.30000000000001</v>
      </c>
      <c r="E162" s="81"/>
      <c r="F162" s="81">
        <v>653.29999999999995</v>
      </c>
      <c r="G162" s="81">
        <v>788.7</v>
      </c>
      <c r="H162" s="81">
        <v>739.1</v>
      </c>
      <c r="I162" s="81">
        <v>702.6</v>
      </c>
      <c r="J162" s="81"/>
      <c r="K162" s="81">
        <v>600.20000000000005</v>
      </c>
      <c r="L162" s="81">
        <v>466</v>
      </c>
      <c r="M162" s="81">
        <v>465.3</v>
      </c>
      <c r="N162" s="81"/>
      <c r="O162" s="81">
        <v>358.1</v>
      </c>
      <c r="P162" s="81"/>
      <c r="Q162" s="81"/>
      <c r="R162" s="81">
        <v>510.5</v>
      </c>
      <c r="S162" s="81">
        <v>515.4</v>
      </c>
      <c r="T162" s="81">
        <v>499.9</v>
      </c>
      <c r="U162" s="81"/>
      <c r="V162" s="81">
        <v>265</v>
      </c>
      <c r="W162" s="81">
        <v>463.7</v>
      </c>
      <c r="X162" s="81">
        <v>530.79999999999995</v>
      </c>
      <c r="Y162" s="81">
        <v>522.20000000000005</v>
      </c>
      <c r="Z162" s="81"/>
      <c r="AA162" s="81">
        <v>279.60000000000002</v>
      </c>
      <c r="AB162" s="81">
        <v>108.4</v>
      </c>
      <c r="AC162" s="81">
        <v>63.7</v>
      </c>
      <c r="AD162" s="79" t="s">
        <v>5278</v>
      </c>
      <c r="AE162" s="79" t="s">
        <v>5277</v>
      </c>
      <c r="AF162" s="79" t="s">
        <v>11</v>
      </c>
      <c r="AG162" s="79" t="s">
        <v>12</v>
      </c>
      <c r="AH162" s="80">
        <v>45627</v>
      </c>
      <c r="AI162" s="79"/>
    </row>
    <row r="163" spans="1:35">
      <c r="A163" s="69" t="s">
        <v>3697</v>
      </c>
      <c r="B163" s="70">
        <v>98.816000000000003</v>
      </c>
      <c r="C163" s="82">
        <v>25.4</v>
      </c>
      <c r="D163" s="82">
        <v>194.1</v>
      </c>
      <c r="E163" s="82"/>
      <c r="F163" s="82">
        <v>677.7</v>
      </c>
      <c r="G163" s="82">
        <v>825.4</v>
      </c>
      <c r="H163" s="82"/>
      <c r="I163" s="82">
        <v>760.7</v>
      </c>
      <c r="J163" s="82"/>
      <c r="K163" s="82">
        <v>621.6</v>
      </c>
      <c r="L163" s="82">
        <v>516.70000000000005</v>
      </c>
      <c r="M163" s="82">
        <v>482</v>
      </c>
      <c r="N163" s="82"/>
      <c r="O163" s="82">
        <v>374.7</v>
      </c>
      <c r="P163" s="82"/>
      <c r="Q163" s="82"/>
      <c r="R163" s="82">
        <v>529</v>
      </c>
      <c r="S163" s="82"/>
      <c r="T163" s="82">
        <v>516.5</v>
      </c>
      <c r="U163" s="82"/>
      <c r="V163" s="82">
        <v>262.2</v>
      </c>
      <c r="W163" s="82">
        <v>461.2</v>
      </c>
      <c r="X163" s="82">
        <v>531.9</v>
      </c>
      <c r="Y163" s="82">
        <v>519.9</v>
      </c>
      <c r="Z163" s="82"/>
      <c r="AA163" s="82">
        <v>253.6</v>
      </c>
      <c r="AB163" s="82"/>
      <c r="AC163" s="82">
        <v>58.2</v>
      </c>
      <c r="AD163" s="71" t="s">
        <v>5279</v>
      </c>
      <c r="AE163" s="71" t="s">
        <v>5277</v>
      </c>
      <c r="AF163" s="71" t="s">
        <v>14</v>
      </c>
      <c r="AG163" s="71" t="s">
        <v>9</v>
      </c>
      <c r="AH163" s="72">
        <v>45630</v>
      </c>
      <c r="AI163" s="71"/>
    </row>
    <row r="164" spans="1:35">
      <c r="A164" s="77" t="s">
        <v>3717</v>
      </c>
      <c r="B164" s="78">
        <v>86.924000000000007</v>
      </c>
      <c r="C164" s="81">
        <v>28.1</v>
      </c>
      <c r="D164" s="81">
        <v>187.9</v>
      </c>
      <c r="E164" s="81"/>
      <c r="F164" s="81">
        <v>672.3</v>
      </c>
      <c r="G164" s="81">
        <v>821.8</v>
      </c>
      <c r="H164" s="81">
        <v>768.7</v>
      </c>
      <c r="I164" s="81">
        <v>757</v>
      </c>
      <c r="J164" s="81">
        <v>694.6</v>
      </c>
      <c r="K164" s="81">
        <v>600.29999999999995</v>
      </c>
      <c r="L164" s="81">
        <v>511.2</v>
      </c>
      <c r="M164" s="81">
        <v>447.5</v>
      </c>
      <c r="N164" s="81">
        <v>405.5</v>
      </c>
      <c r="O164" s="81">
        <v>362.2</v>
      </c>
      <c r="P164" s="81"/>
      <c r="Q164" s="81"/>
      <c r="R164" s="81">
        <v>534.20000000000005</v>
      </c>
      <c r="S164" s="81"/>
      <c r="T164" s="81">
        <v>528.4</v>
      </c>
      <c r="U164" s="81"/>
      <c r="V164" s="81">
        <v>257.2</v>
      </c>
      <c r="W164" s="81"/>
      <c r="X164" s="81"/>
      <c r="Y164" s="81"/>
      <c r="Z164" s="81">
        <v>338.5</v>
      </c>
      <c r="AA164" s="81">
        <v>197.4</v>
      </c>
      <c r="AB164" s="81"/>
      <c r="AC164" s="81">
        <v>54.4</v>
      </c>
      <c r="AD164" s="79" t="s">
        <v>5280</v>
      </c>
      <c r="AE164" s="79" t="s">
        <v>5277</v>
      </c>
      <c r="AF164" s="79" t="s">
        <v>11</v>
      </c>
      <c r="AG164" s="79" t="s">
        <v>12</v>
      </c>
      <c r="AH164" s="80">
        <v>45639</v>
      </c>
      <c r="AI164" s="79"/>
    </row>
    <row r="165" spans="1:35">
      <c r="A165" s="69" t="s">
        <v>3736</v>
      </c>
      <c r="B165" s="70">
        <v>140.93199999999999</v>
      </c>
      <c r="C165" s="82">
        <v>37.4</v>
      </c>
      <c r="D165" s="82">
        <v>177.3</v>
      </c>
      <c r="E165" s="82">
        <v>343.7</v>
      </c>
      <c r="F165" s="82">
        <v>596.29999999999995</v>
      </c>
      <c r="G165" s="82">
        <v>744.3</v>
      </c>
      <c r="H165" s="82"/>
      <c r="I165" s="82">
        <v>677.2</v>
      </c>
      <c r="J165" s="82"/>
      <c r="K165" s="82">
        <v>558.5</v>
      </c>
      <c r="L165" s="82">
        <v>452.7</v>
      </c>
      <c r="M165" s="82">
        <v>438.6</v>
      </c>
      <c r="N165" s="82">
        <v>372.5</v>
      </c>
      <c r="O165" s="82">
        <v>333.9</v>
      </c>
      <c r="P165" s="82"/>
      <c r="Q165" s="82">
        <v>450.4</v>
      </c>
      <c r="R165" s="82">
        <v>479.4</v>
      </c>
      <c r="S165" s="82">
        <v>489.2</v>
      </c>
      <c r="T165" s="82">
        <v>465.7</v>
      </c>
      <c r="U165" s="82">
        <v>510.5</v>
      </c>
      <c r="V165" s="82">
        <v>245.7</v>
      </c>
      <c r="W165" s="82"/>
      <c r="X165" s="82"/>
      <c r="Y165" s="82"/>
      <c r="Z165" s="82"/>
      <c r="AA165" s="82">
        <v>235.3</v>
      </c>
      <c r="AB165" s="82"/>
      <c r="AC165" s="82">
        <v>50.4</v>
      </c>
      <c r="AD165" s="71" t="s">
        <v>5281</v>
      </c>
      <c r="AE165" s="71" t="s">
        <v>5277</v>
      </c>
      <c r="AF165" s="71" t="s">
        <v>14</v>
      </c>
      <c r="AG165" s="71" t="s">
        <v>9</v>
      </c>
      <c r="AH165" s="72">
        <v>45642</v>
      </c>
      <c r="AI165" s="71"/>
    </row>
    <row r="166" spans="1:35">
      <c r="A166" s="77" t="s">
        <v>3757</v>
      </c>
      <c r="B166" s="78">
        <v>110.393</v>
      </c>
      <c r="C166" s="81">
        <v>29.9</v>
      </c>
      <c r="D166" s="81">
        <v>173.5</v>
      </c>
      <c r="E166" s="81"/>
      <c r="F166" s="81">
        <v>651.70000000000005</v>
      </c>
      <c r="G166" s="81">
        <v>785.9</v>
      </c>
      <c r="H166" s="81">
        <v>760.2</v>
      </c>
      <c r="I166" s="81">
        <v>728.5</v>
      </c>
      <c r="J166" s="81">
        <v>679.4</v>
      </c>
      <c r="K166" s="81">
        <v>604.1</v>
      </c>
      <c r="L166" s="81">
        <v>476</v>
      </c>
      <c r="M166" s="81">
        <v>454.4</v>
      </c>
      <c r="N166" s="81"/>
      <c r="O166" s="81">
        <v>323.5</v>
      </c>
      <c r="P166" s="81"/>
      <c r="Q166" s="81"/>
      <c r="R166" s="81">
        <v>505.5</v>
      </c>
      <c r="S166" s="81"/>
      <c r="T166" s="81">
        <v>475.2</v>
      </c>
      <c r="U166" s="81"/>
      <c r="V166" s="81">
        <v>270.39999999999998</v>
      </c>
      <c r="W166" s="81">
        <v>456.4</v>
      </c>
      <c r="X166" s="81">
        <v>521.9</v>
      </c>
      <c r="Y166" s="81">
        <v>508.7</v>
      </c>
      <c r="Z166" s="81"/>
      <c r="AA166" s="81">
        <v>241.1</v>
      </c>
      <c r="AB166" s="81"/>
      <c r="AC166" s="81">
        <v>65.5</v>
      </c>
      <c r="AD166" s="79" t="s">
        <v>5282</v>
      </c>
      <c r="AE166" s="79" t="s">
        <v>5277</v>
      </c>
      <c r="AF166" s="79" t="s">
        <v>8</v>
      </c>
      <c r="AG166" s="79" t="s">
        <v>9</v>
      </c>
      <c r="AH166" s="80">
        <v>45648</v>
      </c>
      <c r="AI166" s="79"/>
    </row>
    <row r="167" spans="1:35">
      <c r="A167" s="69" t="s">
        <v>3766</v>
      </c>
      <c r="B167" s="70">
        <v>116.51600000000001</v>
      </c>
      <c r="C167" s="82">
        <v>39.299999999999997</v>
      </c>
      <c r="D167" s="82">
        <v>181.5</v>
      </c>
      <c r="E167" s="82"/>
      <c r="F167" s="82">
        <v>638.4</v>
      </c>
      <c r="G167" s="82">
        <v>786</v>
      </c>
      <c r="H167" s="82"/>
      <c r="I167" s="82">
        <v>718.3</v>
      </c>
      <c r="J167" s="82"/>
      <c r="K167" s="82">
        <v>566.1</v>
      </c>
      <c r="L167" s="82">
        <v>474</v>
      </c>
      <c r="M167" s="82">
        <v>458.2</v>
      </c>
      <c r="N167" s="82"/>
      <c r="O167" s="82">
        <v>331.4</v>
      </c>
      <c r="P167" s="82"/>
      <c r="Q167" s="82">
        <v>509.3</v>
      </c>
      <c r="R167" s="82">
        <v>516.29999999999995</v>
      </c>
      <c r="S167" s="82"/>
      <c r="T167" s="82">
        <v>504.2</v>
      </c>
      <c r="U167" s="82"/>
      <c r="V167" s="82">
        <v>269.5</v>
      </c>
      <c r="W167" s="82"/>
      <c r="X167" s="82"/>
      <c r="Y167" s="82"/>
      <c r="Z167" s="82"/>
      <c r="AA167" s="82">
        <v>236.1</v>
      </c>
      <c r="AB167" s="82"/>
      <c r="AC167" s="82">
        <v>66.900000000000006</v>
      </c>
      <c r="AD167" s="71" t="s">
        <v>5283</v>
      </c>
      <c r="AE167" s="71" t="s">
        <v>5277</v>
      </c>
      <c r="AF167" s="71" t="s">
        <v>11</v>
      </c>
      <c r="AG167" s="71" t="s">
        <v>12</v>
      </c>
      <c r="AH167" s="72">
        <v>45651</v>
      </c>
      <c r="AI167" s="71"/>
    </row>
    <row r="168" spans="1:35">
      <c r="A168" s="77" t="s">
        <v>3778</v>
      </c>
      <c r="B168" s="78">
        <v>58.524999999999999</v>
      </c>
      <c r="C168" s="81">
        <v>29.3</v>
      </c>
      <c r="D168" s="81">
        <v>180.1</v>
      </c>
      <c r="E168" s="81"/>
      <c r="F168" s="81">
        <v>713.5</v>
      </c>
      <c r="G168" s="81">
        <v>867.5</v>
      </c>
      <c r="H168" s="81">
        <v>822.6</v>
      </c>
      <c r="I168" s="81">
        <v>820.8</v>
      </c>
      <c r="J168" s="81"/>
      <c r="K168" s="81">
        <v>629.1</v>
      </c>
      <c r="L168" s="81">
        <v>528.9</v>
      </c>
      <c r="M168" s="81">
        <v>493.9</v>
      </c>
      <c r="N168" s="81"/>
      <c r="O168" s="81">
        <v>374.4</v>
      </c>
      <c r="P168" s="81"/>
      <c r="Q168" s="81"/>
      <c r="R168" s="81">
        <v>558.4</v>
      </c>
      <c r="S168" s="81">
        <v>568.20000000000005</v>
      </c>
      <c r="T168" s="81">
        <v>562.9</v>
      </c>
      <c r="U168" s="81">
        <v>582</v>
      </c>
      <c r="V168" s="81">
        <v>300.5</v>
      </c>
      <c r="W168" s="81"/>
      <c r="X168" s="81"/>
      <c r="Y168" s="81"/>
      <c r="Z168" s="81"/>
      <c r="AA168" s="81">
        <v>184.5</v>
      </c>
      <c r="AB168" s="81"/>
      <c r="AC168" s="81">
        <v>72.400000000000006</v>
      </c>
      <c r="AD168" s="79" t="s">
        <v>5284</v>
      </c>
      <c r="AE168" s="79" t="s">
        <v>5277</v>
      </c>
      <c r="AF168" s="79" t="s">
        <v>8</v>
      </c>
      <c r="AG168" s="79" t="s">
        <v>9</v>
      </c>
      <c r="AH168" s="80">
        <v>45660</v>
      </c>
      <c r="AI168" s="79"/>
    </row>
    <row r="169" spans="1:35">
      <c r="A169" s="69" t="s">
        <v>3797</v>
      </c>
      <c r="B169" s="70">
        <v>152.35499999999999</v>
      </c>
      <c r="C169" s="82">
        <v>36.700000000000003</v>
      </c>
      <c r="D169" s="82">
        <v>166.9</v>
      </c>
      <c r="E169" s="82"/>
      <c r="F169" s="82">
        <v>651.70000000000005</v>
      </c>
      <c r="G169" s="82">
        <v>784.2</v>
      </c>
      <c r="H169" s="82"/>
      <c r="I169" s="82">
        <v>701.1</v>
      </c>
      <c r="J169" s="82"/>
      <c r="K169" s="82">
        <v>559.20000000000005</v>
      </c>
      <c r="L169" s="82">
        <v>464.7</v>
      </c>
      <c r="M169" s="82">
        <v>430.9</v>
      </c>
      <c r="N169" s="82">
        <v>388.6</v>
      </c>
      <c r="O169" s="82">
        <v>343.6</v>
      </c>
      <c r="P169" s="82"/>
      <c r="Q169" s="82">
        <v>491.3</v>
      </c>
      <c r="R169" s="82">
        <v>511.8</v>
      </c>
      <c r="S169" s="82">
        <v>516.5</v>
      </c>
      <c r="T169" s="82">
        <v>506.3</v>
      </c>
      <c r="U169" s="82"/>
      <c r="V169" s="82">
        <v>259.3</v>
      </c>
      <c r="W169" s="82"/>
      <c r="X169" s="82"/>
      <c r="Y169" s="82"/>
      <c r="Z169" s="82">
        <v>391.8</v>
      </c>
      <c r="AA169" s="82">
        <v>176.1</v>
      </c>
      <c r="AB169" s="82">
        <v>101.9</v>
      </c>
      <c r="AC169" s="82">
        <v>47.5</v>
      </c>
      <c r="AD169" s="71" t="s">
        <v>5285</v>
      </c>
      <c r="AE169" s="71" t="s">
        <v>5277</v>
      </c>
      <c r="AF169" s="71" t="s">
        <v>16</v>
      </c>
      <c r="AG169" s="71" t="s">
        <v>12</v>
      </c>
      <c r="AH169" s="72">
        <v>45669</v>
      </c>
      <c r="AI169" s="71"/>
    </row>
    <row r="170" spans="1:35">
      <c r="A170" s="77" t="s">
        <v>3802</v>
      </c>
      <c r="B170" s="78">
        <v>121.646</v>
      </c>
      <c r="C170" s="81">
        <v>35.200000000000003</v>
      </c>
      <c r="D170" s="81">
        <v>187.7</v>
      </c>
      <c r="E170" s="81"/>
      <c r="F170" s="81">
        <v>615.29999999999995</v>
      </c>
      <c r="G170" s="81">
        <v>771.4</v>
      </c>
      <c r="H170" s="81"/>
      <c r="I170" s="81">
        <v>689.7</v>
      </c>
      <c r="J170" s="81">
        <v>697.3</v>
      </c>
      <c r="K170" s="81">
        <v>560.6</v>
      </c>
      <c r="L170" s="81">
        <v>458.1</v>
      </c>
      <c r="M170" s="81">
        <v>438.9</v>
      </c>
      <c r="N170" s="81"/>
      <c r="O170" s="81">
        <v>338</v>
      </c>
      <c r="P170" s="81"/>
      <c r="Q170" s="81"/>
      <c r="R170" s="81">
        <v>501.6</v>
      </c>
      <c r="S170" s="81"/>
      <c r="T170" s="81">
        <v>491.8</v>
      </c>
      <c r="U170" s="81"/>
      <c r="V170" s="81">
        <v>260.2</v>
      </c>
      <c r="W170" s="81"/>
      <c r="X170" s="81"/>
      <c r="Y170" s="81"/>
      <c r="Z170" s="81"/>
      <c r="AA170" s="81">
        <v>203.9</v>
      </c>
      <c r="AB170" s="81"/>
      <c r="AC170" s="81">
        <v>44.1</v>
      </c>
      <c r="AD170" s="79" t="s">
        <v>5286</v>
      </c>
      <c r="AE170" s="79" t="s">
        <v>5277</v>
      </c>
      <c r="AF170" s="79" t="s">
        <v>8</v>
      </c>
      <c r="AG170" s="79" t="s">
        <v>9</v>
      </c>
      <c r="AH170" s="80">
        <v>45672</v>
      </c>
      <c r="AI170" s="79"/>
    </row>
    <row r="171" spans="1:35">
      <c r="A171" s="69" t="s">
        <v>3817</v>
      </c>
      <c r="B171" s="70">
        <v>86.331999999999994</v>
      </c>
      <c r="C171" s="82">
        <v>35.6</v>
      </c>
      <c r="D171" s="82">
        <v>170.6</v>
      </c>
      <c r="E171" s="82">
        <v>396.5</v>
      </c>
      <c r="F171" s="82">
        <v>681.9</v>
      </c>
      <c r="G171" s="82">
        <v>819.3</v>
      </c>
      <c r="H171" s="82">
        <v>780.9</v>
      </c>
      <c r="I171" s="82">
        <v>765.7</v>
      </c>
      <c r="J171" s="82"/>
      <c r="K171" s="82">
        <v>614.1</v>
      </c>
      <c r="L171" s="82">
        <v>516.6</v>
      </c>
      <c r="M171" s="82">
        <v>460.3</v>
      </c>
      <c r="N171" s="82"/>
      <c r="O171" s="82">
        <v>334.9</v>
      </c>
      <c r="P171" s="82"/>
      <c r="Q171" s="82">
        <v>512.9</v>
      </c>
      <c r="R171" s="82">
        <v>521.4</v>
      </c>
      <c r="S171" s="82"/>
      <c r="T171" s="82">
        <v>506.6</v>
      </c>
      <c r="U171" s="82"/>
      <c r="V171" s="82">
        <v>257.89999999999998</v>
      </c>
      <c r="W171" s="82">
        <v>465.8</v>
      </c>
      <c r="X171" s="82"/>
      <c r="Y171" s="82"/>
      <c r="Z171" s="82"/>
      <c r="AA171" s="82">
        <v>283</v>
      </c>
      <c r="AB171" s="82"/>
      <c r="AC171" s="82">
        <v>70.400000000000006</v>
      </c>
      <c r="AD171" s="71" t="s">
        <v>5287</v>
      </c>
      <c r="AE171" s="71" t="s">
        <v>5288</v>
      </c>
      <c r="AF171" s="71" t="s">
        <v>16</v>
      </c>
      <c r="AG171" s="71" t="s">
        <v>12</v>
      </c>
      <c r="AH171" s="72">
        <v>45681</v>
      </c>
      <c r="AI171" s="71"/>
    </row>
    <row r="172" spans="1:35">
      <c r="A172" s="77" t="s">
        <v>3819</v>
      </c>
      <c r="B172" s="78">
        <v>85.162000000000006</v>
      </c>
      <c r="C172" s="81">
        <v>26.4</v>
      </c>
      <c r="D172" s="81">
        <v>195.3</v>
      </c>
      <c r="E172" s="81"/>
      <c r="F172" s="81">
        <v>677.9</v>
      </c>
      <c r="G172" s="81">
        <v>827.5</v>
      </c>
      <c r="H172" s="81"/>
      <c r="I172" s="81">
        <v>738.5</v>
      </c>
      <c r="J172" s="81"/>
      <c r="K172" s="81">
        <v>589.20000000000005</v>
      </c>
      <c r="L172" s="81">
        <v>520.6</v>
      </c>
      <c r="M172" s="81">
        <v>474.7</v>
      </c>
      <c r="N172" s="81"/>
      <c r="O172" s="81">
        <v>350.5</v>
      </c>
      <c r="P172" s="81"/>
      <c r="Q172" s="81"/>
      <c r="R172" s="81">
        <v>554.9</v>
      </c>
      <c r="S172" s="81">
        <v>554.70000000000005</v>
      </c>
      <c r="T172" s="81">
        <v>530.29999999999995</v>
      </c>
      <c r="U172" s="81">
        <v>561</v>
      </c>
      <c r="V172" s="81">
        <v>258.7</v>
      </c>
      <c r="W172" s="81">
        <v>455.4</v>
      </c>
      <c r="X172" s="81"/>
      <c r="Y172" s="81"/>
      <c r="Z172" s="81"/>
      <c r="AA172" s="81">
        <v>208</v>
      </c>
      <c r="AB172" s="81"/>
      <c r="AC172" s="81">
        <v>73.5</v>
      </c>
      <c r="AD172" s="79" t="s">
        <v>5289</v>
      </c>
      <c r="AE172" s="79" t="s">
        <v>5288</v>
      </c>
      <c r="AF172" s="79" t="s">
        <v>8</v>
      </c>
      <c r="AG172" s="79" t="s">
        <v>9</v>
      </c>
      <c r="AH172" s="80">
        <v>45684</v>
      </c>
      <c r="AI172" s="79"/>
    </row>
    <row r="173" spans="1:35">
      <c r="A173" s="69" t="s">
        <v>3824</v>
      </c>
      <c r="B173" s="70">
        <v>126.14400000000001</v>
      </c>
      <c r="C173" s="82">
        <v>34.5</v>
      </c>
      <c r="D173" s="82">
        <v>161.69999999999999</v>
      </c>
      <c r="E173" s="82"/>
      <c r="F173" s="82">
        <v>621.79999999999995</v>
      </c>
      <c r="G173" s="82">
        <v>763.6</v>
      </c>
      <c r="H173" s="82">
        <v>718.2</v>
      </c>
      <c r="I173" s="82">
        <v>672</v>
      </c>
      <c r="J173" s="82"/>
      <c r="K173" s="82">
        <v>563.1</v>
      </c>
      <c r="L173" s="82">
        <v>476.4</v>
      </c>
      <c r="M173" s="82">
        <v>431.7</v>
      </c>
      <c r="N173" s="82">
        <v>365.7</v>
      </c>
      <c r="O173" s="82">
        <v>316.7</v>
      </c>
      <c r="P173" s="82"/>
      <c r="Q173" s="82">
        <v>491.4</v>
      </c>
      <c r="R173" s="82">
        <v>513.6</v>
      </c>
      <c r="S173" s="82">
        <v>510.1</v>
      </c>
      <c r="T173" s="82">
        <v>492.6</v>
      </c>
      <c r="U173" s="82"/>
      <c r="V173" s="82">
        <v>261.2</v>
      </c>
      <c r="W173" s="82">
        <v>465.8</v>
      </c>
      <c r="X173" s="82"/>
      <c r="Y173" s="82"/>
      <c r="Z173" s="82">
        <v>347.9</v>
      </c>
      <c r="AA173" s="82">
        <v>203.4</v>
      </c>
      <c r="AB173" s="82"/>
      <c r="AC173" s="82">
        <v>49</v>
      </c>
      <c r="AD173" s="71" t="s">
        <v>5290</v>
      </c>
      <c r="AE173" s="71" t="s">
        <v>5288</v>
      </c>
      <c r="AF173" s="71" t="s">
        <v>11</v>
      </c>
      <c r="AG173" s="71" t="s">
        <v>12</v>
      </c>
      <c r="AH173" s="72">
        <v>45687</v>
      </c>
      <c r="AI173" s="71"/>
    </row>
    <row r="174" spans="1:35">
      <c r="A174" s="77" t="s">
        <v>3835</v>
      </c>
      <c r="B174" s="78">
        <v>118.54900000000001</v>
      </c>
      <c r="C174" s="81">
        <v>32.299999999999997</v>
      </c>
      <c r="D174" s="81">
        <v>165</v>
      </c>
      <c r="E174" s="81"/>
      <c r="F174" s="81">
        <v>639.1</v>
      </c>
      <c r="G174" s="81">
        <v>783.6</v>
      </c>
      <c r="H174" s="81">
        <v>746.3</v>
      </c>
      <c r="I174" s="81">
        <v>710.1</v>
      </c>
      <c r="J174" s="81"/>
      <c r="K174" s="81">
        <v>592.20000000000005</v>
      </c>
      <c r="L174" s="81">
        <v>457.4</v>
      </c>
      <c r="M174" s="81">
        <v>437.8</v>
      </c>
      <c r="N174" s="81">
        <v>378.2</v>
      </c>
      <c r="O174" s="81">
        <v>318.39999999999998</v>
      </c>
      <c r="P174" s="81"/>
      <c r="Q174" s="81">
        <v>516.6</v>
      </c>
      <c r="R174" s="81">
        <v>496.4</v>
      </c>
      <c r="S174" s="81"/>
      <c r="T174" s="81">
        <v>492.2</v>
      </c>
      <c r="U174" s="81"/>
      <c r="V174" s="81">
        <v>246.3</v>
      </c>
      <c r="W174" s="81"/>
      <c r="X174" s="81"/>
      <c r="Y174" s="81"/>
      <c r="Z174" s="81"/>
      <c r="AA174" s="81">
        <v>278.5</v>
      </c>
      <c r="AB174" s="81"/>
      <c r="AC174" s="81">
        <v>46.9</v>
      </c>
      <c r="AD174" s="79" t="s">
        <v>5291</v>
      </c>
      <c r="AE174" s="79" t="s">
        <v>5288</v>
      </c>
      <c r="AF174" s="79" t="s">
        <v>8</v>
      </c>
      <c r="AG174" s="79" t="s">
        <v>9</v>
      </c>
      <c r="AH174" s="80">
        <v>45696</v>
      </c>
      <c r="AI174" s="79"/>
    </row>
    <row r="175" spans="1:35">
      <c r="A175" s="69" t="s">
        <v>3850</v>
      </c>
      <c r="B175" s="70">
        <v>92.844999999999999</v>
      </c>
      <c r="C175" s="82">
        <v>33.6</v>
      </c>
      <c r="D175" s="82">
        <v>195.7</v>
      </c>
      <c r="E175" s="82"/>
      <c r="F175" s="82">
        <v>667.7</v>
      </c>
      <c r="G175" s="82">
        <v>825.1</v>
      </c>
      <c r="H175" s="82"/>
      <c r="I175" s="82">
        <v>764.6</v>
      </c>
      <c r="J175" s="82"/>
      <c r="K175" s="82">
        <v>594.9</v>
      </c>
      <c r="L175" s="82">
        <v>526.9</v>
      </c>
      <c r="M175" s="82">
        <v>455.6</v>
      </c>
      <c r="N175" s="82">
        <v>437.1</v>
      </c>
      <c r="O175" s="82">
        <v>337.1</v>
      </c>
      <c r="P175" s="82"/>
      <c r="Q175" s="82">
        <v>529.9</v>
      </c>
      <c r="R175" s="82">
        <v>525.1</v>
      </c>
      <c r="S175" s="82">
        <v>528.5</v>
      </c>
      <c r="T175" s="82">
        <v>511.4</v>
      </c>
      <c r="U175" s="82"/>
      <c r="V175" s="82">
        <v>293.60000000000002</v>
      </c>
      <c r="W175" s="82"/>
      <c r="X175" s="82"/>
      <c r="Y175" s="82"/>
      <c r="Z175" s="82"/>
      <c r="AA175" s="82">
        <v>235.6</v>
      </c>
      <c r="AB175" s="82"/>
      <c r="AC175" s="82">
        <v>53</v>
      </c>
      <c r="AD175" s="71" t="s">
        <v>5292</v>
      </c>
      <c r="AE175" s="71" t="s">
        <v>5288</v>
      </c>
      <c r="AF175" s="71" t="s">
        <v>11</v>
      </c>
      <c r="AG175" s="71" t="s">
        <v>12</v>
      </c>
      <c r="AH175" s="72">
        <v>45699</v>
      </c>
      <c r="AI175" s="71"/>
    </row>
    <row r="176" spans="1:35">
      <c r="A176" s="77" t="s">
        <v>3857</v>
      </c>
      <c r="B176" s="78">
        <v>100.256</v>
      </c>
      <c r="C176" s="81">
        <v>36.1</v>
      </c>
      <c r="D176" s="81">
        <v>171.5</v>
      </c>
      <c r="E176" s="81"/>
      <c r="F176" s="81">
        <v>670.3</v>
      </c>
      <c r="G176" s="81">
        <v>823.9</v>
      </c>
      <c r="H176" s="81"/>
      <c r="I176" s="81">
        <v>754.7</v>
      </c>
      <c r="J176" s="81">
        <v>727.5</v>
      </c>
      <c r="K176" s="81">
        <v>624.1</v>
      </c>
      <c r="L176" s="81">
        <v>503.4</v>
      </c>
      <c r="M176" s="81">
        <v>445.9</v>
      </c>
      <c r="N176" s="81"/>
      <c r="O176" s="81">
        <v>368.8</v>
      </c>
      <c r="P176" s="81"/>
      <c r="Q176" s="81"/>
      <c r="R176" s="81">
        <v>549.6</v>
      </c>
      <c r="S176" s="81"/>
      <c r="T176" s="81">
        <v>547.29999999999995</v>
      </c>
      <c r="U176" s="81"/>
      <c r="V176" s="81">
        <v>284.8</v>
      </c>
      <c r="W176" s="81">
        <v>466.8</v>
      </c>
      <c r="X176" s="81">
        <v>551</v>
      </c>
      <c r="Y176" s="81">
        <v>527.20000000000005</v>
      </c>
      <c r="Z176" s="81"/>
      <c r="AA176" s="81">
        <v>177.8</v>
      </c>
      <c r="AB176" s="81"/>
      <c r="AC176" s="81">
        <v>43.8</v>
      </c>
      <c r="AD176" s="79" t="s">
        <v>5293</v>
      </c>
      <c r="AE176" s="79" t="s">
        <v>5288</v>
      </c>
      <c r="AF176" s="79" t="s">
        <v>14</v>
      </c>
      <c r="AG176" s="79" t="s">
        <v>9</v>
      </c>
      <c r="AH176" s="80">
        <v>45702</v>
      </c>
      <c r="AI176" s="79"/>
    </row>
    <row r="177" spans="1:35">
      <c r="A177" s="69" t="s">
        <v>3872</v>
      </c>
      <c r="B177" s="70">
        <v>84.772999999999996</v>
      </c>
      <c r="C177" s="82">
        <v>33.1</v>
      </c>
      <c r="D177" s="82">
        <v>175.5</v>
      </c>
      <c r="E177" s="82"/>
      <c r="F177" s="82">
        <v>656.5</v>
      </c>
      <c r="G177" s="82">
        <v>793.2</v>
      </c>
      <c r="H177" s="82"/>
      <c r="I177" s="82">
        <v>734.7</v>
      </c>
      <c r="J177" s="82">
        <v>691.5</v>
      </c>
      <c r="K177" s="82">
        <v>583.5</v>
      </c>
      <c r="L177" s="82">
        <v>483.5</v>
      </c>
      <c r="M177" s="82">
        <v>425.4</v>
      </c>
      <c r="N177" s="82">
        <v>415.9</v>
      </c>
      <c r="O177" s="82">
        <v>342.5</v>
      </c>
      <c r="P177" s="82"/>
      <c r="Q177" s="82">
        <v>494.8</v>
      </c>
      <c r="R177" s="82">
        <v>508.3</v>
      </c>
      <c r="S177" s="82"/>
      <c r="T177" s="82">
        <v>507.5</v>
      </c>
      <c r="U177" s="82"/>
      <c r="V177" s="82">
        <v>256.3</v>
      </c>
      <c r="W177" s="82">
        <v>461.4</v>
      </c>
      <c r="X177" s="82"/>
      <c r="Y177" s="82"/>
      <c r="Z177" s="82">
        <v>347.9</v>
      </c>
      <c r="AA177" s="82">
        <v>288.8</v>
      </c>
      <c r="AB177" s="82"/>
      <c r="AC177" s="82">
        <v>64.8</v>
      </c>
      <c r="AD177" s="71" t="s">
        <v>5294</v>
      </c>
      <c r="AE177" s="71" t="s">
        <v>5288</v>
      </c>
      <c r="AF177" s="71" t="s">
        <v>14</v>
      </c>
      <c r="AG177" s="71" t="s">
        <v>9</v>
      </c>
      <c r="AH177" s="72">
        <v>45702</v>
      </c>
      <c r="AI177" s="71"/>
    </row>
    <row r="178" spans="1:35">
      <c r="A178" s="77" t="s">
        <v>3893</v>
      </c>
      <c r="B178" s="78">
        <v>103.56699999999999</v>
      </c>
      <c r="C178" s="81">
        <v>39.9</v>
      </c>
      <c r="D178" s="81">
        <v>172.3</v>
      </c>
      <c r="E178" s="81"/>
      <c r="F178" s="81">
        <v>714.4</v>
      </c>
      <c r="G178" s="81">
        <v>853.6</v>
      </c>
      <c r="H178" s="81"/>
      <c r="I178" s="81">
        <v>768.2</v>
      </c>
      <c r="J178" s="81">
        <v>757.5</v>
      </c>
      <c r="K178" s="81">
        <v>629.9</v>
      </c>
      <c r="L178" s="81">
        <v>506.3</v>
      </c>
      <c r="M178" s="81">
        <v>483.9</v>
      </c>
      <c r="N178" s="81"/>
      <c r="O178" s="81">
        <v>358.7</v>
      </c>
      <c r="P178" s="81"/>
      <c r="Q178" s="81"/>
      <c r="R178" s="81">
        <v>567.20000000000005</v>
      </c>
      <c r="S178" s="81"/>
      <c r="T178" s="81">
        <v>560.29999999999995</v>
      </c>
      <c r="U178" s="81"/>
      <c r="V178" s="81">
        <v>271.89999999999998</v>
      </c>
      <c r="W178" s="81"/>
      <c r="X178" s="81"/>
      <c r="Y178" s="81"/>
      <c r="Z178" s="81"/>
      <c r="AA178" s="81">
        <v>238.7</v>
      </c>
      <c r="AB178" s="81"/>
      <c r="AC178" s="81">
        <v>57.9</v>
      </c>
      <c r="AD178" s="79" t="s">
        <v>5295</v>
      </c>
      <c r="AE178" s="79" t="s">
        <v>5288</v>
      </c>
      <c r="AF178" s="79" t="s">
        <v>16</v>
      </c>
      <c r="AG178" s="79" t="s">
        <v>12</v>
      </c>
      <c r="AH178" s="80">
        <v>45705</v>
      </c>
      <c r="AI178" s="79"/>
    </row>
    <row r="179" spans="1:35">
      <c r="A179" s="69" t="s">
        <v>3908</v>
      </c>
      <c r="B179" s="70">
        <v>149.809</v>
      </c>
      <c r="C179" s="82">
        <v>38.4</v>
      </c>
      <c r="D179" s="82">
        <v>174.5</v>
      </c>
      <c r="E179" s="82"/>
      <c r="F179" s="82">
        <v>620.4</v>
      </c>
      <c r="G179" s="82">
        <v>764</v>
      </c>
      <c r="H179" s="82"/>
      <c r="I179" s="82">
        <v>697</v>
      </c>
      <c r="J179" s="82">
        <v>682.3</v>
      </c>
      <c r="K179" s="82">
        <v>560</v>
      </c>
      <c r="L179" s="82">
        <v>468.7</v>
      </c>
      <c r="M179" s="82">
        <v>446.6</v>
      </c>
      <c r="N179" s="82"/>
      <c r="O179" s="82">
        <v>315</v>
      </c>
      <c r="P179" s="82"/>
      <c r="Q179" s="82"/>
      <c r="R179" s="82">
        <v>484.9</v>
      </c>
      <c r="S179" s="82"/>
      <c r="T179" s="82">
        <v>458</v>
      </c>
      <c r="U179" s="82"/>
      <c r="V179" s="82">
        <v>270.60000000000002</v>
      </c>
      <c r="W179" s="82">
        <v>459.8</v>
      </c>
      <c r="X179" s="82"/>
      <c r="Y179" s="82"/>
      <c r="Z179" s="82"/>
      <c r="AA179" s="82">
        <v>258.2</v>
      </c>
      <c r="AB179" s="82">
        <v>110.6</v>
      </c>
      <c r="AC179" s="82">
        <v>41</v>
      </c>
      <c r="AD179" s="71" t="s">
        <v>5296</v>
      </c>
      <c r="AE179" s="71" t="s">
        <v>5288</v>
      </c>
      <c r="AF179" s="71" t="s">
        <v>14</v>
      </c>
      <c r="AG179" s="71" t="s">
        <v>9</v>
      </c>
      <c r="AH179" s="72">
        <v>45714</v>
      </c>
      <c r="AI179" s="71"/>
    </row>
    <row r="180" spans="1:35">
      <c r="A180" s="77" t="s">
        <v>3923</v>
      </c>
      <c r="B180" s="78">
        <v>120.283</v>
      </c>
      <c r="C180" s="81">
        <v>37</v>
      </c>
      <c r="D180" s="81">
        <v>151.6</v>
      </c>
      <c r="E180" s="81">
        <v>353.5</v>
      </c>
      <c r="F180" s="81">
        <v>634.6</v>
      </c>
      <c r="G180" s="81">
        <v>765.8</v>
      </c>
      <c r="H180" s="81">
        <v>727.7</v>
      </c>
      <c r="I180" s="81">
        <v>687.5</v>
      </c>
      <c r="J180" s="81"/>
      <c r="K180" s="81">
        <v>559.79999999999995</v>
      </c>
      <c r="L180" s="81">
        <v>448.2</v>
      </c>
      <c r="M180" s="81">
        <v>425.3</v>
      </c>
      <c r="N180" s="81"/>
      <c r="O180" s="81">
        <v>327.60000000000002</v>
      </c>
      <c r="P180" s="81"/>
      <c r="Q180" s="81">
        <v>480.8</v>
      </c>
      <c r="R180" s="81">
        <v>490.9</v>
      </c>
      <c r="S180" s="81"/>
      <c r="T180" s="81">
        <v>480.6</v>
      </c>
      <c r="U180" s="81">
        <v>529.5</v>
      </c>
      <c r="V180" s="81">
        <v>238.3</v>
      </c>
      <c r="W180" s="81"/>
      <c r="X180" s="81"/>
      <c r="Y180" s="81"/>
      <c r="Z180" s="81">
        <v>381.3</v>
      </c>
      <c r="AA180" s="81">
        <v>264.39999999999998</v>
      </c>
      <c r="AB180" s="81">
        <v>89.5</v>
      </c>
      <c r="AC180" s="81">
        <v>63.1</v>
      </c>
      <c r="AD180" s="79" t="s">
        <v>5297</v>
      </c>
      <c r="AE180" s="79" t="s">
        <v>5288</v>
      </c>
      <c r="AF180" s="79" t="s">
        <v>16</v>
      </c>
      <c r="AG180" s="79" t="s">
        <v>12</v>
      </c>
      <c r="AH180" s="80">
        <v>45717</v>
      </c>
      <c r="AI180" s="79"/>
    </row>
    <row r="181" spans="1:35">
      <c r="A181" s="69" t="s">
        <v>3938</v>
      </c>
      <c r="B181" s="70">
        <v>106.22799999999999</v>
      </c>
      <c r="C181" s="82">
        <v>37.299999999999997</v>
      </c>
      <c r="D181" s="82">
        <v>177.8</v>
      </c>
      <c r="E181" s="82"/>
      <c r="F181" s="82">
        <v>659</v>
      </c>
      <c r="G181" s="82">
        <v>795.2</v>
      </c>
      <c r="H181" s="82"/>
      <c r="I181" s="82">
        <v>721.2</v>
      </c>
      <c r="J181" s="82"/>
      <c r="K181" s="82">
        <v>590.9</v>
      </c>
      <c r="L181" s="82">
        <v>479.5</v>
      </c>
      <c r="M181" s="82">
        <v>443.9</v>
      </c>
      <c r="N181" s="82"/>
      <c r="O181" s="82">
        <v>348.8</v>
      </c>
      <c r="P181" s="82"/>
      <c r="Q181" s="82"/>
      <c r="R181" s="82">
        <v>533.79999999999995</v>
      </c>
      <c r="S181" s="82"/>
      <c r="T181" s="82">
        <v>512.1</v>
      </c>
      <c r="U181" s="82"/>
      <c r="V181" s="82">
        <v>249.7</v>
      </c>
      <c r="W181" s="82">
        <v>467.5</v>
      </c>
      <c r="X181" s="82">
        <v>512.9</v>
      </c>
      <c r="Y181" s="82">
        <v>484.9</v>
      </c>
      <c r="Z181" s="82">
        <v>413.2</v>
      </c>
      <c r="AA181" s="82">
        <v>211.2</v>
      </c>
      <c r="AB181" s="82"/>
      <c r="AC181" s="82">
        <v>54</v>
      </c>
      <c r="AD181" s="71" t="s">
        <v>5298</v>
      </c>
      <c r="AE181" s="71" t="s">
        <v>5299</v>
      </c>
      <c r="AF181" s="71" t="s">
        <v>11</v>
      </c>
      <c r="AG181" s="71" t="s">
        <v>12</v>
      </c>
      <c r="AH181" s="72">
        <v>45723</v>
      </c>
      <c r="AI181" s="71"/>
    </row>
    <row r="182" spans="1:35">
      <c r="A182" s="77" t="s">
        <v>3947</v>
      </c>
      <c r="B182" s="78">
        <v>125.093</v>
      </c>
      <c r="C182" s="81">
        <v>36.700000000000003</v>
      </c>
      <c r="D182" s="81">
        <v>170.3</v>
      </c>
      <c r="E182" s="81"/>
      <c r="F182" s="81">
        <v>675.4</v>
      </c>
      <c r="G182" s="81">
        <v>811.7</v>
      </c>
      <c r="H182" s="81">
        <v>784.8</v>
      </c>
      <c r="I182" s="81">
        <v>751.9</v>
      </c>
      <c r="J182" s="81">
        <v>709.1</v>
      </c>
      <c r="K182" s="81">
        <v>601.6</v>
      </c>
      <c r="L182" s="81">
        <v>476.4</v>
      </c>
      <c r="M182" s="81">
        <v>444.2</v>
      </c>
      <c r="N182" s="81">
        <v>428.9</v>
      </c>
      <c r="O182" s="81">
        <v>355.7</v>
      </c>
      <c r="P182" s="81"/>
      <c r="Q182" s="81"/>
      <c r="R182" s="81">
        <v>522.20000000000005</v>
      </c>
      <c r="S182" s="81"/>
      <c r="T182" s="81">
        <v>522.70000000000005</v>
      </c>
      <c r="U182" s="81"/>
      <c r="V182" s="81">
        <v>279.7</v>
      </c>
      <c r="W182" s="81">
        <v>456.2</v>
      </c>
      <c r="X182" s="81"/>
      <c r="Y182" s="81"/>
      <c r="Z182" s="81">
        <v>343.2</v>
      </c>
      <c r="AA182" s="81">
        <v>212.1</v>
      </c>
      <c r="AB182" s="81">
        <v>126.6</v>
      </c>
      <c r="AC182" s="81">
        <v>59.1</v>
      </c>
      <c r="AD182" s="79" t="s">
        <v>5300</v>
      </c>
      <c r="AE182" s="79" t="s">
        <v>5299</v>
      </c>
      <c r="AF182" s="79" t="s">
        <v>14</v>
      </c>
      <c r="AG182" s="79" t="s">
        <v>9</v>
      </c>
      <c r="AH182" s="80">
        <v>45726</v>
      </c>
      <c r="AI182" s="79"/>
    </row>
    <row r="183" spans="1:35">
      <c r="A183" s="69" t="s">
        <v>3968</v>
      </c>
      <c r="B183" s="70">
        <v>74.835999999999999</v>
      </c>
      <c r="C183" s="82">
        <v>26.8</v>
      </c>
      <c r="D183" s="82">
        <v>174.1</v>
      </c>
      <c r="E183" s="82"/>
      <c r="F183" s="82">
        <v>650.70000000000005</v>
      </c>
      <c r="G183" s="82">
        <v>805.8</v>
      </c>
      <c r="H183" s="82"/>
      <c r="I183" s="82">
        <v>762.9</v>
      </c>
      <c r="J183" s="82">
        <v>689</v>
      </c>
      <c r="K183" s="82">
        <v>606.9</v>
      </c>
      <c r="L183" s="82">
        <v>505.2</v>
      </c>
      <c r="M183" s="82">
        <v>455.9</v>
      </c>
      <c r="N183" s="82"/>
      <c r="O183" s="82">
        <v>338.6</v>
      </c>
      <c r="P183" s="82"/>
      <c r="Q183" s="82"/>
      <c r="R183" s="82">
        <v>534.20000000000005</v>
      </c>
      <c r="S183" s="82"/>
      <c r="T183" s="82">
        <v>504</v>
      </c>
      <c r="U183" s="82"/>
      <c r="V183" s="82">
        <v>283.7</v>
      </c>
      <c r="W183" s="82"/>
      <c r="X183" s="82"/>
      <c r="Y183" s="82"/>
      <c r="Z183" s="82"/>
      <c r="AA183" s="82">
        <v>191.4</v>
      </c>
      <c r="AB183" s="82"/>
      <c r="AC183" s="82">
        <v>70</v>
      </c>
      <c r="AD183" s="71" t="s">
        <v>5301</v>
      </c>
      <c r="AE183" s="71" t="s">
        <v>5299</v>
      </c>
      <c r="AF183" s="71" t="s">
        <v>16</v>
      </c>
      <c r="AG183" s="71" t="s">
        <v>12</v>
      </c>
      <c r="AH183" s="72">
        <v>45729</v>
      </c>
      <c r="AI183" s="71"/>
    </row>
    <row r="184" spans="1:35">
      <c r="A184" s="77" t="s">
        <v>3981</v>
      </c>
      <c r="B184" s="78">
        <v>74.23</v>
      </c>
      <c r="C184" s="81">
        <v>33.799999999999997</v>
      </c>
      <c r="D184" s="81">
        <v>183.3</v>
      </c>
      <c r="E184" s="81"/>
      <c r="F184" s="81">
        <v>712.7</v>
      </c>
      <c r="G184" s="81">
        <v>875</v>
      </c>
      <c r="H184" s="81"/>
      <c r="I184" s="81">
        <v>793</v>
      </c>
      <c r="J184" s="81"/>
      <c r="K184" s="81">
        <v>634.4</v>
      </c>
      <c r="L184" s="81">
        <v>552.4</v>
      </c>
      <c r="M184" s="81">
        <v>473.5</v>
      </c>
      <c r="N184" s="81"/>
      <c r="O184" s="81">
        <v>356.1</v>
      </c>
      <c r="P184" s="81"/>
      <c r="Q184" s="81">
        <v>529</v>
      </c>
      <c r="R184" s="81">
        <v>582.9</v>
      </c>
      <c r="S184" s="81"/>
      <c r="T184" s="81">
        <v>560.5</v>
      </c>
      <c r="U184" s="81"/>
      <c r="V184" s="81">
        <v>309</v>
      </c>
      <c r="W184" s="81">
        <v>462.3</v>
      </c>
      <c r="X184" s="81"/>
      <c r="Y184" s="81"/>
      <c r="Z184" s="81"/>
      <c r="AA184" s="81">
        <v>181.7</v>
      </c>
      <c r="AB184" s="81"/>
      <c r="AC184" s="81">
        <v>60</v>
      </c>
      <c r="AD184" s="79" t="s">
        <v>5302</v>
      </c>
      <c r="AE184" s="79" t="s">
        <v>5299</v>
      </c>
      <c r="AF184" s="79" t="s">
        <v>8</v>
      </c>
      <c r="AG184" s="79" t="s">
        <v>9</v>
      </c>
      <c r="AH184" s="80">
        <v>45732</v>
      </c>
      <c r="AI184" s="79"/>
    </row>
    <row r="185" spans="1:35">
      <c r="A185" s="69" t="s">
        <v>3991</v>
      </c>
      <c r="B185" s="70">
        <v>127.68300000000001</v>
      </c>
      <c r="C185" s="82">
        <v>38.299999999999997</v>
      </c>
      <c r="D185" s="82">
        <v>166.4</v>
      </c>
      <c r="E185" s="82"/>
      <c r="F185" s="82">
        <v>626</v>
      </c>
      <c r="G185" s="82">
        <v>788.3</v>
      </c>
      <c r="H185" s="82"/>
      <c r="I185" s="82">
        <v>742.7</v>
      </c>
      <c r="J185" s="82">
        <v>670.6</v>
      </c>
      <c r="K185" s="82">
        <v>605.20000000000005</v>
      </c>
      <c r="L185" s="82">
        <v>465.8</v>
      </c>
      <c r="M185" s="82">
        <v>460.1</v>
      </c>
      <c r="N185" s="82"/>
      <c r="O185" s="82">
        <v>331</v>
      </c>
      <c r="P185" s="82"/>
      <c r="Q185" s="82"/>
      <c r="R185" s="82">
        <v>521.1</v>
      </c>
      <c r="S185" s="82"/>
      <c r="T185" s="82">
        <v>504.5</v>
      </c>
      <c r="U185" s="82"/>
      <c r="V185" s="82">
        <v>248.9</v>
      </c>
      <c r="W185" s="82">
        <v>466.3</v>
      </c>
      <c r="X185" s="82"/>
      <c r="Y185" s="82"/>
      <c r="Z185" s="82">
        <v>345.9</v>
      </c>
      <c r="AA185" s="82">
        <v>256.7</v>
      </c>
      <c r="AB185" s="82"/>
      <c r="AC185" s="82">
        <v>54.7</v>
      </c>
      <c r="AD185" s="71" t="s">
        <v>5303</v>
      </c>
      <c r="AE185" s="71" t="s">
        <v>5299</v>
      </c>
      <c r="AF185" s="71" t="s">
        <v>14</v>
      </c>
      <c r="AG185" s="71" t="s">
        <v>9</v>
      </c>
      <c r="AH185" s="72">
        <v>45738</v>
      </c>
      <c r="AI185" s="71"/>
    </row>
    <row r="186" spans="1:35">
      <c r="A186" s="77" t="s">
        <v>4000</v>
      </c>
      <c r="B186" s="78">
        <v>95.872</v>
      </c>
      <c r="C186" s="81">
        <v>38.9</v>
      </c>
      <c r="D186" s="81">
        <v>191.2</v>
      </c>
      <c r="E186" s="81"/>
      <c r="F186" s="81">
        <v>667.7</v>
      </c>
      <c r="G186" s="81">
        <v>803.2</v>
      </c>
      <c r="H186" s="81">
        <v>774.9</v>
      </c>
      <c r="I186" s="81">
        <v>745.5</v>
      </c>
      <c r="J186" s="81"/>
      <c r="K186" s="81">
        <v>574.79999999999995</v>
      </c>
      <c r="L186" s="81">
        <v>475.9</v>
      </c>
      <c r="M186" s="81">
        <v>436.6</v>
      </c>
      <c r="N186" s="81">
        <v>421.7</v>
      </c>
      <c r="O186" s="81">
        <v>357</v>
      </c>
      <c r="P186" s="81"/>
      <c r="Q186" s="81"/>
      <c r="R186" s="81">
        <v>526.20000000000005</v>
      </c>
      <c r="S186" s="81">
        <v>518.5</v>
      </c>
      <c r="T186" s="81">
        <v>506.1</v>
      </c>
      <c r="U186" s="81"/>
      <c r="V186" s="81">
        <v>285</v>
      </c>
      <c r="W186" s="81">
        <v>463.7</v>
      </c>
      <c r="X186" s="81"/>
      <c r="Y186" s="81"/>
      <c r="Z186" s="81">
        <v>320.60000000000002</v>
      </c>
      <c r="AA186" s="81">
        <v>182.8</v>
      </c>
      <c r="AB186" s="81">
        <v>107.5</v>
      </c>
      <c r="AC186" s="81">
        <v>36.200000000000003</v>
      </c>
      <c r="AD186" s="79" t="s">
        <v>5304</v>
      </c>
      <c r="AE186" s="79" t="s">
        <v>5299</v>
      </c>
      <c r="AF186" s="79" t="s">
        <v>16</v>
      </c>
      <c r="AG186" s="79" t="s">
        <v>12</v>
      </c>
      <c r="AH186" s="80">
        <v>45741</v>
      </c>
      <c r="AI186" s="79"/>
    </row>
    <row r="187" spans="1:35">
      <c r="A187" s="69" t="s">
        <v>4003</v>
      </c>
      <c r="B187" s="70">
        <v>128.517</v>
      </c>
      <c r="C187" s="82">
        <v>28.7</v>
      </c>
      <c r="D187" s="82">
        <v>158.5</v>
      </c>
      <c r="E187" s="82"/>
      <c r="F187" s="82">
        <v>635.20000000000005</v>
      </c>
      <c r="G187" s="82">
        <v>769.5</v>
      </c>
      <c r="H187" s="82">
        <v>752.5</v>
      </c>
      <c r="I187" s="82">
        <v>704.2</v>
      </c>
      <c r="J187" s="82"/>
      <c r="K187" s="82">
        <v>594.70000000000005</v>
      </c>
      <c r="L187" s="82">
        <v>465.9</v>
      </c>
      <c r="M187" s="82">
        <v>450.8</v>
      </c>
      <c r="N187" s="82"/>
      <c r="O187" s="82">
        <v>320.39999999999998</v>
      </c>
      <c r="P187" s="82"/>
      <c r="Q187" s="82"/>
      <c r="R187" s="82">
        <v>510.8</v>
      </c>
      <c r="S187" s="82"/>
      <c r="T187" s="82">
        <v>501.6</v>
      </c>
      <c r="U187" s="82"/>
      <c r="V187" s="82">
        <v>272.5</v>
      </c>
      <c r="W187" s="82">
        <v>453.2</v>
      </c>
      <c r="X187" s="82"/>
      <c r="Y187" s="82"/>
      <c r="Z187" s="82"/>
      <c r="AA187" s="82">
        <v>201.8</v>
      </c>
      <c r="AB187" s="82"/>
      <c r="AC187" s="82">
        <v>39.700000000000003</v>
      </c>
      <c r="AD187" s="71" t="s">
        <v>5305</v>
      </c>
      <c r="AE187" s="71" t="s">
        <v>5299</v>
      </c>
      <c r="AF187" s="71" t="s">
        <v>8</v>
      </c>
      <c r="AG187" s="71" t="s">
        <v>9</v>
      </c>
      <c r="AH187" s="72">
        <v>45744</v>
      </c>
      <c r="AI187" s="71"/>
    </row>
    <row r="188" spans="1:35">
      <c r="A188" s="77" t="s">
        <v>4006</v>
      </c>
      <c r="B188" s="78">
        <v>132.203</v>
      </c>
      <c r="C188" s="81">
        <v>26.4</v>
      </c>
      <c r="D188" s="81">
        <v>164</v>
      </c>
      <c r="E188" s="81">
        <v>395.4</v>
      </c>
      <c r="F188" s="81">
        <v>656.6</v>
      </c>
      <c r="G188" s="81">
        <v>800.8</v>
      </c>
      <c r="H188" s="81"/>
      <c r="I188" s="81">
        <v>724.4</v>
      </c>
      <c r="J188" s="81"/>
      <c r="K188" s="81">
        <v>610.1</v>
      </c>
      <c r="L188" s="81">
        <v>493.2</v>
      </c>
      <c r="M188" s="81">
        <v>463.3</v>
      </c>
      <c r="N188" s="81"/>
      <c r="O188" s="81">
        <v>332.3</v>
      </c>
      <c r="P188" s="81"/>
      <c r="Q188" s="81"/>
      <c r="R188" s="81">
        <v>531.4</v>
      </c>
      <c r="S188" s="81">
        <v>532.1</v>
      </c>
      <c r="T188" s="81">
        <v>526.70000000000005</v>
      </c>
      <c r="U188" s="81">
        <v>557.4</v>
      </c>
      <c r="V188" s="81">
        <v>264</v>
      </c>
      <c r="W188" s="81"/>
      <c r="X188" s="81"/>
      <c r="Y188" s="81"/>
      <c r="Z188" s="81"/>
      <c r="AA188" s="81">
        <v>234.4</v>
      </c>
      <c r="AB188" s="81"/>
      <c r="AC188" s="81">
        <v>61.1</v>
      </c>
      <c r="AD188" s="79" t="s">
        <v>5306</v>
      </c>
      <c r="AE188" s="79" t="s">
        <v>5299</v>
      </c>
      <c r="AF188" s="79" t="s">
        <v>11</v>
      </c>
      <c r="AG188" s="79" t="s">
        <v>12</v>
      </c>
      <c r="AH188" s="80">
        <v>45747</v>
      </c>
      <c r="AI188" s="79"/>
    </row>
    <row r="189" spans="1:35">
      <c r="A189" s="69" t="s">
        <v>4012</v>
      </c>
      <c r="B189" s="70">
        <v>75.858000000000004</v>
      </c>
      <c r="C189" s="82">
        <v>38.200000000000003</v>
      </c>
      <c r="D189" s="82">
        <v>177.9</v>
      </c>
      <c r="E189" s="82"/>
      <c r="F189" s="82">
        <v>701.4</v>
      </c>
      <c r="G189" s="82">
        <v>851.3</v>
      </c>
      <c r="H189" s="82"/>
      <c r="I189" s="82">
        <v>766.9</v>
      </c>
      <c r="J189" s="82">
        <v>769</v>
      </c>
      <c r="K189" s="82">
        <v>612.70000000000005</v>
      </c>
      <c r="L189" s="82">
        <v>499.4</v>
      </c>
      <c r="M189" s="82">
        <v>486.7</v>
      </c>
      <c r="N189" s="82"/>
      <c r="O189" s="82">
        <v>359.7</v>
      </c>
      <c r="P189" s="82"/>
      <c r="Q189" s="82"/>
      <c r="R189" s="82">
        <v>562.9</v>
      </c>
      <c r="S189" s="82"/>
      <c r="T189" s="82">
        <v>552.1</v>
      </c>
      <c r="U189" s="82"/>
      <c r="V189" s="82">
        <v>271.10000000000002</v>
      </c>
      <c r="W189" s="82"/>
      <c r="X189" s="82"/>
      <c r="Y189" s="82"/>
      <c r="Z189" s="82">
        <v>411.9</v>
      </c>
      <c r="AA189" s="82">
        <v>243.5</v>
      </c>
      <c r="AB189" s="82"/>
      <c r="AC189" s="82">
        <v>41.8</v>
      </c>
      <c r="AD189" s="71" t="s">
        <v>5307</v>
      </c>
      <c r="AE189" s="71" t="s">
        <v>5299</v>
      </c>
      <c r="AF189" s="71" t="s">
        <v>11</v>
      </c>
      <c r="AG189" s="71" t="s">
        <v>12</v>
      </c>
      <c r="AH189" s="72">
        <v>45747</v>
      </c>
      <c r="AI189" s="71"/>
    </row>
    <row r="190" spans="1:35">
      <c r="A190" s="77" t="s">
        <v>4023</v>
      </c>
      <c r="B190" s="78">
        <v>74.790999999999997</v>
      </c>
      <c r="C190" s="81">
        <v>37.1</v>
      </c>
      <c r="D190" s="81">
        <v>177.5</v>
      </c>
      <c r="E190" s="81">
        <v>378.7</v>
      </c>
      <c r="F190" s="81">
        <v>661.8</v>
      </c>
      <c r="G190" s="81">
        <v>833.7</v>
      </c>
      <c r="H190" s="81"/>
      <c r="I190" s="81">
        <v>766.1</v>
      </c>
      <c r="J190" s="81">
        <v>727.6</v>
      </c>
      <c r="K190" s="81">
        <v>595.6</v>
      </c>
      <c r="L190" s="81">
        <v>519.1</v>
      </c>
      <c r="M190" s="81">
        <v>478.4</v>
      </c>
      <c r="N190" s="81"/>
      <c r="O190" s="81">
        <v>351.8</v>
      </c>
      <c r="P190" s="81"/>
      <c r="Q190" s="81"/>
      <c r="R190" s="81">
        <v>547</v>
      </c>
      <c r="S190" s="81"/>
      <c r="T190" s="81">
        <v>543.29999999999995</v>
      </c>
      <c r="U190" s="81"/>
      <c r="V190" s="81">
        <v>285</v>
      </c>
      <c r="W190" s="81"/>
      <c r="X190" s="81"/>
      <c r="Y190" s="81"/>
      <c r="Z190" s="81"/>
      <c r="AA190" s="81">
        <v>266.39999999999998</v>
      </c>
      <c r="AB190" s="81">
        <v>94.5</v>
      </c>
      <c r="AC190" s="81">
        <v>72</v>
      </c>
      <c r="AD190" s="79" t="s">
        <v>5308</v>
      </c>
      <c r="AE190" s="79" t="s">
        <v>5299</v>
      </c>
      <c r="AF190" s="79" t="s">
        <v>14</v>
      </c>
      <c r="AG190" s="79" t="s">
        <v>9</v>
      </c>
      <c r="AH190" s="80">
        <v>45750</v>
      </c>
      <c r="AI190" s="79"/>
    </row>
    <row r="191" spans="1:35">
      <c r="A191" s="69" t="s">
        <v>4031</v>
      </c>
      <c r="B191" s="70">
        <v>86.204999999999998</v>
      </c>
      <c r="C191" s="82">
        <v>25.9</v>
      </c>
      <c r="D191" s="82">
        <v>181.9</v>
      </c>
      <c r="E191" s="82">
        <v>364.2</v>
      </c>
      <c r="F191" s="82">
        <v>690.1</v>
      </c>
      <c r="G191" s="82">
        <v>840</v>
      </c>
      <c r="H191" s="82">
        <v>783.3</v>
      </c>
      <c r="I191" s="82">
        <v>766.1</v>
      </c>
      <c r="J191" s="82">
        <v>717.3</v>
      </c>
      <c r="K191" s="82">
        <v>639</v>
      </c>
      <c r="L191" s="82">
        <v>490.3</v>
      </c>
      <c r="M191" s="82">
        <v>480.6</v>
      </c>
      <c r="N191" s="82"/>
      <c r="O191" s="82">
        <v>362.8</v>
      </c>
      <c r="P191" s="82"/>
      <c r="Q191" s="82">
        <v>533.29999999999995</v>
      </c>
      <c r="R191" s="82">
        <v>552.79999999999995</v>
      </c>
      <c r="S191" s="82"/>
      <c r="T191" s="82">
        <v>524.9</v>
      </c>
      <c r="U191" s="82"/>
      <c r="V191" s="82">
        <v>278.5</v>
      </c>
      <c r="W191" s="82"/>
      <c r="X191" s="82"/>
      <c r="Y191" s="82"/>
      <c r="Z191" s="82"/>
      <c r="AA191" s="82">
        <v>226.9</v>
      </c>
      <c r="AB191" s="82"/>
      <c r="AC191" s="82">
        <v>41</v>
      </c>
      <c r="AD191" s="71" t="s">
        <v>5309</v>
      </c>
      <c r="AE191" s="71" t="s">
        <v>5310</v>
      </c>
      <c r="AF191" s="71" t="s">
        <v>14</v>
      </c>
      <c r="AG191" s="71" t="s">
        <v>9</v>
      </c>
      <c r="AH191" s="72">
        <v>45750</v>
      </c>
      <c r="AI191" s="71"/>
    </row>
    <row r="192" spans="1:35">
      <c r="A192" s="77" t="s">
        <v>4033</v>
      </c>
      <c r="B192" s="78">
        <v>135.02099999999999</v>
      </c>
      <c r="C192" s="81">
        <v>26.4</v>
      </c>
      <c r="D192" s="81">
        <v>183.5</v>
      </c>
      <c r="E192" s="81"/>
      <c r="F192" s="81">
        <v>617.20000000000005</v>
      </c>
      <c r="G192" s="81">
        <v>772</v>
      </c>
      <c r="H192" s="81"/>
      <c r="I192" s="81">
        <v>706.4</v>
      </c>
      <c r="J192" s="81"/>
      <c r="K192" s="81">
        <v>545.9</v>
      </c>
      <c r="L192" s="81">
        <v>463.3</v>
      </c>
      <c r="M192" s="81">
        <v>419.5</v>
      </c>
      <c r="N192" s="81"/>
      <c r="O192" s="81">
        <v>315.7</v>
      </c>
      <c r="P192" s="81"/>
      <c r="Q192" s="81"/>
      <c r="R192" s="81">
        <v>508.5</v>
      </c>
      <c r="S192" s="81">
        <v>510.4</v>
      </c>
      <c r="T192" s="81">
        <v>502.6</v>
      </c>
      <c r="U192" s="81">
        <v>515.79999999999995</v>
      </c>
      <c r="V192" s="81">
        <v>252.7</v>
      </c>
      <c r="W192" s="81"/>
      <c r="X192" s="81"/>
      <c r="Y192" s="81"/>
      <c r="Z192" s="81">
        <v>351.2</v>
      </c>
      <c r="AA192" s="81">
        <v>233.2</v>
      </c>
      <c r="AB192" s="81">
        <v>97.8</v>
      </c>
      <c r="AC192" s="81">
        <v>69.8</v>
      </c>
      <c r="AD192" s="79" t="s">
        <v>5311</v>
      </c>
      <c r="AE192" s="79" t="s">
        <v>5310</v>
      </c>
      <c r="AF192" s="79" t="s">
        <v>16</v>
      </c>
      <c r="AG192" s="79" t="s">
        <v>12</v>
      </c>
      <c r="AH192" s="80">
        <v>45753</v>
      </c>
      <c r="AI192" s="79"/>
    </row>
    <row r="193" spans="1:35">
      <c r="A193" s="69" t="s">
        <v>4037</v>
      </c>
      <c r="B193" s="70">
        <v>125.738</v>
      </c>
      <c r="C193" s="82">
        <v>31.2</v>
      </c>
      <c r="D193" s="82">
        <v>184.2</v>
      </c>
      <c r="E193" s="82"/>
      <c r="F193" s="82">
        <v>671</v>
      </c>
      <c r="G193" s="82">
        <v>820.6</v>
      </c>
      <c r="H193" s="82">
        <v>771.8</v>
      </c>
      <c r="I193" s="82">
        <v>738.7</v>
      </c>
      <c r="J193" s="82"/>
      <c r="K193" s="82">
        <v>620.70000000000005</v>
      </c>
      <c r="L193" s="82">
        <v>500</v>
      </c>
      <c r="M193" s="82">
        <v>446.3</v>
      </c>
      <c r="N193" s="82">
        <v>418</v>
      </c>
      <c r="O193" s="82">
        <v>333.9</v>
      </c>
      <c r="P193" s="82"/>
      <c r="Q193" s="82"/>
      <c r="R193" s="82">
        <v>521.9</v>
      </c>
      <c r="S193" s="82">
        <v>518.4</v>
      </c>
      <c r="T193" s="82">
        <v>497.7</v>
      </c>
      <c r="U193" s="82"/>
      <c r="V193" s="82">
        <v>265.60000000000002</v>
      </c>
      <c r="W193" s="82">
        <v>465.5</v>
      </c>
      <c r="X193" s="82"/>
      <c r="Y193" s="82"/>
      <c r="Z193" s="82"/>
      <c r="AA193" s="82">
        <v>264.10000000000002</v>
      </c>
      <c r="AB193" s="82">
        <v>90.4</v>
      </c>
      <c r="AC193" s="82">
        <v>55.3</v>
      </c>
      <c r="AD193" s="71" t="s">
        <v>5312</v>
      </c>
      <c r="AE193" s="71" t="s">
        <v>5310</v>
      </c>
      <c r="AF193" s="71" t="s">
        <v>8</v>
      </c>
      <c r="AG193" s="71" t="s">
        <v>9</v>
      </c>
      <c r="AH193" s="72">
        <v>45756</v>
      </c>
      <c r="AI193" s="71"/>
    </row>
    <row r="194" spans="1:35">
      <c r="A194" s="77" t="s">
        <v>4043</v>
      </c>
      <c r="B194" s="78">
        <v>102.101</v>
      </c>
      <c r="C194" s="81">
        <v>34.6</v>
      </c>
      <c r="D194" s="81">
        <v>189.5</v>
      </c>
      <c r="E194" s="81">
        <v>394.1</v>
      </c>
      <c r="F194" s="81">
        <v>661.4</v>
      </c>
      <c r="G194" s="81">
        <v>826.8</v>
      </c>
      <c r="H194" s="81"/>
      <c r="I194" s="81">
        <v>765.3</v>
      </c>
      <c r="J194" s="81">
        <v>737.3</v>
      </c>
      <c r="K194" s="81">
        <v>616</v>
      </c>
      <c r="L194" s="81">
        <v>516.1</v>
      </c>
      <c r="M194" s="81">
        <v>451.1</v>
      </c>
      <c r="N194" s="81"/>
      <c r="O194" s="81">
        <v>342.4</v>
      </c>
      <c r="P194" s="81"/>
      <c r="Q194" s="81"/>
      <c r="R194" s="81">
        <v>523.9</v>
      </c>
      <c r="S194" s="81"/>
      <c r="T194" s="81">
        <v>516.4</v>
      </c>
      <c r="U194" s="81"/>
      <c r="V194" s="81">
        <v>275</v>
      </c>
      <c r="W194" s="81">
        <v>458.8</v>
      </c>
      <c r="X194" s="81">
        <v>547.79999999999995</v>
      </c>
      <c r="Y194" s="81">
        <v>533.6</v>
      </c>
      <c r="Z194" s="81"/>
      <c r="AA194" s="81">
        <v>205.7</v>
      </c>
      <c r="AB194" s="81"/>
      <c r="AC194" s="81">
        <v>47.4</v>
      </c>
      <c r="AD194" s="79" t="s">
        <v>5313</v>
      </c>
      <c r="AE194" s="79" t="s">
        <v>5310</v>
      </c>
      <c r="AF194" s="79" t="s">
        <v>11</v>
      </c>
      <c r="AG194" s="79" t="s">
        <v>12</v>
      </c>
      <c r="AH194" s="80">
        <v>45759</v>
      </c>
      <c r="AI194" s="79"/>
    </row>
    <row r="195" spans="1:35">
      <c r="A195" s="69" t="s">
        <v>4047</v>
      </c>
      <c r="B195" s="70">
        <v>116.124</v>
      </c>
      <c r="C195" s="82">
        <v>34.9</v>
      </c>
      <c r="D195" s="82">
        <v>186</v>
      </c>
      <c r="E195" s="82"/>
      <c r="F195" s="82">
        <v>681.6</v>
      </c>
      <c r="G195" s="82">
        <v>811.7</v>
      </c>
      <c r="H195" s="82"/>
      <c r="I195" s="82">
        <v>731.6</v>
      </c>
      <c r="J195" s="82"/>
      <c r="K195" s="82">
        <v>611.6</v>
      </c>
      <c r="L195" s="82">
        <v>502.7</v>
      </c>
      <c r="M195" s="82">
        <v>469.8</v>
      </c>
      <c r="N195" s="82">
        <v>415.4</v>
      </c>
      <c r="O195" s="82">
        <v>340.4</v>
      </c>
      <c r="P195" s="82"/>
      <c r="Q195" s="82"/>
      <c r="R195" s="82">
        <v>524.6</v>
      </c>
      <c r="S195" s="82">
        <v>529.29999999999995</v>
      </c>
      <c r="T195" s="82">
        <v>508.4</v>
      </c>
      <c r="U195" s="82"/>
      <c r="V195" s="82">
        <v>272.39999999999998</v>
      </c>
      <c r="W195" s="82">
        <v>458.5</v>
      </c>
      <c r="X195" s="82">
        <v>515.79999999999995</v>
      </c>
      <c r="Y195" s="82">
        <v>498.1</v>
      </c>
      <c r="Z195" s="82"/>
      <c r="AA195" s="82">
        <v>191.9</v>
      </c>
      <c r="AB195" s="82"/>
      <c r="AC195" s="82">
        <v>58.9</v>
      </c>
      <c r="AD195" s="71" t="s">
        <v>5314</v>
      </c>
      <c r="AE195" s="71" t="s">
        <v>5310</v>
      </c>
      <c r="AF195" s="71" t="s">
        <v>14</v>
      </c>
      <c r="AG195" s="71" t="s">
        <v>9</v>
      </c>
      <c r="AH195" s="72">
        <v>45762</v>
      </c>
      <c r="AI195" s="71"/>
    </row>
    <row r="196" spans="1:35">
      <c r="A196" s="77" t="s">
        <v>4053</v>
      </c>
      <c r="B196" s="78">
        <v>109.765</v>
      </c>
      <c r="C196" s="81">
        <v>34.200000000000003</v>
      </c>
      <c r="D196" s="81">
        <v>192.9</v>
      </c>
      <c r="E196" s="81"/>
      <c r="F196" s="81">
        <v>711.5</v>
      </c>
      <c r="G196" s="81">
        <v>848.9</v>
      </c>
      <c r="H196" s="81"/>
      <c r="I196" s="81">
        <v>799.9</v>
      </c>
      <c r="J196" s="81">
        <v>755.8</v>
      </c>
      <c r="K196" s="81">
        <v>621.4</v>
      </c>
      <c r="L196" s="81">
        <v>537.79999999999995</v>
      </c>
      <c r="M196" s="81">
        <v>498.7</v>
      </c>
      <c r="N196" s="81">
        <v>415</v>
      </c>
      <c r="O196" s="81">
        <v>354.6</v>
      </c>
      <c r="P196" s="81"/>
      <c r="Q196" s="81"/>
      <c r="R196" s="81">
        <v>569.70000000000005</v>
      </c>
      <c r="S196" s="81"/>
      <c r="T196" s="81">
        <v>572.79999999999995</v>
      </c>
      <c r="U196" s="81"/>
      <c r="V196" s="81">
        <v>264.60000000000002</v>
      </c>
      <c r="W196" s="81">
        <v>465.3</v>
      </c>
      <c r="X196" s="81">
        <v>544.79999999999995</v>
      </c>
      <c r="Y196" s="81">
        <v>534.29999999999995</v>
      </c>
      <c r="Z196" s="81"/>
      <c r="AA196" s="81">
        <v>274.5</v>
      </c>
      <c r="AB196" s="81"/>
      <c r="AC196" s="81">
        <v>35.1</v>
      </c>
      <c r="AD196" s="79" t="s">
        <v>5315</v>
      </c>
      <c r="AE196" s="79" t="s">
        <v>5310</v>
      </c>
      <c r="AF196" s="79" t="s">
        <v>16</v>
      </c>
      <c r="AG196" s="79" t="s">
        <v>12</v>
      </c>
      <c r="AH196" s="80">
        <v>45765</v>
      </c>
      <c r="AI196" s="79"/>
    </row>
    <row r="197" spans="1:35">
      <c r="A197" s="73" t="s">
        <v>4059</v>
      </c>
      <c r="B197" s="74">
        <v>76.164000000000001</v>
      </c>
      <c r="C197" s="83">
        <v>38.200000000000003</v>
      </c>
      <c r="D197" s="83">
        <v>197.4</v>
      </c>
      <c r="E197" s="83">
        <v>391.6</v>
      </c>
      <c r="F197" s="83">
        <v>704.2</v>
      </c>
      <c r="G197" s="83">
        <v>841.1</v>
      </c>
      <c r="H197" s="83"/>
      <c r="I197" s="83">
        <v>755.8</v>
      </c>
      <c r="J197" s="83">
        <v>744.1</v>
      </c>
      <c r="K197" s="83">
        <v>602.20000000000005</v>
      </c>
      <c r="L197" s="83">
        <v>526.9</v>
      </c>
      <c r="M197" s="83">
        <v>453.6</v>
      </c>
      <c r="N197" s="83"/>
      <c r="O197" s="83">
        <v>344.9</v>
      </c>
      <c r="P197" s="83"/>
      <c r="Q197" s="83"/>
      <c r="R197" s="83">
        <v>559.1</v>
      </c>
      <c r="S197" s="83">
        <v>557.9</v>
      </c>
      <c r="T197" s="83">
        <v>549.20000000000005</v>
      </c>
      <c r="U197" s="83"/>
      <c r="V197" s="83">
        <v>269.8</v>
      </c>
      <c r="W197" s="83">
        <v>455.8</v>
      </c>
      <c r="X197" s="83"/>
      <c r="Y197" s="83"/>
      <c r="Z197" s="83"/>
      <c r="AA197" s="83">
        <v>196.9</v>
      </c>
      <c r="AB197" s="83">
        <v>117.8</v>
      </c>
      <c r="AC197" s="83">
        <v>74.7</v>
      </c>
      <c r="AD197" s="75" t="s">
        <v>5316</v>
      </c>
      <c r="AE197" s="75" t="s">
        <v>5310</v>
      </c>
      <c r="AF197" s="75" t="s">
        <v>8</v>
      </c>
      <c r="AG197" s="75" t="s">
        <v>9</v>
      </c>
      <c r="AH197" s="76">
        <v>45768</v>
      </c>
      <c r="AI197" s="75"/>
    </row>
  </sheetData>
  <phoneticPr fontId="3"/>
  <conditionalFormatting sqref="L2:L197">
    <cfRule type="expression" dxfId="2" priority="1">
      <formula>L2="除外"</formula>
    </cfRule>
    <cfRule type="expression" dxfId="1" priority="2">
      <formula>L2="参考"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33"/>
  <sheetViews>
    <sheetView workbookViewId="0"/>
  </sheetViews>
  <sheetFormatPr defaultRowHeight="14.25"/>
  <cols>
    <col min="1" max="1" width="23" customWidth="1"/>
    <col min="2" max="3" width="13" customWidth="1"/>
    <col min="4" max="4" width="18" customWidth="1"/>
    <col min="5" max="5" width="23" customWidth="1"/>
    <col min="6" max="6" width="14" customWidth="1"/>
  </cols>
  <sheetData>
    <row r="1" spans="1:6" ht="32.1" customHeight="1">
      <c r="A1" s="12" t="s">
        <v>198</v>
      </c>
      <c r="B1" s="18" t="s">
        <v>4795</v>
      </c>
      <c r="C1" s="18" t="s">
        <v>4796</v>
      </c>
      <c r="D1" s="18" t="s">
        <v>4797</v>
      </c>
      <c r="E1" s="2" t="s">
        <v>4786</v>
      </c>
      <c r="F1" s="2" t="s">
        <v>4787</v>
      </c>
    </row>
    <row r="2" spans="1:6">
      <c r="A2" s="3" t="s">
        <v>1857</v>
      </c>
      <c r="B2" s="8">
        <v>116.824</v>
      </c>
      <c r="C2" s="8">
        <v>10</v>
      </c>
      <c r="D2" s="8">
        <v>10.3</v>
      </c>
      <c r="E2" s="5">
        <v>45757</v>
      </c>
      <c r="F2" t="s">
        <v>4520</v>
      </c>
    </row>
    <row r="3" spans="1:6">
      <c r="A3" s="3" t="s">
        <v>1859</v>
      </c>
      <c r="B3" s="8">
        <v>120.548</v>
      </c>
      <c r="C3" s="8">
        <v>10</v>
      </c>
      <c r="D3" s="8">
        <v>10.3</v>
      </c>
      <c r="E3" s="5">
        <v>45758</v>
      </c>
      <c r="F3" t="s">
        <v>12</v>
      </c>
    </row>
    <row r="4" spans="1:6">
      <c r="A4" s="3" t="s">
        <v>1861</v>
      </c>
      <c r="B4" s="8">
        <v>118.893</v>
      </c>
      <c r="C4" s="8">
        <v>10</v>
      </c>
      <c r="D4" s="8">
        <v>10.3</v>
      </c>
      <c r="E4" s="5">
        <v>45759</v>
      </c>
      <c r="F4" t="s">
        <v>4523</v>
      </c>
    </row>
    <row r="5" spans="1:6">
      <c r="A5" s="3" t="s">
        <v>1869</v>
      </c>
      <c r="B5" s="8">
        <v>120.566</v>
      </c>
      <c r="C5" s="8">
        <v>10</v>
      </c>
      <c r="D5" s="8">
        <v>10.3</v>
      </c>
      <c r="E5" s="5">
        <v>45760</v>
      </c>
      <c r="F5" t="s">
        <v>4512</v>
      </c>
    </row>
    <row r="6" spans="1:6">
      <c r="A6" s="3" t="s">
        <v>1871</v>
      </c>
      <c r="B6" s="8">
        <v>119.59399999999999</v>
      </c>
      <c r="C6" s="8">
        <v>10</v>
      </c>
      <c r="D6" s="8">
        <v>10.3</v>
      </c>
      <c r="E6" s="5">
        <v>45761</v>
      </c>
      <c r="F6" t="s">
        <v>9</v>
      </c>
    </row>
    <row r="7" spans="1:6">
      <c r="A7" s="3" t="s">
        <v>1873</v>
      </c>
      <c r="B7" s="8">
        <v>112.901</v>
      </c>
      <c r="C7" s="8">
        <v>10</v>
      </c>
      <c r="D7" s="8">
        <v>10.3</v>
      </c>
      <c r="E7" s="5">
        <v>45762</v>
      </c>
      <c r="F7" t="s">
        <v>191</v>
      </c>
    </row>
    <row r="8" spans="1:6">
      <c r="A8" s="3" t="s">
        <v>1875</v>
      </c>
      <c r="B8" s="8">
        <v>122.065</v>
      </c>
      <c r="C8" s="8">
        <v>10</v>
      </c>
      <c r="D8" s="8">
        <v>10.3</v>
      </c>
      <c r="E8" s="5">
        <v>45763</v>
      </c>
      <c r="F8" t="s">
        <v>4520</v>
      </c>
    </row>
    <row r="9" spans="1:6">
      <c r="A9" s="3" t="s">
        <v>1888</v>
      </c>
      <c r="B9" s="8">
        <v>115.387</v>
      </c>
      <c r="C9" s="8">
        <v>10</v>
      </c>
      <c r="D9" s="8">
        <v>10.3</v>
      </c>
      <c r="E9" s="5">
        <v>45763</v>
      </c>
      <c r="F9" t="s">
        <v>12</v>
      </c>
    </row>
    <row r="10" spans="1:6">
      <c r="A10" s="3" t="s">
        <v>1890</v>
      </c>
      <c r="B10" s="8">
        <v>110.459</v>
      </c>
      <c r="C10" s="8">
        <v>10</v>
      </c>
      <c r="D10" s="8">
        <v>10.3</v>
      </c>
      <c r="E10" s="5">
        <v>45764</v>
      </c>
      <c r="F10" t="s">
        <v>4523</v>
      </c>
    </row>
    <row r="11" spans="1:6">
      <c r="A11" s="3" t="s">
        <v>1892</v>
      </c>
      <c r="B11" s="8">
        <v>109</v>
      </c>
      <c r="C11" s="8">
        <v>10</v>
      </c>
      <c r="D11" s="8">
        <v>10.3</v>
      </c>
      <c r="E11" s="5">
        <v>45765</v>
      </c>
      <c r="F11" t="s">
        <v>4512</v>
      </c>
    </row>
    <row r="12" spans="1:6">
      <c r="A12" s="3" t="s">
        <v>1894</v>
      </c>
      <c r="B12" s="8">
        <v>113.407</v>
      </c>
      <c r="C12" s="8">
        <v>10</v>
      </c>
      <c r="D12" s="8">
        <v>10.3</v>
      </c>
      <c r="E12" s="5">
        <v>45766</v>
      </c>
      <c r="F12" t="s">
        <v>9</v>
      </c>
    </row>
    <row r="13" spans="1:6">
      <c r="A13" s="3" t="s">
        <v>1896</v>
      </c>
      <c r="B13" s="8">
        <v>109.70699999999999</v>
      </c>
      <c r="C13" s="8">
        <v>10</v>
      </c>
      <c r="D13" s="8">
        <v>10.3</v>
      </c>
      <c r="E13" s="5">
        <v>45767</v>
      </c>
      <c r="F13" t="s">
        <v>191</v>
      </c>
    </row>
    <row r="14" spans="1:6">
      <c r="A14" s="3" t="s">
        <v>1914</v>
      </c>
      <c r="B14" s="8">
        <v>95.114000000000004</v>
      </c>
      <c r="C14" s="8">
        <v>10</v>
      </c>
      <c r="D14" s="8">
        <v>10.3</v>
      </c>
      <c r="E14" s="5">
        <v>45766</v>
      </c>
      <c r="F14" t="s">
        <v>4520</v>
      </c>
    </row>
    <row r="15" spans="1:6">
      <c r="A15" s="3" t="s">
        <v>1916</v>
      </c>
      <c r="B15" s="8">
        <v>104.79</v>
      </c>
      <c r="C15" s="8">
        <v>10</v>
      </c>
      <c r="D15" s="8">
        <v>10.3</v>
      </c>
      <c r="E15" s="5">
        <v>45767</v>
      </c>
      <c r="F15" t="s">
        <v>12</v>
      </c>
    </row>
    <row r="16" spans="1:6">
      <c r="A16" s="3" t="s">
        <v>1918</v>
      </c>
      <c r="B16" s="8">
        <v>99.935000000000002</v>
      </c>
      <c r="C16" s="8">
        <v>10</v>
      </c>
      <c r="D16" s="8">
        <v>10.3</v>
      </c>
      <c r="E16" s="5">
        <v>45768</v>
      </c>
      <c r="F16" t="s">
        <v>4523</v>
      </c>
    </row>
    <row r="17" spans="1:6">
      <c r="A17" s="3" t="s">
        <v>1920</v>
      </c>
      <c r="B17" s="8">
        <v>96.825999999999993</v>
      </c>
      <c r="C17" s="8">
        <v>10</v>
      </c>
      <c r="D17" s="8">
        <v>10.3</v>
      </c>
      <c r="E17" s="5">
        <v>45769</v>
      </c>
      <c r="F17" t="s">
        <v>4512</v>
      </c>
    </row>
    <row r="18" spans="1:6">
      <c r="A18" s="3" t="s">
        <v>1928</v>
      </c>
      <c r="B18" s="8">
        <v>101.357</v>
      </c>
      <c r="C18" s="8">
        <v>10</v>
      </c>
      <c r="D18" s="8">
        <v>10.3</v>
      </c>
      <c r="E18" s="5">
        <v>45769</v>
      </c>
      <c r="F18" t="s">
        <v>9</v>
      </c>
    </row>
    <row r="19" spans="1:6">
      <c r="A19" s="3" t="s">
        <v>1930</v>
      </c>
      <c r="B19" s="8">
        <v>98.418999999999997</v>
      </c>
      <c r="C19" s="8">
        <v>10</v>
      </c>
      <c r="D19" s="8">
        <v>10.3</v>
      </c>
      <c r="E19" s="5">
        <v>45770</v>
      </c>
      <c r="F19" t="s">
        <v>191</v>
      </c>
    </row>
    <row r="20" spans="1:6">
      <c r="A20" s="3" t="s">
        <v>1932</v>
      </c>
      <c r="B20" s="8">
        <v>97.655000000000001</v>
      </c>
      <c r="C20" s="8">
        <v>10</v>
      </c>
      <c r="D20" s="8">
        <v>10.3</v>
      </c>
      <c r="E20" s="5">
        <v>45771</v>
      </c>
      <c r="F20" t="s">
        <v>4520</v>
      </c>
    </row>
    <row r="21" spans="1:6">
      <c r="A21" s="3" t="s">
        <v>1934</v>
      </c>
      <c r="B21" s="8">
        <v>98.9</v>
      </c>
      <c r="C21" s="8">
        <v>10</v>
      </c>
      <c r="D21" s="8">
        <v>10.3</v>
      </c>
      <c r="E21" s="5">
        <v>45772</v>
      </c>
      <c r="F21" t="s">
        <v>12</v>
      </c>
    </row>
    <row r="22" spans="1:6">
      <c r="A22" s="3" t="s">
        <v>1951</v>
      </c>
      <c r="B22" s="8">
        <v>99.844999999999999</v>
      </c>
      <c r="C22" s="8">
        <v>10</v>
      </c>
      <c r="D22" s="8">
        <v>10.3</v>
      </c>
      <c r="E22" s="5">
        <v>45784</v>
      </c>
      <c r="F22" t="s">
        <v>4523</v>
      </c>
    </row>
    <row r="23" spans="1:6">
      <c r="A23" s="3" t="s">
        <v>1953</v>
      </c>
      <c r="B23" s="8">
        <v>102.027</v>
      </c>
      <c r="C23" s="8">
        <v>10</v>
      </c>
      <c r="D23" s="8">
        <v>10.3</v>
      </c>
      <c r="E23" s="5">
        <v>45785</v>
      </c>
      <c r="F23" t="s">
        <v>4512</v>
      </c>
    </row>
    <row r="24" spans="1:6">
      <c r="A24" s="3" t="s">
        <v>1955</v>
      </c>
      <c r="B24" s="8">
        <v>108.96599999999999</v>
      </c>
      <c r="C24" s="8">
        <v>10</v>
      </c>
      <c r="D24" s="8">
        <v>10.3</v>
      </c>
      <c r="E24" s="5">
        <v>45786</v>
      </c>
      <c r="F24" t="s">
        <v>9</v>
      </c>
    </row>
    <row r="25" spans="1:6">
      <c r="A25" s="3" t="s">
        <v>1967</v>
      </c>
      <c r="B25" s="8">
        <v>83.653000000000006</v>
      </c>
      <c r="C25" s="8">
        <v>10</v>
      </c>
      <c r="D25" s="8">
        <v>10.3</v>
      </c>
      <c r="E25" s="5">
        <v>45787</v>
      </c>
      <c r="F25" t="s">
        <v>191</v>
      </c>
    </row>
    <row r="26" spans="1:6">
      <c r="A26" s="3" t="s">
        <v>1969</v>
      </c>
      <c r="B26" s="8">
        <v>89.075999999999993</v>
      </c>
      <c r="C26" s="8">
        <v>10</v>
      </c>
      <c r="D26" s="8">
        <v>10.3</v>
      </c>
      <c r="E26" s="5">
        <v>45788</v>
      </c>
      <c r="F26" t="s">
        <v>4520</v>
      </c>
    </row>
    <row r="27" spans="1:6">
      <c r="A27" s="3" t="s">
        <v>1971</v>
      </c>
      <c r="B27" s="8">
        <v>96.156999999999996</v>
      </c>
      <c r="C27" s="8">
        <v>10</v>
      </c>
      <c r="D27" s="8">
        <v>10.3</v>
      </c>
      <c r="E27" s="5">
        <v>45789</v>
      </c>
      <c r="F27" t="s">
        <v>12</v>
      </c>
    </row>
    <row r="28" spans="1:6">
      <c r="A28" s="3" t="s">
        <v>1973</v>
      </c>
      <c r="B28" s="8">
        <v>90.909000000000006</v>
      </c>
      <c r="C28" s="8">
        <v>10</v>
      </c>
      <c r="D28" s="8">
        <v>10.3</v>
      </c>
      <c r="E28" s="5">
        <v>45790</v>
      </c>
      <c r="F28" t="s">
        <v>4523</v>
      </c>
    </row>
    <row r="29" spans="1:6">
      <c r="A29" s="3" t="s">
        <v>1981</v>
      </c>
      <c r="B29" s="8">
        <v>-456.11900000000003</v>
      </c>
      <c r="C29" s="8">
        <v>10</v>
      </c>
      <c r="D29" s="8">
        <v>10.3</v>
      </c>
      <c r="E29" s="5">
        <v>45790</v>
      </c>
      <c r="F29" t="s">
        <v>4512</v>
      </c>
    </row>
    <row r="30" spans="1:6">
      <c r="A30" s="3" t="s">
        <v>1983</v>
      </c>
      <c r="B30" s="8">
        <v>-405.85</v>
      </c>
      <c r="C30" s="8">
        <v>10</v>
      </c>
      <c r="D30" s="8">
        <v>10.3</v>
      </c>
      <c r="E30" s="5">
        <v>45791</v>
      </c>
      <c r="F30" t="s">
        <v>9</v>
      </c>
    </row>
    <row r="31" spans="1:6">
      <c r="A31" s="3" t="s">
        <v>1985</v>
      </c>
      <c r="B31" s="8">
        <v>-496.86900000000003</v>
      </c>
      <c r="C31" s="8">
        <v>10</v>
      </c>
      <c r="D31" s="8">
        <v>10.3</v>
      </c>
      <c r="E31" s="5">
        <v>45792</v>
      </c>
      <c r="F31" t="s">
        <v>191</v>
      </c>
    </row>
    <row r="32" spans="1:6">
      <c r="A32" s="3" t="s">
        <v>1987</v>
      </c>
      <c r="B32" s="8">
        <v>-510.315</v>
      </c>
      <c r="C32" s="8">
        <v>10</v>
      </c>
      <c r="D32" s="8">
        <v>10.3</v>
      </c>
      <c r="E32" s="5">
        <v>45793</v>
      </c>
      <c r="F32" t="s">
        <v>4520</v>
      </c>
    </row>
    <row r="33" spans="1:6">
      <c r="A33" s="3" t="s">
        <v>1991</v>
      </c>
      <c r="B33" s="8">
        <v>-597.51599999999996</v>
      </c>
      <c r="C33" s="8">
        <v>10</v>
      </c>
      <c r="D33" s="8">
        <v>10.3</v>
      </c>
      <c r="E33" s="5">
        <v>45790</v>
      </c>
      <c r="F33" t="s">
        <v>12</v>
      </c>
    </row>
    <row r="34" spans="1:6">
      <c r="A34" s="3" t="s">
        <v>1993</v>
      </c>
      <c r="B34" s="8">
        <v>-438.79899999999998</v>
      </c>
      <c r="C34" s="8">
        <v>10</v>
      </c>
      <c r="D34" s="8">
        <v>10.3</v>
      </c>
      <c r="E34" s="5">
        <v>45791</v>
      </c>
      <c r="F34" t="s">
        <v>4523</v>
      </c>
    </row>
    <row r="35" spans="1:6">
      <c r="A35" s="3" t="s">
        <v>1995</v>
      </c>
      <c r="B35" s="8">
        <v>-501.07799999999997</v>
      </c>
      <c r="C35" s="8">
        <v>10</v>
      </c>
      <c r="D35" s="8">
        <v>10.3</v>
      </c>
      <c r="E35" s="5">
        <v>45792</v>
      </c>
      <c r="F35" t="s">
        <v>4512</v>
      </c>
    </row>
    <row r="36" spans="1:6">
      <c r="A36" s="3" t="s">
        <v>1997</v>
      </c>
      <c r="B36" s="8">
        <v>-382.12799999999999</v>
      </c>
      <c r="C36" s="8">
        <v>10</v>
      </c>
      <c r="D36" s="8">
        <v>10.3</v>
      </c>
      <c r="E36" s="5">
        <v>45793</v>
      </c>
      <c r="F36" t="s">
        <v>9</v>
      </c>
    </row>
    <row r="37" spans="1:6">
      <c r="A37" s="3" t="s">
        <v>2015</v>
      </c>
      <c r="B37" s="8">
        <v>104.063</v>
      </c>
      <c r="C37" s="8">
        <v>10</v>
      </c>
      <c r="D37" s="8">
        <v>10.3</v>
      </c>
      <c r="E37" s="5">
        <v>45802</v>
      </c>
      <c r="F37" t="s">
        <v>191</v>
      </c>
    </row>
    <row r="38" spans="1:6">
      <c r="A38" s="3" t="s">
        <v>2017</v>
      </c>
      <c r="B38" s="8">
        <v>106.309</v>
      </c>
      <c r="C38" s="8">
        <v>10</v>
      </c>
      <c r="D38" s="8">
        <v>10.3</v>
      </c>
      <c r="E38" s="5">
        <v>45803</v>
      </c>
      <c r="F38" t="s">
        <v>4520</v>
      </c>
    </row>
    <row r="39" spans="1:6">
      <c r="A39" s="3" t="s">
        <v>2019</v>
      </c>
      <c r="B39" s="8">
        <v>107.033</v>
      </c>
      <c r="C39" s="8">
        <v>10</v>
      </c>
      <c r="D39" s="8">
        <v>10.3</v>
      </c>
      <c r="E39" s="5">
        <v>45804</v>
      </c>
      <c r="F39" t="s">
        <v>12</v>
      </c>
    </row>
    <row r="40" spans="1:6">
      <c r="A40" s="3" t="s">
        <v>2021</v>
      </c>
      <c r="B40" s="8">
        <v>105.194</v>
      </c>
      <c r="C40" s="8">
        <v>10</v>
      </c>
      <c r="D40" s="8">
        <v>10.3</v>
      </c>
      <c r="E40" s="5">
        <v>45805</v>
      </c>
      <c r="F40" t="s">
        <v>4523</v>
      </c>
    </row>
    <row r="41" spans="1:6">
      <c r="A41" s="3" t="s">
        <v>2033</v>
      </c>
      <c r="B41" s="8">
        <v>93.119</v>
      </c>
      <c r="C41" s="8">
        <v>10</v>
      </c>
      <c r="D41" s="8">
        <v>10.3</v>
      </c>
      <c r="E41" s="5">
        <v>45805</v>
      </c>
      <c r="F41" t="s">
        <v>4512</v>
      </c>
    </row>
    <row r="42" spans="1:6">
      <c r="A42" s="3" t="s">
        <v>2035</v>
      </c>
      <c r="B42" s="8"/>
      <c r="C42" s="8">
        <v>10</v>
      </c>
      <c r="D42" s="8">
        <v>10.3</v>
      </c>
      <c r="E42" s="5">
        <v>45806</v>
      </c>
      <c r="F42" t="s">
        <v>9</v>
      </c>
    </row>
    <row r="43" spans="1:6">
      <c r="A43" s="3" t="s">
        <v>2037</v>
      </c>
      <c r="B43" s="8"/>
      <c r="C43" s="8">
        <v>10</v>
      </c>
      <c r="D43" s="8">
        <v>10.3</v>
      </c>
      <c r="E43" s="5">
        <v>45807</v>
      </c>
      <c r="F43" t="s">
        <v>191</v>
      </c>
    </row>
    <row r="44" spans="1:6">
      <c r="A44" s="3" t="s">
        <v>2039</v>
      </c>
      <c r="B44" s="8"/>
      <c r="C44" s="8">
        <v>10</v>
      </c>
      <c r="D44" s="8">
        <v>10.3</v>
      </c>
      <c r="E44" s="5">
        <v>45808</v>
      </c>
      <c r="F44" t="s">
        <v>4520</v>
      </c>
    </row>
    <row r="45" spans="1:6">
      <c r="A45" s="3" t="s">
        <v>2058</v>
      </c>
      <c r="B45" s="8"/>
      <c r="C45" s="8">
        <v>10</v>
      </c>
      <c r="D45" s="8">
        <v>10.3</v>
      </c>
      <c r="E45" s="5">
        <v>45811</v>
      </c>
      <c r="F45" t="s">
        <v>12</v>
      </c>
    </row>
    <row r="46" spans="1:6">
      <c r="A46" s="3" t="s">
        <v>2060</v>
      </c>
      <c r="B46" s="8"/>
      <c r="C46" s="8">
        <v>10</v>
      </c>
      <c r="D46" s="8">
        <v>10.3</v>
      </c>
      <c r="E46" s="5">
        <v>45812</v>
      </c>
      <c r="F46" t="s">
        <v>4523</v>
      </c>
    </row>
    <row r="47" spans="1:6">
      <c r="A47" s="3" t="s">
        <v>2062</v>
      </c>
      <c r="B47" s="8"/>
      <c r="C47" s="8">
        <v>10</v>
      </c>
      <c r="D47" s="8">
        <v>10.3</v>
      </c>
      <c r="E47" s="5">
        <v>45813</v>
      </c>
      <c r="F47" t="s">
        <v>4512</v>
      </c>
    </row>
    <row r="48" spans="1:6">
      <c r="A48" s="3" t="s">
        <v>2064</v>
      </c>
      <c r="B48" s="8"/>
      <c r="C48" s="8">
        <v>10</v>
      </c>
      <c r="D48" s="8">
        <v>10.3</v>
      </c>
      <c r="E48" s="5">
        <v>45814</v>
      </c>
      <c r="F48" t="s">
        <v>9</v>
      </c>
    </row>
    <row r="49" spans="1:6">
      <c r="A49" s="3" t="s">
        <v>2076</v>
      </c>
      <c r="B49" s="8"/>
      <c r="C49" s="8">
        <v>10</v>
      </c>
      <c r="D49" s="8">
        <v>10.3</v>
      </c>
      <c r="E49" s="5">
        <v>45814</v>
      </c>
      <c r="F49" t="s">
        <v>191</v>
      </c>
    </row>
    <row r="50" spans="1:6">
      <c r="A50" s="3" t="s">
        <v>2078</v>
      </c>
      <c r="B50" s="8"/>
      <c r="C50" s="8">
        <v>10</v>
      </c>
      <c r="D50" s="8">
        <v>10.3</v>
      </c>
      <c r="E50" s="5">
        <v>45815</v>
      </c>
      <c r="F50" t="s">
        <v>4520</v>
      </c>
    </row>
    <row r="51" spans="1:6">
      <c r="A51" s="3" t="s">
        <v>2080</v>
      </c>
      <c r="B51" s="8"/>
      <c r="C51" s="8">
        <v>10</v>
      </c>
      <c r="D51" s="8">
        <v>10.3</v>
      </c>
      <c r="E51" s="5">
        <v>45816</v>
      </c>
      <c r="F51" t="s">
        <v>12</v>
      </c>
    </row>
    <row r="52" spans="1:6">
      <c r="A52" s="3" t="s">
        <v>2082</v>
      </c>
      <c r="B52" s="8"/>
      <c r="C52" s="8">
        <v>10</v>
      </c>
      <c r="D52" s="8">
        <v>10.3</v>
      </c>
      <c r="E52" s="5">
        <v>45817</v>
      </c>
      <c r="F52" t="s">
        <v>4523</v>
      </c>
    </row>
    <row r="53" spans="1:6">
      <c r="A53" s="3" t="s">
        <v>2101</v>
      </c>
      <c r="B53" s="8"/>
      <c r="C53" s="8">
        <v>10</v>
      </c>
      <c r="D53" s="8">
        <v>10.3</v>
      </c>
      <c r="E53" s="5">
        <v>45817</v>
      </c>
      <c r="F53" t="s">
        <v>4512</v>
      </c>
    </row>
    <row r="54" spans="1:6">
      <c r="A54" s="3" t="s">
        <v>2103</v>
      </c>
      <c r="B54" s="8"/>
      <c r="C54" s="8">
        <v>10</v>
      </c>
      <c r="D54" s="8">
        <v>10.3</v>
      </c>
      <c r="E54" s="5">
        <v>45818</v>
      </c>
      <c r="F54" t="s">
        <v>9</v>
      </c>
    </row>
    <row r="55" spans="1:6">
      <c r="A55" s="3" t="s">
        <v>2105</v>
      </c>
      <c r="B55" s="8"/>
      <c r="C55" s="8">
        <v>10</v>
      </c>
      <c r="D55" s="8">
        <v>10.3</v>
      </c>
      <c r="E55" s="5">
        <v>45819</v>
      </c>
      <c r="F55" t="s">
        <v>191</v>
      </c>
    </row>
    <row r="56" spans="1:6">
      <c r="A56" s="3" t="s">
        <v>2107</v>
      </c>
      <c r="B56" s="8">
        <v>117.42400000000001</v>
      </c>
      <c r="C56" s="8">
        <v>10</v>
      </c>
      <c r="D56" s="8">
        <v>10.3</v>
      </c>
      <c r="E56" s="5">
        <v>45820</v>
      </c>
      <c r="F56" t="s">
        <v>4520</v>
      </c>
    </row>
    <row r="57" spans="1:6">
      <c r="A57" s="3" t="s">
        <v>2109</v>
      </c>
      <c r="B57" s="8">
        <v>120.14100000000001</v>
      </c>
      <c r="C57" s="8">
        <v>10</v>
      </c>
      <c r="D57" s="8">
        <v>10.3</v>
      </c>
      <c r="E57" s="5">
        <v>45821</v>
      </c>
      <c r="F57" t="s">
        <v>12</v>
      </c>
    </row>
    <row r="58" spans="1:6">
      <c r="A58" s="3" t="s">
        <v>2119</v>
      </c>
      <c r="B58" s="8">
        <v>117.626</v>
      </c>
      <c r="C58" s="8">
        <v>10</v>
      </c>
      <c r="D58" s="8">
        <v>10.3</v>
      </c>
      <c r="E58" s="5">
        <v>45820</v>
      </c>
      <c r="F58" t="s">
        <v>4523</v>
      </c>
    </row>
    <row r="59" spans="1:6">
      <c r="A59" s="3" t="s">
        <v>2121</v>
      </c>
      <c r="B59" s="8">
        <v>115.92400000000001</v>
      </c>
      <c r="C59" s="8">
        <v>10</v>
      </c>
      <c r="D59" s="8">
        <v>10.3</v>
      </c>
      <c r="E59" s="5">
        <v>45821</v>
      </c>
      <c r="F59" t="s">
        <v>4512</v>
      </c>
    </row>
    <row r="60" spans="1:6">
      <c r="A60" s="3" t="s">
        <v>2123</v>
      </c>
      <c r="B60" s="8">
        <v>120.71299999999999</v>
      </c>
      <c r="C60" s="8">
        <v>10</v>
      </c>
      <c r="D60" s="8">
        <v>10.3</v>
      </c>
      <c r="E60" s="5">
        <v>45822</v>
      </c>
      <c r="F60" t="s">
        <v>9</v>
      </c>
    </row>
    <row r="61" spans="1:6">
      <c r="A61" s="3" t="s">
        <v>2131</v>
      </c>
      <c r="B61" s="8">
        <v>105.83799999999999</v>
      </c>
      <c r="C61" s="8">
        <v>10</v>
      </c>
      <c r="D61" s="8">
        <v>10.3</v>
      </c>
      <c r="E61" s="5">
        <v>45826</v>
      </c>
      <c r="F61" t="s">
        <v>191</v>
      </c>
    </row>
    <row r="62" spans="1:6">
      <c r="A62" s="3" t="s">
        <v>2133</v>
      </c>
      <c r="B62" s="8">
        <v>108.79900000000001</v>
      </c>
      <c r="C62" s="8">
        <v>10</v>
      </c>
      <c r="D62" s="8">
        <v>10.3</v>
      </c>
      <c r="E62" s="5">
        <v>45827</v>
      </c>
      <c r="F62" t="s">
        <v>4520</v>
      </c>
    </row>
    <row r="63" spans="1:6">
      <c r="A63" s="3" t="s">
        <v>2135</v>
      </c>
      <c r="B63" s="8">
        <v>107.663</v>
      </c>
      <c r="C63" s="8">
        <v>10</v>
      </c>
      <c r="D63" s="8">
        <v>10.3</v>
      </c>
      <c r="E63" s="5">
        <v>45828</v>
      </c>
      <c r="F63" t="s">
        <v>12</v>
      </c>
    </row>
    <row r="64" spans="1:6">
      <c r="A64" s="3" t="s">
        <v>2137</v>
      </c>
      <c r="B64" s="8">
        <v>102.167</v>
      </c>
      <c r="C64" s="8">
        <v>10</v>
      </c>
      <c r="D64" s="8">
        <v>10.3</v>
      </c>
      <c r="E64" s="5">
        <v>45829</v>
      </c>
      <c r="F64" t="s">
        <v>4523</v>
      </c>
    </row>
    <row r="65" spans="1:6">
      <c r="A65" s="3" t="s">
        <v>2145</v>
      </c>
      <c r="B65" s="8">
        <v>93.686999999999998</v>
      </c>
      <c r="C65" s="8">
        <v>10</v>
      </c>
      <c r="D65" s="8">
        <v>10.3</v>
      </c>
      <c r="E65" s="5">
        <v>45829</v>
      </c>
      <c r="F65" t="s">
        <v>4512</v>
      </c>
    </row>
    <row r="66" spans="1:6">
      <c r="A66" s="3" t="s">
        <v>2147</v>
      </c>
      <c r="B66" s="8">
        <v>99.334000000000003</v>
      </c>
      <c r="C66" s="8">
        <v>10</v>
      </c>
      <c r="D66" s="8">
        <v>10.3</v>
      </c>
      <c r="E66" s="5">
        <v>45830</v>
      </c>
      <c r="F66" t="s">
        <v>9</v>
      </c>
    </row>
    <row r="67" spans="1:6">
      <c r="A67" s="3" t="s">
        <v>2149</v>
      </c>
      <c r="B67" s="8">
        <v>95.537999999999997</v>
      </c>
      <c r="C67" s="8">
        <v>10</v>
      </c>
      <c r="D67" s="8">
        <v>10.3</v>
      </c>
      <c r="E67" s="5">
        <v>45831</v>
      </c>
      <c r="F67" t="s">
        <v>191</v>
      </c>
    </row>
    <row r="68" spans="1:6">
      <c r="A68" s="3" t="s">
        <v>2151</v>
      </c>
      <c r="B68" s="8">
        <v>100.218</v>
      </c>
      <c r="C68" s="8">
        <v>10</v>
      </c>
      <c r="D68" s="8">
        <v>10.3</v>
      </c>
      <c r="E68" s="5">
        <v>45832</v>
      </c>
      <c r="F68" t="s">
        <v>4520</v>
      </c>
    </row>
    <row r="69" spans="1:6">
      <c r="A69" s="3" t="s">
        <v>2155</v>
      </c>
      <c r="B69" s="8">
        <v>87.14</v>
      </c>
      <c r="C69" s="8">
        <v>10</v>
      </c>
      <c r="D69" s="8">
        <v>10.3</v>
      </c>
      <c r="E69" s="5">
        <v>45832</v>
      </c>
      <c r="F69" t="s">
        <v>12</v>
      </c>
    </row>
    <row r="70" spans="1:6">
      <c r="A70" s="3" t="s">
        <v>2157</v>
      </c>
      <c r="B70" s="8">
        <v>83.251999999999995</v>
      </c>
      <c r="C70" s="8">
        <v>10</v>
      </c>
      <c r="D70" s="8">
        <v>10.3</v>
      </c>
      <c r="E70" s="5">
        <v>45833</v>
      </c>
      <c r="F70" t="s">
        <v>4523</v>
      </c>
    </row>
    <row r="71" spans="1:6">
      <c r="A71" s="3" t="s">
        <v>2159</v>
      </c>
      <c r="B71" s="8">
        <v>85.561999999999998</v>
      </c>
      <c r="C71" s="8">
        <v>10</v>
      </c>
      <c r="D71" s="8">
        <v>10.3</v>
      </c>
      <c r="E71" s="5">
        <v>45834</v>
      </c>
      <c r="F71" t="s">
        <v>4512</v>
      </c>
    </row>
    <row r="72" spans="1:6">
      <c r="A72" s="3" t="s">
        <v>2161</v>
      </c>
      <c r="B72" s="8">
        <v>81.02</v>
      </c>
      <c r="C72" s="8">
        <v>10</v>
      </c>
      <c r="D72" s="8">
        <v>10.3</v>
      </c>
      <c r="E72" s="5">
        <v>45835</v>
      </c>
      <c r="F72" t="s">
        <v>9</v>
      </c>
    </row>
    <row r="73" spans="1:6">
      <c r="A73" s="3" t="s">
        <v>2181</v>
      </c>
      <c r="B73" s="8">
        <v>117.43</v>
      </c>
      <c r="C73" s="8">
        <v>10</v>
      </c>
      <c r="D73" s="8">
        <v>10.3</v>
      </c>
      <c r="E73" s="5">
        <v>45835</v>
      </c>
      <c r="F73" t="s">
        <v>191</v>
      </c>
    </row>
    <row r="74" spans="1:6">
      <c r="A74" s="3" t="s">
        <v>2183</v>
      </c>
      <c r="B74" s="8">
        <v>117.57599999999999</v>
      </c>
      <c r="C74" s="8">
        <v>10</v>
      </c>
      <c r="D74" s="8">
        <v>10.3</v>
      </c>
      <c r="E74" s="5">
        <v>45836</v>
      </c>
      <c r="F74" t="s">
        <v>4520</v>
      </c>
    </row>
    <row r="75" spans="1:6">
      <c r="A75" s="3" t="s">
        <v>2185</v>
      </c>
      <c r="B75" s="8">
        <v>124.765</v>
      </c>
      <c r="C75" s="8">
        <v>10</v>
      </c>
      <c r="D75" s="8">
        <v>10.3</v>
      </c>
      <c r="E75" s="5">
        <v>45837</v>
      </c>
      <c r="F75" t="s">
        <v>12</v>
      </c>
    </row>
    <row r="76" spans="1:6">
      <c r="A76" s="3" t="s">
        <v>2187</v>
      </c>
      <c r="B76" s="8">
        <v>117.49299999999999</v>
      </c>
      <c r="C76" s="8">
        <v>10</v>
      </c>
      <c r="D76" s="8">
        <v>10.3</v>
      </c>
      <c r="E76" s="5">
        <v>45838</v>
      </c>
      <c r="F76" t="s">
        <v>4523</v>
      </c>
    </row>
    <row r="77" spans="1:6">
      <c r="A77" s="3" t="s">
        <v>2211</v>
      </c>
      <c r="B77" s="8">
        <v>110.199</v>
      </c>
      <c r="C77" s="8">
        <v>10</v>
      </c>
      <c r="D77" s="8">
        <v>10.3</v>
      </c>
      <c r="E77" s="5">
        <v>45841</v>
      </c>
      <c r="F77" t="s">
        <v>4512</v>
      </c>
    </row>
    <row r="78" spans="1:6">
      <c r="A78" s="3" t="s">
        <v>2213</v>
      </c>
      <c r="B78" s="8">
        <v>108.6</v>
      </c>
      <c r="C78" s="8">
        <v>10</v>
      </c>
      <c r="D78" s="8">
        <v>10.3</v>
      </c>
      <c r="E78" s="5">
        <v>45842</v>
      </c>
      <c r="F78" t="s">
        <v>9</v>
      </c>
    </row>
    <row r="79" spans="1:6">
      <c r="A79" s="3" t="s">
        <v>2215</v>
      </c>
      <c r="B79" s="8">
        <v>106.631</v>
      </c>
      <c r="C79" s="8">
        <v>10</v>
      </c>
      <c r="D79" s="8">
        <v>10.3</v>
      </c>
      <c r="E79" s="5">
        <v>45843</v>
      </c>
      <c r="F79" t="s">
        <v>191</v>
      </c>
    </row>
    <row r="80" spans="1:6">
      <c r="A80" s="3" t="s">
        <v>2217</v>
      </c>
      <c r="B80" s="8">
        <v>101.69499999999999</v>
      </c>
      <c r="C80" s="8">
        <v>10</v>
      </c>
      <c r="D80" s="8">
        <v>10.3</v>
      </c>
      <c r="E80" s="5">
        <v>45844</v>
      </c>
      <c r="F80" t="s">
        <v>4520</v>
      </c>
    </row>
    <row r="81" spans="1:6">
      <c r="A81" s="3" t="s">
        <v>2233</v>
      </c>
      <c r="B81" s="8">
        <v>104.004</v>
      </c>
      <c r="C81" s="8">
        <v>10</v>
      </c>
      <c r="D81" s="8">
        <v>10.3</v>
      </c>
      <c r="E81" s="5">
        <v>45844</v>
      </c>
      <c r="F81" t="s">
        <v>12</v>
      </c>
    </row>
    <row r="82" spans="1:6">
      <c r="A82" s="3" t="s">
        <v>2235</v>
      </c>
      <c r="B82" s="8">
        <v>96.763999999999996</v>
      </c>
      <c r="C82" s="8">
        <v>10</v>
      </c>
      <c r="D82" s="8">
        <v>10.3</v>
      </c>
      <c r="E82" s="5">
        <v>45845</v>
      </c>
      <c r="F82" t="s">
        <v>4523</v>
      </c>
    </row>
    <row r="83" spans="1:6">
      <c r="A83" s="3" t="s">
        <v>2237</v>
      </c>
      <c r="B83" s="8">
        <v>102.248</v>
      </c>
      <c r="C83" s="8">
        <v>10</v>
      </c>
      <c r="D83" s="8">
        <v>10.3</v>
      </c>
      <c r="E83" s="5">
        <v>45846</v>
      </c>
      <c r="F83" t="s">
        <v>4512</v>
      </c>
    </row>
    <row r="84" spans="1:6">
      <c r="A84" s="3" t="s">
        <v>2239</v>
      </c>
      <c r="B84" s="8">
        <v>105.26300000000001</v>
      </c>
      <c r="C84" s="8">
        <v>10</v>
      </c>
      <c r="D84" s="8">
        <v>10.3</v>
      </c>
      <c r="E84" s="5">
        <v>45847</v>
      </c>
      <c r="F84" t="s">
        <v>9</v>
      </c>
    </row>
    <row r="85" spans="1:6">
      <c r="A85" s="3" t="s">
        <v>2241</v>
      </c>
      <c r="B85" s="8">
        <v>103.179</v>
      </c>
      <c r="C85" s="8">
        <v>10</v>
      </c>
      <c r="D85" s="8">
        <v>10.3</v>
      </c>
      <c r="E85" s="5">
        <v>45848</v>
      </c>
      <c r="F85" t="s">
        <v>191</v>
      </c>
    </row>
    <row r="86" spans="1:6">
      <c r="A86" s="3" t="s">
        <v>2271</v>
      </c>
      <c r="B86" s="8">
        <v>119.636</v>
      </c>
      <c r="C86" s="8">
        <v>10</v>
      </c>
      <c r="D86" s="8">
        <v>10.3</v>
      </c>
      <c r="E86" s="5">
        <v>45856</v>
      </c>
      <c r="F86" t="s">
        <v>4520</v>
      </c>
    </row>
    <row r="87" spans="1:6">
      <c r="A87" s="3" t="s">
        <v>2273</v>
      </c>
      <c r="B87" s="8">
        <v>119.33799999999999</v>
      </c>
      <c r="C87" s="8">
        <v>10</v>
      </c>
      <c r="D87" s="8">
        <v>10.3</v>
      </c>
      <c r="E87" s="5">
        <v>45857</v>
      </c>
      <c r="F87" t="s">
        <v>12</v>
      </c>
    </row>
    <row r="88" spans="1:6">
      <c r="A88" s="3" t="s">
        <v>2275</v>
      </c>
      <c r="B88" s="8">
        <v>111.92100000000001</v>
      </c>
      <c r="C88" s="8">
        <v>10</v>
      </c>
      <c r="D88" s="8">
        <v>10.3</v>
      </c>
      <c r="E88" s="5">
        <v>45858</v>
      </c>
      <c r="F88" t="s">
        <v>4523</v>
      </c>
    </row>
    <row r="89" spans="1:6">
      <c r="A89" s="3" t="s">
        <v>2277</v>
      </c>
      <c r="B89" s="8">
        <v>120.178</v>
      </c>
      <c r="C89" s="8">
        <v>10</v>
      </c>
      <c r="D89" s="8">
        <v>10.3</v>
      </c>
      <c r="E89" s="5">
        <v>45859</v>
      </c>
      <c r="F89" t="s">
        <v>4512</v>
      </c>
    </row>
    <row r="90" spans="1:6">
      <c r="A90" s="3" t="s">
        <v>2309</v>
      </c>
      <c r="B90" s="8">
        <v>102.602</v>
      </c>
      <c r="C90" s="8">
        <v>10</v>
      </c>
      <c r="D90" s="8">
        <v>10.3</v>
      </c>
      <c r="E90" s="5">
        <v>45871</v>
      </c>
      <c r="F90" t="s">
        <v>9</v>
      </c>
    </row>
    <row r="91" spans="1:6">
      <c r="A91" s="3" t="s">
        <v>2311</v>
      </c>
      <c r="B91" s="8">
        <v>86.741</v>
      </c>
      <c r="C91" s="8">
        <v>10</v>
      </c>
      <c r="D91" s="8">
        <v>10.3</v>
      </c>
      <c r="E91" s="5">
        <v>45872</v>
      </c>
      <c r="F91" t="s">
        <v>191</v>
      </c>
    </row>
    <row r="92" spans="1:6">
      <c r="A92" s="3" t="s">
        <v>2313</v>
      </c>
      <c r="B92" s="8">
        <v>88.668999999999997</v>
      </c>
      <c r="C92" s="8">
        <v>10</v>
      </c>
      <c r="D92" s="8">
        <v>10.3</v>
      </c>
      <c r="E92" s="5">
        <v>45873</v>
      </c>
      <c r="F92" t="s">
        <v>4520</v>
      </c>
    </row>
    <row r="93" spans="1:6">
      <c r="A93" s="3" t="s">
        <v>2345</v>
      </c>
      <c r="B93" s="8">
        <v>82.45</v>
      </c>
      <c r="C93" s="8">
        <v>10</v>
      </c>
      <c r="D93" s="8">
        <v>10.3</v>
      </c>
      <c r="E93" s="5">
        <v>45880</v>
      </c>
      <c r="F93" t="s">
        <v>12</v>
      </c>
    </row>
    <row r="94" spans="1:6">
      <c r="A94" s="3" t="s">
        <v>2347</v>
      </c>
      <c r="B94" s="8">
        <v>86.811000000000007</v>
      </c>
      <c r="C94" s="8">
        <v>10</v>
      </c>
      <c r="D94" s="8">
        <v>10.3</v>
      </c>
      <c r="E94" s="5">
        <v>45881</v>
      </c>
      <c r="F94" t="s">
        <v>4523</v>
      </c>
    </row>
    <row r="95" spans="1:6">
      <c r="A95" s="3" t="s">
        <v>2349</v>
      </c>
      <c r="B95" s="8">
        <v>81.525999999999996</v>
      </c>
      <c r="C95" s="8">
        <v>10</v>
      </c>
      <c r="D95" s="8">
        <v>10.3</v>
      </c>
      <c r="E95" s="5">
        <v>45882</v>
      </c>
      <c r="F95" t="s">
        <v>4512</v>
      </c>
    </row>
    <row r="96" spans="1:6">
      <c r="A96" s="3" t="s">
        <v>2351</v>
      </c>
      <c r="B96" s="8">
        <v>85.796000000000006</v>
      </c>
      <c r="C96" s="8">
        <v>10</v>
      </c>
      <c r="D96" s="8">
        <v>10.3</v>
      </c>
      <c r="E96" s="5">
        <v>45883</v>
      </c>
      <c r="F96" t="s">
        <v>9</v>
      </c>
    </row>
    <row r="97" spans="1:6">
      <c r="A97" s="3" t="s">
        <v>2364</v>
      </c>
      <c r="B97" s="8">
        <v>123.032</v>
      </c>
      <c r="C97" s="8">
        <v>10</v>
      </c>
      <c r="D97" s="8">
        <v>10.3</v>
      </c>
      <c r="E97" s="5">
        <v>45880</v>
      </c>
      <c r="F97" t="s">
        <v>191</v>
      </c>
    </row>
    <row r="98" spans="1:6">
      <c r="A98" s="3" t="s">
        <v>2366</v>
      </c>
      <c r="B98" s="8">
        <v>116.014</v>
      </c>
      <c r="C98" s="8">
        <v>10</v>
      </c>
      <c r="D98" s="8">
        <v>10.3</v>
      </c>
      <c r="E98" s="5">
        <v>45881</v>
      </c>
      <c r="F98" t="s">
        <v>4520</v>
      </c>
    </row>
    <row r="99" spans="1:6">
      <c r="A99" s="3" t="s">
        <v>2368</v>
      </c>
      <c r="B99" s="8">
        <v>119.795</v>
      </c>
      <c r="C99" s="8">
        <v>10</v>
      </c>
      <c r="D99" s="8">
        <v>10.3</v>
      </c>
      <c r="E99" s="5">
        <v>45882</v>
      </c>
      <c r="F99" t="s">
        <v>12</v>
      </c>
    </row>
    <row r="100" spans="1:6">
      <c r="A100" s="3" t="s">
        <v>2370</v>
      </c>
      <c r="B100" s="8">
        <v>119.36</v>
      </c>
      <c r="C100" s="8">
        <v>10</v>
      </c>
      <c r="D100" s="8">
        <v>10.3</v>
      </c>
      <c r="E100" s="5">
        <v>45883</v>
      </c>
      <c r="F100" t="s">
        <v>4523</v>
      </c>
    </row>
    <row r="101" spans="1:6">
      <c r="A101" s="3" t="s">
        <v>2387</v>
      </c>
      <c r="B101" s="8">
        <v>123.739</v>
      </c>
      <c r="C101" s="8">
        <v>10</v>
      </c>
      <c r="D101" s="8">
        <v>10.3</v>
      </c>
      <c r="E101" s="5">
        <v>45886</v>
      </c>
      <c r="F101" t="s">
        <v>4512</v>
      </c>
    </row>
    <row r="102" spans="1:6">
      <c r="A102" s="3" t="s">
        <v>2389</v>
      </c>
      <c r="B102" s="8">
        <v>116.81399999999999</v>
      </c>
      <c r="C102" s="8">
        <v>10</v>
      </c>
      <c r="D102" s="8">
        <v>10.3</v>
      </c>
      <c r="E102" s="5">
        <v>45887</v>
      </c>
      <c r="F102" t="s">
        <v>9</v>
      </c>
    </row>
    <row r="103" spans="1:6">
      <c r="A103" s="3" t="s">
        <v>2391</v>
      </c>
      <c r="B103" s="8">
        <v>116.65300000000001</v>
      </c>
      <c r="C103" s="8">
        <v>10</v>
      </c>
      <c r="D103" s="8">
        <v>10.3</v>
      </c>
      <c r="E103" s="5">
        <v>45888</v>
      </c>
      <c r="F103" t="s">
        <v>191</v>
      </c>
    </row>
    <row r="104" spans="1:6">
      <c r="A104" s="3" t="s">
        <v>2393</v>
      </c>
      <c r="B104" s="8">
        <v>112.51900000000001</v>
      </c>
      <c r="C104" s="8">
        <v>10</v>
      </c>
      <c r="D104" s="8">
        <v>10.3</v>
      </c>
      <c r="E104" s="5">
        <v>45889</v>
      </c>
      <c r="F104" t="s">
        <v>4520</v>
      </c>
    </row>
    <row r="105" spans="1:6">
      <c r="A105" s="3" t="s">
        <v>2402</v>
      </c>
      <c r="B105" s="8">
        <v>98.575000000000003</v>
      </c>
      <c r="C105" s="8">
        <v>10</v>
      </c>
      <c r="D105" s="8">
        <v>10.3</v>
      </c>
      <c r="E105" s="5">
        <v>45892</v>
      </c>
      <c r="F105" t="s">
        <v>12</v>
      </c>
    </row>
    <row r="106" spans="1:6">
      <c r="A106" s="3" t="s">
        <v>2404</v>
      </c>
      <c r="B106" s="8">
        <v>91.71</v>
      </c>
      <c r="C106" s="8">
        <v>10</v>
      </c>
      <c r="D106" s="8">
        <v>10.3</v>
      </c>
      <c r="E106" s="5">
        <v>45893</v>
      </c>
      <c r="F106" t="s">
        <v>4523</v>
      </c>
    </row>
    <row r="107" spans="1:6">
      <c r="A107" s="3" t="s">
        <v>2406</v>
      </c>
      <c r="B107" s="8">
        <v>92.234999999999999</v>
      </c>
      <c r="C107" s="8">
        <v>10</v>
      </c>
      <c r="D107" s="8">
        <v>10.3</v>
      </c>
      <c r="E107" s="5">
        <v>45894</v>
      </c>
      <c r="F107" t="s">
        <v>4512</v>
      </c>
    </row>
    <row r="108" spans="1:6">
      <c r="A108" s="3" t="s">
        <v>2408</v>
      </c>
      <c r="B108" s="8">
        <v>91.650999999999996</v>
      </c>
      <c r="C108" s="8">
        <v>10</v>
      </c>
      <c r="D108" s="8">
        <v>10.3</v>
      </c>
      <c r="E108" s="5">
        <v>45895</v>
      </c>
      <c r="F108" t="s">
        <v>9</v>
      </c>
    </row>
    <row r="109" spans="1:6">
      <c r="A109" s="3" t="s">
        <v>2426</v>
      </c>
      <c r="B109" s="8">
        <v>110.392</v>
      </c>
      <c r="C109" s="8">
        <v>10</v>
      </c>
      <c r="D109" s="8">
        <v>10.3</v>
      </c>
      <c r="E109" s="5">
        <v>45901</v>
      </c>
      <c r="F109" t="s">
        <v>191</v>
      </c>
    </row>
    <row r="110" spans="1:6">
      <c r="A110" s="3" t="s">
        <v>2428</v>
      </c>
      <c r="B110" s="8">
        <v>112.30800000000001</v>
      </c>
      <c r="C110" s="8">
        <v>10</v>
      </c>
      <c r="D110" s="8">
        <v>10.3</v>
      </c>
      <c r="E110" s="5">
        <v>45902</v>
      </c>
      <c r="F110" t="s">
        <v>4520</v>
      </c>
    </row>
    <row r="111" spans="1:6">
      <c r="A111" s="3" t="s">
        <v>2430</v>
      </c>
      <c r="B111" s="8">
        <v>120.64100000000001</v>
      </c>
      <c r="C111" s="8">
        <v>10</v>
      </c>
      <c r="D111" s="8">
        <v>10.3</v>
      </c>
      <c r="E111" s="5">
        <v>45903</v>
      </c>
      <c r="F111" t="s">
        <v>12</v>
      </c>
    </row>
    <row r="112" spans="1:6">
      <c r="A112" s="3" t="s">
        <v>2459</v>
      </c>
      <c r="B112" s="8">
        <v>113.56699999999999</v>
      </c>
      <c r="C112" s="8">
        <v>10</v>
      </c>
      <c r="D112" s="8">
        <v>10.3</v>
      </c>
      <c r="E112" s="5">
        <v>45910</v>
      </c>
      <c r="F112" t="s">
        <v>4523</v>
      </c>
    </row>
    <row r="113" spans="1:6">
      <c r="A113" s="3" t="s">
        <v>2461</v>
      </c>
      <c r="B113" s="8">
        <v>119.634</v>
      </c>
      <c r="C113" s="8">
        <v>10</v>
      </c>
      <c r="D113" s="8">
        <v>10.3</v>
      </c>
      <c r="E113" s="5">
        <v>45911</v>
      </c>
      <c r="F113" t="s">
        <v>4512</v>
      </c>
    </row>
    <row r="114" spans="1:6">
      <c r="A114" s="3" t="s">
        <v>2463</v>
      </c>
      <c r="B114" s="8">
        <v>120.884</v>
      </c>
      <c r="C114" s="8">
        <v>10</v>
      </c>
      <c r="D114" s="8">
        <v>10.3</v>
      </c>
      <c r="E114" s="5">
        <v>45912</v>
      </c>
      <c r="F114" t="s">
        <v>9</v>
      </c>
    </row>
    <row r="115" spans="1:6">
      <c r="A115" s="3" t="s">
        <v>2465</v>
      </c>
      <c r="B115" s="8">
        <v>114.92100000000001</v>
      </c>
      <c r="C115" s="8">
        <v>10</v>
      </c>
      <c r="D115" s="8">
        <v>10.3</v>
      </c>
      <c r="E115" s="5">
        <v>45913</v>
      </c>
      <c r="F115" t="s">
        <v>191</v>
      </c>
    </row>
    <row r="116" spans="1:6">
      <c r="A116" s="3" t="s">
        <v>2467</v>
      </c>
      <c r="B116" s="8">
        <v>115.501</v>
      </c>
      <c r="C116" s="8">
        <v>10</v>
      </c>
      <c r="D116" s="8">
        <v>10.3</v>
      </c>
      <c r="E116" s="5">
        <v>45914</v>
      </c>
      <c r="F116" t="s">
        <v>4520</v>
      </c>
    </row>
    <row r="117" spans="1:6">
      <c r="A117" s="3" t="s">
        <v>2476</v>
      </c>
      <c r="B117" s="8">
        <v>100.29900000000001</v>
      </c>
      <c r="C117" s="8">
        <v>10</v>
      </c>
      <c r="D117" s="8">
        <v>10.3</v>
      </c>
      <c r="E117" s="5">
        <v>45913</v>
      </c>
      <c r="F117" t="s">
        <v>12</v>
      </c>
    </row>
    <row r="118" spans="1:6">
      <c r="A118" s="3" t="s">
        <v>2478</v>
      </c>
      <c r="B118" s="8">
        <v>88.646000000000001</v>
      </c>
      <c r="C118" s="8">
        <v>10</v>
      </c>
      <c r="D118" s="8">
        <v>10.3</v>
      </c>
      <c r="E118" s="5">
        <v>45914</v>
      </c>
      <c r="F118" t="s">
        <v>4523</v>
      </c>
    </row>
    <row r="119" spans="1:6">
      <c r="A119" s="3" t="s">
        <v>2480</v>
      </c>
      <c r="B119" s="8">
        <v>91.65</v>
      </c>
      <c r="C119" s="8">
        <v>10</v>
      </c>
      <c r="D119" s="8">
        <v>10.3</v>
      </c>
      <c r="E119" s="5">
        <v>45915</v>
      </c>
      <c r="F119" t="s">
        <v>4512</v>
      </c>
    </row>
    <row r="120" spans="1:6">
      <c r="A120" s="3" t="s">
        <v>2493</v>
      </c>
      <c r="B120" s="8">
        <v>87.468000000000004</v>
      </c>
      <c r="C120" s="8">
        <v>10</v>
      </c>
      <c r="D120" s="8">
        <v>10.3</v>
      </c>
      <c r="E120" s="5">
        <v>45919</v>
      </c>
      <c r="F120" t="s">
        <v>9</v>
      </c>
    </row>
    <row r="121" spans="1:6">
      <c r="A121" s="3" t="s">
        <v>2495</v>
      </c>
      <c r="B121" s="8">
        <v>83.147999999999996</v>
      </c>
      <c r="C121" s="8">
        <v>10</v>
      </c>
      <c r="D121" s="8">
        <v>10.3</v>
      </c>
      <c r="E121" s="5">
        <v>45920</v>
      </c>
      <c r="F121" t="s">
        <v>191</v>
      </c>
    </row>
    <row r="122" spans="1:6">
      <c r="A122" s="3" t="s">
        <v>2497</v>
      </c>
      <c r="B122" s="8">
        <v>83.448999999999998</v>
      </c>
      <c r="C122" s="8">
        <v>10</v>
      </c>
      <c r="D122" s="8">
        <v>10.3</v>
      </c>
      <c r="E122" s="5">
        <v>45921</v>
      </c>
      <c r="F122" t="s">
        <v>4520</v>
      </c>
    </row>
    <row r="123" spans="1:6">
      <c r="A123" s="3" t="s">
        <v>2499</v>
      </c>
      <c r="B123" s="8">
        <v>97.393000000000001</v>
      </c>
      <c r="C123" s="8">
        <v>10</v>
      </c>
      <c r="D123" s="8">
        <v>10.3</v>
      </c>
      <c r="E123" s="5">
        <v>45922</v>
      </c>
      <c r="F123" t="s">
        <v>12</v>
      </c>
    </row>
    <row r="124" spans="1:6">
      <c r="A124" s="3" t="s">
        <v>2508</v>
      </c>
      <c r="B124" s="8">
        <v>89.63</v>
      </c>
      <c r="C124" s="8">
        <v>10</v>
      </c>
      <c r="D124" s="8">
        <v>10.3</v>
      </c>
      <c r="E124" s="5">
        <v>45922</v>
      </c>
      <c r="F124" t="s">
        <v>4523</v>
      </c>
    </row>
    <row r="125" spans="1:6">
      <c r="A125" s="3" t="s">
        <v>2510</v>
      </c>
      <c r="B125" s="8">
        <v>93.998000000000005</v>
      </c>
      <c r="C125" s="8">
        <v>10</v>
      </c>
      <c r="D125" s="8">
        <v>10.3</v>
      </c>
      <c r="E125" s="5">
        <v>45923</v>
      </c>
      <c r="F125" t="s">
        <v>4512</v>
      </c>
    </row>
    <row r="126" spans="1:6">
      <c r="A126" s="3" t="s">
        <v>2512</v>
      </c>
      <c r="B126" s="8">
        <v>90.358000000000004</v>
      </c>
      <c r="C126" s="8">
        <v>10</v>
      </c>
      <c r="D126" s="8">
        <v>10.3</v>
      </c>
      <c r="E126" s="5">
        <v>45924</v>
      </c>
      <c r="F126" t="s">
        <v>9</v>
      </c>
    </row>
    <row r="127" spans="1:6">
      <c r="A127" s="3" t="s">
        <v>2514</v>
      </c>
      <c r="B127" s="8">
        <v>90.019000000000005</v>
      </c>
      <c r="C127" s="8">
        <v>10</v>
      </c>
      <c r="D127" s="8">
        <v>10.3</v>
      </c>
      <c r="E127" s="5">
        <v>45925</v>
      </c>
      <c r="F127" t="s">
        <v>191</v>
      </c>
    </row>
    <row r="128" spans="1:6">
      <c r="A128" s="3" t="s">
        <v>2523</v>
      </c>
      <c r="B128" s="8">
        <v>81.81</v>
      </c>
      <c r="C128" s="8">
        <v>10</v>
      </c>
      <c r="D128" s="8">
        <v>10.3</v>
      </c>
      <c r="E128" s="5">
        <v>45940</v>
      </c>
      <c r="F128" t="s">
        <v>4520</v>
      </c>
    </row>
    <row r="129" spans="1:6">
      <c r="A129" s="3" t="s">
        <v>2525</v>
      </c>
      <c r="B129" s="8">
        <v>94.492999999999995</v>
      </c>
      <c r="C129" s="8">
        <v>10</v>
      </c>
      <c r="D129" s="8">
        <v>10.3</v>
      </c>
      <c r="E129" s="5">
        <v>45941</v>
      </c>
      <c r="F129" t="s">
        <v>12</v>
      </c>
    </row>
    <row r="130" spans="1:6">
      <c r="A130" s="3" t="s">
        <v>2527</v>
      </c>
      <c r="B130" s="8">
        <v>87.933000000000007</v>
      </c>
      <c r="C130" s="8">
        <v>10</v>
      </c>
      <c r="D130" s="8">
        <v>10.3</v>
      </c>
      <c r="E130" s="5">
        <v>45942</v>
      </c>
      <c r="F130" t="s">
        <v>4523</v>
      </c>
    </row>
    <row r="131" spans="1:6">
      <c r="A131" s="3" t="s">
        <v>2529</v>
      </c>
      <c r="B131" s="8">
        <v>92.638000000000005</v>
      </c>
      <c r="C131" s="8">
        <v>10</v>
      </c>
      <c r="D131" s="8">
        <v>10.3</v>
      </c>
      <c r="E131" s="5">
        <v>45943</v>
      </c>
      <c r="F131" t="s">
        <v>4512</v>
      </c>
    </row>
    <row r="132" spans="1:6">
      <c r="A132" s="3" t="s">
        <v>2546</v>
      </c>
      <c r="B132" s="8">
        <v>116.893</v>
      </c>
      <c r="C132" s="8">
        <v>10</v>
      </c>
      <c r="D132" s="8">
        <v>10.3</v>
      </c>
      <c r="E132" s="5">
        <v>45943</v>
      </c>
      <c r="F132" t="s">
        <v>9</v>
      </c>
    </row>
    <row r="133" spans="1:6">
      <c r="A133" s="3" t="s">
        <v>2548</v>
      </c>
      <c r="B133" s="8">
        <v>113.96</v>
      </c>
      <c r="C133" s="8">
        <v>10</v>
      </c>
      <c r="D133" s="8">
        <v>10.3</v>
      </c>
      <c r="E133" s="5">
        <v>45944</v>
      </c>
      <c r="F133" t="s">
        <v>191</v>
      </c>
    </row>
    <row r="134" spans="1:6">
      <c r="A134" s="3" t="s">
        <v>2550</v>
      </c>
      <c r="B134" s="8">
        <v>122.78</v>
      </c>
      <c r="C134" s="8">
        <v>10</v>
      </c>
      <c r="D134" s="8">
        <v>10.3</v>
      </c>
      <c r="E134" s="5">
        <v>45945</v>
      </c>
      <c r="F134" t="s">
        <v>4520</v>
      </c>
    </row>
    <row r="135" spans="1:6">
      <c r="A135" s="3" t="s">
        <v>2552</v>
      </c>
      <c r="B135" s="8">
        <v>116.85299999999999</v>
      </c>
      <c r="C135" s="8">
        <v>10</v>
      </c>
      <c r="D135" s="8">
        <v>10.3</v>
      </c>
      <c r="E135" s="5">
        <v>45946</v>
      </c>
      <c r="F135" t="s">
        <v>12</v>
      </c>
    </row>
    <row r="136" spans="1:6">
      <c r="A136" s="3" t="s">
        <v>2569</v>
      </c>
      <c r="B136" s="8">
        <v>104.262</v>
      </c>
      <c r="C136" s="8">
        <v>10</v>
      </c>
      <c r="D136" s="8">
        <v>10.3</v>
      </c>
      <c r="E136" s="5">
        <v>45949</v>
      </c>
      <c r="F136" t="s">
        <v>4523</v>
      </c>
    </row>
    <row r="137" spans="1:6">
      <c r="A137" s="3" t="s">
        <v>2571</v>
      </c>
      <c r="B137" s="8">
        <v>107.976</v>
      </c>
      <c r="C137" s="8">
        <v>10</v>
      </c>
      <c r="D137" s="8">
        <v>10.3</v>
      </c>
      <c r="E137" s="5">
        <v>45950</v>
      </c>
      <c r="F137" t="s">
        <v>4512</v>
      </c>
    </row>
    <row r="138" spans="1:6">
      <c r="A138" s="3" t="s">
        <v>2573</v>
      </c>
      <c r="B138" s="8">
        <v>114.339</v>
      </c>
      <c r="C138" s="8">
        <v>10</v>
      </c>
      <c r="D138" s="8">
        <v>10.3</v>
      </c>
      <c r="E138" s="5">
        <v>45951</v>
      </c>
      <c r="F138" t="s">
        <v>9</v>
      </c>
    </row>
    <row r="139" spans="1:6">
      <c r="A139" s="3" t="s">
        <v>2575</v>
      </c>
      <c r="B139" s="8">
        <v>110.834</v>
      </c>
      <c r="C139" s="8">
        <v>10</v>
      </c>
      <c r="D139" s="8">
        <v>10.3</v>
      </c>
      <c r="E139" s="5">
        <v>45952</v>
      </c>
      <c r="F139" t="s">
        <v>191</v>
      </c>
    </row>
    <row r="140" spans="1:6">
      <c r="A140" s="3" t="s">
        <v>2584</v>
      </c>
      <c r="B140" s="8">
        <v>92.436999999999998</v>
      </c>
      <c r="C140" s="8">
        <v>10</v>
      </c>
      <c r="D140" s="8">
        <v>10.3</v>
      </c>
      <c r="E140" s="5">
        <v>45955</v>
      </c>
      <c r="F140" t="s">
        <v>4520</v>
      </c>
    </row>
    <row r="141" spans="1:6">
      <c r="A141" s="3" t="s">
        <v>2586</v>
      </c>
      <c r="B141" s="8">
        <v>92.085999999999999</v>
      </c>
      <c r="C141" s="8">
        <v>10</v>
      </c>
      <c r="D141" s="8">
        <v>10.3</v>
      </c>
      <c r="E141" s="5">
        <v>45956</v>
      </c>
      <c r="F141" t="s">
        <v>12</v>
      </c>
    </row>
    <row r="142" spans="1:6">
      <c r="A142" s="3" t="s">
        <v>2588</v>
      </c>
      <c r="B142" s="8">
        <v>90.519000000000005</v>
      </c>
      <c r="C142" s="8">
        <v>10</v>
      </c>
      <c r="D142" s="8">
        <v>10.3</v>
      </c>
      <c r="E142" s="5">
        <v>45957</v>
      </c>
      <c r="F142" t="s">
        <v>4523</v>
      </c>
    </row>
    <row r="143" spans="1:6">
      <c r="A143" s="3" t="s">
        <v>2590</v>
      </c>
      <c r="B143" s="8">
        <v>96.841999999999999</v>
      </c>
      <c r="C143" s="8">
        <v>10</v>
      </c>
      <c r="D143" s="8">
        <v>10.3</v>
      </c>
      <c r="E143" s="5">
        <v>45958</v>
      </c>
      <c r="F143" t="s">
        <v>4512</v>
      </c>
    </row>
    <row r="144" spans="1:6">
      <c r="A144" s="3" t="s">
        <v>2599</v>
      </c>
      <c r="B144" s="8">
        <v>120.593</v>
      </c>
      <c r="C144" s="8">
        <v>10</v>
      </c>
      <c r="D144" s="8">
        <v>10.3</v>
      </c>
      <c r="E144" s="5">
        <v>45317</v>
      </c>
      <c r="F144" t="s">
        <v>9</v>
      </c>
    </row>
    <row r="145" spans="1:6">
      <c r="A145" s="3" t="s">
        <v>2601</v>
      </c>
      <c r="B145" s="8">
        <v>115.986</v>
      </c>
      <c r="C145" s="8">
        <v>10</v>
      </c>
      <c r="D145" s="8">
        <v>10.3</v>
      </c>
      <c r="E145" s="5">
        <v>45318</v>
      </c>
      <c r="F145" t="s">
        <v>191</v>
      </c>
    </row>
    <row r="146" spans="1:6">
      <c r="A146" s="3" t="s">
        <v>2603</v>
      </c>
      <c r="B146" s="8">
        <v>116.607</v>
      </c>
      <c r="C146" s="8">
        <v>10</v>
      </c>
      <c r="D146" s="8">
        <v>10.3</v>
      </c>
      <c r="E146" s="5">
        <v>45319</v>
      </c>
      <c r="F146" t="s">
        <v>4520</v>
      </c>
    </row>
    <row r="147" spans="1:6">
      <c r="A147" s="3" t="s">
        <v>2605</v>
      </c>
      <c r="B147" s="8">
        <v>125.53400000000001</v>
      </c>
      <c r="C147" s="8">
        <v>10</v>
      </c>
      <c r="D147" s="8">
        <v>10.3</v>
      </c>
      <c r="E147" s="5">
        <v>45320</v>
      </c>
      <c r="F147" t="s">
        <v>12</v>
      </c>
    </row>
    <row r="148" spans="1:6">
      <c r="A148" s="3" t="s">
        <v>2620</v>
      </c>
      <c r="B148" s="8">
        <v>102.491</v>
      </c>
      <c r="C148" s="8">
        <v>10</v>
      </c>
      <c r="D148" s="8">
        <v>10.3</v>
      </c>
      <c r="E148" s="5">
        <v>45320</v>
      </c>
      <c r="F148" t="s">
        <v>4523</v>
      </c>
    </row>
    <row r="149" spans="1:6">
      <c r="A149" s="3" t="s">
        <v>2622</v>
      </c>
      <c r="B149" s="8">
        <v>103.19799999999999</v>
      </c>
      <c r="C149" s="8">
        <v>10</v>
      </c>
      <c r="D149" s="8">
        <v>10.3</v>
      </c>
      <c r="E149" s="5">
        <v>45321</v>
      </c>
      <c r="F149" t="s">
        <v>4512</v>
      </c>
    </row>
    <row r="150" spans="1:6">
      <c r="A150" s="3" t="s">
        <v>2624</v>
      </c>
      <c r="B150" s="8">
        <v>109.318</v>
      </c>
      <c r="C150" s="8">
        <v>10</v>
      </c>
      <c r="D150" s="8">
        <v>10.3</v>
      </c>
      <c r="E150" s="5">
        <v>45322</v>
      </c>
      <c r="F150" t="s">
        <v>9</v>
      </c>
    </row>
    <row r="151" spans="1:6">
      <c r="A151" s="3" t="s">
        <v>2626</v>
      </c>
      <c r="B151" s="8">
        <v>106.157</v>
      </c>
      <c r="C151" s="8">
        <v>10</v>
      </c>
      <c r="D151" s="8">
        <v>10.3</v>
      </c>
      <c r="E151" s="5">
        <v>45323</v>
      </c>
      <c r="F151" t="s">
        <v>191</v>
      </c>
    </row>
    <row r="152" spans="1:6">
      <c r="A152" s="3" t="s">
        <v>2630</v>
      </c>
      <c r="B152" s="8">
        <v>104.364</v>
      </c>
      <c r="C152" s="8">
        <v>10</v>
      </c>
      <c r="D152" s="8">
        <v>10.3</v>
      </c>
      <c r="E152" s="5">
        <v>45323</v>
      </c>
      <c r="F152" t="s">
        <v>4520</v>
      </c>
    </row>
    <row r="153" spans="1:6">
      <c r="A153" s="3" t="s">
        <v>2632</v>
      </c>
      <c r="B153" s="8">
        <v>108.22499999999999</v>
      </c>
      <c r="C153" s="8">
        <v>10</v>
      </c>
      <c r="D153" s="8">
        <v>10.3</v>
      </c>
      <c r="E153" s="5">
        <v>45324</v>
      </c>
      <c r="F153" t="s">
        <v>12</v>
      </c>
    </row>
    <row r="154" spans="1:6">
      <c r="A154" s="3" t="s">
        <v>2634</v>
      </c>
      <c r="B154" s="8">
        <v>108.176</v>
      </c>
      <c r="C154" s="8">
        <v>10</v>
      </c>
      <c r="D154" s="8">
        <v>10.3</v>
      </c>
      <c r="E154" s="5">
        <v>45325</v>
      </c>
      <c r="F154" t="s">
        <v>4523</v>
      </c>
    </row>
    <row r="155" spans="1:6">
      <c r="A155" s="3" t="s">
        <v>2641</v>
      </c>
      <c r="B155" s="8">
        <v>80.043999999999997</v>
      </c>
      <c r="C155" s="8">
        <v>10</v>
      </c>
      <c r="D155" s="8">
        <v>10.3</v>
      </c>
      <c r="E155" s="5">
        <v>45326</v>
      </c>
      <c r="F155" t="s">
        <v>4512</v>
      </c>
    </row>
    <row r="156" spans="1:6">
      <c r="A156" s="3" t="s">
        <v>2643</v>
      </c>
      <c r="B156" s="8">
        <v>96.766000000000005</v>
      </c>
      <c r="C156" s="8">
        <v>10</v>
      </c>
      <c r="D156" s="8">
        <v>10.3</v>
      </c>
      <c r="E156" s="5">
        <v>45327</v>
      </c>
      <c r="F156" t="s">
        <v>9</v>
      </c>
    </row>
    <row r="157" spans="1:6">
      <c r="A157" s="3" t="s">
        <v>2645</v>
      </c>
      <c r="B157" s="8">
        <v>80.94</v>
      </c>
      <c r="C157" s="8">
        <v>10</v>
      </c>
      <c r="D157" s="8">
        <v>10.3</v>
      </c>
      <c r="E157" s="5">
        <v>45328</v>
      </c>
      <c r="F157" t="s">
        <v>191</v>
      </c>
    </row>
    <row r="158" spans="1:6">
      <c r="A158" s="3" t="s">
        <v>2647</v>
      </c>
      <c r="B158" s="8">
        <v>86.628</v>
      </c>
      <c r="C158" s="8">
        <v>10</v>
      </c>
      <c r="D158" s="8">
        <v>10.3</v>
      </c>
      <c r="E158" s="5">
        <v>45329</v>
      </c>
      <c r="F158" t="s">
        <v>4520</v>
      </c>
    </row>
    <row r="159" spans="1:6">
      <c r="A159" s="3" t="s">
        <v>2661</v>
      </c>
      <c r="B159" s="8">
        <v>109.758</v>
      </c>
      <c r="C159" s="8">
        <v>10</v>
      </c>
      <c r="D159" s="8">
        <v>10.3</v>
      </c>
      <c r="E159" s="5">
        <v>45338</v>
      </c>
      <c r="F159" t="s">
        <v>12</v>
      </c>
    </row>
    <row r="160" spans="1:6">
      <c r="A160" s="3" t="s">
        <v>2663</v>
      </c>
      <c r="B160" s="8">
        <v>107.202</v>
      </c>
      <c r="C160" s="8">
        <v>10</v>
      </c>
      <c r="D160" s="8">
        <v>10.3</v>
      </c>
      <c r="E160" s="5">
        <v>45339</v>
      </c>
      <c r="F160" t="s">
        <v>4523</v>
      </c>
    </row>
    <row r="161" spans="1:6">
      <c r="A161" s="3" t="s">
        <v>2665</v>
      </c>
      <c r="B161" s="8">
        <v>109.64700000000001</v>
      </c>
      <c r="C161" s="8">
        <v>10</v>
      </c>
      <c r="D161" s="8">
        <v>10.3</v>
      </c>
      <c r="E161" s="5">
        <v>45340</v>
      </c>
      <c r="F161" t="s">
        <v>4512</v>
      </c>
    </row>
    <row r="162" spans="1:6">
      <c r="A162" s="3" t="s">
        <v>2667</v>
      </c>
      <c r="B162" s="8">
        <v>112.69</v>
      </c>
      <c r="C162" s="8">
        <v>10</v>
      </c>
      <c r="D162" s="8">
        <v>10.3</v>
      </c>
      <c r="E162" s="5">
        <v>45341</v>
      </c>
      <c r="F162" t="s">
        <v>9</v>
      </c>
    </row>
    <row r="163" spans="1:6">
      <c r="A163" s="3" t="s">
        <v>2676</v>
      </c>
      <c r="B163" s="8">
        <v>93.313999999999993</v>
      </c>
      <c r="C163" s="8">
        <v>10</v>
      </c>
      <c r="D163" s="8">
        <v>10.3</v>
      </c>
      <c r="E163" s="5">
        <v>45347</v>
      </c>
      <c r="F163" t="s">
        <v>191</v>
      </c>
    </row>
    <row r="164" spans="1:6">
      <c r="A164" s="3" t="s">
        <v>2678</v>
      </c>
      <c r="B164" s="8">
        <v>92.453000000000003</v>
      </c>
      <c r="C164" s="8">
        <v>10</v>
      </c>
      <c r="D164" s="8">
        <v>10.3</v>
      </c>
      <c r="E164" s="5">
        <v>45348</v>
      </c>
      <c r="F164" t="s">
        <v>4520</v>
      </c>
    </row>
    <row r="165" spans="1:6">
      <c r="A165" s="3" t="s">
        <v>2680</v>
      </c>
      <c r="B165" s="8">
        <v>95.852999999999994</v>
      </c>
      <c r="C165" s="8">
        <v>10</v>
      </c>
      <c r="D165" s="8">
        <v>10.3</v>
      </c>
      <c r="E165" s="5">
        <v>45349</v>
      </c>
      <c r="F165" t="s">
        <v>12</v>
      </c>
    </row>
    <row r="166" spans="1:6">
      <c r="A166" s="3" t="s">
        <v>2682</v>
      </c>
      <c r="B166" s="8">
        <v>85.798000000000002</v>
      </c>
      <c r="C166" s="8">
        <v>10</v>
      </c>
      <c r="D166" s="8">
        <v>10.3</v>
      </c>
      <c r="E166" s="5">
        <v>45350</v>
      </c>
      <c r="F166" t="s">
        <v>4523</v>
      </c>
    </row>
    <row r="167" spans="1:6">
      <c r="A167" s="3" t="s">
        <v>2691</v>
      </c>
      <c r="B167" s="8">
        <v>96.296999999999997</v>
      </c>
      <c r="C167" s="8">
        <v>10</v>
      </c>
      <c r="D167" s="8">
        <v>10.3</v>
      </c>
      <c r="E167" s="5">
        <v>45350</v>
      </c>
      <c r="F167" t="s">
        <v>4512</v>
      </c>
    </row>
    <row r="168" spans="1:6">
      <c r="A168" s="3" t="s">
        <v>2693</v>
      </c>
      <c r="B168" s="8">
        <v>99.084000000000003</v>
      </c>
      <c r="C168" s="8">
        <v>10</v>
      </c>
      <c r="D168" s="8">
        <v>10.3</v>
      </c>
      <c r="E168" s="5">
        <v>45351</v>
      </c>
      <c r="F168" t="s">
        <v>9</v>
      </c>
    </row>
    <row r="169" spans="1:6">
      <c r="A169" s="3" t="s">
        <v>2695</v>
      </c>
      <c r="B169" s="8">
        <v>91.138999999999996</v>
      </c>
      <c r="C169" s="8">
        <v>10</v>
      </c>
      <c r="D169" s="8">
        <v>10.3</v>
      </c>
      <c r="E169" s="5">
        <v>45352</v>
      </c>
      <c r="F169" t="s">
        <v>191</v>
      </c>
    </row>
    <row r="170" spans="1:6">
      <c r="A170" s="3" t="s">
        <v>2697</v>
      </c>
      <c r="B170" s="8">
        <v>98.507999999999996</v>
      </c>
      <c r="C170" s="8">
        <v>10</v>
      </c>
      <c r="D170" s="8">
        <v>10.3</v>
      </c>
      <c r="E170" s="5">
        <v>45353</v>
      </c>
      <c r="F170" t="s">
        <v>4520</v>
      </c>
    </row>
    <row r="171" spans="1:6">
      <c r="A171" s="3" t="s">
        <v>2713</v>
      </c>
      <c r="B171" s="8">
        <v>91.683999999999997</v>
      </c>
      <c r="C171" s="8">
        <v>10</v>
      </c>
      <c r="D171" s="8">
        <v>10.3</v>
      </c>
      <c r="E171" s="5">
        <v>45359</v>
      </c>
      <c r="F171" t="s">
        <v>12</v>
      </c>
    </row>
    <row r="172" spans="1:6">
      <c r="A172" s="3" t="s">
        <v>2715</v>
      </c>
      <c r="B172" s="8">
        <v>85.097999999999999</v>
      </c>
      <c r="C172" s="8">
        <v>10</v>
      </c>
      <c r="D172" s="8">
        <v>10.3</v>
      </c>
      <c r="E172" s="5">
        <v>45360</v>
      </c>
      <c r="F172" t="s">
        <v>4523</v>
      </c>
    </row>
    <row r="173" spans="1:6">
      <c r="A173" s="3" t="s">
        <v>2717</v>
      </c>
      <c r="B173" s="8">
        <v>78.894000000000005</v>
      </c>
      <c r="C173" s="8">
        <v>10</v>
      </c>
      <c r="D173" s="8">
        <v>10.3</v>
      </c>
      <c r="E173" s="5">
        <v>45361</v>
      </c>
      <c r="F173" t="s">
        <v>4512</v>
      </c>
    </row>
    <row r="174" spans="1:6">
      <c r="A174" s="3" t="s">
        <v>2719</v>
      </c>
      <c r="B174" s="8">
        <v>89.578999999999994</v>
      </c>
      <c r="C174" s="8">
        <v>10</v>
      </c>
      <c r="D174" s="8">
        <v>10.3</v>
      </c>
      <c r="E174" s="5">
        <v>45362</v>
      </c>
      <c r="F174" t="s">
        <v>9</v>
      </c>
    </row>
    <row r="175" spans="1:6">
      <c r="A175" s="3" t="s">
        <v>2731</v>
      </c>
      <c r="B175" s="8">
        <v>110.30200000000001</v>
      </c>
      <c r="C175" s="8">
        <v>10</v>
      </c>
      <c r="D175" s="8">
        <v>10.3</v>
      </c>
      <c r="E175" s="5">
        <v>45365</v>
      </c>
      <c r="F175" t="s">
        <v>191</v>
      </c>
    </row>
    <row r="176" spans="1:6">
      <c r="A176" s="3" t="s">
        <v>2733</v>
      </c>
      <c r="B176" s="8">
        <v>119.202</v>
      </c>
      <c r="C176" s="8">
        <v>10</v>
      </c>
      <c r="D176" s="8">
        <v>10.3</v>
      </c>
      <c r="E176" s="5">
        <v>45366</v>
      </c>
      <c r="F176" t="s">
        <v>4520</v>
      </c>
    </row>
    <row r="177" spans="1:6">
      <c r="A177" s="3" t="s">
        <v>2735</v>
      </c>
      <c r="B177" s="8">
        <v>118.292</v>
      </c>
      <c r="C177" s="8">
        <v>10</v>
      </c>
      <c r="D177" s="8">
        <v>10.3</v>
      </c>
      <c r="E177" s="5">
        <v>45367</v>
      </c>
      <c r="F177" t="s">
        <v>12</v>
      </c>
    </row>
    <row r="178" spans="1:6">
      <c r="A178" s="3" t="s">
        <v>2737</v>
      </c>
      <c r="B178" s="8">
        <v>116.483</v>
      </c>
      <c r="C178" s="8">
        <v>10</v>
      </c>
      <c r="D178" s="8">
        <v>10.3</v>
      </c>
      <c r="E178" s="5">
        <v>45368</v>
      </c>
      <c r="F178" t="s">
        <v>4523</v>
      </c>
    </row>
    <row r="179" spans="1:6">
      <c r="A179" s="3" t="s">
        <v>2751</v>
      </c>
      <c r="B179" s="8">
        <v>103.779</v>
      </c>
      <c r="C179" s="8">
        <v>10</v>
      </c>
      <c r="D179" s="8">
        <v>10.3</v>
      </c>
      <c r="E179" s="5">
        <v>45368</v>
      </c>
      <c r="F179" t="s">
        <v>4512</v>
      </c>
    </row>
    <row r="180" spans="1:6">
      <c r="A180" s="3" t="s">
        <v>2753</v>
      </c>
      <c r="B180" s="8">
        <v>108.43300000000001</v>
      </c>
      <c r="C180" s="8">
        <v>10</v>
      </c>
      <c r="D180" s="8">
        <v>10.3</v>
      </c>
      <c r="E180" s="5">
        <v>45369</v>
      </c>
      <c r="F180" t="s">
        <v>9</v>
      </c>
    </row>
    <row r="181" spans="1:6">
      <c r="A181" s="3" t="s">
        <v>2755</v>
      </c>
      <c r="B181" s="8">
        <v>93.302999999999997</v>
      </c>
      <c r="C181" s="8">
        <v>10</v>
      </c>
      <c r="D181" s="8">
        <v>10.3</v>
      </c>
      <c r="E181" s="5">
        <v>45370</v>
      </c>
      <c r="F181" t="s">
        <v>191</v>
      </c>
    </row>
    <row r="182" spans="1:6">
      <c r="A182" s="3" t="s">
        <v>2759</v>
      </c>
      <c r="B182" s="8">
        <v>100.89400000000001</v>
      </c>
      <c r="C182" s="8">
        <v>10</v>
      </c>
      <c r="D182" s="8">
        <v>10.3</v>
      </c>
      <c r="E182" s="5">
        <v>45371</v>
      </c>
      <c r="F182" t="s">
        <v>4520</v>
      </c>
    </row>
    <row r="183" spans="1:6">
      <c r="A183" s="3" t="s">
        <v>2761</v>
      </c>
      <c r="B183" s="8">
        <v>101.825</v>
      </c>
      <c r="C183" s="8">
        <v>10</v>
      </c>
      <c r="D183" s="8">
        <v>10.3</v>
      </c>
      <c r="E183" s="5">
        <v>45372</v>
      </c>
      <c r="F183" t="s">
        <v>12</v>
      </c>
    </row>
    <row r="184" spans="1:6">
      <c r="A184" s="3" t="s">
        <v>2763</v>
      </c>
      <c r="B184" s="8">
        <v>102.723</v>
      </c>
      <c r="C184" s="8">
        <v>10</v>
      </c>
      <c r="D184" s="8">
        <v>10.3</v>
      </c>
      <c r="E184" s="5">
        <v>45373</v>
      </c>
      <c r="F184" t="s">
        <v>4523</v>
      </c>
    </row>
    <row r="185" spans="1:6">
      <c r="A185" s="3" t="s">
        <v>2776</v>
      </c>
      <c r="B185" s="8">
        <v>80.191999999999993</v>
      </c>
      <c r="C185" s="8">
        <v>10</v>
      </c>
      <c r="D185" s="8">
        <v>10.3</v>
      </c>
      <c r="E185" s="5">
        <v>45383</v>
      </c>
      <c r="F185" t="s">
        <v>4512</v>
      </c>
    </row>
    <row r="186" spans="1:6">
      <c r="A186" s="3" t="s">
        <v>2778</v>
      </c>
      <c r="B186" s="8">
        <v>87.430999999999997</v>
      </c>
      <c r="C186" s="8">
        <v>10</v>
      </c>
      <c r="D186" s="8">
        <v>10.3</v>
      </c>
      <c r="E186" s="5">
        <v>45384</v>
      </c>
      <c r="F186" t="s">
        <v>9</v>
      </c>
    </row>
    <row r="187" spans="1:6">
      <c r="A187" s="3" t="s">
        <v>2780</v>
      </c>
      <c r="B187" s="8">
        <v>89.128</v>
      </c>
      <c r="C187" s="8">
        <v>10</v>
      </c>
      <c r="D187" s="8">
        <v>10.3</v>
      </c>
      <c r="E187" s="5">
        <v>45385</v>
      </c>
      <c r="F187" t="s">
        <v>191</v>
      </c>
    </row>
    <row r="188" spans="1:6">
      <c r="A188" s="3" t="s">
        <v>2782</v>
      </c>
      <c r="B188" s="8">
        <v>84.347999999999999</v>
      </c>
      <c r="C188" s="8">
        <v>10</v>
      </c>
      <c r="D188" s="8">
        <v>10.3</v>
      </c>
      <c r="E188" s="5">
        <v>45386</v>
      </c>
      <c r="F188" t="s">
        <v>4520</v>
      </c>
    </row>
    <row r="189" spans="1:6">
      <c r="A189" s="3" t="s">
        <v>2791</v>
      </c>
      <c r="B189" s="8">
        <v>121.648</v>
      </c>
      <c r="C189" s="8">
        <v>10</v>
      </c>
      <c r="D189" s="8">
        <v>10.3</v>
      </c>
      <c r="E189" s="5">
        <v>45386</v>
      </c>
      <c r="F189" t="s">
        <v>12</v>
      </c>
    </row>
    <row r="190" spans="1:6">
      <c r="A190" s="3" t="s">
        <v>2793</v>
      </c>
      <c r="B190" s="8">
        <v>119.729</v>
      </c>
      <c r="C190" s="8">
        <v>10</v>
      </c>
      <c r="D190" s="8">
        <v>10.3</v>
      </c>
      <c r="E190" s="5">
        <v>45387</v>
      </c>
      <c r="F190" t="s">
        <v>4523</v>
      </c>
    </row>
    <row r="191" spans="1:6">
      <c r="A191" s="3" t="s">
        <v>2795</v>
      </c>
      <c r="B191" s="8">
        <v>123.348</v>
      </c>
      <c r="C191" s="8">
        <v>10</v>
      </c>
      <c r="D191" s="8">
        <v>10.3</v>
      </c>
      <c r="E191" s="5">
        <v>45388</v>
      </c>
      <c r="F191" t="s">
        <v>4512</v>
      </c>
    </row>
    <row r="192" spans="1:6">
      <c r="A192" s="3" t="s">
        <v>2797</v>
      </c>
      <c r="B192" s="8">
        <v>120.10599999999999</v>
      </c>
      <c r="C192" s="8">
        <v>10</v>
      </c>
      <c r="D192" s="8">
        <v>10.3</v>
      </c>
      <c r="E192" s="5">
        <v>45389</v>
      </c>
      <c r="F192" t="s">
        <v>9</v>
      </c>
    </row>
    <row r="193" spans="1:6">
      <c r="A193" s="3" t="s">
        <v>2811</v>
      </c>
      <c r="B193" s="8">
        <v>114.19799999999999</v>
      </c>
      <c r="C193" s="8">
        <v>10</v>
      </c>
      <c r="D193" s="8">
        <v>10.3</v>
      </c>
      <c r="E193" s="5">
        <v>45389</v>
      </c>
      <c r="F193" t="s">
        <v>191</v>
      </c>
    </row>
    <row r="194" spans="1:6">
      <c r="A194" s="3" t="s">
        <v>2813</v>
      </c>
      <c r="B194" s="8">
        <v>117.583</v>
      </c>
      <c r="C194" s="8">
        <v>10</v>
      </c>
      <c r="D194" s="8">
        <v>10.3</v>
      </c>
      <c r="E194" s="5">
        <v>45390</v>
      </c>
      <c r="F194" t="s">
        <v>4520</v>
      </c>
    </row>
    <row r="195" spans="1:6">
      <c r="A195" s="3" t="s">
        <v>2815</v>
      </c>
      <c r="B195" s="8">
        <v>121.024</v>
      </c>
      <c r="C195" s="8">
        <v>10</v>
      </c>
      <c r="D195" s="8">
        <v>10.3</v>
      </c>
      <c r="E195" s="5">
        <v>45391</v>
      </c>
      <c r="F195" t="s">
        <v>12</v>
      </c>
    </row>
    <row r="196" spans="1:6">
      <c r="A196" s="3" t="s">
        <v>2817</v>
      </c>
      <c r="B196" s="8">
        <v>110.273</v>
      </c>
      <c r="C196" s="8">
        <v>10</v>
      </c>
      <c r="D196" s="8">
        <v>10.3</v>
      </c>
      <c r="E196" s="5">
        <v>45392</v>
      </c>
      <c r="F196" t="s">
        <v>4523</v>
      </c>
    </row>
    <row r="197" spans="1:6">
      <c r="A197" s="3" t="s">
        <v>2826</v>
      </c>
      <c r="B197" s="8">
        <v>105.76300000000001</v>
      </c>
      <c r="C197" s="8">
        <v>10</v>
      </c>
      <c r="D197" s="8">
        <v>10.3</v>
      </c>
      <c r="E197" s="5">
        <v>45389</v>
      </c>
      <c r="F197" t="s">
        <v>4512</v>
      </c>
    </row>
    <row r="198" spans="1:6">
      <c r="A198" s="3" t="s">
        <v>2828</v>
      </c>
      <c r="B198" s="8">
        <v>105.675</v>
      </c>
      <c r="C198" s="8">
        <v>10</v>
      </c>
      <c r="D198" s="8">
        <v>10.3</v>
      </c>
      <c r="E198" s="5">
        <v>45390</v>
      </c>
      <c r="F198" t="s">
        <v>9</v>
      </c>
    </row>
    <row r="199" spans="1:6">
      <c r="A199" s="3" t="s">
        <v>2830</v>
      </c>
      <c r="B199" s="8">
        <v>100.34699999999999</v>
      </c>
      <c r="C199" s="8">
        <v>10</v>
      </c>
      <c r="D199" s="8">
        <v>10.3</v>
      </c>
      <c r="E199" s="5">
        <v>45391</v>
      </c>
      <c r="F199" t="s">
        <v>191</v>
      </c>
    </row>
    <row r="200" spans="1:6">
      <c r="A200" s="3" t="s">
        <v>2842</v>
      </c>
      <c r="B200" s="8">
        <v>102.557</v>
      </c>
      <c r="C200" s="8">
        <v>10</v>
      </c>
      <c r="D200" s="8">
        <v>10.3</v>
      </c>
      <c r="E200" s="5">
        <v>45392</v>
      </c>
      <c r="F200" t="s">
        <v>4520</v>
      </c>
    </row>
    <row r="201" spans="1:6">
      <c r="A201" s="3" t="s">
        <v>2844</v>
      </c>
      <c r="B201" s="8">
        <v>104.89700000000001</v>
      </c>
      <c r="C201" s="8">
        <v>10</v>
      </c>
      <c r="D201" s="8">
        <v>10.3</v>
      </c>
      <c r="E201" s="5">
        <v>45393</v>
      </c>
      <c r="F201" t="s">
        <v>12</v>
      </c>
    </row>
    <row r="202" spans="1:6">
      <c r="A202" s="3" t="s">
        <v>2846</v>
      </c>
      <c r="B202" s="8">
        <v>99.4</v>
      </c>
      <c r="C202" s="8">
        <v>10</v>
      </c>
      <c r="D202" s="8">
        <v>10.3</v>
      </c>
      <c r="E202" s="5">
        <v>45394</v>
      </c>
      <c r="F202" t="s">
        <v>4523</v>
      </c>
    </row>
    <row r="203" spans="1:6">
      <c r="A203" s="3" t="s">
        <v>2848</v>
      </c>
      <c r="B203" s="8">
        <v>97.527000000000001</v>
      </c>
      <c r="C203" s="8">
        <v>10</v>
      </c>
      <c r="D203" s="8">
        <v>10.3</v>
      </c>
      <c r="E203" s="5">
        <v>45395</v>
      </c>
      <c r="F203" t="s">
        <v>4512</v>
      </c>
    </row>
    <row r="204" spans="1:6">
      <c r="A204" s="3" t="s">
        <v>2866</v>
      </c>
      <c r="B204" s="8">
        <v>124.423</v>
      </c>
      <c r="C204" s="8">
        <v>10</v>
      </c>
      <c r="D204" s="8">
        <v>10.3</v>
      </c>
      <c r="E204" s="5">
        <v>45407</v>
      </c>
      <c r="F204" t="s">
        <v>9</v>
      </c>
    </row>
    <row r="205" spans="1:6">
      <c r="A205" s="3" t="s">
        <v>2868</v>
      </c>
      <c r="B205" s="8">
        <v>117.949</v>
      </c>
      <c r="C205" s="8">
        <v>10</v>
      </c>
      <c r="D205" s="8">
        <v>10.3</v>
      </c>
      <c r="E205" s="5">
        <v>45408</v>
      </c>
      <c r="F205" t="s">
        <v>191</v>
      </c>
    </row>
    <row r="206" spans="1:6">
      <c r="A206" s="3" t="s">
        <v>2870</v>
      </c>
      <c r="B206" s="8">
        <v>119.85</v>
      </c>
      <c r="C206" s="8">
        <v>10</v>
      </c>
      <c r="D206" s="8">
        <v>10.3</v>
      </c>
      <c r="E206" s="5">
        <v>45409</v>
      </c>
      <c r="F206" t="s">
        <v>4520</v>
      </c>
    </row>
    <row r="207" spans="1:6">
      <c r="A207" s="3" t="s">
        <v>2878</v>
      </c>
      <c r="B207" s="8">
        <v>125.459</v>
      </c>
      <c r="C207" s="8">
        <v>10</v>
      </c>
      <c r="D207" s="8">
        <v>10.3</v>
      </c>
      <c r="E207" s="5">
        <v>45410</v>
      </c>
      <c r="F207" t="s">
        <v>12</v>
      </c>
    </row>
    <row r="208" spans="1:6">
      <c r="A208" s="3" t="s">
        <v>2880</v>
      </c>
      <c r="B208" s="8">
        <v>119.58199999999999</v>
      </c>
      <c r="C208" s="8">
        <v>10</v>
      </c>
      <c r="D208" s="8">
        <v>10.3</v>
      </c>
      <c r="E208" s="5">
        <v>45411</v>
      </c>
      <c r="F208" t="s">
        <v>4523</v>
      </c>
    </row>
    <row r="209" spans="1:6">
      <c r="A209" s="3" t="s">
        <v>2882</v>
      </c>
      <c r="B209" s="8">
        <v>118.63200000000001</v>
      </c>
      <c r="C209" s="8">
        <v>10</v>
      </c>
      <c r="D209" s="8">
        <v>10.3</v>
      </c>
      <c r="E209" s="5">
        <v>45412</v>
      </c>
      <c r="F209" t="s">
        <v>4512</v>
      </c>
    </row>
    <row r="210" spans="1:6">
      <c r="A210" s="3" t="s">
        <v>2884</v>
      </c>
      <c r="B210" s="8">
        <v>123.93</v>
      </c>
      <c r="C210" s="8">
        <v>10</v>
      </c>
      <c r="D210" s="8">
        <v>10.3</v>
      </c>
      <c r="E210" s="5">
        <v>45413</v>
      </c>
      <c r="F210" t="s">
        <v>9</v>
      </c>
    </row>
    <row r="211" spans="1:6">
      <c r="A211" s="3" t="s">
        <v>2892</v>
      </c>
      <c r="B211" s="8">
        <v>99.149000000000001</v>
      </c>
      <c r="C211" s="8">
        <v>10</v>
      </c>
      <c r="D211" s="8">
        <v>10.3</v>
      </c>
      <c r="E211" s="5">
        <v>45410</v>
      </c>
      <c r="F211" t="s">
        <v>191</v>
      </c>
    </row>
    <row r="212" spans="1:6">
      <c r="A212" s="3" t="s">
        <v>2894</v>
      </c>
      <c r="B212" s="8">
        <v>106.16200000000001</v>
      </c>
      <c r="C212" s="8">
        <v>10</v>
      </c>
      <c r="D212" s="8">
        <v>10.3</v>
      </c>
      <c r="E212" s="5">
        <v>45411</v>
      </c>
      <c r="F212" t="s">
        <v>4520</v>
      </c>
    </row>
    <row r="213" spans="1:6">
      <c r="A213" s="3" t="s">
        <v>2896</v>
      </c>
      <c r="B213" s="8">
        <v>109.514</v>
      </c>
      <c r="C213" s="8">
        <v>10</v>
      </c>
      <c r="D213" s="8">
        <v>10.3</v>
      </c>
      <c r="E213" s="5">
        <v>45412</v>
      </c>
      <c r="F213" t="s">
        <v>12</v>
      </c>
    </row>
    <row r="214" spans="1:6">
      <c r="A214" s="3" t="s">
        <v>2905</v>
      </c>
      <c r="B214" s="8">
        <v>106.563</v>
      </c>
      <c r="C214" s="8">
        <v>10</v>
      </c>
      <c r="D214" s="8">
        <v>10.3</v>
      </c>
      <c r="E214" s="5">
        <v>45413</v>
      </c>
      <c r="F214" t="s">
        <v>4523</v>
      </c>
    </row>
    <row r="215" spans="1:6">
      <c r="A215" s="3" t="s">
        <v>2907</v>
      </c>
      <c r="B215" s="8">
        <v>112.485</v>
      </c>
      <c r="C215" s="8">
        <v>10</v>
      </c>
      <c r="D215" s="8">
        <v>10.3</v>
      </c>
      <c r="E215" s="5">
        <v>45414</v>
      </c>
      <c r="F215" t="s">
        <v>4512</v>
      </c>
    </row>
    <row r="216" spans="1:6">
      <c r="A216" s="3" t="s">
        <v>2909</v>
      </c>
      <c r="B216" s="8">
        <v>112.133</v>
      </c>
      <c r="C216" s="8">
        <v>10</v>
      </c>
      <c r="D216" s="8">
        <v>10.3</v>
      </c>
      <c r="E216" s="5">
        <v>45415</v>
      </c>
      <c r="F216" t="s">
        <v>9</v>
      </c>
    </row>
    <row r="217" spans="1:6">
      <c r="A217" s="3" t="s">
        <v>2911</v>
      </c>
      <c r="B217" s="8">
        <v>110.325</v>
      </c>
      <c r="C217" s="8">
        <v>10</v>
      </c>
      <c r="D217" s="8">
        <v>10.3</v>
      </c>
      <c r="E217" s="5">
        <v>45416</v>
      </c>
      <c r="F217" t="s">
        <v>191</v>
      </c>
    </row>
    <row r="218" spans="1:6">
      <c r="A218" s="3" t="s">
        <v>2920</v>
      </c>
      <c r="B218" s="8">
        <v>104.33499999999999</v>
      </c>
      <c r="C218" s="8">
        <v>10</v>
      </c>
      <c r="D218" s="8">
        <v>10.3</v>
      </c>
      <c r="E218" s="5">
        <v>45416</v>
      </c>
      <c r="F218" t="s">
        <v>4520</v>
      </c>
    </row>
    <row r="219" spans="1:6">
      <c r="A219" s="3" t="s">
        <v>2922</v>
      </c>
      <c r="B219" s="8">
        <v>108.27800000000001</v>
      </c>
      <c r="C219" s="8">
        <v>10</v>
      </c>
      <c r="D219" s="8">
        <v>10.3</v>
      </c>
      <c r="E219" s="5">
        <v>45417</v>
      </c>
      <c r="F219" t="s">
        <v>12</v>
      </c>
    </row>
    <row r="220" spans="1:6">
      <c r="A220" s="3" t="s">
        <v>2924</v>
      </c>
      <c r="B220" s="8">
        <v>103.029</v>
      </c>
      <c r="C220" s="8">
        <v>10</v>
      </c>
      <c r="D220" s="8">
        <v>10.3</v>
      </c>
      <c r="E220" s="5">
        <v>45418</v>
      </c>
      <c r="F220" t="s">
        <v>4523</v>
      </c>
    </row>
    <row r="221" spans="1:6">
      <c r="A221" s="3" t="s">
        <v>2926</v>
      </c>
      <c r="B221" s="8">
        <v>104.11</v>
      </c>
      <c r="C221" s="8">
        <v>10</v>
      </c>
      <c r="D221" s="8">
        <v>10.3</v>
      </c>
      <c r="E221" s="5">
        <v>45419</v>
      </c>
      <c r="F221" t="s">
        <v>4512</v>
      </c>
    </row>
    <row r="222" spans="1:6">
      <c r="A222" s="3" t="s">
        <v>2937</v>
      </c>
      <c r="B222" s="8">
        <v>90.507000000000005</v>
      </c>
      <c r="C222" s="8">
        <v>10</v>
      </c>
      <c r="D222" s="8">
        <v>10.3</v>
      </c>
      <c r="E222" s="5">
        <v>45419</v>
      </c>
      <c r="F222" t="s">
        <v>9</v>
      </c>
    </row>
    <row r="223" spans="1:6">
      <c r="A223" s="3" t="s">
        <v>2939</v>
      </c>
      <c r="B223" s="8">
        <v>85.671999999999997</v>
      </c>
      <c r="C223" s="8">
        <v>10</v>
      </c>
      <c r="D223" s="8">
        <v>10.3</v>
      </c>
      <c r="E223" s="5">
        <v>45420</v>
      </c>
      <c r="F223" t="s">
        <v>191</v>
      </c>
    </row>
    <row r="224" spans="1:6">
      <c r="A224" s="3" t="s">
        <v>2941</v>
      </c>
      <c r="B224" s="8">
        <v>88.62</v>
      </c>
      <c r="C224" s="8">
        <v>10</v>
      </c>
      <c r="D224" s="8">
        <v>10.3</v>
      </c>
      <c r="E224" s="5">
        <v>45421</v>
      </c>
      <c r="F224" t="s">
        <v>4520</v>
      </c>
    </row>
    <row r="225" spans="1:6">
      <c r="A225" s="3" t="s">
        <v>2943</v>
      </c>
      <c r="B225" s="8">
        <v>98.647000000000006</v>
      </c>
      <c r="C225" s="8">
        <v>10</v>
      </c>
      <c r="D225" s="8">
        <v>10.3</v>
      </c>
      <c r="E225" s="5">
        <v>45422</v>
      </c>
      <c r="F225" t="s">
        <v>12</v>
      </c>
    </row>
    <row r="226" spans="1:6">
      <c r="A226" s="3" t="s">
        <v>2960</v>
      </c>
      <c r="B226" s="8">
        <v>85.659000000000006</v>
      </c>
      <c r="C226" s="8">
        <v>10</v>
      </c>
      <c r="D226" s="8">
        <v>10.3</v>
      </c>
      <c r="E226" s="5">
        <v>45422</v>
      </c>
      <c r="F226" t="s">
        <v>4523</v>
      </c>
    </row>
    <row r="227" spans="1:6">
      <c r="A227" s="3" t="s">
        <v>2962</v>
      </c>
      <c r="B227" s="8">
        <v>88.819000000000003</v>
      </c>
      <c r="C227" s="8">
        <v>10</v>
      </c>
      <c r="D227" s="8">
        <v>10.3</v>
      </c>
      <c r="E227" s="5">
        <v>45423</v>
      </c>
      <c r="F227" t="s">
        <v>4512</v>
      </c>
    </row>
    <row r="228" spans="1:6">
      <c r="A228" s="3" t="s">
        <v>2964</v>
      </c>
      <c r="B228" s="8">
        <v>88.929000000000002</v>
      </c>
      <c r="C228" s="8">
        <v>10</v>
      </c>
      <c r="D228" s="8">
        <v>10.3</v>
      </c>
      <c r="E228" s="5">
        <v>45424</v>
      </c>
      <c r="F228" t="s">
        <v>9</v>
      </c>
    </row>
    <row r="229" spans="1:6">
      <c r="A229" s="3" t="s">
        <v>2966</v>
      </c>
      <c r="B229" s="8">
        <v>91.340999999999994</v>
      </c>
      <c r="C229" s="8">
        <v>10</v>
      </c>
      <c r="D229" s="8">
        <v>10.3</v>
      </c>
      <c r="E229" s="5">
        <v>45425</v>
      </c>
      <c r="F229" t="s">
        <v>191</v>
      </c>
    </row>
    <row r="230" spans="1:6">
      <c r="A230" s="3" t="s">
        <v>2981</v>
      </c>
      <c r="B230" s="8">
        <v>115.211</v>
      </c>
      <c r="C230" s="8">
        <v>10</v>
      </c>
      <c r="D230" s="8">
        <v>10.3</v>
      </c>
      <c r="E230" s="5">
        <v>45428</v>
      </c>
      <c r="F230" t="s">
        <v>4520</v>
      </c>
    </row>
    <row r="231" spans="1:6">
      <c r="A231" s="3" t="s">
        <v>2983</v>
      </c>
      <c r="B231" s="8">
        <v>117.869</v>
      </c>
      <c r="C231" s="8">
        <v>10</v>
      </c>
      <c r="D231" s="8">
        <v>10.3</v>
      </c>
      <c r="E231" s="5">
        <v>45429</v>
      </c>
      <c r="F231" t="s">
        <v>12</v>
      </c>
    </row>
    <row r="232" spans="1:6">
      <c r="A232" s="3" t="s">
        <v>2985</v>
      </c>
      <c r="B232" s="8">
        <v>114.16</v>
      </c>
      <c r="C232" s="8">
        <v>10</v>
      </c>
      <c r="D232" s="8">
        <v>10.3</v>
      </c>
      <c r="E232" s="5">
        <v>45430</v>
      </c>
      <c r="F232" t="s">
        <v>4523</v>
      </c>
    </row>
    <row r="233" spans="1:6">
      <c r="A233" s="3" t="s">
        <v>2992</v>
      </c>
      <c r="B233" s="8">
        <v>119.10899999999999</v>
      </c>
      <c r="C233" s="8">
        <v>10</v>
      </c>
      <c r="D233" s="8">
        <v>10.3</v>
      </c>
      <c r="E233" s="5">
        <v>45431</v>
      </c>
      <c r="F233" t="s">
        <v>4512</v>
      </c>
    </row>
    <row r="234" spans="1:6">
      <c r="A234" s="3" t="s">
        <v>2994</v>
      </c>
      <c r="B234" s="8">
        <v>121.214</v>
      </c>
      <c r="C234" s="8">
        <v>10</v>
      </c>
      <c r="D234" s="8">
        <v>10.3</v>
      </c>
      <c r="E234" s="5">
        <v>45432</v>
      </c>
      <c r="F234" t="s">
        <v>9</v>
      </c>
    </row>
    <row r="235" spans="1:6">
      <c r="A235" s="3" t="s">
        <v>2996</v>
      </c>
      <c r="B235" s="8">
        <v>112.563</v>
      </c>
      <c r="C235" s="8">
        <v>10</v>
      </c>
      <c r="D235" s="8">
        <v>10.3</v>
      </c>
      <c r="E235" s="5">
        <v>45433</v>
      </c>
      <c r="F235" t="s">
        <v>191</v>
      </c>
    </row>
    <row r="236" spans="1:6">
      <c r="A236" s="3" t="s">
        <v>2998</v>
      </c>
      <c r="B236" s="8">
        <v>119.681</v>
      </c>
      <c r="C236" s="8">
        <v>10</v>
      </c>
      <c r="D236" s="8">
        <v>10.3</v>
      </c>
      <c r="E236" s="5">
        <v>45434</v>
      </c>
      <c r="F236" t="s">
        <v>4520</v>
      </c>
    </row>
    <row r="237" spans="1:6">
      <c r="A237" s="3" t="s">
        <v>3004</v>
      </c>
      <c r="B237" s="8">
        <v>110.947</v>
      </c>
      <c r="C237" s="8">
        <v>10</v>
      </c>
      <c r="D237" s="8">
        <v>10.3</v>
      </c>
      <c r="E237" s="5">
        <v>45434</v>
      </c>
      <c r="F237" t="s">
        <v>12</v>
      </c>
    </row>
    <row r="238" spans="1:6">
      <c r="A238" s="3" t="s">
        <v>3006</v>
      </c>
      <c r="B238" s="8">
        <v>109.3</v>
      </c>
      <c r="C238" s="8">
        <v>10</v>
      </c>
      <c r="D238" s="8">
        <v>10.3</v>
      </c>
      <c r="E238" s="5">
        <v>45435</v>
      </c>
      <c r="F238" t="s">
        <v>4523</v>
      </c>
    </row>
    <row r="239" spans="1:6">
      <c r="A239" s="3" t="s">
        <v>3008</v>
      </c>
      <c r="B239" s="8">
        <v>103.754</v>
      </c>
      <c r="C239" s="8">
        <v>10</v>
      </c>
      <c r="D239" s="8">
        <v>10.3</v>
      </c>
      <c r="E239" s="5">
        <v>45436</v>
      </c>
      <c r="F239" t="s">
        <v>4512</v>
      </c>
    </row>
    <row r="240" spans="1:6">
      <c r="A240" s="3" t="s">
        <v>3010</v>
      </c>
      <c r="B240" s="8">
        <v>110.28400000000001</v>
      </c>
      <c r="C240" s="8">
        <v>10</v>
      </c>
      <c r="D240" s="8">
        <v>10.3</v>
      </c>
      <c r="E240" s="5">
        <v>45437</v>
      </c>
      <c r="F240" t="s">
        <v>9</v>
      </c>
    </row>
    <row r="241" spans="1:6">
      <c r="A241" s="3" t="s">
        <v>3012</v>
      </c>
      <c r="B241" s="8">
        <v>103.205</v>
      </c>
      <c r="C241" s="8">
        <v>10</v>
      </c>
      <c r="D241" s="8">
        <v>10.3</v>
      </c>
      <c r="E241" s="5">
        <v>45438</v>
      </c>
      <c r="F241" t="s">
        <v>191</v>
      </c>
    </row>
    <row r="242" spans="1:6">
      <c r="A242" s="3" t="s">
        <v>3030</v>
      </c>
      <c r="B242" s="8">
        <v>111.46</v>
      </c>
      <c r="C242" s="8">
        <v>10</v>
      </c>
      <c r="D242" s="8">
        <v>10.3</v>
      </c>
      <c r="E242" s="5">
        <v>45437</v>
      </c>
      <c r="F242" t="s">
        <v>4520</v>
      </c>
    </row>
    <row r="243" spans="1:6">
      <c r="A243" s="3" t="s">
        <v>3032</v>
      </c>
      <c r="B243" s="8">
        <v>111.476</v>
      </c>
      <c r="C243" s="8">
        <v>10</v>
      </c>
      <c r="D243" s="8">
        <v>10.3</v>
      </c>
      <c r="E243" s="5">
        <v>45438</v>
      </c>
      <c r="F243" t="s">
        <v>12</v>
      </c>
    </row>
    <row r="244" spans="1:6">
      <c r="A244" s="3" t="s">
        <v>3034</v>
      </c>
      <c r="B244" s="8">
        <v>101.876</v>
      </c>
      <c r="C244" s="8">
        <v>10</v>
      </c>
      <c r="D244" s="8">
        <v>10.3</v>
      </c>
      <c r="E244" s="5">
        <v>45439</v>
      </c>
      <c r="F244" t="s">
        <v>4523</v>
      </c>
    </row>
    <row r="245" spans="1:6">
      <c r="A245" s="3" t="s">
        <v>3036</v>
      </c>
      <c r="B245" s="8">
        <v>109.545</v>
      </c>
      <c r="C245" s="8">
        <v>10</v>
      </c>
      <c r="D245" s="8">
        <v>10.3</v>
      </c>
      <c r="E245" s="5">
        <v>45440</v>
      </c>
      <c r="F245" t="s">
        <v>4512</v>
      </c>
    </row>
    <row r="246" spans="1:6">
      <c r="A246" s="3" t="s">
        <v>3053</v>
      </c>
      <c r="B246" s="8">
        <v>107.994</v>
      </c>
      <c r="C246" s="8">
        <v>10</v>
      </c>
      <c r="D246" s="8">
        <v>10.3</v>
      </c>
      <c r="E246" s="5">
        <v>45437</v>
      </c>
      <c r="F246" t="s">
        <v>9</v>
      </c>
    </row>
    <row r="247" spans="1:6">
      <c r="A247" s="3" t="s">
        <v>3055</v>
      </c>
      <c r="B247" s="8">
        <v>104.277</v>
      </c>
      <c r="C247" s="8">
        <v>10</v>
      </c>
      <c r="D247" s="8">
        <v>10.3</v>
      </c>
      <c r="E247" s="5">
        <v>45438</v>
      </c>
      <c r="F247" t="s">
        <v>191</v>
      </c>
    </row>
    <row r="248" spans="1:6">
      <c r="A248" s="3" t="s">
        <v>3057</v>
      </c>
      <c r="B248" s="8">
        <v>111.55</v>
      </c>
      <c r="C248" s="8">
        <v>10</v>
      </c>
      <c r="D248" s="8">
        <v>10.3</v>
      </c>
      <c r="E248" s="5">
        <v>45439</v>
      </c>
      <c r="F248" t="s">
        <v>4520</v>
      </c>
    </row>
    <row r="249" spans="1:6">
      <c r="A249" s="3" t="s">
        <v>3059</v>
      </c>
      <c r="B249" s="8">
        <v>112.354</v>
      </c>
      <c r="C249" s="8">
        <v>10</v>
      </c>
      <c r="D249" s="8">
        <v>10.3</v>
      </c>
      <c r="E249" s="5">
        <v>45440</v>
      </c>
      <c r="F249" t="s">
        <v>12</v>
      </c>
    </row>
    <row r="250" spans="1:6">
      <c r="A250" s="3" t="s">
        <v>3068</v>
      </c>
      <c r="B250" s="8">
        <v>86.566999999999993</v>
      </c>
      <c r="C250" s="8">
        <v>10</v>
      </c>
      <c r="D250" s="8">
        <v>10.3</v>
      </c>
      <c r="E250" s="5">
        <v>45443</v>
      </c>
      <c r="F250" t="s">
        <v>4523</v>
      </c>
    </row>
    <row r="251" spans="1:6">
      <c r="A251" s="3" t="s">
        <v>3070</v>
      </c>
      <c r="B251" s="8">
        <v>90.494</v>
      </c>
      <c r="C251" s="8">
        <v>10</v>
      </c>
      <c r="D251" s="8">
        <v>10.3</v>
      </c>
      <c r="E251" s="5">
        <v>45444</v>
      </c>
      <c r="F251" t="s">
        <v>4512</v>
      </c>
    </row>
    <row r="252" spans="1:6">
      <c r="A252" s="3" t="s">
        <v>3072</v>
      </c>
      <c r="B252" s="8">
        <v>89.307000000000002</v>
      </c>
      <c r="C252" s="8">
        <v>10</v>
      </c>
      <c r="D252" s="8">
        <v>10.3</v>
      </c>
      <c r="E252" s="5">
        <v>45445</v>
      </c>
      <c r="F252" t="s">
        <v>9</v>
      </c>
    </row>
    <row r="253" spans="1:6">
      <c r="A253" s="3" t="s">
        <v>3074</v>
      </c>
      <c r="B253" s="8">
        <v>88.204999999999998</v>
      </c>
      <c r="C253" s="8">
        <v>10</v>
      </c>
      <c r="D253" s="8">
        <v>10.3</v>
      </c>
      <c r="E253" s="5">
        <v>45446</v>
      </c>
      <c r="F253" t="s">
        <v>191</v>
      </c>
    </row>
    <row r="254" spans="1:6">
      <c r="A254" s="3" t="s">
        <v>3089</v>
      </c>
      <c r="B254" s="8">
        <v>91.078000000000003</v>
      </c>
      <c r="C254" s="8">
        <v>10</v>
      </c>
      <c r="D254" s="8">
        <v>10.3</v>
      </c>
      <c r="E254" s="5">
        <v>45446</v>
      </c>
      <c r="F254" t="s">
        <v>4520</v>
      </c>
    </row>
    <row r="255" spans="1:6">
      <c r="A255" s="3" t="s">
        <v>3091</v>
      </c>
      <c r="B255" s="8">
        <v>91.917000000000002</v>
      </c>
      <c r="C255" s="8">
        <v>10</v>
      </c>
      <c r="D255" s="8">
        <v>10.3</v>
      </c>
      <c r="E255" s="5">
        <v>45447</v>
      </c>
      <c r="F255" t="s">
        <v>12</v>
      </c>
    </row>
    <row r="256" spans="1:6">
      <c r="A256" s="3" t="s">
        <v>3093</v>
      </c>
      <c r="B256" s="8">
        <v>92.174999999999997</v>
      </c>
      <c r="C256" s="8">
        <v>10</v>
      </c>
      <c r="D256" s="8">
        <v>10.3</v>
      </c>
      <c r="E256" s="5">
        <v>45448</v>
      </c>
      <c r="F256" t="s">
        <v>4523</v>
      </c>
    </row>
    <row r="257" spans="1:6">
      <c r="A257" s="3" t="s">
        <v>3095</v>
      </c>
      <c r="B257" s="8">
        <v>90.296999999999997</v>
      </c>
      <c r="C257" s="8">
        <v>10</v>
      </c>
      <c r="D257" s="8">
        <v>10.3</v>
      </c>
      <c r="E257" s="5">
        <v>45449</v>
      </c>
      <c r="F257" t="s">
        <v>4512</v>
      </c>
    </row>
    <row r="258" spans="1:6">
      <c r="A258" s="3" t="s">
        <v>3104</v>
      </c>
      <c r="B258" s="8">
        <v>93.715999999999994</v>
      </c>
      <c r="C258" s="8">
        <v>10</v>
      </c>
      <c r="D258" s="8">
        <v>10.3</v>
      </c>
      <c r="E258" s="5">
        <v>45446</v>
      </c>
      <c r="F258" t="s">
        <v>9</v>
      </c>
    </row>
    <row r="259" spans="1:6">
      <c r="A259" s="3" t="s">
        <v>3106</v>
      </c>
      <c r="B259" s="8">
        <v>90.516999999999996</v>
      </c>
      <c r="C259" s="8">
        <v>10</v>
      </c>
      <c r="D259" s="8">
        <v>10.3</v>
      </c>
      <c r="E259" s="5">
        <v>45447</v>
      </c>
      <c r="F259" t="s">
        <v>191</v>
      </c>
    </row>
    <row r="260" spans="1:6">
      <c r="A260" s="3" t="s">
        <v>3108</v>
      </c>
      <c r="B260" s="8">
        <v>89.891999999999996</v>
      </c>
      <c r="C260" s="8">
        <v>10</v>
      </c>
      <c r="D260" s="8">
        <v>10.3</v>
      </c>
      <c r="E260" s="5">
        <v>45448</v>
      </c>
      <c r="F260" t="s">
        <v>4520</v>
      </c>
    </row>
    <row r="261" spans="1:6">
      <c r="A261" s="3" t="s">
        <v>3124</v>
      </c>
      <c r="B261" s="8">
        <v>95.352000000000004</v>
      </c>
      <c r="C261" s="8">
        <v>10</v>
      </c>
      <c r="D261" s="8">
        <v>10.3</v>
      </c>
      <c r="E261" s="5">
        <v>45449</v>
      </c>
      <c r="F261" t="s">
        <v>12</v>
      </c>
    </row>
    <row r="262" spans="1:6">
      <c r="A262" s="3" t="s">
        <v>3126</v>
      </c>
      <c r="B262" s="8">
        <v>85.131</v>
      </c>
      <c r="C262" s="8">
        <v>10</v>
      </c>
      <c r="D262" s="8">
        <v>10.3</v>
      </c>
      <c r="E262" s="5">
        <v>45450</v>
      </c>
      <c r="F262" t="s">
        <v>4523</v>
      </c>
    </row>
    <row r="263" spans="1:6">
      <c r="A263" s="3" t="s">
        <v>3128</v>
      </c>
      <c r="B263" s="8">
        <v>92.197000000000003</v>
      </c>
      <c r="C263" s="8">
        <v>10</v>
      </c>
      <c r="D263" s="8">
        <v>10.3</v>
      </c>
      <c r="E263" s="5">
        <v>45451</v>
      </c>
      <c r="F263" t="s">
        <v>4512</v>
      </c>
    </row>
    <row r="264" spans="1:6">
      <c r="A264" s="3" t="s">
        <v>3130</v>
      </c>
      <c r="B264" s="8">
        <v>90.2</v>
      </c>
      <c r="C264" s="8">
        <v>10</v>
      </c>
      <c r="D264" s="8">
        <v>10.3</v>
      </c>
      <c r="E264" s="5">
        <v>45452</v>
      </c>
      <c r="F264" t="s">
        <v>9</v>
      </c>
    </row>
    <row r="265" spans="1:6">
      <c r="A265" s="3" t="s">
        <v>3147</v>
      </c>
      <c r="B265" s="8">
        <v>86.915999999999997</v>
      </c>
      <c r="C265" s="8">
        <v>10</v>
      </c>
      <c r="D265" s="8">
        <v>10.3</v>
      </c>
      <c r="E265" s="5">
        <v>45452</v>
      </c>
      <c r="F265" t="s">
        <v>191</v>
      </c>
    </row>
    <row r="266" spans="1:6">
      <c r="A266" s="3" t="s">
        <v>3149</v>
      </c>
      <c r="B266" s="8">
        <v>89.2</v>
      </c>
      <c r="C266" s="8">
        <v>10</v>
      </c>
      <c r="D266" s="8">
        <v>10.3</v>
      </c>
      <c r="E266" s="5">
        <v>45453</v>
      </c>
      <c r="F266" t="s">
        <v>4520</v>
      </c>
    </row>
    <row r="267" spans="1:6">
      <c r="A267" s="3" t="s">
        <v>3151</v>
      </c>
      <c r="B267" s="8">
        <v>92.888999999999996</v>
      </c>
      <c r="C267" s="8">
        <v>10</v>
      </c>
      <c r="D267" s="8">
        <v>10.3</v>
      </c>
      <c r="E267" s="5">
        <v>45454</v>
      </c>
      <c r="F267" t="s">
        <v>12</v>
      </c>
    </row>
    <row r="268" spans="1:6">
      <c r="A268" s="3" t="s">
        <v>3153</v>
      </c>
      <c r="B268" s="8">
        <v>85.150999999999996</v>
      </c>
      <c r="C268" s="8">
        <v>10</v>
      </c>
      <c r="D268" s="8">
        <v>10.3</v>
      </c>
      <c r="E268" s="5">
        <v>45455</v>
      </c>
      <c r="F268" t="s">
        <v>4523</v>
      </c>
    </row>
    <row r="269" spans="1:6">
      <c r="A269" s="3" t="s">
        <v>3162</v>
      </c>
      <c r="B269" s="8">
        <v>111.631</v>
      </c>
      <c r="C269" s="8">
        <v>10</v>
      </c>
      <c r="D269" s="8">
        <v>10.3</v>
      </c>
      <c r="E269" s="5">
        <v>45458</v>
      </c>
      <c r="F269" t="s">
        <v>4512</v>
      </c>
    </row>
    <row r="270" spans="1:6">
      <c r="A270" s="3" t="s">
        <v>3164</v>
      </c>
      <c r="B270" s="8">
        <v>117.46599999999999</v>
      </c>
      <c r="C270" s="8">
        <v>10</v>
      </c>
      <c r="D270" s="8">
        <v>10.3</v>
      </c>
      <c r="E270" s="5">
        <v>45459</v>
      </c>
      <c r="F270" t="s">
        <v>9</v>
      </c>
    </row>
    <row r="271" spans="1:6">
      <c r="A271" s="3" t="s">
        <v>3166</v>
      </c>
      <c r="B271" s="8">
        <v>113.559</v>
      </c>
      <c r="C271" s="8">
        <v>10</v>
      </c>
      <c r="D271" s="8">
        <v>10.3</v>
      </c>
      <c r="E271" s="5">
        <v>45460</v>
      </c>
      <c r="F271" t="s">
        <v>191</v>
      </c>
    </row>
    <row r="272" spans="1:6">
      <c r="A272" s="3" t="s">
        <v>3174</v>
      </c>
      <c r="B272" s="8">
        <v>100.477</v>
      </c>
      <c r="C272" s="8">
        <v>10</v>
      </c>
      <c r="D272" s="8">
        <v>10.3</v>
      </c>
      <c r="E272" s="5">
        <v>45461</v>
      </c>
      <c r="F272" t="s">
        <v>4520</v>
      </c>
    </row>
    <row r="273" spans="1:6">
      <c r="A273" s="3" t="s">
        <v>3176</v>
      </c>
      <c r="B273" s="8">
        <v>102.916</v>
      </c>
      <c r="C273" s="8">
        <v>10</v>
      </c>
      <c r="D273" s="8">
        <v>10.3</v>
      </c>
      <c r="E273" s="5">
        <v>45462</v>
      </c>
      <c r="F273" t="s">
        <v>12</v>
      </c>
    </row>
    <row r="274" spans="1:6">
      <c r="A274" s="3" t="s">
        <v>3178</v>
      </c>
      <c r="B274" s="8">
        <v>97.1</v>
      </c>
      <c r="C274" s="8">
        <v>10</v>
      </c>
      <c r="D274" s="8">
        <v>10.3</v>
      </c>
      <c r="E274" s="5">
        <v>45463</v>
      </c>
      <c r="F274" t="s">
        <v>4523</v>
      </c>
    </row>
    <row r="275" spans="1:6">
      <c r="A275" s="3" t="s">
        <v>3180</v>
      </c>
      <c r="B275" s="8">
        <v>99.956999999999994</v>
      </c>
      <c r="C275" s="8">
        <v>10</v>
      </c>
      <c r="D275" s="8">
        <v>10.3</v>
      </c>
      <c r="E275" s="5">
        <v>45464</v>
      </c>
      <c r="F275" t="s">
        <v>4512</v>
      </c>
    </row>
    <row r="276" spans="1:6">
      <c r="A276" s="3" t="s">
        <v>3182</v>
      </c>
      <c r="B276" s="8">
        <v>101.96299999999999</v>
      </c>
      <c r="C276" s="8">
        <v>10</v>
      </c>
      <c r="D276" s="8">
        <v>10.3</v>
      </c>
      <c r="E276" s="5">
        <v>45465</v>
      </c>
      <c r="F276" t="s">
        <v>9</v>
      </c>
    </row>
    <row r="277" spans="1:6">
      <c r="A277" s="3" t="s">
        <v>3198</v>
      </c>
      <c r="B277" s="8">
        <v>93.801000000000002</v>
      </c>
      <c r="C277" s="8">
        <v>10</v>
      </c>
      <c r="D277" s="8">
        <v>10.3</v>
      </c>
      <c r="E277" s="5">
        <v>45464</v>
      </c>
      <c r="F277" t="s">
        <v>191</v>
      </c>
    </row>
    <row r="278" spans="1:6">
      <c r="A278" s="3" t="s">
        <v>3200</v>
      </c>
      <c r="B278" s="8">
        <v>98.19</v>
      </c>
      <c r="C278" s="8">
        <v>10</v>
      </c>
      <c r="D278" s="8">
        <v>10.3</v>
      </c>
      <c r="E278" s="5">
        <v>45465</v>
      </c>
      <c r="F278" t="s">
        <v>4520</v>
      </c>
    </row>
    <row r="279" spans="1:6">
      <c r="A279" s="3" t="s">
        <v>3202</v>
      </c>
      <c r="B279" s="8">
        <v>97.798000000000002</v>
      </c>
      <c r="C279" s="8">
        <v>10</v>
      </c>
      <c r="D279" s="8">
        <v>10.3</v>
      </c>
      <c r="E279" s="5">
        <v>45466</v>
      </c>
      <c r="F279" t="s">
        <v>12</v>
      </c>
    </row>
    <row r="280" spans="1:6">
      <c r="A280" s="3" t="s">
        <v>3204</v>
      </c>
      <c r="B280" s="8">
        <v>92.436000000000007</v>
      </c>
      <c r="C280" s="8">
        <v>10</v>
      </c>
      <c r="D280" s="8">
        <v>10.3</v>
      </c>
      <c r="E280" s="5">
        <v>45467</v>
      </c>
      <c r="F280" t="s">
        <v>4523</v>
      </c>
    </row>
    <row r="281" spans="1:6">
      <c r="A281" s="3" t="s">
        <v>3213</v>
      </c>
      <c r="B281" s="8">
        <v>95.811000000000007</v>
      </c>
      <c r="C281" s="8">
        <v>10</v>
      </c>
      <c r="D281" s="8">
        <v>10.3</v>
      </c>
      <c r="E281" s="5">
        <v>45467</v>
      </c>
      <c r="F281" t="s">
        <v>4512</v>
      </c>
    </row>
    <row r="282" spans="1:6">
      <c r="A282" s="3" t="s">
        <v>3215</v>
      </c>
      <c r="B282" s="8">
        <v>91.043000000000006</v>
      </c>
      <c r="C282" s="8">
        <v>10</v>
      </c>
      <c r="D282" s="8">
        <v>10.3</v>
      </c>
      <c r="E282" s="5">
        <v>45468</v>
      </c>
      <c r="F282" t="s">
        <v>9</v>
      </c>
    </row>
    <row r="283" spans="1:6">
      <c r="A283" s="3" t="s">
        <v>3217</v>
      </c>
      <c r="B283" s="8">
        <v>91.721000000000004</v>
      </c>
      <c r="C283" s="8">
        <v>10</v>
      </c>
      <c r="D283" s="8">
        <v>10.3</v>
      </c>
      <c r="E283" s="5">
        <v>45469</v>
      </c>
      <c r="F283" t="s">
        <v>191</v>
      </c>
    </row>
    <row r="284" spans="1:6">
      <c r="A284" s="3" t="s">
        <v>3219</v>
      </c>
      <c r="B284" s="8">
        <v>91.358000000000004</v>
      </c>
      <c r="C284" s="8">
        <v>10</v>
      </c>
      <c r="D284" s="8">
        <v>10.3</v>
      </c>
      <c r="E284" s="5">
        <v>45470</v>
      </c>
      <c r="F284" t="s">
        <v>4520</v>
      </c>
    </row>
    <row r="285" spans="1:6">
      <c r="A285" s="3" t="s">
        <v>3235</v>
      </c>
      <c r="B285" s="8">
        <v>100.541</v>
      </c>
      <c r="C285" s="8">
        <v>10</v>
      </c>
      <c r="D285" s="8">
        <v>10.3</v>
      </c>
      <c r="E285" s="5">
        <v>45470</v>
      </c>
      <c r="F285" t="s">
        <v>12</v>
      </c>
    </row>
    <row r="286" spans="1:6">
      <c r="A286" s="3" t="s">
        <v>3237</v>
      </c>
      <c r="B286" s="8">
        <v>89.546000000000006</v>
      </c>
      <c r="C286" s="8">
        <v>10</v>
      </c>
      <c r="D286" s="8">
        <v>10.3</v>
      </c>
      <c r="E286" s="5">
        <v>45471</v>
      </c>
      <c r="F286" t="s">
        <v>4523</v>
      </c>
    </row>
    <row r="287" spans="1:6">
      <c r="A287" s="3" t="s">
        <v>3239</v>
      </c>
      <c r="B287" s="8">
        <v>98.92</v>
      </c>
      <c r="C287" s="8">
        <v>10</v>
      </c>
      <c r="D287" s="8">
        <v>10.3</v>
      </c>
      <c r="E287" s="5">
        <v>45472</v>
      </c>
      <c r="F287" t="s">
        <v>4512</v>
      </c>
    </row>
    <row r="288" spans="1:6">
      <c r="A288" s="3" t="s">
        <v>3241</v>
      </c>
      <c r="B288" s="8">
        <v>101.06399999999999</v>
      </c>
      <c r="C288" s="8">
        <v>10</v>
      </c>
      <c r="D288" s="8">
        <v>10.3</v>
      </c>
      <c r="E288" s="5">
        <v>45473</v>
      </c>
      <c r="F288" t="s">
        <v>9</v>
      </c>
    </row>
    <row r="289" spans="1:6">
      <c r="A289" s="3" t="s">
        <v>3245</v>
      </c>
      <c r="B289" s="8">
        <v>92.106999999999999</v>
      </c>
      <c r="C289" s="8">
        <v>10</v>
      </c>
      <c r="D289" s="8">
        <v>10.3</v>
      </c>
      <c r="E289" s="5">
        <v>45473</v>
      </c>
      <c r="F289" t="s">
        <v>191</v>
      </c>
    </row>
    <row r="290" spans="1:6">
      <c r="A290" s="3" t="s">
        <v>3247</v>
      </c>
      <c r="B290" s="8">
        <v>97.15</v>
      </c>
      <c r="C290" s="8">
        <v>10</v>
      </c>
      <c r="D290" s="8">
        <v>10.3</v>
      </c>
      <c r="E290" s="5">
        <v>45474</v>
      </c>
      <c r="F290" t="s">
        <v>4520</v>
      </c>
    </row>
    <row r="291" spans="1:6">
      <c r="A291" s="3" t="s">
        <v>3249</v>
      </c>
      <c r="B291" s="8">
        <v>97.251000000000005</v>
      </c>
      <c r="C291" s="8">
        <v>10</v>
      </c>
      <c r="D291" s="8">
        <v>10.3</v>
      </c>
      <c r="E291" s="5">
        <v>45475</v>
      </c>
      <c r="F291" t="s">
        <v>12</v>
      </c>
    </row>
    <row r="292" spans="1:6">
      <c r="A292" s="3" t="s">
        <v>3251</v>
      </c>
      <c r="B292" s="8">
        <v>96.102999999999994</v>
      </c>
      <c r="C292" s="8">
        <v>10</v>
      </c>
      <c r="D292" s="8">
        <v>10.3</v>
      </c>
      <c r="E292" s="5">
        <v>45476</v>
      </c>
      <c r="F292" t="s">
        <v>4523</v>
      </c>
    </row>
    <row r="293" spans="1:6">
      <c r="A293" s="3" t="s">
        <v>3254</v>
      </c>
      <c r="B293" s="8">
        <v>84.805000000000007</v>
      </c>
      <c r="C293" s="8">
        <v>10</v>
      </c>
      <c r="D293" s="8">
        <v>10.3</v>
      </c>
      <c r="E293" s="5">
        <v>45473</v>
      </c>
      <c r="F293" t="s">
        <v>4512</v>
      </c>
    </row>
    <row r="294" spans="1:6">
      <c r="A294" s="3" t="s">
        <v>3256</v>
      </c>
      <c r="B294" s="8">
        <v>89.677000000000007</v>
      </c>
      <c r="C294" s="8">
        <v>10</v>
      </c>
      <c r="D294" s="8">
        <v>10.3</v>
      </c>
      <c r="E294" s="5">
        <v>45474</v>
      </c>
      <c r="F294" t="s">
        <v>9</v>
      </c>
    </row>
    <row r="295" spans="1:6">
      <c r="A295" s="3" t="s">
        <v>3258</v>
      </c>
      <c r="B295" s="8">
        <v>87.078999999999994</v>
      </c>
      <c r="C295" s="8">
        <v>10</v>
      </c>
      <c r="D295" s="8">
        <v>10.3</v>
      </c>
      <c r="E295" s="5">
        <v>45475</v>
      </c>
      <c r="F295" t="s">
        <v>191</v>
      </c>
    </row>
    <row r="296" spans="1:6">
      <c r="A296" s="3" t="s">
        <v>3260</v>
      </c>
      <c r="B296" s="8">
        <v>82.638000000000005</v>
      </c>
      <c r="C296" s="8">
        <v>10</v>
      </c>
      <c r="D296" s="8">
        <v>10.3</v>
      </c>
      <c r="E296" s="5">
        <v>45476</v>
      </c>
      <c r="F296" t="s">
        <v>4520</v>
      </c>
    </row>
    <row r="297" spans="1:6">
      <c r="A297" s="3" t="s">
        <v>3262</v>
      </c>
      <c r="B297" s="8">
        <v>92.132000000000005</v>
      </c>
      <c r="C297" s="8">
        <v>10</v>
      </c>
      <c r="D297" s="8">
        <v>10.3</v>
      </c>
      <c r="E297" s="5">
        <v>45477</v>
      </c>
      <c r="F297" t="s">
        <v>12</v>
      </c>
    </row>
    <row r="298" spans="1:6">
      <c r="A298" s="3" t="s">
        <v>3271</v>
      </c>
      <c r="B298" s="8">
        <v>120.404</v>
      </c>
      <c r="C298" s="8">
        <v>10</v>
      </c>
      <c r="D298" s="8">
        <v>10.3</v>
      </c>
      <c r="E298" s="5">
        <v>45479</v>
      </c>
      <c r="F298" t="s">
        <v>4523</v>
      </c>
    </row>
    <row r="299" spans="1:6">
      <c r="A299" s="3" t="s">
        <v>3273</v>
      </c>
      <c r="B299" s="8">
        <v>122.48099999999999</v>
      </c>
      <c r="C299" s="8">
        <v>10</v>
      </c>
      <c r="D299" s="8">
        <v>10.3</v>
      </c>
      <c r="E299" s="5">
        <v>45480</v>
      </c>
      <c r="F299" t="s">
        <v>4512</v>
      </c>
    </row>
    <row r="300" spans="1:6">
      <c r="A300" s="3" t="s">
        <v>3275</v>
      </c>
      <c r="B300" s="8">
        <v>123.458</v>
      </c>
      <c r="C300" s="8">
        <v>10</v>
      </c>
      <c r="D300" s="8">
        <v>10.3</v>
      </c>
      <c r="E300" s="5">
        <v>45481</v>
      </c>
      <c r="F300" t="s">
        <v>9</v>
      </c>
    </row>
    <row r="301" spans="1:6">
      <c r="A301" s="3" t="s">
        <v>3277</v>
      </c>
      <c r="B301" s="8">
        <v>116.254</v>
      </c>
      <c r="C301" s="8">
        <v>10</v>
      </c>
      <c r="D301" s="8">
        <v>10.3</v>
      </c>
      <c r="E301" s="5">
        <v>45482</v>
      </c>
      <c r="F301" t="s">
        <v>191</v>
      </c>
    </row>
    <row r="302" spans="1:6">
      <c r="A302" s="3" t="s">
        <v>3290</v>
      </c>
      <c r="B302" s="8">
        <v>118.309</v>
      </c>
      <c r="C302" s="8">
        <v>10</v>
      </c>
      <c r="D302" s="8">
        <v>10.3</v>
      </c>
      <c r="E302" s="5">
        <v>45482</v>
      </c>
      <c r="F302" t="s">
        <v>4520</v>
      </c>
    </row>
    <row r="303" spans="1:6">
      <c r="A303" s="3" t="s">
        <v>3292</v>
      </c>
      <c r="B303" s="8">
        <v>119.102</v>
      </c>
      <c r="C303" s="8">
        <v>10</v>
      </c>
      <c r="D303" s="8">
        <v>10.3</v>
      </c>
      <c r="E303" s="5">
        <v>45483</v>
      </c>
      <c r="F303" t="s">
        <v>12</v>
      </c>
    </row>
    <row r="304" spans="1:6">
      <c r="A304" s="3" t="s">
        <v>3294</v>
      </c>
      <c r="B304" s="8">
        <v>118.92400000000001</v>
      </c>
      <c r="C304" s="8">
        <v>10</v>
      </c>
      <c r="D304" s="8">
        <v>10.3</v>
      </c>
      <c r="E304" s="5">
        <v>45484</v>
      </c>
      <c r="F304" t="s">
        <v>4523</v>
      </c>
    </row>
    <row r="305" spans="1:6">
      <c r="A305" s="3" t="s">
        <v>3296</v>
      </c>
      <c r="B305" s="8">
        <v>124.74</v>
      </c>
      <c r="C305" s="8">
        <v>10</v>
      </c>
      <c r="D305" s="8">
        <v>10.3</v>
      </c>
      <c r="E305" s="5">
        <v>45485</v>
      </c>
      <c r="F305" t="s">
        <v>4512</v>
      </c>
    </row>
    <row r="306" spans="1:6">
      <c r="A306" s="3" t="s">
        <v>3311</v>
      </c>
      <c r="B306" s="8">
        <v>108.82899999999999</v>
      </c>
      <c r="C306" s="8">
        <v>10</v>
      </c>
      <c r="D306" s="8">
        <v>10.3</v>
      </c>
      <c r="E306" s="5">
        <v>45488</v>
      </c>
      <c r="F306" t="s">
        <v>9</v>
      </c>
    </row>
    <row r="307" spans="1:6">
      <c r="A307" s="3" t="s">
        <v>3313</v>
      </c>
      <c r="B307" s="8">
        <v>110.416</v>
      </c>
      <c r="C307" s="8">
        <v>10</v>
      </c>
      <c r="D307" s="8">
        <v>10.3</v>
      </c>
      <c r="E307" s="5">
        <v>45489</v>
      </c>
      <c r="F307" t="s">
        <v>191</v>
      </c>
    </row>
    <row r="308" spans="1:6">
      <c r="A308" s="3" t="s">
        <v>3315</v>
      </c>
      <c r="B308" s="8">
        <v>114.514</v>
      </c>
      <c r="C308" s="8">
        <v>10</v>
      </c>
      <c r="D308" s="8">
        <v>10.3</v>
      </c>
      <c r="E308" s="5">
        <v>45490</v>
      </c>
      <c r="F308" t="s">
        <v>4520</v>
      </c>
    </row>
    <row r="309" spans="1:6">
      <c r="A309" s="3" t="s">
        <v>3317</v>
      </c>
      <c r="B309" s="8">
        <v>105.607</v>
      </c>
      <c r="C309" s="8">
        <v>10</v>
      </c>
      <c r="D309" s="8">
        <v>10.3</v>
      </c>
      <c r="E309" s="5">
        <v>45491</v>
      </c>
      <c r="F309" t="s">
        <v>12</v>
      </c>
    </row>
    <row r="310" spans="1:6">
      <c r="A310" s="3" t="s">
        <v>3320</v>
      </c>
      <c r="B310" s="8">
        <v>94.59</v>
      </c>
      <c r="C310" s="8">
        <v>10</v>
      </c>
      <c r="D310" s="8">
        <v>10.3</v>
      </c>
      <c r="E310" s="5">
        <v>45491</v>
      </c>
      <c r="F310" t="s">
        <v>4523</v>
      </c>
    </row>
    <row r="311" spans="1:6">
      <c r="A311" s="3" t="s">
        <v>3322</v>
      </c>
      <c r="B311" s="8">
        <v>96.811999999999998</v>
      </c>
      <c r="C311" s="8">
        <v>10</v>
      </c>
      <c r="D311" s="8">
        <v>10.3</v>
      </c>
      <c r="E311" s="5">
        <v>45492</v>
      </c>
      <c r="F311" t="s">
        <v>4512</v>
      </c>
    </row>
    <row r="312" spans="1:6">
      <c r="A312" s="3" t="s">
        <v>3324</v>
      </c>
      <c r="B312" s="8">
        <v>101.633</v>
      </c>
      <c r="C312" s="8">
        <v>10</v>
      </c>
      <c r="D312" s="8">
        <v>10.3</v>
      </c>
      <c r="E312" s="5">
        <v>45493</v>
      </c>
      <c r="F312" t="s">
        <v>9</v>
      </c>
    </row>
    <row r="313" spans="1:6">
      <c r="A313" s="3" t="s">
        <v>3326</v>
      </c>
      <c r="B313" s="8">
        <v>95.78</v>
      </c>
      <c r="C313" s="8">
        <v>10</v>
      </c>
      <c r="D313" s="8">
        <v>10.3</v>
      </c>
      <c r="E313" s="5">
        <v>45494</v>
      </c>
      <c r="F313" t="s">
        <v>191</v>
      </c>
    </row>
    <row r="314" spans="1:6">
      <c r="A314" s="3" t="s">
        <v>3330</v>
      </c>
      <c r="B314" s="8">
        <v>100.506</v>
      </c>
      <c r="C314" s="8">
        <v>10</v>
      </c>
      <c r="D314" s="8">
        <v>10.3</v>
      </c>
      <c r="E314" s="5">
        <v>45494</v>
      </c>
      <c r="F314" t="s">
        <v>4520</v>
      </c>
    </row>
    <row r="315" spans="1:6">
      <c r="A315" s="3" t="s">
        <v>3332</v>
      </c>
      <c r="B315" s="8">
        <v>104.755</v>
      </c>
      <c r="C315" s="8">
        <v>10</v>
      </c>
      <c r="D315" s="8">
        <v>10.3</v>
      </c>
      <c r="E315" s="5">
        <v>45495</v>
      </c>
      <c r="F315" t="s">
        <v>12</v>
      </c>
    </row>
    <row r="316" spans="1:6">
      <c r="A316" s="3" t="s">
        <v>3334</v>
      </c>
      <c r="B316" s="8">
        <v>96.834999999999994</v>
      </c>
      <c r="C316" s="8">
        <v>10</v>
      </c>
      <c r="D316" s="8">
        <v>10.3</v>
      </c>
      <c r="E316" s="5">
        <v>45496</v>
      </c>
      <c r="F316" t="s">
        <v>4523</v>
      </c>
    </row>
    <row r="317" spans="1:6">
      <c r="A317" s="3" t="s">
        <v>3342</v>
      </c>
      <c r="B317" s="8">
        <v>93.197000000000003</v>
      </c>
      <c r="C317" s="8">
        <v>10</v>
      </c>
      <c r="D317" s="8">
        <v>10.3</v>
      </c>
      <c r="E317" s="5">
        <v>45494</v>
      </c>
      <c r="F317" t="s">
        <v>4512</v>
      </c>
    </row>
    <row r="318" spans="1:6">
      <c r="A318" s="3" t="s">
        <v>3344</v>
      </c>
      <c r="B318" s="8">
        <v>99.075000000000003</v>
      </c>
      <c r="C318" s="8">
        <v>10</v>
      </c>
      <c r="D318" s="8">
        <v>10.3</v>
      </c>
      <c r="E318" s="5">
        <v>45495</v>
      </c>
      <c r="F318" t="s">
        <v>9</v>
      </c>
    </row>
    <row r="319" spans="1:6">
      <c r="A319" s="3" t="s">
        <v>3346</v>
      </c>
      <c r="B319" s="8">
        <v>90.75</v>
      </c>
      <c r="C319" s="8">
        <v>10</v>
      </c>
      <c r="D319" s="8">
        <v>10.3</v>
      </c>
      <c r="E319" s="5">
        <v>45496</v>
      </c>
      <c r="F319" t="s">
        <v>191</v>
      </c>
    </row>
    <row r="320" spans="1:6">
      <c r="A320" s="3" t="s">
        <v>3348</v>
      </c>
      <c r="B320" s="8">
        <v>94.716999999999999</v>
      </c>
      <c r="C320" s="8">
        <v>10</v>
      </c>
      <c r="D320" s="8">
        <v>10.3</v>
      </c>
      <c r="E320" s="5">
        <v>45497</v>
      </c>
      <c r="F320" t="s">
        <v>4520</v>
      </c>
    </row>
    <row r="321" spans="1:6">
      <c r="A321" s="3" t="s">
        <v>3350</v>
      </c>
      <c r="B321" s="8">
        <v>94.436999999999998</v>
      </c>
      <c r="C321" s="8">
        <v>10</v>
      </c>
      <c r="D321" s="8">
        <v>10.3</v>
      </c>
      <c r="E321" s="5">
        <v>45498</v>
      </c>
      <c r="F321" t="s">
        <v>12</v>
      </c>
    </row>
    <row r="322" spans="1:6">
      <c r="A322" s="3" t="s">
        <v>3363</v>
      </c>
      <c r="B322" s="8">
        <v>94.906000000000006</v>
      </c>
      <c r="C322" s="8">
        <v>10</v>
      </c>
      <c r="D322" s="8">
        <v>10.3</v>
      </c>
      <c r="E322" s="5">
        <v>45497</v>
      </c>
      <c r="F322" t="s">
        <v>4523</v>
      </c>
    </row>
    <row r="323" spans="1:6">
      <c r="A323" s="3" t="s">
        <v>3365</v>
      </c>
      <c r="B323" s="8">
        <v>98.051000000000002</v>
      </c>
      <c r="C323" s="8">
        <v>10</v>
      </c>
      <c r="D323" s="8">
        <v>10.3</v>
      </c>
      <c r="E323" s="5">
        <v>45498</v>
      </c>
      <c r="F323" t="s">
        <v>4512</v>
      </c>
    </row>
    <row r="324" spans="1:6">
      <c r="A324" s="3" t="s">
        <v>3367</v>
      </c>
      <c r="B324" s="8">
        <v>97.278999999999996</v>
      </c>
      <c r="C324" s="8">
        <v>10</v>
      </c>
      <c r="D324" s="8">
        <v>10.3</v>
      </c>
      <c r="E324" s="5">
        <v>45499</v>
      </c>
      <c r="F324" t="s">
        <v>9</v>
      </c>
    </row>
    <row r="325" spans="1:6">
      <c r="A325" s="3" t="s">
        <v>3369</v>
      </c>
      <c r="B325" s="8">
        <v>100.943</v>
      </c>
      <c r="C325" s="8">
        <v>10</v>
      </c>
      <c r="D325" s="8">
        <v>10.3</v>
      </c>
      <c r="E325" s="5">
        <v>45500</v>
      </c>
      <c r="F325" t="s">
        <v>191</v>
      </c>
    </row>
    <row r="326" spans="1:6">
      <c r="A326" s="3" t="s">
        <v>3378</v>
      </c>
      <c r="B326" s="8">
        <v>78.453999999999994</v>
      </c>
      <c r="C326" s="8">
        <v>10</v>
      </c>
      <c r="D326" s="8">
        <v>10.3</v>
      </c>
      <c r="E326" s="5">
        <v>45500</v>
      </c>
      <c r="F326" t="s">
        <v>4520</v>
      </c>
    </row>
    <row r="327" spans="1:6">
      <c r="A327" s="3" t="s">
        <v>3380</v>
      </c>
      <c r="B327" s="8">
        <v>79.978999999999999</v>
      </c>
      <c r="C327" s="8">
        <v>10</v>
      </c>
      <c r="D327" s="8">
        <v>10.3</v>
      </c>
      <c r="E327" s="5">
        <v>45501</v>
      </c>
      <c r="F327" t="s">
        <v>12</v>
      </c>
    </row>
    <row r="328" spans="1:6">
      <c r="A328" s="3" t="s">
        <v>3382</v>
      </c>
      <c r="B328" s="8">
        <v>80.769000000000005</v>
      </c>
      <c r="C328" s="8">
        <v>10</v>
      </c>
      <c r="D328" s="8">
        <v>10.3</v>
      </c>
      <c r="E328" s="5">
        <v>45502</v>
      </c>
      <c r="F328" t="s">
        <v>4523</v>
      </c>
    </row>
    <row r="329" spans="1:6">
      <c r="A329" s="3" t="s">
        <v>3384</v>
      </c>
      <c r="B329" s="8">
        <v>83.281999999999996</v>
      </c>
      <c r="C329" s="8">
        <v>10</v>
      </c>
      <c r="D329" s="8">
        <v>10.3</v>
      </c>
      <c r="E329" s="5">
        <v>45503</v>
      </c>
      <c r="F329" t="s">
        <v>4512</v>
      </c>
    </row>
    <row r="330" spans="1:6">
      <c r="A330" s="3" t="s">
        <v>3388</v>
      </c>
      <c r="B330" s="8">
        <v>88.009</v>
      </c>
      <c r="C330" s="8">
        <v>10</v>
      </c>
      <c r="D330" s="8">
        <v>10.3</v>
      </c>
      <c r="E330" s="5">
        <v>45503</v>
      </c>
      <c r="F330" t="s">
        <v>9</v>
      </c>
    </row>
    <row r="331" spans="1:6">
      <c r="A331" s="3" t="s">
        <v>3390</v>
      </c>
      <c r="B331" s="8">
        <v>85.26</v>
      </c>
      <c r="C331" s="8">
        <v>10</v>
      </c>
      <c r="D331" s="8">
        <v>10.3</v>
      </c>
      <c r="E331" s="5">
        <v>45504</v>
      </c>
      <c r="F331" t="s">
        <v>191</v>
      </c>
    </row>
    <row r="332" spans="1:6">
      <c r="A332" s="3" t="s">
        <v>3392</v>
      </c>
      <c r="B332" s="8">
        <v>91.418000000000006</v>
      </c>
      <c r="C332" s="8">
        <v>10</v>
      </c>
      <c r="D332" s="8">
        <v>10.3</v>
      </c>
      <c r="E332" s="5">
        <v>45505</v>
      </c>
      <c r="F332" t="s">
        <v>4520</v>
      </c>
    </row>
    <row r="333" spans="1:6">
      <c r="A333" s="3" t="s">
        <v>3394</v>
      </c>
      <c r="B333" s="8">
        <v>87.635999999999996</v>
      </c>
      <c r="C333" s="8">
        <v>10</v>
      </c>
      <c r="D333" s="8">
        <v>10.3</v>
      </c>
      <c r="E333" s="5">
        <v>45506</v>
      </c>
      <c r="F333" t="s">
        <v>12</v>
      </c>
    </row>
    <row r="334" spans="1:6">
      <c r="A334" s="3" t="s">
        <v>3401</v>
      </c>
      <c r="B334" s="8">
        <v>81.754999999999995</v>
      </c>
      <c r="C334" s="8">
        <v>10</v>
      </c>
      <c r="D334" s="8">
        <v>10.3</v>
      </c>
      <c r="E334" s="5">
        <v>45506</v>
      </c>
      <c r="F334" t="s">
        <v>4523</v>
      </c>
    </row>
    <row r="335" spans="1:6">
      <c r="A335" s="3" t="s">
        <v>3403</v>
      </c>
      <c r="B335" s="8">
        <v>85.796999999999997</v>
      </c>
      <c r="C335" s="8">
        <v>10</v>
      </c>
      <c r="D335" s="8">
        <v>10.3</v>
      </c>
      <c r="E335" s="5">
        <v>45507</v>
      </c>
      <c r="F335" t="s">
        <v>4512</v>
      </c>
    </row>
    <row r="336" spans="1:6">
      <c r="A336" s="3" t="s">
        <v>3405</v>
      </c>
      <c r="B336" s="8">
        <v>85.084000000000003</v>
      </c>
      <c r="C336" s="8">
        <v>10</v>
      </c>
      <c r="D336" s="8">
        <v>10.3</v>
      </c>
      <c r="E336" s="5">
        <v>45508</v>
      </c>
      <c r="F336" t="s">
        <v>9</v>
      </c>
    </row>
    <row r="337" spans="1:6">
      <c r="A337" s="3" t="s">
        <v>3407</v>
      </c>
      <c r="B337" s="8">
        <v>80.834000000000003</v>
      </c>
      <c r="C337" s="8">
        <v>10</v>
      </c>
      <c r="D337" s="8">
        <v>10.3</v>
      </c>
      <c r="E337" s="5">
        <v>45509</v>
      </c>
      <c r="F337" t="s">
        <v>191</v>
      </c>
    </row>
    <row r="338" spans="1:6">
      <c r="A338" s="3" t="s">
        <v>3409</v>
      </c>
      <c r="B338" s="8">
        <v>79.581999999999994</v>
      </c>
      <c r="C338" s="8">
        <v>10</v>
      </c>
      <c r="D338" s="8">
        <v>10.3</v>
      </c>
      <c r="E338" s="5">
        <v>45510</v>
      </c>
      <c r="F338" t="s">
        <v>4520</v>
      </c>
    </row>
    <row r="339" spans="1:6">
      <c r="A339" s="3" t="s">
        <v>3418</v>
      </c>
      <c r="B339" s="8">
        <v>120.913</v>
      </c>
      <c r="C339" s="8">
        <v>10</v>
      </c>
      <c r="D339" s="8">
        <v>10.3</v>
      </c>
      <c r="E339" s="5">
        <v>45512</v>
      </c>
      <c r="F339" t="s">
        <v>12</v>
      </c>
    </row>
    <row r="340" spans="1:6">
      <c r="A340" s="3" t="s">
        <v>3420</v>
      </c>
      <c r="B340" s="8">
        <v>120.18600000000001</v>
      </c>
      <c r="C340" s="8">
        <v>10</v>
      </c>
      <c r="D340" s="8">
        <v>10.3</v>
      </c>
      <c r="E340" s="5">
        <v>45513</v>
      </c>
      <c r="F340" t="s">
        <v>4523</v>
      </c>
    </row>
    <row r="341" spans="1:6">
      <c r="A341" s="3" t="s">
        <v>3422</v>
      </c>
      <c r="B341" s="8">
        <v>121.718</v>
      </c>
      <c r="C341" s="8">
        <v>10</v>
      </c>
      <c r="D341" s="8">
        <v>10.3</v>
      </c>
      <c r="E341" s="5">
        <v>45514</v>
      </c>
      <c r="F341" t="s">
        <v>4512</v>
      </c>
    </row>
    <row r="342" spans="1:6">
      <c r="A342" s="3" t="s">
        <v>3424</v>
      </c>
      <c r="B342" s="8">
        <v>119.30200000000001</v>
      </c>
      <c r="C342" s="8">
        <v>10</v>
      </c>
      <c r="D342" s="8">
        <v>10.3</v>
      </c>
      <c r="E342" s="5">
        <v>45515</v>
      </c>
      <c r="F342" t="s">
        <v>9</v>
      </c>
    </row>
    <row r="343" spans="1:6">
      <c r="A343" s="3" t="s">
        <v>3426</v>
      </c>
      <c r="B343" s="8">
        <v>120.122</v>
      </c>
      <c r="C343" s="8">
        <v>10</v>
      </c>
      <c r="D343" s="8">
        <v>10.3</v>
      </c>
      <c r="E343" s="5">
        <v>45516</v>
      </c>
      <c r="F343" t="s">
        <v>191</v>
      </c>
    </row>
    <row r="344" spans="1:6">
      <c r="A344" s="3" t="s">
        <v>3443</v>
      </c>
      <c r="B344" s="8">
        <v>114.631</v>
      </c>
      <c r="C344" s="8">
        <v>10</v>
      </c>
      <c r="D344" s="8">
        <v>10.3</v>
      </c>
      <c r="E344" s="5">
        <v>45509</v>
      </c>
      <c r="F344" t="s">
        <v>4520</v>
      </c>
    </row>
    <row r="345" spans="1:6">
      <c r="A345" s="3" t="s">
        <v>3445</v>
      </c>
      <c r="B345" s="8">
        <v>119.586</v>
      </c>
      <c r="C345" s="8">
        <v>10</v>
      </c>
      <c r="D345" s="8">
        <v>10.3</v>
      </c>
      <c r="E345" s="5">
        <v>45510</v>
      </c>
      <c r="F345" t="s">
        <v>12</v>
      </c>
    </row>
    <row r="346" spans="1:6">
      <c r="A346" s="3" t="s">
        <v>3447</v>
      </c>
      <c r="B346" s="8">
        <v>117.205</v>
      </c>
      <c r="C346" s="8">
        <v>10</v>
      </c>
      <c r="D346" s="8">
        <v>10.3</v>
      </c>
      <c r="E346" s="5">
        <v>45511</v>
      </c>
      <c r="F346" t="s">
        <v>4523</v>
      </c>
    </row>
    <row r="347" spans="1:6">
      <c r="A347" s="3" t="s">
        <v>3450</v>
      </c>
      <c r="B347" s="8">
        <v>117.268</v>
      </c>
      <c r="C347" s="8">
        <v>10</v>
      </c>
      <c r="D347" s="8">
        <v>10.3</v>
      </c>
      <c r="E347" s="5">
        <v>45512</v>
      </c>
      <c r="F347" t="s">
        <v>4512</v>
      </c>
    </row>
    <row r="348" spans="1:6">
      <c r="A348" s="3" t="s">
        <v>3452</v>
      </c>
      <c r="B348" s="8">
        <v>120.60599999999999</v>
      </c>
      <c r="C348" s="8">
        <v>10</v>
      </c>
      <c r="D348" s="8">
        <v>10.3</v>
      </c>
      <c r="E348" s="5">
        <v>45513</v>
      </c>
      <c r="F348" t="s">
        <v>9</v>
      </c>
    </row>
    <row r="349" spans="1:6">
      <c r="A349" s="3" t="s">
        <v>3454</v>
      </c>
      <c r="B349" s="8">
        <v>114.91</v>
      </c>
      <c r="C349" s="8">
        <v>10</v>
      </c>
      <c r="D349" s="8">
        <v>10.3</v>
      </c>
      <c r="E349" s="5">
        <v>45514</v>
      </c>
      <c r="F349" t="s">
        <v>191</v>
      </c>
    </row>
    <row r="350" spans="1:6">
      <c r="A350" s="3" t="s">
        <v>3456</v>
      </c>
      <c r="B350" s="8">
        <v>119.956</v>
      </c>
      <c r="C350" s="8">
        <v>10</v>
      </c>
      <c r="D350" s="8">
        <v>10.3</v>
      </c>
      <c r="E350" s="5">
        <v>45515</v>
      </c>
      <c r="F350" t="s">
        <v>4520</v>
      </c>
    </row>
    <row r="351" spans="1:6">
      <c r="A351" s="3" t="s">
        <v>3458</v>
      </c>
      <c r="B351" s="8">
        <v>122.11499999999999</v>
      </c>
      <c r="C351" s="8">
        <v>10</v>
      </c>
      <c r="D351" s="8">
        <v>10.3</v>
      </c>
      <c r="E351" s="5">
        <v>45516</v>
      </c>
      <c r="F351" t="s">
        <v>12</v>
      </c>
    </row>
    <row r="352" spans="1:6">
      <c r="A352" s="3" t="s">
        <v>3470</v>
      </c>
      <c r="B352" s="8">
        <v>86.022000000000006</v>
      </c>
      <c r="C352" s="8">
        <v>10</v>
      </c>
      <c r="D352" s="8">
        <v>10.3</v>
      </c>
      <c r="E352" s="5">
        <v>45527</v>
      </c>
      <c r="F352" t="s">
        <v>4523</v>
      </c>
    </row>
    <row r="353" spans="1:6">
      <c r="A353" s="3" t="s">
        <v>3472</v>
      </c>
      <c r="B353" s="8">
        <v>90.126000000000005</v>
      </c>
      <c r="C353" s="8">
        <v>10</v>
      </c>
      <c r="D353" s="8">
        <v>10.3</v>
      </c>
      <c r="E353" s="5">
        <v>45528</v>
      </c>
      <c r="F353" t="s">
        <v>4512</v>
      </c>
    </row>
    <row r="354" spans="1:6">
      <c r="A354" s="3" t="s">
        <v>3474</v>
      </c>
      <c r="B354" s="8">
        <v>92.162999999999997</v>
      </c>
      <c r="C354" s="8">
        <v>10</v>
      </c>
      <c r="D354" s="8">
        <v>10.3</v>
      </c>
      <c r="E354" s="5">
        <v>45529</v>
      </c>
      <c r="F354" t="s">
        <v>9</v>
      </c>
    </row>
    <row r="355" spans="1:6">
      <c r="A355" s="3" t="s">
        <v>3482</v>
      </c>
      <c r="B355" s="8">
        <v>110.13500000000001</v>
      </c>
      <c r="C355" s="8">
        <v>10</v>
      </c>
      <c r="D355" s="8">
        <v>10.3</v>
      </c>
      <c r="E355" s="5">
        <v>45530</v>
      </c>
      <c r="F355" t="s">
        <v>191</v>
      </c>
    </row>
    <row r="356" spans="1:6">
      <c r="A356" s="3" t="s">
        <v>3484</v>
      </c>
      <c r="B356" s="8">
        <v>109.955</v>
      </c>
      <c r="C356" s="8">
        <v>10</v>
      </c>
      <c r="D356" s="8">
        <v>10.3</v>
      </c>
      <c r="E356" s="5">
        <v>45531</v>
      </c>
      <c r="F356" t="s">
        <v>4520</v>
      </c>
    </row>
    <row r="357" spans="1:6">
      <c r="A357" s="3" t="s">
        <v>3486</v>
      </c>
      <c r="B357" s="8">
        <v>113.209</v>
      </c>
      <c r="C357" s="8">
        <v>10</v>
      </c>
      <c r="D357" s="8">
        <v>10.3</v>
      </c>
      <c r="E357" s="5">
        <v>45532</v>
      </c>
      <c r="F357" t="s">
        <v>12</v>
      </c>
    </row>
    <row r="358" spans="1:6">
      <c r="A358" s="3" t="s">
        <v>3488</v>
      </c>
      <c r="B358" s="8">
        <v>116.08499999999999</v>
      </c>
      <c r="C358" s="8">
        <v>10</v>
      </c>
      <c r="D358" s="8">
        <v>10.3</v>
      </c>
      <c r="E358" s="5">
        <v>45533</v>
      </c>
      <c r="F358" t="s">
        <v>4523</v>
      </c>
    </row>
    <row r="359" spans="1:6">
      <c r="A359" s="3" t="s">
        <v>3499</v>
      </c>
      <c r="B359" s="8">
        <v>113.764</v>
      </c>
      <c r="C359" s="8">
        <v>10</v>
      </c>
      <c r="D359" s="8">
        <v>10.3</v>
      </c>
      <c r="E359" s="5">
        <v>45539</v>
      </c>
      <c r="F359" t="s">
        <v>4512</v>
      </c>
    </row>
    <row r="360" spans="1:6">
      <c r="A360" s="3" t="s">
        <v>3500</v>
      </c>
      <c r="B360" s="8">
        <v>114.872</v>
      </c>
      <c r="C360" s="8">
        <v>10</v>
      </c>
      <c r="D360" s="8">
        <v>10.3</v>
      </c>
      <c r="E360" s="5">
        <v>45540</v>
      </c>
      <c r="F360" t="s">
        <v>9</v>
      </c>
    </row>
    <row r="361" spans="1:6">
      <c r="A361" s="3" t="s">
        <v>3501</v>
      </c>
      <c r="B361" s="8">
        <v>107.238</v>
      </c>
      <c r="C361" s="8">
        <v>10</v>
      </c>
      <c r="D361" s="8">
        <v>10.3</v>
      </c>
      <c r="E361" s="5">
        <v>45541</v>
      </c>
      <c r="F361" t="s">
        <v>191</v>
      </c>
    </row>
    <row r="362" spans="1:6">
      <c r="A362" s="3" t="s">
        <v>3502</v>
      </c>
      <c r="B362" s="8">
        <v>110.741</v>
      </c>
      <c r="C362" s="8">
        <v>10</v>
      </c>
      <c r="D362" s="8">
        <v>10.3</v>
      </c>
      <c r="E362" s="5">
        <v>45542</v>
      </c>
      <c r="F362" t="s">
        <v>4520</v>
      </c>
    </row>
    <row r="363" spans="1:6">
      <c r="A363" s="3" t="s">
        <v>3508</v>
      </c>
      <c r="B363" s="8">
        <v>97.283000000000001</v>
      </c>
      <c r="C363" s="8">
        <v>10</v>
      </c>
      <c r="D363" s="8">
        <v>10.3</v>
      </c>
      <c r="E363" s="5">
        <v>45545</v>
      </c>
      <c r="F363" t="s">
        <v>12</v>
      </c>
    </row>
    <row r="364" spans="1:6">
      <c r="A364" s="3" t="s">
        <v>3509</v>
      </c>
      <c r="B364" s="8">
        <v>96.08</v>
      </c>
      <c r="C364" s="8">
        <v>10</v>
      </c>
      <c r="D364" s="8">
        <v>10.3</v>
      </c>
      <c r="E364" s="5">
        <v>45546</v>
      </c>
      <c r="F364" t="s">
        <v>4523</v>
      </c>
    </row>
    <row r="365" spans="1:6">
      <c r="A365" s="3" t="s">
        <v>3510</v>
      </c>
      <c r="B365" s="8">
        <v>94.024000000000001</v>
      </c>
      <c r="C365" s="8">
        <v>10</v>
      </c>
      <c r="D365" s="8">
        <v>10.3</v>
      </c>
      <c r="E365" s="5">
        <v>45547</v>
      </c>
      <c r="F365" t="s">
        <v>4512</v>
      </c>
    </row>
    <row r="366" spans="1:6">
      <c r="A366" s="3" t="s">
        <v>3511</v>
      </c>
      <c r="B366" s="8">
        <v>94.763999999999996</v>
      </c>
      <c r="C366" s="8">
        <v>10</v>
      </c>
      <c r="D366" s="8">
        <v>10.3</v>
      </c>
      <c r="E366" s="5">
        <v>45548</v>
      </c>
      <c r="F366" t="s">
        <v>9</v>
      </c>
    </row>
    <row r="367" spans="1:6">
      <c r="A367" s="3" t="s">
        <v>3517</v>
      </c>
      <c r="B367" s="8">
        <v>91.266999999999996</v>
      </c>
      <c r="C367" s="8">
        <v>10</v>
      </c>
      <c r="D367" s="8">
        <v>10.3</v>
      </c>
      <c r="E367" s="5">
        <v>45548</v>
      </c>
      <c r="F367" t="s">
        <v>191</v>
      </c>
    </row>
    <row r="368" spans="1:6">
      <c r="A368" s="3" t="s">
        <v>3518</v>
      </c>
      <c r="B368" s="8">
        <v>97.03</v>
      </c>
      <c r="C368" s="8">
        <v>10</v>
      </c>
      <c r="D368" s="8">
        <v>10.3</v>
      </c>
      <c r="E368" s="5">
        <v>45549</v>
      </c>
      <c r="F368" t="s">
        <v>4520</v>
      </c>
    </row>
    <row r="369" spans="1:6">
      <c r="A369" s="3" t="s">
        <v>3519</v>
      </c>
      <c r="B369" s="8">
        <v>97.649000000000001</v>
      </c>
      <c r="C369" s="8">
        <v>10</v>
      </c>
      <c r="D369" s="8">
        <v>10.3</v>
      </c>
      <c r="E369" s="5">
        <v>45550</v>
      </c>
      <c r="F369" t="s">
        <v>12</v>
      </c>
    </row>
    <row r="370" spans="1:6">
      <c r="A370" s="3" t="s">
        <v>3520</v>
      </c>
      <c r="B370" s="8">
        <v>89.432000000000002</v>
      </c>
      <c r="C370" s="8">
        <v>10</v>
      </c>
      <c r="D370" s="8">
        <v>10.3</v>
      </c>
      <c r="E370" s="5">
        <v>45551</v>
      </c>
      <c r="F370" t="s">
        <v>4523</v>
      </c>
    </row>
    <row r="371" spans="1:6">
      <c r="A371" s="3" t="s">
        <v>3521</v>
      </c>
      <c r="B371" s="8">
        <v>90.536000000000001</v>
      </c>
      <c r="C371" s="8">
        <v>10</v>
      </c>
      <c r="D371" s="8">
        <v>10.3</v>
      </c>
      <c r="E371" s="5">
        <v>45552</v>
      </c>
      <c r="F371" t="s">
        <v>4512</v>
      </c>
    </row>
    <row r="372" spans="1:6">
      <c r="A372" s="3" t="s">
        <v>3529</v>
      </c>
      <c r="B372" s="8">
        <v>93.709000000000003</v>
      </c>
      <c r="C372" s="8">
        <v>10</v>
      </c>
      <c r="D372" s="8">
        <v>10.3</v>
      </c>
      <c r="E372" s="5">
        <v>45551</v>
      </c>
      <c r="F372" t="s">
        <v>9</v>
      </c>
    </row>
    <row r="373" spans="1:6">
      <c r="A373" s="3" t="s">
        <v>3530</v>
      </c>
      <c r="B373" s="8">
        <v>91.647999999999996</v>
      </c>
      <c r="C373" s="8">
        <v>10</v>
      </c>
      <c r="D373" s="8">
        <v>10.3</v>
      </c>
      <c r="E373" s="5">
        <v>45552</v>
      </c>
      <c r="F373" t="s">
        <v>191</v>
      </c>
    </row>
    <row r="374" spans="1:6">
      <c r="A374" s="3" t="s">
        <v>3531</v>
      </c>
      <c r="B374" s="8">
        <v>96.32</v>
      </c>
      <c r="C374" s="8">
        <v>10</v>
      </c>
      <c r="D374" s="8">
        <v>10.3</v>
      </c>
      <c r="E374" s="5">
        <v>45553</v>
      </c>
      <c r="F374" t="s">
        <v>4520</v>
      </c>
    </row>
    <row r="375" spans="1:6">
      <c r="A375" s="3" t="s">
        <v>3545</v>
      </c>
      <c r="B375" s="8">
        <v>88.433999999999997</v>
      </c>
      <c r="C375" s="8">
        <v>10</v>
      </c>
      <c r="D375" s="8">
        <v>10.3</v>
      </c>
      <c r="E375" s="5">
        <v>45560</v>
      </c>
      <c r="F375" t="s">
        <v>12</v>
      </c>
    </row>
    <row r="376" spans="1:6">
      <c r="A376" s="3" t="s">
        <v>3546</v>
      </c>
      <c r="B376" s="8">
        <v>95.397000000000006</v>
      </c>
      <c r="C376" s="8">
        <v>10</v>
      </c>
      <c r="D376" s="8">
        <v>10.3</v>
      </c>
      <c r="E376" s="5">
        <v>45561</v>
      </c>
      <c r="F376" t="s">
        <v>4523</v>
      </c>
    </row>
    <row r="377" spans="1:6">
      <c r="A377" s="3" t="s">
        <v>3547</v>
      </c>
      <c r="B377" s="8">
        <v>89.313000000000002</v>
      </c>
      <c r="C377" s="8">
        <v>10</v>
      </c>
      <c r="D377" s="8">
        <v>10.3</v>
      </c>
      <c r="E377" s="5">
        <v>45562</v>
      </c>
      <c r="F377" t="s">
        <v>4512</v>
      </c>
    </row>
    <row r="378" spans="1:6">
      <c r="A378" s="3" t="s">
        <v>3548</v>
      </c>
      <c r="B378" s="8">
        <v>90.924000000000007</v>
      </c>
      <c r="C378" s="8">
        <v>10</v>
      </c>
      <c r="D378" s="8">
        <v>10.3</v>
      </c>
      <c r="E378" s="5">
        <v>45563</v>
      </c>
      <c r="F378" t="s">
        <v>9</v>
      </c>
    </row>
    <row r="379" spans="1:6">
      <c r="A379" s="3" t="s">
        <v>3558</v>
      </c>
      <c r="B379" s="8">
        <v>113.502</v>
      </c>
      <c r="C379" s="8">
        <v>10</v>
      </c>
      <c r="D379" s="8">
        <v>10.3</v>
      </c>
      <c r="E379" s="5">
        <v>45563</v>
      </c>
      <c r="F379" t="s">
        <v>191</v>
      </c>
    </row>
    <row r="380" spans="1:6">
      <c r="A380" s="3" t="s">
        <v>3559</v>
      </c>
      <c r="B380" s="8">
        <v>106.798</v>
      </c>
      <c r="C380" s="8">
        <v>10</v>
      </c>
      <c r="D380" s="8">
        <v>10.3</v>
      </c>
      <c r="E380" s="5">
        <v>45564</v>
      </c>
      <c r="F380" t="s">
        <v>4520</v>
      </c>
    </row>
    <row r="381" spans="1:6">
      <c r="A381" s="3" t="s">
        <v>3560</v>
      </c>
      <c r="B381" s="8">
        <v>112.675</v>
      </c>
      <c r="C381" s="8">
        <v>10</v>
      </c>
      <c r="D381" s="8">
        <v>10.3</v>
      </c>
      <c r="E381" s="5">
        <v>45565</v>
      </c>
      <c r="F381" t="s">
        <v>12</v>
      </c>
    </row>
    <row r="382" spans="1:6">
      <c r="A382" s="3" t="s">
        <v>3561</v>
      </c>
      <c r="B382" s="8">
        <v>109.586</v>
      </c>
      <c r="C382" s="8">
        <v>10</v>
      </c>
      <c r="D382" s="8">
        <v>10.3</v>
      </c>
      <c r="E382" s="5">
        <v>45566</v>
      </c>
      <c r="F382" t="s">
        <v>4523</v>
      </c>
    </row>
    <row r="383" spans="1:6">
      <c r="A383" s="3" t="s">
        <v>3567</v>
      </c>
      <c r="B383" s="8">
        <v>106.17</v>
      </c>
      <c r="C383" s="8">
        <v>10</v>
      </c>
      <c r="D383" s="8">
        <v>10.3</v>
      </c>
      <c r="E383" s="5">
        <v>45566</v>
      </c>
      <c r="F383" t="s">
        <v>4512</v>
      </c>
    </row>
    <row r="384" spans="1:6">
      <c r="A384" s="3" t="s">
        <v>3568</v>
      </c>
      <c r="B384" s="8">
        <v>109.97199999999999</v>
      </c>
      <c r="C384" s="8">
        <v>10</v>
      </c>
      <c r="D384" s="8">
        <v>10.3</v>
      </c>
      <c r="E384" s="5">
        <v>45567</v>
      </c>
      <c r="F384" t="s">
        <v>9</v>
      </c>
    </row>
    <row r="385" spans="1:6">
      <c r="A385" s="3" t="s">
        <v>3569</v>
      </c>
      <c r="B385" s="8">
        <v>108.452</v>
      </c>
      <c r="C385" s="8">
        <v>10</v>
      </c>
      <c r="D385" s="8">
        <v>10.3</v>
      </c>
      <c r="E385" s="5">
        <v>45568</v>
      </c>
      <c r="F385" t="s">
        <v>191</v>
      </c>
    </row>
    <row r="386" spans="1:6">
      <c r="A386" s="3" t="s">
        <v>3570</v>
      </c>
      <c r="B386" s="8">
        <v>106.527</v>
      </c>
      <c r="C386" s="8">
        <v>10</v>
      </c>
      <c r="D386" s="8">
        <v>10.3</v>
      </c>
      <c r="E386" s="5">
        <v>45569</v>
      </c>
      <c r="F386" t="s">
        <v>4520</v>
      </c>
    </row>
    <row r="387" spans="1:6">
      <c r="A387" s="3" t="s">
        <v>3576</v>
      </c>
      <c r="B387" s="8">
        <v>115.306</v>
      </c>
      <c r="C387" s="8">
        <v>10</v>
      </c>
      <c r="D387" s="8">
        <v>10.3</v>
      </c>
      <c r="E387" s="5">
        <v>45569</v>
      </c>
      <c r="F387" t="s">
        <v>12</v>
      </c>
    </row>
    <row r="388" spans="1:6">
      <c r="A388" s="3" t="s">
        <v>3577</v>
      </c>
      <c r="B388" s="8">
        <v>105.687</v>
      </c>
      <c r="C388" s="8">
        <v>10</v>
      </c>
      <c r="D388" s="8">
        <v>10.3</v>
      </c>
      <c r="E388" s="5">
        <v>45570</v>
      </c>
      <c r="F388" t="s">
        <v>4523</v>
      </c>
    </row>
    <row r="389" spans="1:6">
      <c r="A389" s="3" t="s">
        <v>3578</v>
      </c>
      <c r="B389" s="8">
        <v>110.39</v>
      </c>
      <c r="C389" s="8">
        <v>10</v>
      </c>
      <c r="D389" s="8">
        <v>10.3</v>
      </c>
      <c r="E389" s="5">
        <v>45571</v>
      </c>
      <c r="F389" t="s">
        <v>4512</v>
      </c>
    </row>
    <row r="390" spans="1:6">
      <c r="A390" s="3" t="s">
        <v>3581</v>
      </c>
      <c r="B390" s="8">
        <v>105.771</v>
      </c>
      <c r="C390" s="8">
        <v>10</v>
      </c>
      <c r="D390" s="8">
        <v>10.3</v>
      </c>
      <c r="E390" s="5">
        <v>45572</v>
      </c>
      <c r="F390" t="s">
        <v>9</v>
      </c>
    </row>
    <row r="391" spans="1:6">
      <c r="A391" s="3" t="s">
        <v>3582</v>
      </c>
      <c r="B391" s="8">
        <v>109.063</v>
      </c>
      <c r="C391" s="8">
        <v>10</v>
      </c>
      <c r="D391" s="8">
        <v>10.3</v>
      </c>
      <c r="E391" s="5">
        <v>45573</v>
      </c>
      <c r="F391" t="s">
        <v>191</v>
      </c>
    </row>
    <row r="392" spans="1:6">
      <c r="A392" s="3" t="s">
        <v>3583</v>
      </c>
      <c r="B392" s="8">
        <v>104.88800000000001</v>
      </c>
      <c r="C392" s="8">
        <v>10</v>
      </c>
      <c r="D392" s="8">
        <v>10.3</v>
      </c>
      <c r="E392" s="5">
        <v>45574</v>
      </c>
      <c r="F392" t="s">
        <v>4520</v>
      </c>
    </row>
    <row r="393" spans="1:6">
      <c r="A393" s="3" t="s">
        <v>3584</v>
      </c>
      <c r="B393" s="8">
        <v>110.129</v>
      </c>
      <c r="C393" s="8">
        <v>10</v>
      </c>
      <c r="D393" s="8">
        <v>10.3</v>
      </c>
      <c r="E393" s="5">
        <v>45575</v>
      </c>
      <c r="F393" t="s">
        <v>12</v>
      </c>
    </row>
    <row r="394" spans="1:6">
      <c r="A394" s="3" t="s">
        <v>3585</v>
      </c>
      <c r="B394" s="8">
        <v>104.041</v>
      </c>
      <c r="C394" s="8">
        <v>10</v>
      </c>
      <c r="D394" s="8">
        <v>10.3</v>
      </c>
      <c r="E394" s="5">
        <v>45576</v>
      </c>
      <c r="F394" t="s">
        <v>4523</v>
      </c>
    </row>
    <row r="395" spans="1:6">
      <c r="A395" s="3" t="s">
        <v>3590</v>
      </c>
      <c r="B395" s="8">
        <v>109.032</v>
      </c>
      <c r="C395" s="8">
        <v>10</v>
      </c>
      <c r="D395" s="8">
        <v>10.3</v>
      </c>
      <c r="E395" s="5">
        <v>45575</v>
      </c>
      <c r="F395" t="s">
        <v>4512</v>
      </c>
    </row>
    <row r="396" spans="1:6">
      <c r="A396" s="3" t="s">
        <v>3591</v>
      </c>
      <c r="B396" s="8">
        <v>109.26900000000001</v>
      </c>
      <c r="C396" s="8">
        <v>10</v>
      </c>
      <c r="D396" s="8">
        <v>10.3</v>
      </c>
      <c r="E396" s="5">
        <v>45576</v>
      </c>
      <c r="F396" t="s">
        <v>9</v>
      </c>
    </row>
    <row r="397" spans="1:6">
      <c r="A397" s="3" t="s">
        <v>3592</v>
      </c>
      <c r="B397" s="8">
        <v>100.223</v>
      </c>
      <c r="C397" s="8">
        <v>10</v>
      </c>
      <c r="D397" s="8">
        <v>10.3</v>
      </c>
      <c r="E397" s="5">
        <v>45577</v>
      </c>
      <c r="F397" t="s">
        <v>191</v>
      </c>
    </row>
    <row r="398" spans="1:6">
      <c r="A398" s="3" t="s">
        <v>3593</v>
      </c>
      <c r="B398" s="8">
        <v>108.905</v>
      </c>
      <c r="C398" s="8">
        <v>10</v>
      </c>
      <c r="D398" s="8">
        <v>10.3</v>
      </c>
      <c r="E398" s="5">
        <v>45578</v>
      </c>
      <c r="F398" t="s">
        <v>4520</v>
      </c>
    </row>
    <row r="399" spans="1:6">
      <c r="A399" s="3" t="s">
        <v>3594</v>
      </c>
      <c r="B399" s="8">
        <v>109.056</v>
      </c>
      <c r="C399" s="8">
        <v>10</v>
      </c>
      <c r="D399" s="8">
        <v>10.3</v>
      </c>
      <c r="E399" s="5">
        <v>45579</v>
      </c>
      <c r="F399" t="s">
        <v>12</v>
      </c>
    </row>
    <row r="400" spans="1:6">
      <c r="A400" s="3" t="s">
        <v>3596</v>
      </c>
      <c r="B400" s="8">
        <v>83.983000000000004</v>
      </c>
      <c r="C400" s="8">
        <v>10</v>
      </c>
      <c r="D400" s="8">
        <v>10.3</v>
      </c>
      <c r="E400" s="5">
        <v>45575</v>
      </c>
      <c r="F400" t="s">
        <v>4523</v>
      </c>
    </row>
    <row r="401" spans="1:6">
      <c r="A401" s="3" t="s">
        <v>3597</v>
      </c>
      <c r="B401" s="8">
        <v>87.067999999999998</v>
      </c>
      <c r="C401" s="8">
        <v>10</v>
      </c>
      <c r="D401" s="8">
        <v>10.3</v>
      </c>
      <c r="E401" s="5">
        <v>45576</v>
      </c>
      <c r="F401" t="s">
        <v>4512</v>
      </c>
    </row>
    <row r="402" spans="1:6">
      <c r="A402" s="3" t="s">
        <v>3598</v>
      </c>
      <c r="B402" s="8">
        <v>83.662000000000006</v>
      </c>
      <c r="C402" s="8">
        <v>10</v>
      </c>
      <c r="D402" s="8">
        <v>10.3</v>
      </c>
      <c r="E402" s="5">
        <v>45577</v>
      </c>
      <c r="F402" t="s">
        <v>9</v>
      </c>
    </row>
    <row r="403" spans="1:6">
      <c r="A403" s="3" t="s">
        <v>3599</v>
      </c>
      <c r="B403" s="8">
        <v>85.781999999999996</v>
      </c>
      <c r="C403" s="8">
        <v>10</v>
      </c>
      <c r="D403" s="8">
        <v>10.3</v>
      </c>
      <c r="E403" s="5">
        <v>45578</v>
      </c>
      <c r="F403" t="s">
        <v>191</v>
      </c>
    </row>
    <row r="404" spans="1:6">
      <c r="A404" s="3" t="s">
        <v>3609</v>
      </c>
      <c r="B404" s="8">
        <v>102.09</v>
      </c>
      <c r="C404" s="8">
        <v>10</v>
      </c>
      <c r="D404" s="8">
        <v>10.3</v>
      </c>
      <c r="E404" s="5">
        <v>45584</v>
      </c>
      <c r="F404" t="s">
        <v>4520</v>
      </c>
    </row>
    <row r="405" spans="1:6">
      <c r="A405" s="3" t="s">
        <v>3610</v>
      </c>
      <c r="B405" s="8">
        <v>108.657</v>
      </c>
      <c r="C405" s="8">
        <v>10</v>
      </c>
      <c r="D405" s="8">
        <v>10.3</v>
      </c>
      <c r="E405" s="5">
        <v>45585</v>
      </c>
      <c r="F405" t="s">
        <v>12</v>
      </c>
    </row>
    <row r="406" spans="1:6">
      <c r="A406" s="3" t="s">
        <v>3611</v>
      </c>
      <c r="B406" s="8">
        <v>98.561000000000007</v>
      </c>
      <c r="C406" s="8">
        <v>10</v>
      </c>
      <c r="D406" s="8">
        <v>10.3</v>
      </c>
      <c r="E406" s="5">
        <v>45586</v>
      </c>
      <c r="F406" t="s">
        <v>4523</v>
      </c>
    </row>
    <row r="407" spans="1:6">
      <c r="A407" s="3" t="s">
        <v>3612</v>
      </c>
      <c r="B407" s="8">
        <v>105.093</v>
      </c>
      <c r="C407" s="8">
        <v>10</v>
      </c>
      <c r="D407" s="8">
        <v>10.3</v>
      </c>
      <c r="E407" s="5">
        <v>45587</v>
      </c>
      <c r="F407" t="s">
        <v>4512</v>
      </c>
    </row>
    <row r="408" spans="1:6">
      <c r="A408" s="3" t="s">
        <v>3614</v>
      </c>
      <c r="B408" s="8">
        <v>97.816999999999993</v>
      </c>
      <c r="C408" s="8">
        <v>10</v>
      </c>
      <c r="D408" s="8">
        <v>10.3</v>
      </c>
      <c r="E408" s="5">
        <v>45590</v>
      </c>
      <c r="F408" t="s">
        <v>9</v>
      </c>
    </row>
    <row r="409" spans="1:6">
      <c r="A409" s="3" t="s">
        <v>3615</v>
      </c>
      <c r="B409" s="8">
        <v>81.802999999999997</v>
      </c>
      <c r="C409" s="8">
        <v>10</v>
      </c>
      <c r="D409" s="8">
        <v>10.3</v>
      </c>
      <c r="E409" s="5">
        <v>45591</v>
      </c>
      <c r="F409" t="s">
        <v>191</v>
      </c>
    </row>
    <row r="410" spans="1:6">
      <c r="A410" s="3" t="s">
        <v>3616</v>
      </c>
      <c r="B410" s="8">
        <v>94.245000000000005</v>
      </c>
      <c r="C410" s="8">
        <v>10</v>
      </c>
      <c r="D410" s="8">
        <v>10.3</v>
      </c>
      <c r="E410" s="5">
        <v>45592</v>
      </c>
      <c r="F410" t="s">
        <v>4520</v>
      </c>
    </row>
    <row r="411" spans="1:6">
      <c r="A411" s="3" t="s">
        <v>3617</v>
      </c>
      <c r="B411" s="8">
        <v>96.210999999999999</v>
      </c>
      <c r="C411" s="8">
        <v>10</v>
      </c>
      <c r="D411" s="8">
        <v>10.3</v>
      </c>
      <c r="E411" s="5">
        <v>45593</v>
      </c>
      <c r="F411" t="s">
        <v>12</v>
      </c>
    </row>
    <row r="412" spans="1:6">
      <c r="A412" s="3" t="s">
        <v>3638</v>
      </c>
      <c r="B412" s="8">
        <v>116.279</v>
      </c>
      <c r="C412" s="8">
        <v>10</v>
      </c>
      <c r="D412" s="8">
        <v>10.3</v>
      </c>
      <c r="E412" s="5">
        <v>45608</v>
      </c>
      <c r="F412" t="s">
        <v>4523</v>
      </c>
    </row>
    <row r="413" spans="1:6">
      <c r="A413" s="3" t="s">
        <v>3639</v>
      </c>
      <c r="B413" s="8">
        <v>114.958</v>
      </c>
      <c r="C413" s="8">
        <v>10</v>
      </c>
      <c r="D413" s="8">
        <v>10.3</v>
      </c>
      <c r="E413" s="5">
        <v>45609</v>
      </c>
      <c r="F413" t="s">
        <v>4512</v>
      </c>
    </row>
    <row r="414" spans="1:6">
      <c r="A414" s="3" t="s">
        <v>3640</v>
      </c>
      <c r="B414" s="8">
        <v>120.199</v>
      </c>
      <c r="C414" s="8">
        <v>10</v>
      </c>
      <c r="D414" s="8">
        <v>10.3</v>
      </c>
      <c r="E414" s="5">
        <v>45610</v>
      </c>
      <c r="F414" t="s">
        <v>9</v>
      </c>
    </row>
    <row r="415" spans="1:6">
      <c r="A415" s="3" t="s">
        <v>3644</v>
      </c>
      <c r="B415" s="8">
        <v>108.589</v>
      </c>
      <c r="C415" s="8">
        <v>10</v>
      </c>
      <c r="D415" s="8">
        <v>10.3</v>
      </c>
      <c r="E415" s="5">
        <v>45611</v>
      </c>
      <c r="F415" t="s">
        <v>191</v>
      </c>
    </row>
    <row r="416" spans="1:6">
      <c r="A416" s="3" t="s">
        <v>3645</v>
      </c>
      <c r="B416" s="8">
        <v>103.633</v>
      </c>
      <c r="C416" s="8">
        <v>10</v>
      </c>
      <c r="D416" s="8">
        <v>10.3</v>
      </c>
      <c r="E416" s="5">
        <v>45612</v>
      </c>
      <c r="F416" t="s">
        <v>4520</v>
      </c>
    </row>
    <row r="417" spans="1:6">
      <c r="A417" s="3" t="s">
        <v>3646</v>
      </c>
      <c r="B417" s="8">
        <v>108.83199999999999</v>
      </c>
      <c r="C417" s="8">
        <v>10</v>
      </c>
      <c r="D417" s="8">
        <v>10.3</v>
      </c>
      <c r="E417" s="5">
        <v>45613</v>
      </c>
      <c r="F417" t="s">
        <v>12</v>
      </c>
    </row>
    <row r="418" spans="1:6">
      <c r="A418" s="3" t="s">
        <v>3647</v>
      </c>
      <c r="B418" s="8">
        <v>100.044</v>
      </c>
      <c r="C418" s="8">
        <v>10</v>
      </c>
      <c r="D418" s="8">
        <v>10.3</v>
      </c>
      <c r="E418" s="5">
        <v>45614</v>
      </c>
      <c r="F418" t="s">
        <v>4523</v>
      </c>
    </row>
    <row r="419" spans="1:6">
      <c r="A419" s="3" t="s">
        <v>3651</v>
      </c>
      <c r="B419" s="8">
        <v>95.340999999999994</v>
      </c>
      <c r="C419" s="8">
        <v>10</v>
      </c>
      <c r="D419" s="8">
        <v>10.3</v>
      </c>
      <c r="E419" s="5">
        <v>45617</v>
      </c>
      <c r="F419" t="s">
        <v>4512</v>
      </c>
    </row>
    <row r="420" spans="1:6">
      <c r="A420" s="3" t="s">
        <v>3652</v>
      </c>
      <c r="B420" s="8">
        <v>100.99</v>
      </c>
      <c r="C420" s="8">
        <v>10</v>
      </c>
      <c r="D420" s="8">
        <v>10.3</v>
      </c>
      <c r="E420" s="5">
        <v>45618</v>
      </c>
      <c r="F420" t="s">
        <v>9</v>
      </c>
    </row>
    <row r="421" spans="1:6">
      <c r="A421" s="3" t="s">
        <v>3653</v>
      </c>
      <c r="B421" s="8">
        <v>91.715000000000003</v>
      </c>
      <c r="C421" s="8">
        <v>10</v>
      </c>
      <c r="D421" s="8">
        <v>10.3</v>
      </c>
      <c r="E421" s="5">
        <v>45619</v>
      </c>
      <c r="F421" t="s">
        <v>191</v>
      </c>
    </row>
    <row r="422" spans="1:6">
      <c r="A422" s="3" t="s">
        <v>3654</v>
      </c>
      <c r="B422" s="8">
        <v>93.858999999999995</v>
      </c>
      <c r="C422" s="8">
        <v>10</v>
      </c>
      <c r="D422" s="8">
        <v>10.3</v>
      </c>
      <c r="E422" s="5">
        <v>45620</v>
      </c>
      <c r="F422" t="s">
        <v>4520</v>
      </c>
    </row>
    <row r="423" spans="1:6">
      <c r="A423" s="3" t="s">
        <v>3658</v>
      </c>
      <c r="B423" s="8">
        <v>87.289000000000001</v>
      </c>
      <c r="C423" s="8">
        <v>10</v>
      </c>
      <c r="D423" s="8">
        <v>10.3</v>
      </c>
      <c r="E423" s="5">
        <v>45620</v>
      </c>
      <c r="F423" t="s">
        <v>12</v>
      </c>
    </row>
    <row r="424" spans="1:6">
      <c r="A424" s="3" t="s">
        <v>3659</v>
      </c>
      <c r="B424" s="8">
        <v>81.757999999999996</v>
      </c>
      <c r="C424" s="8">
        <v>10</v>
      </c>
      <c r="D424" s="8">
        <v>10.3</v>
      </c>
      <c r="E424" s="5">
        <v>45621</v>
      </c>
      <c r="F424" t="s">
        <v>4523</v>
      </c>
    </row>
    <row r="425" spans="1:6">
      <c r="A425" s="3" t="s">
        <v>3660</v>
      </c>
      <c r="B425" s="8">
        <v>91.83</v>
      </c>
      <c r="C425" s="8">
        <v>10</v>
      </c>
      <c r="D425" s="8">
        <v>10.3</v>
      </c>
      <c r="E425" s="5">
        <v>45622</v>
      </c>
      <c r="F425" t="s">
        <v>4512</v>
      </c>
    </row>
    <row r="426" spans="1:6">
      <c r="A426" s="3" t="s">
        <v>3661</v>
      </c>
      <c r="B426" s="8">
        <v>92.525000000000006</v>
      </c>
      <c r="C426" s="8">
        <v>10</v>
      </c>
      <c r="D426" s="8">
        <v>10.3</v>
      </c>
      <c r="E426" s="5">
        <v>45623</v>
      </c>
      <c r="F426" t="s">
        <v>9</v>
      </c>
    </row>
    <row r="427" spans="1:6">
      <c r="A427" s="3" t="s">
        <v>3665</v>
      </c>
      <c r="B427" s="8">
        <v>79.460999999999999</v>
      </c>
      <c r="C427" s="8">
        <v>10</v>
      </c>
      <c r="D427" s="8">
        <v>10.3</v>
      </c>
      <c r="E427" s="5">
        <v>45620</v>
      </c>
      <c r="F427" t="s">
        <v>191</v>
      </c>
    </row>
    <row r="428" spans="1:6">
      <c r="A428" s="3" t="s">
        <v>3666</v>
      </c>
      <c r="B428" s="8">
        <v>84.683999999999997</v>
      </c>
      <c r="C428" s="8">
        <v>10</v>
      </c>
      <c r="D428" s="8">
        <v>10.3</v>
      </c>
      <c r="E428" s="5">
        <v>45621</v>
      </c>
      <c r="F428" t="s">
        <v>4520</v>
      </c>
    </row>
    <row r="429" spans="1:6">
      <c r="A429" s="3" t="s">
        <v>3667</v>
      </c>
      <c r="B429" s="8">
        <v>88.484999999999999</v>
      </c>
      <c r="C429" s="8">
        <v>10</v>
      </c>
      <c r="D429" s="8">
        <v>10.3</v>
      </c>
      <c r="E429" s="5">
        <v>45622</v>
      </c>
      <c r="F429" t="s">
        <v>12</v>
      </c>
    </row>
    <row r="430" spans="1:6">
      <c r="A430" s="3" t="s">
        <v>3668</v>
      </c>
      <c r="B430" s="8">
        <v>76.284000000000006</v>
      </c>
      <c r="C430" s="8">
        <v>10</v>
      </c>
      <c r="D430" s="8">
        <v>10.3</v>
      </c>
      <c r="E430" s="5">
        <v>45623</v>
      </c>
      <c r="F430" t="s">
        <v>4523</v>
      </c>
    </row>
    <row r="431" spans="1:6">
      <c r="A431" s="3" t="s">
        <v>3671</v>
      </c>
      <c r="B431" s="8">
        <v>113.28700000000001</v>
      </c>
      <c r="C431" s="8">
        <v>10</v>
      </c>
      <c r="D431" s="8">
        <v>10.3</v>
      </c>
      <c r="E431" s="5">
        <v>45623</v>
      </c>
      <c r="F431" t="s">
        <v>4512</v>
      </c>
    </row>
    <row r="432" spans="1:6">
      <c r="A432" s="3" t="s">
        <v>3672</v>
      </c>
      <c r="B432" s="8">
        <v>118.31100000000001</v>
      </c>
      <c r="C432" s="8">
        <v>10</v>
      </c>
      <c r="D432" s="8">
        <v>10.3</v>
      </c>
      <c r="E432" s="5">
        <v>45624</v>
      </c>
      <c r="F432" t="s">
        <v>9</v>
      </c>
    </row>
    <row r="433" spans="1:6">
      <c r="A433" s="3" t="s">
        <v>3673</v>
      </c>
      <c r="B433" s="8">
        <v>115.655</v>
      </c>
      <c r="C433" s="8">
        <v>10</v>
      </c>
      <c r="D433" s="8">
        <v>10.3</v>
      </c>
      <c r="E433" s="5">
        <v>45625</v>
      </c>
      <c r="F433" t="s">
        <v>191</v>
      </c>
    </row>
    <row r="434" spans="1:6">
      <c r="A434" s="3" t="s">
        <v>3674</v>
      </c>
      <c r="B434" s="8">
        <v>120.93300000000001</v>
      </c>
      <c r="C434" s="8">
        <v>10</v>
      </c>
      <c r="D434" s="8">
        <v>10.3</v>
      </c>
      <c r="E434" s="5">
        <v>45626</v>
      </c>
      <c r="F434" t="s">
        <v>4520</v>
      </c>
    </row>
    <row r="435" spans="1:6">
      <c r="A435" s="3" t="s">
        <v>3678</v>
      </c>
      <c r="B435" s="8">
        <v>115.089</v>
      </c>
      <c r="C435" s="8">
        <v>10</v>
      </c>
      <c r="D435" s="8">
        <v>10.3</v>
      </c>
      <c r="E435" s="5">
        <v>45629</v>
      </c>
      <c r="F435" t="s">
        <v>12</v>
      </c>
    </row>
    <row r="436" spans="1:6">
      <c r="A436" s="3" t="s">
        <v>3679</v>
      </c>
      <c r="B436" s="8">
        <v>112.745</v>
      </c>
      <c r="C436" s="8">
        <v>10</v>
      </c>
      <c r="D436" s="8">
        <v>10.3</v>
      </c>
      <c r="E436" s="5">
        <v>45630</v>
      </c>
      <c r="F436" t="s">
        <v>4523</v>
      </c>
    </row>
    <row r="437" spans="1:6">
      <c r="A437" s="3" t="s">
        <v>3680</v>
      </c>
      <c r="B437" s="8">
        <v>113.59099999999999</v>
      </c>
      <c r="C437" s="8">
        <v>10</v>
      </c>
      <c r="D437" s="8">
        <v>10.3</v>
      </c>
      <c r="E437" s="5">
        <v>45631</v>
      </c>
      <c r="F437" t="s">
        <v>4512</v>
      </c>
    </row>
    <row r="438" spans="1:6">
      <c r="A438" s="3" t="s">
        <v>3685</v>
      </c>
      <c r="B438" s="8">
        <v>106.902</v>
      </c>
      <c r="C438" s="8">
        <v>10</v>
      </c>
      <c r="D438" s="8">
        <v>10.3</v>
      </c>
      <c r="E438" s="5">
        <v>45632</v>
      </c>
      <c r="F438" t="s">
        <v>9</v>
      </c>
    </row>
    <row r="439" spans="1:6">
      <c r="A439" s="3" t="s">
        <v>3686</v>
      </c>
      <c r="B439" s="8">
        <v>104.319</v>
      </c>
      <c r="C439" s="8">
        <v>10</v>
      </c>
      <c r="D439" s="8">
        <v>10.3</v>
      </c>
      <c r="E439" s="5">
        <v>45633</v>
      </c>
      <c r="F439" t="s">
        <v>191</v>
      </c>
    </row>
    <row r="440" spans="1:6">
      <c r="A440" s="3" t="s">
        <v>3687</v>
      </c>
      <c r="B440" s="8">
        <v>108.333</v>
      </c>
      <c r="C440" s="8">
        <v>10</v>
      </c>
      <c r="D440" s="8">
        <v>10.3</v>
      </c>
      <c r="E440" s="5">
        <v>45634</v>
      </c>
      <c r="F440" t="s">
        <v>4520</v>
      </c>
    </row>
    <row r="441" spans="1:6">
      <c r="A441" s="3" t="s">
        <v>3688</v>
      </c>
      <c r="B441" s="8">
        <v>111.637</v>
      </c>
      <c r="C441" s="8">
        <v>10</v>
      </c>
      <c r="D441" s="8">
        <v>10.3</v>
      </c>
      <c r="E441" s="5">
        <v>45635</v>
      </c>
      <c r="F441" t="s">
        <v>12</v>
      </c>
    </row>
    <row r="442" spans="1:6">
      <c r="A442" s="3" t="s">
        <v>3699</v>
      </c>
      <c r="B442" s="8">
        <v>91.418000000000006</v>
      </c>
      <c r="C442" s="8">
        <v>10</v>
      </c>
      <c r="D442" s="8">
        <v>10.3</v>
      </c>
      <c r="E442" s="5">
        <v>45638</v>
      </c>
      <c r="F442" t="s">
        <v>4523</v>
      </c>
    </row>
    <row r="443" spans="1:6">
      <c r="A443" s="3" t="s">
        <v>3700</v>
      </c>
      <c r="B443" s="8">
        <v>95.759</v>
      </c>
      <c r="C443" s="8">
        <v>10</v>
      </c>
      <c r="D443" s="8">
        <v>10.3</v>
      </c>
      <c r="E443" s="5">
        <v>45639</v>
      </c>
      <c r="F443" t="s">
        <v>4512</v>
      </c>
    </row>
    <row r="444" spans="1:6">
      <c r="A444" s="3" t="s">
        <v>3701</v>
      </c>
      <c r="B444" s="8">
        <v>94.807000000000002</v>
      </c>
      <c r="C444" s="8">
        <v>10</v>
      </c>
      <c r="D444" s="8">
        <v>10.3</v>
      </c>
      <c r="E444" s="5">
        <v>45640</v>
      </c>
      <c r="F444" t="s">
        <v>9</v>
      </c>
    </row>
    <row r="445" spans="1:6">
      <c r="A445" s="3" t="s">
        <v>3703</v>
      </c>
      <c r="B445" s="8">
        <v>89.289000000000001</v>
      </c>
      <c r="C445" s="8">
        <v>10</v>
      </c>
      <c r="D445" s="8">
        <v>10.3</v>
      </c>
      <c r="E445" s="5">
        <v>45641</v>
      </c>
      <c r="F445" t="s">
        <v>191</v>
      </c>
    </row>
    <row r="446" spans="1:6">
      <c r="A446" s="3" t="s">
        <v>3719</v>
      </c>
      <c r="B446" s="8">
        <v>80.450999999999993</v>
      </c>
      <c r="C446" s="8">
        <v>10</v>
      </c>
      <c r="D446" s="8">
        <v>10.3</v>
      </c>
      <c r="E446" s="5">
        <v>45647</v>
      </c>
      <c r="F446" t="s">
        <v>4520</v>
      </c>
    </row>
    <row r="447" spans="1:6">
      <c r="A447" s="3" t="s">
        <v>3721</v>
      </c>
      <c r="B447" s="8">
        <v>80.944999999999993</v>
      </c>
      <c r="C447" s="8">
        <v>10</v>
      </c>
      <c r="D447" s="8">
        <v>10.3</v>
      </c>
      <c r="E447" s="5">
        <v>45648</v>
      </c>
      <c r="F447" t="s">
        <v>12</v>
      </c>
    </row>
    <row r="448" spans="1:6">
      <c r="A448" s="3" t="s">
        <v>3723</v>
      </c>
      <c r="B448" s="8">
        <v>85.884</v>
      </c>
      <c r="C448" s="8">
        <v>10</v>
      </c>
      <c r="D448" s="8">
        <v>10.3</v>
      </c>
      <c r="E448" s="5">
        <v>45649</v>
      </c>
      <c r="F448" t="s">
        <v>4523</v>
      </c>
    </row>
    <row r="449" spans="1:6">
      <c r="A449" s="3" t="s">
        <v>3725</v>
      </c>
      <c r="B449" s="8">
        <v>86.254000000000005</v>
      </c>
      <c r="C449" s="8">
        <v>10</v>
      </c>
      <c r="D449" s="8">
        <v>10.3</v>
      </c>
      <c r="E449" s="5">
        <v>45650</v>
      </c>
      <c r="F449" t="s">
        <v>4512</v>
      </c>
    </row>
    <row r="450" spans="1:6">
      <c r="A450" s="3" t="s">
        <v>3738</v>
      </c>
      <c r="B450" s="8">
        <v>117.991</v>
      </c>
      <c r="C450" s="8">
        <v>10</v>
      </c>
      <c r="D450" s="8">
        <v>10.3</v>
      </c>
      <c r="E450" s="5">
        <v>45650</v>
      </c>
      <c r="F450" t="s">
        <v>9</v>
      </c>
    </row>
    <row r="451" spans="1:6">
      <c r="A451" s="3" t="s">
        <v>3740</v>
      </c>
      <c r="B451" s="8">
        <v>110.151</v>
      </c>
      <c r="C451" s="8">
        <v>10</v>
      </c>
      <c r="D451" s="8">
        <v>10.3</v>
      </c>
      <c r="E451" s="5">
        <v>45651</v>
      </c>
      <c r="F451" t="s">
        <v>191</v>
      </c>
    </row>
    <row r="452" spans="1:6">
      <c r="A452" s="3" t="s">
        <v>3742</v>
      </c>
      <c r="B452" s="8">
        <v>114.69799999999999</v>
      </c>
      <c r="C452" s="8">
        <v>10</v>
      </c>
      <c r="D452" s="8">
        <v>10.3</v>
      </c>
      <c r="E452" s="5">
        <v>45652</v>
      </c>
      <c r="F452" t="s">
        <v>4520</v>
      </c>
    </row>
    <row r="453" spans="1:6">
      <c r="A453" s="3" t="s">
        <v>3744</v>
      </c>
      <c r="B453" s="8">
        <v>116.76300000000001</v>
      </c>
      <c r="C453" s="8">
        <v>10</v>
      </c>
      <c r="D453" s="8">
        <v>10.3</v>
      </c>
      <c r="E453" s="5">
        <v>45653</v>
      </c>
      <c r="F453" t="s">
        <v>12</v>
      </c>
    </row>
    <row r="454" spans="1:6">
      <c r="A454" s="3" t="s">
        <v>3758</v>
      </c>
      <c r="B454" s="8">
        <v>103.62</v>
      </c>
      <c r="C454" s="8">
        <v>10</v>
      </c>
      <c r="D454" s="8">
        <v>10.3</v>
      </c>
      <c r="E454" s="5">
        <v>45656</v>
      </c>
      <c r="F454" t="s">
        <v>4523</v>
      </c>
    </row>
    <row r="455" spans="1:6">
      <c r="A455" s="3" t="s">
        <v>3760</v>
      </c>
      <c r="B455" s="8">
        <v>98.46</v>
      </c>
      <c r="C455" s="8">
        <v>10</v>
      </c>
      <c r="D455" s="8">
        <v>10.3</v>
      </c>
      <c r="E455" s="5">
        <v>45657</v>
      </c>
      <c r="F455" t="s">
        <v>4512</v>
      </c>
    </row>
    <row r="456" spans="1:6">
      <c r="A456" s="3" t="s">
        <v>3762</v>
      </c>
      <c r="B456" s="8">
        <v>110.48099999999999</v>
      </c>
      <c r="C456" s="8">
        <v>10</v>
      </c>
      <c r="D456" s="8">
        <v>10.3</v>
      </c>
      <c r="E456" s="5">
        <v>45658</v>
      </c>
      <c r="F456" t="s">
        <v>9</v>
      </c>
    </row>
    <row r="457" spans="1:6">
      <c r="A457" s="3" t="s">
        <v>3764</v>
      </c>
      <c r="B457" s="8">
        <v>100.286</v>
      </c>
      <c r="C457" s="8">
        <v>10</v>
      </c>
      <c r="D457" s="8">
        <v>10.3</v>
      </c>
      <c r="E457" s="5">
        <v>45659</v>
      </c>
      <c r="F457" t="s">
        <v>191</v>
      </c>
    </row>
    <row r="458" spans="1:6">
      <c r="A458" s="3" t="s">
        <v>3768</v>
      </c>
      <c r="B458" s="8">
        <v>102.495</v>
      </c>
      <c r="C458" s="8">
        <v>10</v>
      </c>
      <c r="D458" s="8">
        <v>10.3</v>
      </c>
      <c r="E458" s="5">
        <v>45659</v>
      </c>
      <c r="F458" t="s">
        <v>4520</v>
      </c>
    </row>
    <row r="459" spans="1:6">
      <c r="A459" s="3" t="s">
        <v>3770</v>
      </c>
      <c r="B459" s="8">
        <v>105.976</v>
      </c>
      <c r="C459" s="8">
        <v>10</v>
      </c>
      <c r="D459" s="8">
        <v>10.3</v>
      </c>
      <c r="E459" s="5">
        <v>45660</v>
      </c>
      <c r="F459" t="s">
        <v>12</v>
      </c>
    </row>
    <row r="460" spans="1:6">
      <c r="A460" s="3" t="s">
        <v>3772</v>
      </c>
      <c r="B460" s="8">
        <v>98.372</v>
      </c>
      <c r="C460" s="8">
        <v>10</v>
      </c>
      <c r="D460" s="8">
        <v>10.3</v>
      </c>
      <c r="E460" s="5">
        <v>45661</v>
      </c>
      <c r="F460" t="s">
        <v>4523</v>
      </c>
    </row>
    <row r="461" spans="1:6">
      <c r="A461" s="3" t="s">
        <v>3779</v>
      </c>
      <c r="B461" s="8">
        <v>81.825999999999993</v>
      </c>
      <c r="C461" s="8">
        <v>10</v>
      </c>
      <c r="D461" s="8">
        <v>10.3</v>
      </c>
      <c r="E461" s="5">
        <v>45668</v>
      </c>
      <c r="F461" t="s">
        <v>4512</v>
      </c>
    </row>
    <row r="462" spans="1:6">
      <c r="A462" s="3" t="s">
        <v>3781</v>
      </c>
      <c r="B462" s="8">
        <v>90.709000000000003</v>
      </c>
      <c r="C462" s="8">
        <v>10</v>
      </c>
      <c r="D462" s="8">
        <v>10.3</v>
      </c>
      <c r="E462" s="5">
        <v>45669</v>
      </c>
      <c r="F462" t="s">
        <v>9</v>
      </c>
    </row>
    <row r="463" spans="1:6">
      <c r="A463" s="3" t="s">
        <v>3783</v>
      </c>
      <c r="B463" s="8">
        <v>87.090999999999994</v>
      </c>
      <c r="C463" s="8">
        <v>10</v>
      </c>
      <c r="D463" s="8">
        <v>10.3</v>
      </c>
      <c r="E463" s="5">
        <v>45670</v>
      </c>
      <c r="F463" t="s">
        <v>191</v>
      </c>
    </row>
    <row r="464" spans="1:6">
      <c r="A464" s="3" t="s">
        <v>3785</v>
      </c>
      <c r="B464" s="8">
        <v>87.164000000000001</v>
      </c>
      <c r="C464" s="8">
        <v>10</v>
      </c>
      <c r="D464" s="8">
        <v>10.3</v>
      </c>
      <c r="E464" s="5">
        <v>45671</v>
      </c>
      <c r="F464" t="s">
        <v>4520</v>
      </c>
    </row>
    <row r="465" spans="1:6">
      <c r="A465" s="3" t="s">
        <v>3787</v>
      </c>
      <c r="B465" s="8">
        <v>83.247</v>
      </c>
      <c r="C465" s="8">
        <v>10</v>
      </c>
      <c r="D465" s="8">
        <v>10.3</v>
      </c>
      <c r="E465" s="5">
        <v>45672</v>
      </c>
      <c r="F465" t="s">
        <v>12</v>
      </c>
    </row>
    <row r="466" spans="1:6">
      <c r="A466" s="3" t="s">
        <v>3804</v>
      </c>
      <c r="B466" s="8">
        <v>117.464</v>
      </c>
      <c r="C466" s="8">
        <v>10</v>
      </c>
      <c r="D466" s="8">
        <v>10.3</v>
      </c>
      <c r="E466" s="5">
        <v>45680</v>
      </c>
      <c r="F466" t="s">
        <v>4523</v>
      </c>
    </row>
    <row r="467" spans="1:6">
      <c r="A467" s="3" t="s">
        <v>3806</v>
      </c>
      <c r="B467" s="8">
        <v>120.419</v>
      </c>
      <c r="C467" s="8">
        <v>10</v>
      </c>
      <c r="D467" s="8">
        <v>10.3</v>
      </c>
      <c r="E467" s="5">
        <v>45681</v>
      </c>
      <c r="F467" t="s">
        <v>4512</v>
      </c>
    </row>
    <row r="468" spans="1:6">
      <c r="A468" s="3" t="s">
        <v>3808</v>
      </c>
      <c r="B468" s="8">
        <v>122.395</v>
      </c>
      <c r="C468" s="8">
        <v>10</v>
      </c>
      <c r="D468" s="8">
        <v>10.3</v>
      </c>
      <c r="E468" s="5">
        <v>45682</v>
      </c>
      <c r="F468" t="s">
        <v>9</v>
      </c>
    </row>
    <row r="469" spans="1:6">
      <c r="A469" s="3" t="s">
        <v>3810</v>
      </c>
      <c r="B469" s="8">
        <v>116.361</v>
      </c>
      <c r="C469" s="8">
        <v>10</v>
      </c>
      <c r="D469" s="8">
        <v>10.3</v>
      </c>
      <c r="E469" s="5">
        <v>45683</v>
      </c>
      <c r="F469" t="s">
        <v>191</v>
      </c>
    </row>
    <row r="470" spans="1:6">
      <c r="A470" s="3" t="s">
        <v>3825</v>
      </c>
      <c r="B470" s="8">
        <v>118.63500000000001</v>
      </c>
      <c r="C470" s="8">
        <v>10</v>
      </c>
      <c r="D470" s="8">
        <v>10.3</v>
      </c>
      <c r="E470" s="5">
        <v>45695</v>
      </c>
      <c r="F470" t="s">
        <v>4520</v>
      </c>
    </row>
    <row r="471" spans="1:6">
      <c r="A471" s="3" t="s">
        <v>3827</v>
      </c>
      <c r="B471" s="8">
        <v>120.438</v>
      </c>
      <c r="C471" s="8">
        <v>10</v>
      </c>
      <c r="D471" s="8">
        <v>10.3</v>
      </c>
      <c r="E471" s="5">
        <v>45696</v>
      </c>
      <c r="F471" t="s">
        <v>12</v>
      </c>
    </row>
    <row r="472" spans="1:6">
      <c r="A472" s="3" t="s">
        <v>3829</v>
      </c>
      <c r="B472" s="8">
        <v>120.021</v>
      </c>
      <c r="C472" s="8">
        <v>10</v>
      </c>
      <c r="D472" s="8">
        <v>10.3</v>
      </c>
      <c r="E472" s="5">
        <v>45697</v>
      </c>
      <c r="F472" t="s">
        <v>4523</v>
      </c>
    </row>
    <row r="473" spans="1:6">
      <c r="A473" s="3" t="s">
        <v>3831</v>
      </c>
      <c r="B473" s="8">
        <v>114.319</v>
      </c>
      <c r="C473" s="8">
        <v>10</v>
      </c>
      <c r="D473" s="8">
        <v>10.3</v>
      </c>
      <c r="E473" s="5">
        <v>45698</v>
      </c>
      <c r="F473" t="s">
        <v>4512</v>
      </c>
    </row>
    <row r="474" spans="1:6">
      <c r="A474" s="3" t="s">
        <v>3833</v>
      </c>
      <c r="B474" s="8">
        <v>125.176</v>
      </c>
      <c r="C474" s="8">
        <v>10</v>
      </c>
      <c r="D474" s="8">
        <v>10.3</v>
      </c>
      <c r="E474" s="5">
        <v>45699</v>
      </c>
      <c r="F474" t="s">
        <v>9</v>
      </c>
    </row>
    <row r="475" spans="1:6">
      <c r="A475" s="3" t="s">
        <v>3837</v>
      </c>
      <c r="B475" s="8">
        <v>108.48699999999999</v>
      </c>
      <c r="C475" s="8">
        <v>10</v>
      </c>
      <c r="D475" s="8">
        <v>10.3</v>
      </c>
      <c r="E475" s="5">
        <v>45704</v>
      </c>
      <c r="F475" t="s">
        <v>191</v>
      </c>
    </row>
    <row r="476" spans="1:6">
      <c r="A476" s="3" t="s">
        <v>3839</v>
      </c>
      <c r="B476" s="8">
        <v>114.401</v>
      </c>
      <c r="C476" s="8">
        <v>10</v>
      </c>
      <c r="D476" s="8">
        <v>10.3</v>
      </c>
      <c r="E476" s="5">
        <v>45705</v>
      </c>
      <c r="F476" t="s">
        <v>4520</v>
      </c>
    </row>
    <row r="477" spans="1:6">
      <c r="A477" s="3" t="s">
        <v>3841</v>
      </c>
      <c r="B477" s="8">
        <v>110.39</v>
      </c>
      <c r="C477" s="8">
        <v>10</v>
      </c>
      <c r="D477" s="8">
        <v>10.3</v>
      </c>
      <c r="E477" s="5">
        <v>45706</v>
      </c>
      <c r="F477" t="s">
        <v>12</v>
      </c>
    </row>
    <row r="478" spans="1:6">
      <c r="A478" s="3" t="s">
        <v>3843</v>
      </c>
      <c r="B478" s="8">
        <v>109.364</v>
      </c>
      <c r="C478" s="8">
        <v>10</v>
      </c>
      <c r="D478" s="8">
        <v>10.3</v>
      </c>
      <c r="E478" s="5">
        <v>45707</v>
      </c>
      <c r="F478" t="s">
        <v>4523</v>
      </c>
    </row>
    <row r="479" spans="1:6">
      <c r="A479" s="3" t="s">
        <v>3859</v>
      </c>
      <c r="B479" s="8">
        <v>99.745999999999995</v>
      </c>
      <c r="C479" s="8">
        <v>10</v>
      </c>
      <c r="D479" s="8">
        <v>10.3</v>
      </c>
      <c r="E479" s="5">
        <v>45710</v>
      </c>
      <c r="F479" t="s">
        <v>4512</v>
      </c>
    </row>
    <row r="480" spans="1:6">
      <c r="A480" s="3" t="s">
        <v>3861</v>
      </c>
      <c r="B480" s="8">
        <v>101.34099999999999</v>
      </c>
      <c r="C480" s="8">
        <v>10</v>
      </c>
      <c r="D480" s="8">
        <v>10.3</v>
      </c>
      <c r="E480" s="5">
        <v>45711</v>
      </c>
      <c r="F480" t="s">
        <v>9</v>
      </c>
    </row>
    <row r="481" spans="1:6">
      <c r="A481" s="3" t="s">
        <v>3863</v>
      </c>
      <c r="B481" s="8">
        <v>88.379000000000005</v>
      </c>
      <c r="C481" s="8">
        <v>10</v>
      </c>
      <c r="D481" s="8">
        <v>10.3</v>
      </c>
      <c r="E481" s="5">
        <v>45712</v>
      </c>
      <c r="F481" t="s">
        <v>191</v>
      </c>
    </row>
    <row r="482" spans="1:6">
      <c r="A482" s="3" t="s">
        <v>3865</v>
      </c>
      <c r="B482" s="8">
        <v>96.22</v>
      </c>
      <c r="C482" s="8">
        <v>10</v>
      </c>
      <c r="D482" s="8">
        <v>10.3</v>
      </c>
      <c r="E482" s="5">
        <v>45713</v>
      </c>
      <c r="F482" t="s">
        <v>4520</v>
      </c>
    </row>
    <row r="483" spans="1:6">
      <c r="A483" s="3" t="s">
        <v>3874</v>
      </c>
      <c r="B483" s="8">
        <v>94.614000000000004</v>
      </c>
      <c r="C483" s="8">
        <v>10</v>
      </c>
      <c r="D483" s="8">
        <v>10.3</v>
      </c>
      <c r="E483" s="5">
        <v>45710</v>
      </c>
      <c r="F483" t="s">
        <v>12</v>
      </c>
    </row>
    <row r="484" spans="1:6">
      <c r="A484" s="3" t="s">
        <v>3876</v>
      </c>
      <c r="B484" s="8">
        <v>95.263999999999996</v>
      </c>
      <c r="C484" s="8">
        <v>10</v>
      </c>
      <c r="D484" s="8">
        <v>10.3</v>
      </c>
      <c r="E484" s="5">
        <v>45711</v>
      </c>
      <c r="F484" t="s">
        <v>4523</v>
      </c>
    </row>
    <row r="485" spans="1:6">
      <c r="A485" s="3" t="s">
        <v>3878</v>
      </c>
      <c r="B485" s="8">
        <v>90.676000000000002</v>
      </c>
      <c r="C485" s="8">
        <v>10</v>
      </c>
      <c r="D485" s="8">
        <v>10.3</v>
      </c>
      <c r="E485" s="5">
        <v>45712</v>
      </c>
      <c r="F485" t="s">
        <v>4512</v>
      </c>
    </row>
    <row r="486" spans="1:6">
      <c r="A486" s="3" t="s">
        <v>3880</v>
      </c>
      <c r="B486" s="8">
        <v>93.236000000000004</v>
      </c>
      <c r="C486" s="8">
        <v>10</v>
      </c>
      <c r="D486" s="8">
        <v>10.3</v>
      </c>
      <c r="E486" s="5">
        <v>45713</v>
      </c>
      <c r="F486" t="s">
        <v>9</v>
      </c>
    </row>
    <row r="487" spans="1:6">
      <c r="A487" s="3" t="s">
        <v>3895</v>
      </c>
      <c r="B487" s="8">
        <v>98.08</v>
      </c>
      <c r="C487" s="8">
        <v>10</v>
      </c>
      <c r="D487" s="8">
        <v>10.3</v>
      </c>
      <c r="E487" s="5">
        <v>45713</v>
      </c>
      <c r="F487" t="s">
        <v>191</v>
      </c>
    </row>
    <row r="488" spans="1:6">
      <c r="A488" s="3" t="s">
        <v>3897</v>
      </c>
      <c r="B488" s="8">
        <v>99.742000000000004</v>
      </c>
      <c r="C488" s="8">
        <v>10</v>
      </c>
      <c r="D488" s="8">
        <v>10.3</v>
      </c>
      <c r="E488" s="5">
        <v>45714</v>
      </c>
      <c r="F488" t="s">
        <v>4520</v>
      </c>
    </row>
    <row r="489" spans="1:6">
      <c r="A489" s="3" t="s">
        <v>3899</v>
      </c>
      <c r="B489" s="8">
        <v>97.106999999999999</v>
      </c>
      <c r="C489" s="8">
        <v>10</v>
      </c>
      <c r="D489" s="8">
        <v>10.3</v>
      </c>
      <c r="E489" s="5">
        <v>45715</v>
      </c>
      <c r="F489" t="s">
        <v>12</v>
      </c>
    </row>
    <row r="490" spans="1:6">
      <c r="A490" s="3" t="s">
        <v>3901</v>
      </c>
      <c r="B490" s="8">
        <v>95.924999999999997</v>
      </c>
      <c r="C490" s="8">
        <v>10</v>
      </c>
      <c r="D490" s="8">
        <v>10.3</v>
      </c>
      <c r="E490" s="5">
        <v>45716</v>
      </c>
      <c r="F490" t="s">
        <v>4523</v>
      </c>
    </row>
    <row r="491" spans="1:6">
      <c r="A491" s="3" t="s">
        <v>3910</v>
      </c>
      <c r="B491" s="8">
        <v>115.44799999999999</v>
      </c>
      <c r="C491" s="8">
        <v>10</v>
      </c>
      <c r="D491" s="8">
        <v>10.3</v>
      </c>
      <c r="E491" s="5">
        <v>45722</v>
      </c>
      <c r="F491" t="s">
        <v>4512</v>
      </c>
    </row>
    <row r="492" spans="1:6">
      <c r="A492" s="3" t="s">
        <v>3912</v>
      </c>
      <c r="B492" s="8">
        <v>108.812</v>
      </c>
      <c r="C492" s="8">
        <v>10</v>
      </c>
      <c r="D492" s="8">
        <v>10.3</v>
      </c>
      <c r="E492" s="5">
        <v>45723</v>
      </c>
      <c r="F492" t="s">
        <v>9</v>
      </c>
    </row>
    <row r="493" spans="1:6">
      <c r="A493" s="3" t="s">
        <v>3914</v>
      </c>
      <c r="B493" s="8">
        <v>114.149</v>
      </c>
      <c r="C493" s="8">
        <v>10</v>
      </c>
      <c r="D493" s="8">
        <v>10.3</v>
      </c>
      <c r="E493" s="5">
        <v>45724</v>
      </c>
      <c r="F493" t="s">
        <v>191</v>
      </c>
    </row>
    <row r="494" spans="1:6">
      <c r="A494" s="3" t="s">
        <v>3916</v>
      </c>
      <c r="B494" s="8">
        <v>111.949</v>
      </c>
      <c r="C494" s="8">
        <v>10</v>
      </c>
      <c r="D494" s="8">
        <v>10.3</v>
      </c>
      <c r="E494" s="5">
        <v>45725</v>
      </c>
      <c r="F494" t="s">
        <v>4520</v>
      </c>
    </row>
    <row r="495" spans="1:6">
      <c r="A495" s="3" t="s">
        <v>3924</v>
      </c>
      <c r="B495" s="8">
        <v>120.941</v>
      </c>
      <c r="C495" s="8">
        <v>10</v>
      </c>
      <c r="D495" s="8">
        <v>10.3</v>
      </c>
      <c r="E495" s="5">
        <v>45725</v>
      </c>
      <c r="F495" t="s">
        <v>12</v>
      </c>
    </row>
    <row r="496" spans="1:6">
      <c r="A496" s="3" t="s">
        <v>3926</v>
      </c>
      <c r="B496" s="8">
        <v>117.977</v>
      </c>
      <c r="C496" s="8">
        <v>10</v>
      </c>
      <c r="D496" s="8">
        <v>10.3</v>
      </c>
      <c r="E496" s="5">
        <v>45726</v>
      </c>
      <c r="F496" t="s">
        <v>4523</v>
      </c>
    </row>
    <row r="497" spans="1:6">
      <c r="A497" s="3" t="s">
        <v>3928</v>
      </c>
      <c r="B497" s="8">
        <v>118.105</v>
      </c>
      <c r="C497" s="8">
        <v>10</v>
      </c>
      <c r="D497" s="8">
        <v>10.3</v>
      </c>
      <c r="E497" s="5">
        <v>45727</v>
      </c>
      <c r="F497" t="s">
        <v>4512</v>
      </c>
    </row>
    <row r="498" spans="1:6">
      <c r="A498" s="3" t="s">
        <v>3930</v>
      </c>
      <c r="B498" s="8">
        <v>119.22</v>
      </c>
      <c r="C498" s="8">
        <v>10</v>
      </c>
      <c r="D498" s="8">
        <v>10.3</v>
      </c>
      <c r="E498" s="5">
        <v>45728</v>
      </c>
      <c r="F498" t="s">
        <v>9</v>
      </c>
    </row>
    <row r="499" spans="1:6">
      <c r="A499" s="3" t="s">
        <v>3939</v>
      </c>
      <c r="B499" s="8">
        <v>107.039</v>
      </c>
      <c r="C499" s="8">
        <v>10</v>
      </c>
      <c r="D499" s="8">
        <v>10.3</v>
      </c>
      <c r="E499" s="5">
        <v>45731</v>
      </c>
      <c r="F499" t="s">
        <v>191</v>
      </c>
    </row>
    <row r="500" spans="1:6">
      <c r="A500" s="3" t="s">
        <v>3941</v>
      </c>
      <c r="B500" s="8">
        <v>107.316</v>
      </c>
      <c r="C500" s="8">
        <v>10</v>
      </c>
      <c r="D500" s="8">
        <v>10.3</v>
      </c>
      <c r="E500" s="5">
        <v>45732</v>
      </c>
      <c r="F500" t="s">
        <v>4520</v>
      </c>
    </row>
    <row r="501" spans="1:6">
      <c r="A501" s="3" t="s">
        <v>3943</v>
      </c>
      <c r="B501" s="8">
        <v>109.572</v>
      </c>
      <c r="C501" s="8">
        <v>10</v>
      </c>
      <c r="D501" s="8">
        <v>10.3</v>
      </c>
      <c r="E501" s="5">
        <v>45733</v>
      </c>
      <c r="F501" t="s">
        <v>12</v>
      </c>
    </row>
    <row r="502" spans="1:6">
      <c r="A502" s="3" t="s">
        <v>3945</v>
      </c>
      <c r="B502" s="8">
        <v>102.854</v>
      </c>
      <c r="C502" s="8">
        <v>10</v>
      </c>
      <c r="D502" s="8">
        <v>10.3</v>
      </c>
      <c r="E502" s="5">
        <v>45734</v>
      </c>
      <c r="F502" t="s">
        <v>4523</v>
      </c>
    </row>
    <row r="503" spans="1:6">
      <c r="A503" s="3" t="s">
        <v>3949</v>
      </c>
      <c r="B503" s="8">
        <v>106.913</v>
      </c>
      <c r="C503" s="8">
        <v>10</v>
      </c>
      <c r="D503" s="8">
        <v>10.3</v>
      </c>
      <c r="E503" s="5">
        <v>45734</v>
      </c>
      <c r="F503" t="s">
        <v>4512</v>
      </c>
    </row>
    <row r="504" spans="1:6">
      <c r="A504" s="3" t="s">
        <v>3951</v>
      </c>
      <c r="B504" s="8">
        <v>109.426</v>
      </c>
      <c r="C504" s="8">
        <v>10</v>
      </c>
      <c r="D504" s="8">
        <v>10.3</v>
      </c>
      <c r="E504" s="5">
        <v>45735</v>
      </c>
      <c r="F504" t="s">
        <v>9</v>
      </c>
    </row>
    <row r="505" spans="1:6">
      <c r="A505" s="3" t="s">
        <v>3953</v>
      </c>
      <c r="B505" s="8">
        <v>104.61799999999999</v>
      </c>
      <c r="C505" s="8">
        <v>10</v>
      </c>
      <c r="D505" s="8">
        <v>10.3</v>
      </c>
      <c r="E505" s="5">
        <v>45736</v>
      </c>
      <c r="F505" t="s">
        <v>191</v>
      </c>
    </row>
    <row r="506" spans="1:6">
      <c r="A506" s="3" t="s">
        <v>3955</v>
      </c>
      <c r="B506" s="8">
        <v>106.328</v>
      </c>
      <c r="C506" s="8">
        <v>10</v>
      </c>
      <c r="D506" s="8">
        <v>10.3</v>
      </c>
      <c r="E506" s="5">
        <v>45737</v>
      </c>
      <c r="F506" t="s">
        <v>4520</v>
      </c>
    </row>
    <row r="507" spans="1:6">
      <c r="A507" s="3" t="s">
        <v>3993</v>
      </c>
      <c r="B507" s="8">
        <v>123.874</v>
      </c>
      <c r="C507" s="8">
        <v>10</v>
      </c>
      <c r="D507" s="8">
        <v>10.3</v>
      </c>
      <c r="E507" s="5">
        <v>45746</v>
      </c>
      <c r="F507" t="s">
        <v>12</v>
      </c>
    </row>
    <row r="508" spans="1:6">
      <c r="A508" s="3" t="s">
        <v>3995</v>
      </c>
      <c r="B508" s="8">
        <v>117.374</v>
      </c>
      <c r="C508" s="8">
        <v>10</v>
      </c>
      <c r="D508" s="8">
        <v>10.3</v>
      </c>
      <c r="E508" s="5">
        <v>45747</v>
      </c>
      <c r="F508" t="s">
        <v>4523</v>
      </c>
    </row>
    <row r="509" spans="1:6">
      <c r="A509" s="3" t="s">
        <v>3997</v>
      </c>
      <c r="B509" s="8">
        <v>117.65600000000001</v>
      </c>
      <c r="C509" s="8">
        <v>10</v>
      </c>
      <c r="D509" s="8">
        <v>10.3</v>
      </c>
      <c r="E509" s="5">
        <v>45748</v>
      </c>
      <c r="F509" t="s">
        <v>4512</v>
      </c>
    </row>
    <row r="510" spans="1:6">
      <c r="A510" s="3" t="s">
        <v>4008</v>
      </c>
      <c r="B510" s="8">
        <v>105.095</v>
      </c>
      <c r="C510" s="8">
        <v>10</v>
      </c>
      <c r="D510" s="8">
        <v>10.3</v>
      </c>
      <c r="E510" s="5">
        <v>45755</v>
      </c>
      <c r="F510" t="s">
        <v>9</v>
      </c>
    </row>
    <row r="511" spans="1:6">
      <c r="A511" s="3" t="s">
        <v>4009</v>
      </c>
      <c r="B511" s="8">
        <v>103.14400000000001</v>
      </c>
      <c r="C511" s="8">
        <v>10</v>
      </c>
      <c r="D511" s="8">
        <v>10.3</v>
      </c>
      <c r="E511" s="5">
        <v>45756</v>
      </c>
      <c r="F511" t="s">
        <v>191</v>
      </c>
    </row>
    <row r="512" spans="1:6">
      <c r="A512" s="3" t="s">
        <v>4010</v>
      </c>
      <c r="B512" s="8">
        <v>104.03100000000001</v>
      </c>
      <c r="C512" s="8">
        <v>10</v>
      </c>
      <c r="D512" s="8">
        <v>10.3</v>
      </c>
      <c r="E512" s="5">
        <v>45757</v>
      </c>
      <c r="F512" t="s">
        <v>4520</v>
      </c>
    </row>
    <row r="513" spans="1:6">
      <c r="A513" s="3" t="s">
        <v>4014</v>
      </c>
      <c r="B513" s="8">
        <v>85.68</v>
      </c>
      <c r="C513" s="8">
        <v>10</v>
      </c>
      <c r="D513" s="8">
        <v>10.3</v>
      </c>
      <c r="E513" s="5">
        <v>45755</v>
      </c>
      <c r="F513" t="s">
        <v>12</v>
      </c>
    </row>
    <row r="514" spans="1:6">
      <c r="A514" s="3" t="s">
        <v>4015</v>
      </c>
      <c r="B514" s="8">
        <v>77.673000000000002</v>
      </c>
      <c r="C514" s="8">
        <v>10</v>
      </c>
      <c r="D514" s="8">
        <v>10.3</v>
      </c>
      <c r="E514" s="5">
        <v>45756</v>
      </c>
      <c r="F514" t="s">
        <v>4523</v>
      </c>
    </row>
    <row r="515" spans="1:6">
      <c r="A515" s="3" t="s">
        <v>4016</v>
      </c>
      <c r="B515" s="8">
        <v>92.298000000000002</v>
      </c>
      <c r="C515" s="8">
        <v>10</v>
      </c>
      <c r="D515" s="8">
        <v>10.3</v>
      </c>
      <c r="E515" s="5">
        <v>45757</v>
      </c>
      <c r="F515" t="s">
        <v>4512</v>
      </c>
    </row>
    <row r="516" spans="1:6">
      <c r="A516" s="3" t="s">
        <v>4017</v>
      </c>
      <c r="B516" s="8">
        <v>89.308999999999997</v>
      </c>
      <c r="C516" s="8">
        <v>10</v>
      </c>
      <c r="D516" s="8">
        <v>10.3</v>
      </c>
      <c r="E516" s="5">
        <v>45758</v>
      </c>
      <c r="F516" t="s">
        <v>9</v>
      </c>
    </row>
    <row r="517" spans="1:6">
      <c r="A517" s="3" t="s">
        <v>4025</v>
      </c>
      <c r="B517" s="8">
        <v>88.778999999999996</v>
      </c>
      <c r="C517" s="8">
        <v>10</v>
      </c>
      <c r="D517" s="8">
        <v>10.3</v>
      </c>
      <c r="E517" s="5">
        <v>45758</v>
      </c>
      <c r="F517" t="s">
        <v>191</v>
      </c>
    </row>
    <row r="518" spans="1:6">
      <c r="A518" s="3" t="s">
        <v>4026</v>
      </c>
      <c r="B518" s="8">
        <v>89.47</v>
      </c>
      <c r="C518" s="8">
        <v>10</v>
      </c>
      <c r="D518" s="8">
        <v>10.3</v>
      </c>
      <c r="E518" s="5">
        <v>45759</v>
      </c>
      <c r="F518" t="s">
        <v>4520</v>
      </c>
    </row>
    <row r="519" spans="1:6">
      <c r="A519" s="3" t="s">
        <v>4027</v>
      </c>
      <c r="B519" s="8">
        <v>87.350999999999999</v>
      </c>
      <c r="C519" s="8">
        <v>10</v>
      </c>
      <c r="D519" s="8">
        <v>10.3</v>
      </c>
      <c r="E519" s="5">
        <v>45760</v>
      </c>
      <c r="F519" t="s">
        <v>12</v>
      </c>
    </row>
    <row r="520" spans="1:6">
      <c r="A520" s="3" t="s">
        <v>4028</v>
      </c>
      <c r="B520" s="8">
        <v>81.671999999999997</v>
      </c>
      <c r="C520" s="8">
        <v>10</v>
      </c>
      <c r="D520" s="8">
        <v>10.3</v>
      </c>
      <c r="E520" s="5">
        <v>45761</v>
      </c>
      <c r="F520" t="s">
        <v>4523</v>
      </c>
    </row>
    <row r="521" spans="1:6">
      <c r="A521" s="3" t="s">
        <v>4044</v>
      </c>
      <c r="B521" s="8">
        <v>102.705</v>
      </c>
      <c r="C521" s="8">
        <v>10</v>
      </c>
      <c r="D521" s="8">
        <v>10.3</v>
      </c>
      <c r="E521" s="5">
        <v>45767</v>
      </c>
      <c r="F521" t="s">
        <v>4512</v>
      </c>
    </row>
    <row r="522" spans="1:6">
      <c r="A522" s="3" t="s">
        <v>4045</v>
      </c>
      <c r="B522" s="8">
        <v>105.627</v>
      </c>
      <c r="C522" s="8">
        <v>10</v>
      </c>
      <c r="D522" s="8">
        <v>10.3</v>
      </c>
      <c r="E522" s="5">
        <v>45768</v>
      </c>
      <c r="F522" t="s">
        <v>9</v>
      </c>
    </row>
    <row r="523" spans="1:6">
      <c r="A523" s="3" t="s">
        <v>4046</v>
      </c>
      <c r="B523" s="8">
        <v>99.061999999999998</v>
      </c>
      <c r="C523" s="8">
        <v>10</v>
      </c>
      <c r="D523" s="8">
        <v>10.3</v>
      </c>
      <c r="E523" s="5">
        <v>45769</v>
      </c>
      <c r="F523" t="s">
        <v>191</v>
      </c>
    </row>
    <row r="524" spans="1:6">
      <c r="A524" s="3" t="s">
        <v>4049</v>
      </c>
      <c r="B524" s="8">
        <v>99.29</v>
      </c>
      <c r="C524" s="8">
        <v>10</v>
      </c>
      <c r="D524" s="8">
        <v>10.3</v>
      </c>
      <c r="E524" s="5">
        <v>45770</v>
      </c>
      <c r="F524" t="s">
        <v>4520</v>
      </c>
    </row>
    <row r="525" spans="1:6">
      <c r="A525" s="3" t="s">
        <v>4050</v>
      </c>
      <c r="B525" s="8">
        <v>102.568</v>
      </c>
      <c r="C525" s="8">
        <v>10</v>
      </c>
      <c r="D525" s="8">
        <v>10.3</v>
      </c>
      <c r="E525" s="5">
        <v>45771</v>
      </c>
      <c r="F525" t="s">
        <v>12</v>
      </c>
    </row>
    <row r="526" spans="1:6">
      <c r="A526" s="3" t="s">
        <v>4051</v>
      </c>
      <c r="B526" s="8">
        <v>93.509</v>
      </c>
      <c r="C526" s="8">
        <v>10</v>
      </c>
      <c r="D526" s="8">
        <v>10.3</v>
      </c>
      <c r="E526" s="5">
        <v>45772</v>
      </c>
      <c r="F526" t="s">
        <v>4523</v>
      </c>
    </row>
    <row r="527" spans="1:6">
      <c r="A527" s="3" t="s">
        <v>4055</v>
      </c>
      <c r="B527" s="8">
        <v>100.152</v>
      </c>
      <c r="C527" s="8">
        <v>10</v>
      </c>
      <c r="D527" s="8">
        <v>10.3</v>
      </c>
      <c r="E527" s="5">
        <v>45773</v>
      </c>
      <c r="F527" t="s">
        <v>4512</v>
      </c>
    </row>
    <row r="528" spans="1:6">
      <c r="A528" s="3" t="s">
        <v>4056</v>
      </c>
      <c r="B528" s="8">
        <v>93.129000000000005</v>
      </c>
      <c r="C528" s="8">
        <v>10</v>
      </c>
      <c r="D528" s="8">
        <v>10.3</v>
      </c>
      <c r="E528" s="5">
        <v>45774</v>
      </c>
      <c r="F528" t="s">
        <v>9</v>
      </c>
    </row>
    <row r="529" spans="1:6">
      <c r="A529" s="3" t="s">
        <v>4057</v>
      </c>
      <c r="B529" s="8">
        <v>88.111999999999995</v>
      </c>
      <c r="C529" s="8">
        <v>10</v>
      </c>
      <c r="D529" s="8">
        <v>10.3</v>
      </c>
      <c r="E529" s="5">
        <v>45775</v>
      </c>
      <c r="F529" t="s">
        <v>191</v>
      </c>
    </row>
    <row r="530" spans="1:6">
      <c r="A530" s="3" t="s">
        <v>4061</v>
      </c>
      <c r="B530" s="8">
        <v>86.712999999999994</v>
      </c>
      <c r="C530" s="8">
        <v>10</v>
      </c>
      <c r="D530" s="8">
        <v>10.3</v>
      </c>
      <c r="E530" s="5">
        <v>45776</v>
      </c>
      <c r="F530" t="s">
        <v>4520</v>
      </c>
    </row>
    <row r="531" spans="1:6">
      <c r="A531" s="3" t="s">
        <v>4062</v>
      </c>
      <c r="B531" s="8">
        <v>88.584999999999994</v>
      </c>
      <c r="C531" s="8">
        <v>10</v>
      </c>
      <c r="D531" s="8">
        <v>10.3</v>
      </c>
      <c r="E531" s="5">
        <v>45777</v>
      </c>
      <c r="F531" t="s">
        <v>12</v>
      </c>
    </row>
    <row r="532" spans="1:6">
      <c r="A532" s="3" t="s">
        <v>4063</v>
      </c>
      <c r="B532" s="8">
        <v>81.751000000000005</v>
      </c>
      <c r="C532" s="8">
        <v>10</v>
      </c>
      <c r="D532" s="8">
        <v>10.3</v>
      </c>
      <c r="E532" s="5">
        <v>45778</v>
      </c>
      <c r="F532" t="s">
        <v>4523</v>
      </c>
    </row>
    <row r="533" spans="1:6">
      <c r="A533" s="3" t="s">
        <v>4064</v>
      </c>
      <c r="B533" s="8">
        <v>79.715999999999994</v>
      </c>
      <c r="C533" s="8">
        <v>10</v>
      </c>
      <c r="D533" s="8">
        <v>10.3</v>
      </c>
      <c r="E533" s="5">
        <v>45779</v>
      </c>
      <c r="F533" t="s">
        <v>4512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93"/>
  <sheetViews>
    <sheetView workbookViewId="0"/>
  </sheetViews>
  <sheetFormatPr defaultRowHeight="14.25"/>
  <cols>
    <col min="1" max="1" width="23" customWidth="1"/>
    <col min="2" max="3" width="13" customWidth="1"/>
    <col min="4" max="4" width="13" style="16" customWidth="1"/>
    <col min="5" max="8" width="13" customWidth="1"/>
    <col min="9" max="9" width="23" customWidth="1"/>
    <col min="10" max="10" width="14" customWidth="1"/>
    <col min="11" max="11" width="13" customWidth="1"/>
  </cols>
  <sheetData>
    <row r="1" spans="1:11" ht="32.1" customHeight="1">
      <c r="A1" s="12" t="s">
        <v>197</v>
      </c>
      <c r="B1" s="18" t="s">
        <v>4778</v>
      </c>
      <c r="C1" s="18" t="s">
        <v>4779</v>
      </c>
      <c r="D1" s="23" t="s">
        <v>4798</v>
      </c>
      <c r="E1" s="18" t="s">
        <v>4799</v>
      </c>
      <c r="F1" s="18" t="s">
        <v>4781</v>
      </c>
      <c r="G1" s="2" t="s">
        <v>4800</v>
      </c>
      <c r="H1" s="2" t="s">
        <v>4785</v>
      </c>
      <c r="I1" s="2" t="s">
        <v>4786</v>
      </c>
      <c r="J1" s="2" t="s">
        <v>4787</v>
      </c>
      <c r="K1" s="2" t="s">
        <v>4506</v>
      </c>
    </row>
    <row r="2" spans="1:11">
      <c r="A2" s="3" t="s">
        <v>1868</v>
      </c>
      <c r="B2" s="8">
        <v>318.29599999999999</v>
      </c>
      <c r="C2" s="8">
        <v>251.38200000000001</v>
      </c>
      <c r="D2" s="9"/>
      <c r="E2" s="8">
        <v>50.444000000000003</v>
      </c>
      <c r="F2" s="8">
        <v>28.94</v>
      </c>
      <c r="G2" s="8">
        <v>0.24299999999999999</v>
      </c>
      <c r="H2" t="s">
        <v>4789</v>
      </c>
      <c r="I2" s="5">
        <v>45758</v>
      </c>
      <c r="J2" t="s">
        <v>191</v>
      </c>
    </row>
    <row r="3" spans="1:11">
      <c r="A3" s="3" t="s">
        <v>1877</v>
      </c>
      <c r="B3" s="8">
        <v>323.80099999999999</v>
      </c>
      <c r="C3" s="8">
        <v>256.17500000000001</v>
      </c>
      <c r="D3" s="9"/>
      <c r="E3" s="8">
        <v>51.279000000000003</v>
      </c>
      <c r="F3" s="8">
        <v>31.742000000000001</v>
      </c>
      <c r="G3" s="8">
        <v>0.23200000000000001</v>
      </c>
      <c r="H3" t="s">
        <v>4789</v>
      </c>
      <c r="I3" s="5">
        <v>45759</v>
      </c>
      <c r="J3" t="s">
        <v>4520</v>
      </c>
    </row>
    <row r="4" spans="1:11">
      <c r="A4" s="3" t="s">
        <v>1887</v>
      </c>
      <c r="B4" s="8">
        <v>371.33800000000002</v>
      </c>
      <c r="C4" s="8">
        <v>293.78699999999998</v>
      </c>
      <c r="D4" s="9"/>
      <c r="E4" s="8">
        <v>47.701000000000001</v>
      </c>
      <c r="F4" s="8">
        <v>29.888000000000002</v>
      </c>
      <c r="G4" s="8">
        <v>0.22700000000000001</v>
      </c>
      <c r="H4" t="s">
        <v>4789</v>
      </c>
      <c r="I4" s="5">
        <v>45761</v>
      </c>
      <c r="J4" t="s">
        <v>12</v>
      </c>
    </row>
    <row r="5" spans="1:11">
      <c r="A5" s="3" t="s">
        <v>1898</v>
      </c>
      <c r="B5" s="8">
        <v>372.22300000000001</v>
      </c>
      <c r="C5" s="8">
        <v>297.99</v>
      </c>
      <c r="D5" s="9"/>
      <c r="E5" s="8">
        <v>47.512</v>
      </c>
      <c r="F5" s="8">
        <v>27.591999999999999</v>
      </c>
      <c r="G5" s="8">
        <v>0.23400000000000001</v>
      </c>
      <c r="H5" t="s">
        <v>4789</v>
      </c>
      <c r="I5" s="5">
        <v>45762</v>
      </c>
      <c r="J5" t="s">
        <v>4523</v>
      </c>
    </row>
    <row r="6" spans="1:11">
      <c r="A6" s="3" t="s">
        <v>1913</v>
      </c>
      <c r="B6" s="8">
        <v>493.60599999999999</v>
      </c>
      <c r="C6" s="8">
        <v>384.81400000000002</v>
      </c>
      <c r="D6" s="9"/>
      <c r="E6" s="8">
        <v>43.048000000000002</v>
      </c>
      <c r="F6" s="8">
        <v>27.021999999999998</v>
      </c>
      <c r="G6" s="8">
        <v>0.183</v>
      </c>
      <c r="H6" t="s">
        <v>4789</v>
      </c>
      <c r="I6" s="5">
        <v>45764</v>
      </c>
      <c r="J6" t="s">
        <v>4512</v>
      </c>
    </row>
    <row r="7" spans="1:11">
      <c r="A7" s="3" t="s">
        <v>1922</v>
      </c>
      <c r="B7" s="8">
        <v>485.10199999999998</v>
      </c>
      <c r="C7" s="8">
        <v>378.69499999999999</v>
      </c>
      <c r="D7" s="9"/>
      <c r="E7" s="8">
        <v>42.253999999999998</v>
      </c>
      <c r="F7" s="8">
        <v>23.936</v>
      </c>
      <c r="G7" s="8">
        <v>0.19800000000000001</v>
      </c>
      <c r="H7" t="s">
        <v>4791</v>
      </c>
      <c r="I7" s="5">
        <v>45765</v>
      </c>
      <c r="J7" t="s">
        <v>9</v>
      </c>
    </row>
    <row r="8" spans="1:11">
      <c r="A8" s="3" t="s">
        <v>1937</v>
      </c>
      <c r="B8" s="8">
        <v>643.96900000000005</v>
      </c>
      <c r="C8" s="8">
        <v>495.20699999999999</v>
      </c>
      <c r="D8" s="9"/>
      <c r="E8" s="8">
        <v>34.512</v>
      </c>
      <c r="F8" s="8">
        <v>24.337</v>
      </c>
      <c r="G8" s="8">
        <v>0.19</v>
      </c>
      <c r="H8" t="s">
        <v>4789</v>
      </c>
      <c r="I8" s="5">
        <v>45773</v>
      </c>
      <c r="J8" t="s">
        <v>191</v>
      </c>
    </row>
    <row r="9" spans="1:11">
      <c r="A9" s="3" t="s">
        <v>1940</v>
      </c>
      <c r="B9" s="8">
        <v>342.97300000000001</v>
      </c>
      <c r="C9" s="8">
        <v>270.90100000000001</v>
      </c>
      <c r="D9" s="9"/>
      <c r="E9" s="8">
        <v>49.316000000000003</v>
      </c>
      <c r="F9" s="8">
        <v>29.963999999999999</v>
      </c>
      <c r="G9" s="8">
        <v>0.215</v>
      </c>
      <c r="H9" t="s">
        <v>4789</v>
      </c>
      <c r="I9" s="5">
        <v>45776</v>
      </c>
      <c r="J9" t="s">
        <v>4520</v>
      </c>
    </row>
    <row r="10" spans="1:11">
      <c r="A10" s="3" t="s">
        <v>1942</v>
      </c>
      <c r="B10" s="8">
        <v>339.33600000000001</v>
      </c>
      <c r="D10" s="8">
        <v>260.39499999999998</v>
      </c>
      <c r="E10" s="8">
        <v>50.073</v>
      </c>
      <c r="F10" s="8">
        <v>31.173999999999999</v>
      </c>
      <c r="G10" s="8">
        <v>0.23300000000000001</v>
      </c>
      <c r="H10" t="s">
        <v>4789</v>
      </c>
      <c r="I10" s="5">
        <v>45777</v>
      </c>
      <c r="J10" t="s">
        <v>12</v>
      </c>
    </row>
    <row r="11" spans="1:11">
      <c r="A11" s="3" t="s">
        <v>1945</v>
      </c>
      <c r="B11" s="8">
        <v>317.34500000000003</v>
      </c>
      <c r="D11" s="8">
        <v>251.36099999999999</v>
      </c>
      <c r="E11" s="8">
        <v>51.462000000000003</v>
      </c>
      <c r="F11" s="8">
        <v>30.494</v>
      </c>
      <c r="G11" s="8">
        <v>0.23100000000000001</v>
      </c>
      <c r="H11" t="s">
        <v>4789</v>
      </c>
      <c r="I11" s="5">
        <v>45779</v>
      </c>
      <c r="J11" t="s">
        <v>4523</v>
      </c>
    </row>
    <row r="12" spans="1:11">
      <c r="A12" s="3" t="s">
        <v>1947</v>
      </c>
      <c r="B12" s="8">
        <v>315.19200000000001</v>
      </c>
      <c r="D12" s="8">
        <v>255.81100000000001</v>
      </c>
      <c r="E12" s="8">
        <v>50.293999999999997</v>
      </c>
      <c r="F12" s="8">
        <v>32.536999999999999</v>
      </c>
      <c r="G12" s="8">
        <v>0.222</v>
      </c>
      <c r="H12" t="s">
        <v>4789</v>
      </c>
      <c r="I12" s="5">
        <v>45780</v>
      </c>
      <c r="J12" t="s">
        <v>4512</v>
      </c>
    </row>
    <row r="13" spans="1:11">
      <c r="A13" s="3" t="s">
        <v>1950</v>
      </c>
      <c r="B13" s="8">
        <v>424.541</v>
      </c>
      <c r="D13" s="8">
        <v>330.23899999999998</v>
      </c>
      <c r="E13" s="8">
        <v>45.201000000000001</v>
      </c>
      <c r="F13" s="8">
        <v>25.603999999999999</v>
      </c>
      <c r="G13" s="8">
        <v>0.21199999999999999</v>
      </c>
      <c r="H13" t="s">
        <v>4789</v>
      </c>
      <c r="I13" s="5">
        <v>45782</v>
      </c>
      <c r="J13" t="s">
        <v>9</v>
      </c>
    </row>
    <row r="14" spans="1:11">
      <c r="A14" s="3" t="s">
        <v>1957</v>
      </c>
      <c r="B14" s="8">
        <v>430.98599999999999</v>
      </c>
      <c r="D14" s="8">
        <v>337.67099999999999</v>
      </c>
      <c r="E14" s="8">
        <v>44.231999999999999</v>
      </c>
      <c r="F14" s="8">
        <v>24.552</v>
      </c>
      <c r="G14" s="8">
        <v>0.22700000000000001</v>
      </c>
      <c r="H14" t="s">
        <v>4789</v>
      </c>
      <c r="I14" s="5">
        <v>45783</v>
      </c>
      <c r="J14" t="s">
        <v>191</v>
      </c>
    </row>
    <row r="15" spans="1:11">
      <c r="A15" s="3" t="s">
        <v>1966</v>
      </c>
      <c r="B15" s="8">
        <v>558.47900000000004</v>
      </c>
      <c r="D15" s="8">
        <v>429.48200000000003</v>
      </c>
      <c r="E15" s="8">
        <v>41.287999999999997</v>
      </c>
      <c r="F15" s="8">
        <v>23.545999999999999</v>
      </c>
      <c r="G15" s="8">
        <v>0.221</v>
      </c>
      <c r="H15" t="s">
        <v>4789</v>
      </c>
      <c r="I15" s="5">
        <v>45785</v>
      </c>
      <c r="J15" t="s">
        <v>4520</v>
      </c>
    </row>
    <row r="16" spans="1:11">
      <c r="A16" s="3" t="s">
        <v>1975</v>
      </c>
      <c r="B16" s="8">
        <v>559.13900000000001</v>
      </c>
      <c r="D16" s="8">
        <v>423.59100000000001</v>
      </c>
      <c r="E16" s="8">
        <v>41.98</v>
      </c>
      <c r="F16" s="8">
        <v>29.274000000000001</v>
      </c>
      <c r="G16" s="8">
        <v>0.20399999999999999</v>
      </c>
      <c r="H16" t="s">
        <v>4789</v>
      </c>
      <c r="I16" s="5">
        <v>45786</v>
      </c>
      <c r="J16" t="s">
        <v>12</v>
      </c>
    </row>
    <row r="17" spans="1:10">
      <c r="A17" s="3" t="s">
        <v>1990</v>
      </c>
      <c r="B17" s="8">
        <v>5236.4920000000002</v>
      </c>
      <c r="D17" s="8">
        <v>3951.2080000000001</v>
      </c>
      <c r="E17" s="8">
        <v>-145.721</v>
      </c>
      <c r="F17" s="8">
        <v>-97.378</v>
      </c>
      <c r="G17" s="8">
        <v>0.08</v>
      </c>
      <c r="H17" t="s">
        <v>4789</v>
      </c>
      <c r="I17" s="5">
        <v>45788</v>
      </c>
      <c r="J17" t="s">
        <v>4523</v>
      </c>
    </row>
    <row r="18" spans="1:10">
      <c r="A18" s="3" t="s">
        <v>1999</v>
      </c>
      <c r="B18" s="8">
        <v>5166.24</v>
      </c>
      <c r="D18" s="8">
        <v>3814.0189999999998</v>
      </c>
      <c r="E18" s="8">
        <v>-145.857</v>
      </c>
      <c r="F18" s="8">
        <v>-84.358999999999995</v>
      </c>
      <c r="G18" s="8">
        <v>0.08</v>
      </c>
      <c r="H18" t="s">
        <v>4789</v>
      </c>
      <c r="I18" s="5">
        <v>45789</v>
      </c>
      <c r="J18" t="s">
        <v>4512</v>
      </c>
    </row>
    <row r="19" spans="1:10">
      <c r="A19" s="3" t="s">
        <v>2005</v>
      </c>
      <c r="B19" s="8">
        <v>293.81</v>
      </c>
      <c r="D19" s="8">
        <v>242.68199999999999</v>
      </c>
      <c r="E19" s="8">
        <v>50.783999999999999</v>
      </c>
      <c r="F19" s="8">
        <v>30.884</v>
      </c>
      <c r="G19" s="8">
        <v>0.23499999999999999</v>
      </c>
      <c r="H19" t="s">
        <v>4789</v>
      </c>
      <c r="I19" s="5">
        <v>45794</v>
      </c>
      <c r="J19" t="s">
        <v>9</v>
      </c>
    </row>
    <row r="20" spans="1:10">
      <c r="A20" s="3" t="s">
        <v>2007</v>
      </c>
      <c r="B20" s="8">
        <v>295.66899999999998</v>
      </c>
      <c r="D20" s="8">
        <v>236.78800000000001</v>
      </c>
      <c r="E20" s="8">
        <v>51.307000000000002</v>
      </c>
      <c r="F20" s="8">
        <v>28.699000000000002</v>
      </c>
      <c r="G20" s="8">
        <v>0.21299999999999999</v>
      </c>
      <c r="H20" t="s">
        <v>4789</v>
      </c>
      <c r="I20" s="5">
        <v>45795</v>
      </c>
      <c r="J20" t="s">
        <v>191</v>
      </c>
    </row>
    <row r="21" spans="1:10">
      <c r="A21" s="3" t="s">
        <v>2014</v>
      </c>
      <c r="B21" s="8">
        <v>413.55399999999997</v>
      </c>
      <c r="D21" s="8">
        <v>331.64499999999998</v>
      </c>
      <c r="E21" s="8">
        <v>45.610999999999997</v>
      </c>
      <c r="F21" s="8">
        <v>29.172000000000001</v>
      </c>
      <c r="G21" s="8">
        <v>0.223</v>
      </c>
      <c r="H21" t="s">
        <v>4789</v>
      </c>
      <c r="I21" s="5">
        <v>45800</v>
      </c>
      <c r="J21" t="s">
        <v>4520</v>
      </c>
    </row>
    <row r="22" spans="1:10">
      <c r="A22" s="3" t="s">
        <v>2023</v>
      </c>
      <c r="B22" s="8">
        <v>401.233</v>
      </c>
      <c r="D22" s="8">
        <v>318.31599999999997</v>
      </c>
      <c r="E22" s="8">
        <v>46.067999999999998</v>
      </c>
      <c r="F22" s="8">
        <v>28.012</v>
      </c>
      <c r="G22" s="8">
        <v>0.219</v>
      </c>
      <c r="H22" t="s">
        <v>4789</v>
      </c>
      <c r="I22" s="5">
        <v>45801</v>
      </c>
      <c r="J22" t="s">
        <v>12</v>
      </c>
    </row>
    <row r="23" spans="1:10">
      <c r="A23" s="3" t="s">
        <v>2032</v>
      </c>
      <c r="B23" s="8">
        <v>538.94799999999998</v>
      </c>
      <c r="D23" s="8">
        <v>417.06200000000001</v>
      </c>
      <c r="E23" s="8">
        <v>39.369</v>
      </c>
      <c r="F23" s="8">
        <v>23.366</v>
      </c>
      <c r="G23" s="8">
        <v>0.216</v>
      </c>
      <c r="H23" t="s">
        <v>4789</v>
      </c>
      <c r="I23" s="5">
        <v>45803</v>
      </c>
      <c r="J23" t="s">
        <v>4523</v>
      </c>
    </row>
    <row r="24" spans="1:10">
      <c r="A24" s="3" t="s">
        <v>2041</v>
      </c>
      <c r="B24" s="8">
        <v>544.81700000000001</v>
      </c>
      <c r="D24" s="8">
        <v>418.738</v>
      </c>
      <c r="E24" s="8">
        <v>39.935000000000002</v>
      </c>
      <c r="F24" s="8">
        <v>28.526</v>
      </c>
      <c r="G24" s="8">
        <v>0.22</v>
      </c>
      <c r="H24" t="s">
        <v>4789</v>
      </c>
      <c r="I24" s="5">
        <v>45804</v>
      </c>
      <c r="J24" t="s">
        <v>4512</v>
      </c>
    </row>
    <row r="25" spans="1:10">
      <c r="A25" s="3" t="s">
        <v>2047</v>
      </c>
      <c r="B25" s="8">
        <v>620.56299999999999</v>
      </c>
      <c r="D25" s="8">
        <v>473.70699999999999</v>
      </c>
      <c r="E25" s="8">
        <v>39.021999999999998</v>
      </c>
      <c r="F25" s="8">
        <v>24.216000000000001</v>
      </c>
      <c r="G25" s="8">
        <v>0.17199999999999999</v>
      </c>
      <c r="H25" t="s">
        <v>4789</v>
      </c>
      <c r="I25" s="5">
        <v>45806</v>
      </c>
      <c r="J25" t="s">
        <v>9</v>
      </c>
    </row>
    <row r="26" spans="1:10">
      <c r="A26" s="3" t="s">
        <v>2049</v>
      </c>
      <c r="B26" s="8">
        <v>612.12699999999995</v>
      </c>
      <c r="D26" s="8">
        <v>471.279</v>
      </c>
      <c r="E26" s="8">
        <v>38.256</v>
      </c>
      <c r="F26" s="8">
        <v>24.161999999999999</v>
      </c>
      <c r="G26" s="8">
        <v>0.187</v>
      </c>
      <c r="H26" t="s">
        <v>4789</v>
      </c>
      <c r="I26" s="5">
        <v>45807</v>
      </c>
      <c r="J26" t="s">
        <v>191</v>
      </c>
    </row>
    <row r="27" spans="1:10">
      <c r="A27" s="3" t="s">
        <v>2075</v>
      </c>
      <c r="B27" s="8">
        <v>383.666</v>
      </c>
      <c r="D27" s="8">
        <v>295.209</v>
      </c>
      <c r="E27" s="8">
        <v>48.064999999999998</v>
      </c>
      <c r="F27" s="8">
        <v>34.277999999999999</v>
      </c>
      <c r="G27" s="8">
        <v>0.22500000000000001</v>
      </c>
      <c r="H27" t="s">
        <v>4789</v>
      </c>
      <c r="I27" s="5">
        <v>45812</v>
      </c>
      <c r="J27" t="s">
        <v>4520</v>
      </c>
    </row>
    <row r="28" spans="1:10">
      <c r="A28" s="3" t="s">
        <v>2084</v>
      </c>
      <c r="B28" s="8">
        <v>379.80599999999998</v>
      </c>
      <c r="D28" s="8">
        <v>301.55</v>
      </c>
      <c r="E28" s="8">
        <v>45.518000000000001</v>
      </c>
      <c r="F28" s="8">
        <v>30.992000000000001</v>
      </c>
      <c r="G28" s="8">
        <v>0.191</v>
      </c>
      <c r="H28" t="s">
        <v>4789</v>
      </c>
      <c r="I28" s="5">
        <v>45813</v>
      </c>
      <c r="J28" t="s">
        <v>12</v>
      </c>
    </row>
    <row r="29" spans="1:10">
      <c r="A29" s="3" t="s">
        <v>2090</v>
      </c>
      <c r="B29" s="8">
        <v>307.298</v>
      </c>
      <c r="D29" s="8">
        <v>248.72499999999999</v>
      </c>
      <c r="E29" s="8">
        <v>50.188000000000002</v>
      </c>
      <c r="F29" s="8">
        <v>33.380000000000003</v>
      </c>
      <c r="G29" s="8">
        <v>0.21099999999999999</v>
      </c>
      <c r="H29" t="s">
        <v>4789</v>
      </c>
      <c r="I29" s="5">
        <v>45815</v>
      </c>
      <c r="J29" t="s">
        <v>4523</v>
      </c>
    </row>
    <row r="30" spans="1:10">
      <c r="A30" s="3" t="s">
        <v>2092</v>
      </c>
      <c r="B30" s="8">
        <v>314.73099999999999</v>
      </c>
      <c r="D30" s="8">
        <v>249.25200000000001</v>
      </c>
      <c r="E30" s="8">
        <v>49.088000000000001</v>
      </c>
      <c r="F30" s="8">
        <v>27.402999999999999</v>
      </c>
      <c r="G30" s="8">
        <v>0.21</v>
      </c>
      <c r="H30" t="s">
        <v>4789</v>
      </c>
      <c r="I30" s="5">
        <v>45816</v>
      </c>
      <c r="J30" t="s">
        <v>4512</v>
      </c>
    </row>
    <row r="31" spans="1:10">
      <c r="A31" s="3" t="s">
        <v>2118</v>
      </c>
      <c r="B31" s="8">
        <v>303.78300000000002</v>
      </c>
      <c r="D31" s="8">
        <v>255.215</v>
      </c>
      <c r="E31" s="8">
        <v>50.338000000000001</v>
      </c>
      <c r="F31" s="8">
        <v>28.163</v>
      </c>
      <c r="G31" s="8">
        <v>0.216</v>
      </c>
      <c r="H31" t="s">
        <v>4789</v>
      </c>
      <c r="I31" s="5">
        <v>45818</v>
      </c>
      <c r="J31" t="s">
        <v>9</v>
      </c>
    </row>
    <row r="32" spans="1:10">
      <c r="A32" s="3" t="s">
        <v>2125</v>
      </c>
      <c r="B32" s="8">
        <v>319.63099999999997</v>
      </c>
      <c r="D32" s="8">
        <v>256.47899999999998</v>
      </c>
      <c r="E32" s="8">
        <v>48.91</v>
      </c>
      <c r="F32" s="8">
        <v>34.286000000000001</v>
      </c>
      <c r="G32" s="8">
        <v>0.215</v>
      </c>
      <c r="H32" t="s">
        <v>4789</v>
      </c>
      <c r="I32" s="5">
        <v>45819</v>
      </c>
      <c r="J32" t="s">
        <v>191</v>
      </c>
    </row>
    <row r="33" spans="1:11">
      <c r="A33" s="3" t="s">
        <v>2130</v>
      </c>
      <c r="B33" s="8">
        <v>436.85300000000001</v>
      </c>
      <c r="D33" s="8">
        <v>341.86200000000002</v>
      </c>
      <c r="E33" s="8">
        <v>45.561</v>
      </c>
      <c r="F33" s="8">
        <v>30.222000000000001</v>
      </c>
      <c r="G33" s="8">
        <v>0.22600000000000001</v>
      </c>
      <c r="H33" t="s">
        <v>4789</v>
      </c>
      <c r="I33" s="5">
        <v>45824</v>
      </c>
      <c r="J33" t="s">
        <v>4520</v>
      </c>
    </row>
    <row r="34" spans="1:11">
      <c r="A34" s="3" t="s">
        <v>2139</v>
      </c>
      <c r="B34" s="8">
        <v>423.53</v>
      </c>
      <c r="D34" s="8">
        <v>327.81299999999999</v>
      </c>
      <c r="E34" s="8">
        <v>47.274999999999999</v>
      </c>
      <c r="F34" s="8">
        <v>33.761000000000003</v>
      </c>
      <c r="G34" s="8">
        <v>0.222</v>
      </c>
      <c r="H34" t="s">
        <v>4789</v>
      </c>
      <c r="I34" s="5">
        <v>45825</v>
      </c>
      <c r="J34" t="s">
        <v>12</v>
      </c>
    </row>
    <row r="35" spans="1:11">
      <c r="A35" s="3" t="s">
        <v>2154</v>
      </c>
      <c r="B35" s="8">
        <v>578.322</v>
      </c>
      <c r="D35" s="8">
        <v>454.99900000000002</v>
      </c>
      <c r="E35" s="8">
        <v>39.158999999999999</v>
      </c>
      <c r="F35" s="8">
        <v>23.234000000000002</v>
      </c>
      <c r="G35" s="8">
        <v>0.223</v>
      </c>
      <c r="H35" t="s">
        <v>4789</v>
      </c>
      <c r="I35" s="5">
        <v>45830</v>
      </c>
      <c r="J35" t="s">
        <v>4523</v>
      </c>
    </row>
    <row r="36" spans="1:11">
      <c r="A36" s="3" t="s">
        <v>2163</v>
      </c>
      <c r="B36" s="8">
        <v>593.45899999999995</v>
      </c>
      <c r="D36" s="8">
        <v>459.11399999999998</v>
      </c>
      <c r="E36" s="8">
        <v>37.975999999999999</v>
      </c>
      <c r="F36" s="8">
        <v>24.774000000000001</v>
      </c>
      <c r="G36" s="8">
        <v>0.187</v>
      </c>
      <c r="H36" t="s">
        <v>4789</v>
      </c>
      <c r="I36" s="5">
        <v>45831</v>
      </c>
      <c r="J36" t="s">
        <v>4512</v>
      </c>
    </row>
    <row r="37" spans="1:11">
      <c r="A37" s="3" t="s">
        <v>2169</v>
      </c>
      <c r="B37" s="8">
        <v>572.50300000000004</v>
      </c>
      <c r="D37" s="8">
        <v>444.74099999999999</v>
      </c>
      <c r="E37" s="8">
        <v>38.14</v>
      </c>
      <c r="F37" s="8">
        <v>26.547000000000001</v>
      </c>
      <c r="G37" s="8">
        <v>0.19900000000000001</v>
      </c>
      <c r="H37" t="s">
        <v>4790</v>
      </c>
      <c r="I37" s="5">
        <v>45830</v>
      </c>
      <c r="J37" t="s">
        <v>9</v>
      </c>
    </row>
    <row r="38" spans="1:11">
      <c r="A38" s="3" t="s">
        <v>2171</v>
      </c>
      <c r="B38" s="8">
        <v>574.75900000000001</v>
      </c>
      <c r="D38" s="8">
        <v>446.56</v>
      </c>
      <c r="E38" s="8">
        <v>39.697000000000003</v>
      </c>
      <c r="F38" s="8">
        <v>26.318999999999999</v>
      </c>
      <c r="G38" s="8">
        <v>0.182</v>
      </c>
      <c r="H38" t="s">
        <v>4789</v>
      </c>
      <c r="I38" s="5">
        <v>45831</v>
      </c>
      <c r="J38" t="s">
        <v>191</v>
      </c>
    </row>
    <row r="39" spans="1:11">
      <c r="A39" s="3" t="s">
        <v>2180</v>
      </c>
      <c r="B39" s="8">
        <v>300.25</v>
      </c>
      <c r="D39" s="8">
        <v>242.19399999999999</v>
      </c>
      <c r="E39" s="8">
        <v>50.048999999999999</v>
      </c>
      <c r="F39" s="8">
        <v>31.254999999999999</v>
      </c>
      <c r="G39" s="8">
        <v>0.22800000000000001</v>
      </c>
      <c r="H39" t="s">
        <v>4789</v>
      </c>
      <c r="I39" s="5">
        <v>45833</v>
      </c>
      <c r="J39" t="s">
        <v>4520</v>
      </c>
    </row>
    <row r="40" spans="1:11">
      <c r="A40" s="3" t="s">
        <v>2189</v>
      </c>
      <c r="B40" s="8">
        <v>292.95299999999997</v>
      </c>
      <c r="D40" s="8">
        <v>231.97200000000001</v>
      </c>
      <c r="E40" s="8">
        <v>50.963999999999999</v>
      </c>
      <c r="F40" s="8">
        <v>32.343000000000004</v>
      </c>
      <c r="G40" s="8">
        <v>0.23499999999999999</v>
      </c>
      <c r="H40" t="s">
        <v>4789</v>
      </c>
      <c r="I40" s="5">
        <v>45834</v>
      </c>
      <c r="J40" t="s">
        <v>12</v>
      </c>
    </row>
    <row r="41" spans="1:11">
      <c r="A41" s="3" t="s">
        <v>2197</v>
      </c>
      <c r="B41" s="8">
        <v>397.14600000000002</v>
      </c>
      <c r="D41" s="8">
        <v>314.68900000000002</v>
      </c>
      <c r="E41" s="8">
        <v>47.024999999999999</v>
      </c>
      <c r="F41" s="8">
        <v>33.243000000000002</v>
      </c>
      <c r="G41" s="8">
        <v>0.22</v>
      </c>
      <c r="H41" t="s">
        <v>4789</v>
      </c>
      <c r="I41" s="5">
        <v>45836</v>
      </c>
      <c r="J41" t="s">
        <v>4523</v>
      </c>
    </row>
    <row r="42" spans="1:11">
      <c r="A42" s="3" t="s">
        <v>2199</v>
      </c>
      <c r="B42" s="8">
        <v>397.95299999999997</v>
      </c>
      <c r="D42" s="8">
        <v>312.93599999999998</v>
      </c>
      <c r="E42" s="8">
        <v>47.412999999999997</v>
      </c>
      <c r="F42" s="8">
        <v>27.263000000000002</v>
      </c>
      <c r="G42" s="8">
        <v>0.216</v>
      </c>
      <c r="H42" t="s">
        <v>4789</v>
      </c>
      <c r="I42" s="5">
        <v>45837</v>
      </c>
      <c r="J42" t="s">
        <v>4512</v>
      </c>
    </row>
    <row r="43" spans="1:11">
      <c r="A43" s="3" t="s">
        <v>2210</v>
      </c>
      <c r="B43" s="8">
        <v>0.42199999999999999</v>
      </c>
      <c r="D43" s="8">
        <v>341.10199999999998</v>
      </c>
      <c r="E43" s="8">
        <v>45.136000000000003</v>
      </c>
      <c r="F43" s="8">
        <v>26.015999999999998</v>
      </c>
      <c r="G43" s="8">
        <v>0.215</v>
      </c>
      <c r="H43" t="s">
        <v>4789</v>
      </c>
      <c r="I43" s="5">
        <v>45839</v>
      </c>
      <c r="J43" t="s">
        <v>9</v>
      </c>
      <c r="K43" t="s">
        <v>4801</v>
      </c>
    </row>
    <row r="44" spans="1:11">
      <c r="A44" s="3" t="s">
        <v>2219</v>
      </c>
      <c r="B44" s="8">
        <v>429.68599999999998</v>
      </c>
      <c r="D44" s="8">
        <v>342.33</v>
      </c>
      <c r="E44" s="8">
        <v>45.140999999999998</v>
      </c>
      <c r="F44" s="8">
        <v>25.571000000000002</v>
      </c>
      <c r="G44" s="8">
        <v>0.20699999999999999</v>
      </c>
      <c r="H44" t="s">
        <v>4789</v>
      </c>
      <c r="I44" s="5">
        <v>45840</v>
      </c>
      <c r="J44" t="s">
        <v>191</v>
      </c>
    </row>
    <row r="45" spans="1:11">
      <c r="A45" s="3" t="s">
        <v>2250</v>
      </c>
      <c r="B45" s="8">
        <v>603.71100000000001</v>
      </c>
      <c r="D45" s="8">
        <v>458.50599999999997</v>
      </c>
      <c r="E45" s="8">
        <v>38.439</v>
      </c>
      <c r="F45" s="8">
        <v>24.132000000000001</v>
      </c>
      <c r="G45" s="8">
        <v>0.185</v>
      </c>
      <c r="H45" t="s">
        <v>4791</v>
      </c>
      <c r="I45" s="5">
        <v>45848</v>
      </c>
      <c r="J45" t="s">
        <v>4520</v>
      </c>
    </row>
    <row r="46" spans="1:11">
      <c r="A46" s="3" t="s">
        <v>2252</v>
      </c>
      <c r="B46" s="8">
        <v>581.07899999999995</v>
      </c>
      <c r="D46" s="8">
        <v>454.50400000000002</v>
      </c>
      <c r="E46" s="8">
        <v>38.396000000000001</v>
      </c>
      <c r="F46" s="8">
        <v>24.071999999999999</v>
      </c>
      <c r="G46" s="8">
        <v>0.19900000000000001</v>
      </c>
      <c r="H46" t="s">
        <v>4789</v>
      </c>
      <c r="I46" s="5">
        <v>45849</v>
      </c>
      <c r="J46" t="s">
        <v>12</v>
      </c>
    </row>
    <row r="47" spans="1:11">
      <c r="A47" s="3" t="s">
        <v>2257</v>
      </c>
      <c r="B47" s="8">
        <v>541.92600000000004</v>
      </c>
      <c r="D47" s="8">
        <v>421.56700000000001</v>
      </c>
      <c r="E47" s="8">
        <v>41.996000000000002</v>
      </c>
      <c r="F47" s="8">
        <v>25.858000000000001</v>
      </c>
      <c r="G47" s="8">
        <v>0.20599999999999999</v>
      </c>
      <c r="H47" t="s">
        <v>4789</v>
      </c>
      <c r="I47" s="5">
        <v>45851</v>
      </c>
      <c r="J47" t="s">
        <v>4523</v>
      </c>
    </row>
    <row r="48" spans="1:11">
      <c r="A48" s="3" t="s">
        <v>2259</v>
      </c>
      <c r="B48" s="8">
        <v>547.60900000000004</v>
      </c>
      <c r="D48" s="8">
        <v>427.04399999999998</v>
      </c>
      <c r="E48" s="8">
        <v>42.289000000000001</v>
      </c>
      <c r="F48" s="8">
        <v>26.62</v>
      </c>
      <c r="G48" s="8">
        <v>0.214</v>
      </c>
      <c r="H48" t="s">
        <v>4789</v>
      </c>
      <c r="I48" s="5">
        <v>45852</v>
      </c>
      <c r="J48" t="s">
        <v>4512</v>
      </c>
    </row>
    <row r="49" spans="1:10">
      <c r="A49" s="3" t="s">
        <v>2270</v>
      </c>
      <c r="B49" s="8">
        <v>327.83800000000002</v>
      </c>
      <c r="D49" s="8">
        <v>255.43700000000001</v>
      </c>
      <c r="E49" s="8">
        <v>48.8</v>
      </c>
      <c r="F49" s="8">
        <v>28.102</v>
      </c>
      <c r="G49" s="8">
        <v>0.24299999999999999</v>
      </c>
      <c r="H49" t="s">
        <v>4789</v>
      </c>
      <c r="I49" s="5">
        <v>45854</v>
      </c>
      <c r="J49" t="s">
        <v>9</v>
      </c>
    </row>
    <row r="50" spans="1:10">
      <c r="A50" s="3" t="s">
        <v>2279</v>
      </c>
      <c r="B50" s="8">
        <v>328.476</v>
      </c>
      <c r="D50" s="8">
        <v>259.63200000000001</v>
      </c>
      <c r="E50" s="8">
        <v>48.372</v>
      </c>
      <c r="F50" s="8">
        <v>33.902000000000001</v>
      </c>
      <c r="G50" s="8">
        <v>0.216</v>
      </c>
      <c r="H50" t="s">
        <v>4789</v>
      </c>
      <c r="I50" s="5">
        <v>45855</v>
      </c>
      <c r="J50" t="s">
        <v>191</v>
      </c>
    </row>
    <row r="51" spans="1:10">
      <c r="A51" s="3" t="s">
        <v>2293</v>
      </c>
      <c r="B51" s="8">
        <v>402.14800000000002</v>
      </c>
      <c r="D51" s="8">
        <v>315.45999999999998</v>
      </c>
      <c r="E51" s="8">
        <v>47.494</v>
      </c>
      <c r="F51" s="8">
        <v>29.56</v>
      </c>
      <c r="G51" s="8">
        <v>0.23</v>
      </c>
      <c r="H51" t="s">
        <v>4789</v>
      </c>
      <c r="I51" s="5">
        <v>45857</v>
      </c>
      <c r="J51" t="s">
        <v>4520</v>
      </c>
    </row>
    <row r="52" spans="1:10">
      <c r="A52" s="3" t="s">
        <v>2295</v>
      </c>
      <c r="B52" s="8">
        <v>396.19799999999998</v>
      </c>
      <c r="C52" s="8">
        <v>319.50700000000001</v>
      </c>
      <c r="D52" s="9"/>
      <c r="E52" s="8">
        <v>46.887</v>
      </c>
      <c r="F52" s="8">
        <v>33.722999999999999</v>
      </c>
      <c r="G52" s="8">
        <v>0.20699999999999999</v>
      </c>
      <c r="H52" t="s">
        <v>4789</v>
      </c>
      <c r="I52" s="5">
        <v>45858</v>
      </c>
      <c r="J52" t="s">
        <v>12</v>
      </c>
    </row>
    <row r="53" spans="1:10">
      <c r="A53" s="3" t="s">
        <v>2297</v>
      </c>
      <c r="B53" s="8">
        <v>396.392</v>
      </c>
      <c r="C53" s="8">
        <v>315.32400000000001</v>
      </c>
      <c r="D53" s="9"/>
      <c r="E53" s="8">
        <v>46.942</v>
      </c>
      <c r="F53" s="8">
        <v>29.077999999999999</v>
      </c>
      <c r="G53" s="8">
        <v>0.23499999999999999</v>
      </c>
      <c r="H53" t="s">
        <v>4789</v>
      </c>
      <c r="I53" s="5">
        <v>45859</v>
      </c>
      <c r="J53" t="s">
        <v>4523</v>
      </c>
    </row>
    <row r="54" spans="1:10">
      <c r="A54" s="3" t="s">
        <v>2304</v>
      </c>
      <c r="B54" s="8">
        <v>512.52800000000002</v>
      </c>
      <c r="C54" s="8">
        <v>397.78500000000003</v>
      </c>
      <c r="D54" s="9"/>
      <c r="E54" s="8">
        <v>43.14</v>
      </c>
      <c r="F54" s="8">
        <v>25.06</v>
      </c>
      <c r="G54" s="8">
        <v>0.20499999999999999</v>
      </c>
      <c r="H54" t="s">
        <v>4789</v>
      </c>
      <c r="I54" s="5">
        <v>45866</v>
      </c>
      <c r="J54" t="s">
        <v>4512</v>
      </c>
    </row>
    <row r="55" spans="1:10">
      <c r="A55" s="3" t="s">
        <v>2306</v>
      </c>
      <c r="B55" s="8">
        <v>500.19200000000001</v>
      </c>
      <c r="C55" s="8">
        <v>383.82299999999998</v>
      </c>
      <c r="D55" s="9"/>
      <c r="E55" s="8">
        <v>41.69</v>
      </c>
      <c r="F55" s="8">
        <v>28.731999999999999</v>
      </c>
      <c r="G55" s="8">
        <v>0.22</v>
      </c>
      <c r="H55" t="s">
        <v>4789</v>
      </c>
      <c r="I55" s="5">
        <v>45867</v>
      </c>
      <c r="J55" t="s">
        <v>9</v>
      </c>
    </row>
    <row r="56" spans="1:10">
      <c r="A56" s="3" t="s">
        <v>2320</v>
      </c>
      <c r="B56" s="8">
        <v>582.47199999999998</v>
      </c>
      <c r="C56" s="8">
        <v>452.19299999999998</v>
      </c>
      <c r="D56" s="9"/>
      <c r="E56" s="8">
        <v>38.549999999999997</v>
      </c>
      <c r="F56" s="8">
        <v>21.45</v>
      </c>
      <c r="G56" s="8">
        <v>0.20599999999999999</v>
      </c>
      <c r="H56" t="s">
        <v>4789</v>
      </c>
      <c r="I56" s="5">
        <v>45875</v>
      </c>
      <c r="J56" t="s">
        <v>191</v>
      </c>
    </row>
    <row r="57" spans="1:10">
      <c r="A57" s="3" t="s">
        <v>2322</v>
      </c>
      <c r="B57" s="8">
        <v>583.11400000000003</v>
      </c>
      <c r="C57" s="8">
        <v>452.565</v>
      </c>
      <c r="D57" s="9"/>
      <c r="E57" s="8">
        <v>39.121000000000002</v>
      </c>
      <c r="F57" s="8">
        <v>27.081</v>
      </c>
      <c r="G57" s="8">
        <v>0.184</v>
      </c>
      <c r="H57" t="s">
        <v>4789</v>
      </c>
      <c r="I57" s="5">
        <v>45876</v>
      </c>
      <c r="J57" t="s">
        <v>4520</v>
      </c>
    </row>
    <row r="58" spans="1:10">
      <c r="A58" s="3" t="s">
        <v>2331</v>
      </c>
      <c r="B58" s="8">
        <v>562.05399999999997</v>
      </c>
      <c r="C58" s="8">
        <v>438.78800000000001</v>
      </c>
      <c r="D58" s="9"/>
      <c r="E58" s="8">
        <v>40.167000000000002</v>
      </c>
      <c r="F58" s="8">
        <v>24.483000000000001</v>
      </c>
      <c r="G58" s="8">
        <v>0.2</v>
      </c>
      <c r="H58" t="s">
        <v>4789</v>
      </c>
      <c r="I58" s="5">
        <v>45875</v>
      </c>
      <c r="J58" t="s">
        <v>12</v>
      </c>
    </row>
    <row r="59" spans="1:10">
      <c r="A59" s="3" t="s">
        <v>2333</v>
      </c>
      <c r="B59" s="8">
        <v>558.40300000000002</v>
      </c>
      <c r="C59" s="8">
        <v>440.21100000000001</v>
      </c>
      <c r="D59" s="9"/>
      <c r="E59" s="8">
        <v>39.017000000000003</v>
      </c>
      <c r="F59" s="8">
        <v>26.338000000000001</v>
      </c>
      <c r="G59" s="8">
        <v>0.19800000000000001</v>
      </c>
      <c r="H59" t="s">
        <v>4789</v>
      </c>
      <c r="I59" s="5">
        <v>45876</v>
      </c>
      <c r="J59" t="s">
        <v>4523</v>
      </c>
    </row>
    <row r="60" spans="1:10">
      <c r="A60" s="3" t="s">
        <v>2344</v>
      </c>
      <c r="B60" s="8">
        <v>601.51</v>
      </c>
      <c r="C60" s="8">
        <v>462.06099999999998</v>
      </c>
      <c r="D60" s="9"/>
      <c r="E60" s="8">
        <v>37.619</v>
      </c>
      <c r="F60" s="8">
        <v>23.834</v>
      </c>
      <c r="G60" s="8">
        <v>0.17899999999999999</v>
      </c>
      <c r="H60" t="s">
        <v>4789</v>
      </c>
      <c r="I60" s="5">
        <v>45878</v>
      </c>
      <c r="J60" t="s">
        <v>4512</v>
      </c>
    </row>
    <row r="61" spans="1:10">
      <c r="A61" s="3" t="s">
        <v>2353</v>
      </c>
      <c r="B61" s="8">
        <v>593.74400000000003</v>
      </c>
      <c r="C61" s="8">
        <v>462.8</v>
      </c>
      <c r="D61" s="9"/>
      <c r="E61" s="8">
        <v>38.445999999999998</v>
      </c>
      <c r="F61" s="8">
        <v>23.219000000000001</v>
      </c>
      <c r="G61" s="8">
        <v>0.188</v>
      </c>
      <c r="H61" t="s">
        <v>4789</v>
      </c>
      <c r="I61" s="5">
        <v>45879</v>
      </c>
      <c r="J61" t="s">
        <v>9</v>
      </c>
    </row>
    <row r="62" spans="1:10">
      <c r="A62" s="3" t="s">
        <v>2358</v>
      </c>
      <c r="B62" s="8">
        <v>588.86800000000005</v>
      </c>
      <c r="C62" s="8">
        <v>462.36700000000002</v>
      </c>
      <c r="D62" s="9"/>
      <c r="E62" s="8">
        <v>39.167000000000002</v>
      </c>
      <c r="F62" s="8">
        <v>24.099</v>
      </c>
      <c r="G62" s="8">
        <v>0.19800000000000001</v>
      </c>
      <c r="H62" t="s">
        <v>4789</v>
      </c>
      <c r="I62" s="5">
        <v>45880</v>
      </c>
      <c r="J62" t="s">
        <v>191</v>
      </c>
    </row>
    <row r="63" spans="1:10">
      <c r="A63" s="3" t="s">
        <v>2373</v>
      </c>
      <c r="B63" s="8">
        <v>329.36700000000002</v>
      </c>
      <c r="C63" s="8">
        <v>263.61399999999998</v>
      </c>
      <c r="D63" s="9"/>
      <c r="E63" s="8">
        <v>50.710999999999999</v>
      </c>
      <c r="F63" s="8">
        <v>34.854999999999997</v>
      </c>
      <c r="G63" s="8">
        <v>0.25700000000000001</v>
      </c>
      <c r="H63" t="s">
        <v>4789</v>
      </c>
      <c r="I63" s="5">
        <v>45881</v>
      </c>
      <c r="J63" t="s">
        <v>4520</v>
      </c>
    </row>
    <row r="64" spans="1:10">
      <c r="A64" s="3" t="s">
        <v>2375</v>
      </c>
      <c r="B64" s="8">
        <v>319.73700000000002</v>
      </c>
      <c r="C64" s="8">
        <v>255.881</v>
      </c>
      <c r="D64" s="9"/>
      <c r="E64" s="8">
        <v>49.01</v>
      </c>
      <c r="F64" s="8">
        <v>31.638000000000002</v>
      </c>
      <c r="G64" s="8">
        <v>0.23</v>
      </c>
      <c r="H64" t="s">
        <v>4789</v>
      </c>
      <c r="I64" s="5">
        <v>45882</v>
      </c>
      <c r="J64" t="s">
        <v>12</v>
      </c>
    </row>
    <row r="65" spans="1:10">
      <c r="A65" s="3" t="s">
        <v>2386</v>
      </c>
      <c r="B65" s="8">
        <v>328.42500000000001</v>
      </c>
      <c r="C65" s="8">
        <v>265.10899999999998</v>
      </c>
      <c r="D65" s="9"/>
      <c r="E65" s="8">
        <v>48.720999999999997</v>
      </c>
      <c r="F65" s="8">
        <v>34.901000000000003</v>
      </c>
      <c r="G65" s="8">
        <v>0.23200000000000001</v>
      </c>
      <c r="H65" t="s">
        <v>4789</v>
      </c>
      <c r="I65" s="5">
        <v>45884</v>
      </c>
      <c r="J65" t="s">
        <v>4523</v>
      </c>
    </row>
    <row r="66" spans="1:10">
      <c r="A66" s="3" t="s">
        <v>2395</v>
      </c>
      <c r="B66" s="8">
        <v>336.63299999999998</v>
      </c>
      <c r="C66" s="8">
        <v>274.59199999999998</v>
      </c>
      <c r="D66" s="9"/>
      <c r="E66" s="8">
        <v>48.067</v>
      </c>
      <c r="F66" s="8">
        <v>31.62</v>
      </c>
      <c r="G66" s="8">
        <v>0.252</v>
      </c>
      <c r="H66" t="s">
        <v>4789</v>
      </c>
      <c r="I66" s="5">
        <v>45885</v>
      </c>
      <c r="J66" t="s">
        <v>4512</v>
      </c>
    </row>
    <row r="67" spans="1:10">
      <c r="A67" s="3" t="s">
        <v>2401</v>
      </c>
      <c r="B67" s="8">
        <v>542.654</v>
      </c>
      <c r="C67" s="8">
        <v>420.78800000000001</v>
      </c>
      <c r="D67" s="9"/>
      <c r="E67" s="8">
        <v>40.363</v>
      </c>
      <c r="F67" s="8">
        <v>27.126000000000001</v>
      </c>
      <c r="G67" s="8">
        <v>0.192</v>
      </c>
      <c r="H67" t="s">
        <v>4789</v>
      </c>
      <c r="I67" s="5">
        <v>45890</v>
      </c>
      <c r="J67" t="s">
        <v>9</v>
      </c>
    </row>
    <row r="68" spans="1:10">
      <c r="A68" s="3" t="s">
        <v>2410</v>
      </c>
      <c r="B68" s="8">
        <v>537.90200000000004</v>
      </c>
      <c r="C68" s="8">
        <v>421.28899999999999</v>
      </c>
      <c r="D68" s="9"/>
      <c r="E68" s="8">
        <v>41.000999999999998</v>
      </c>
      <c r="F68" s="8">
        <v>28.861000000000001</v>
      </c>
      <c r="G68" s="8">
        <v>0.20899999999999999</v>
      </c>
      <c r="H68" t="s">
        <v>4789</v>
      </c>
      <c r="I68" s="5">
        <v>45891</v>
      </c>
      <c r="J68" t="s">
        <v>191</v>
      </c>
    </row>
    <row r="69" spans="1:10">
      <c r="A69" s="3" t="s">
        <v>2416</v>
      </c>
      <c r="B69" s="8">
        <v>557.51599999999996</v>
      </c>
      <c r="C69" s="8">
        <v>441.72199999999998</v>
      </c>
      <c r="D69" s="9"/>
      <c r="E69" s="8">
        <v>41.353999999999999</v>
      </c>
      <c r="F69" s="8">
        <v>25.106999999999999</v>
      </c>
      <c r="G69" s="8">
        <v>0.19900000000000001</v>
      </c>
      <c r="H69" t="s">
        <v>4789</v>
      </c>
      <c r="I69" s="5">
        <v>45893</v>
      </c>
      <c r="J69" t="s">
        <v>4520</v>
      </c>
    </row>
    <row r="70" spans="1:10">
      <c r="A70" s="3" t="s">
        <v>2418</v>
      </c>
      <c r="B70" s="8">
        <v>556.21199999999999</v>
      </c>
      <c r="C70" s="8">
        <v>434.09</v>
      </c>
      <c r="D70" s="9"/>
      <c r="E70" s="8">
        <v>39.329000000000001</v>
      </c>
      <c r="F70" s="8">
        <v>24.478999999999999</v>
      </c>
      <c r="G70" s="8">
        <v>0.224</v>
      </c>
      <c r="H70" t="s">
        <v>4789</v>
      </c>
      <c r="I70" s="5">
        <v>45894</v>
      </c>
      <c r="J70" t="s">
        <v>12</v>
      </c>
    </row>
    <row r="71" spans="1:10">
      <c r="A71" s="3" t="s">
        <v>2425</v>
      </c>
      <c r="B71" s="8">
        <v>342.02100000000002</v>
      </c>
      <c r="C71" s="8">
        <v>275.35599999999999</v>
      </c>
      <c r="D71" s="9"/>
      <c r="E71" s="8">
        <v>48.859000000000002</v>
      </c>
      <c r="F71" s="8">
        <v>30.471</v>
      </c>
      <c r="G71" s="8">
        <v>0.252</v>
      </c>
      <c r="H71" t="s">
        <v>4789</v>
      </c>
      <c r="I71" s="5">
        <v>45899</v>
      </c>
      <c r="J71" t="s">
        <v>4523</v>
      </c>
    </row>
    <row r="72" spans="1:10">
      <c r="A72" s="3" t="s">
        <v>2432</v>
      </c>
      <c r="B72" s="8">
        <v>350.28800000000001</v>
      </c>
      <c r="C72" s="8">
        <v>280.41300000000001</v>
      </c>
      <c r="D72" s="9"/>
      <c r="E72" s="8">
        <v>47.4</v>
      </c>
      <c r="F72" s="8">
        <v>27.129000000000001</v>
      </c>
      <c r="G72" s="8">
        <v>0.23100000000000001</v>
      </c>
      <c r="H72" t="s">
        <v>4789</v>
      </c>
      <c r="I72" s="5">
        <v>45900</v>
      </c>
      <c r="J72" t="s">
        <v>4512</v>
      </c>
    </row>
    <row r="73" spans="1:10">
      <c r="A73" s="3" t="s">
        <v>2445</v>
      </c>
      <c r="B73" s="8">
        <v>367.75299999999999</v>
      </c>
      <c r="C73" s="8">
        <v>290.94099999999997</v>
      </c>
      <c r="D73" s="9"/>
      <c r="E73" s="8">
        <v>48.073999999999998</v>
      </c>
      <c r="F73" s="8">
        <v>28.332000000000001</v>
      </c>
      <c r="G73" s="8">
        <v>0.219</v>
      </c>
      <c r="H73" t="s">
        <v>4789</v>
      </c>
      <c r="I73" s="5">
        <v>45902</v>
      </c>
      <c r="J73" t="s">
        <v>9</v>
      </c>
    </row>
    <row r="74" spans="1:10">
      <c r="A74" s="3" t="s">
        <v>2447</v>
      </c>
      <c r="B74" s="8">
        <v>369.89699999999999</v>
      </c>
      <c r="C74" s="8">
        <v>289.41699999999997</v>
      </c>
      <c r="D74" s="9"/>
      <c r="E74" s="8">
        <v>49.256</v>
      </c>
      <c r="F74" s="8">
        <v>35.447000000000003</v>
      </c>
      <c r="G74" s="8">
        <v>0.22</v>
      </c>
      <c r="H74" t="s">
        <v>4789</v>
      </c>
      <c r="I74" s="5">
        <v>45903</v>
      </c>
      <c r="J74" t="s">
        <v>191</v>
      </c>
    </row>
    <row r="75" spans="1:10">
      <c r="A75" s="3" t="s">
        <v>2458</v>
      </c>
      <c r="B75" s="8">
        <v>324.86099999999999</v>
      </c>
      <c r="C75" s="8">
        <v>256.60899999999998</v>
      </c>
      <c r="D75" s="9"/>
      <c r="E75" s="8">
        <v>49.018999999999998</v>
      </c>
      <c r="F75" s="8">
        <v>34.82</v>
      </c>
      <c r="G75" s="8">
        <v>0.245</v>
      </c>
      <c r="H75" t="s">
        <v>4789</v>
      </c>
      <c r="I75" s="5">
        <v>45908</v>
      </c>
      <c r="J75" t="s">
        <v>4520</v>
      </c>
    </row>
    <row r="76" spans="1:10">
      <c r="A76" s="3" t="s">
        <v>2469</v>
      </c>
      <c r="B76" s="8">
        <v>315.92599999999999</v>
      </c>
      <c r="C76" s="8">
        <v>250.072</v>
      </c>
      <c r="D76" s="9"/>
      <c r="E76" s="8">
        <v>50.034999999999997</v>
      </c>
      <c r="F76" s="8">
        <v>28.081</v>
      </c>
      <c r="G76" s="8">
        <v>0.246</v>
      </c>
      <c r="H76" t="s">
        <v>4789</v>
      </c>
      <c r="I76" s="5">
        <v>45909</v>
      </c>
      <c r="J76" t="s">
        <v>12</v>
      </c>
    </row>
    <row r="77" spans="1:10">
      <c r="A77" s="3" t="s">
        <v>2487</v>
      </c>
      <c r="B77" s="8">
        <v>531.72</v>
      </c>
      <c r="C77" s="8">
        <v>414.95</v>
      </c>
      <c r="D77" s="9"/>
      <c r="E77" s="8">
        <v>41.875999999999998</v>
      </c>
      <c r="F77" s="8">
        <v>26.545000000000002</v>
      </c>
      <c r="G77" s="8">
        <v>0.19400000000000001</v>
      </c>
      <c r="H77" t="s">
        <v>4790</v>
      </c>
      <c r="I77" s="5">
        <v>45914</v>
      </c>
      <c r="J77" t="s">
        <v>4523</v>
      </c>
    </row>
    <row r="78" spans="1:10">
      <c r="A78" s="3" t="s">
        <v>2489</v>
      </c>
      <c r="B78" s="8">
        <v>533.101</v>
      </c>
      <c r="C78" s="8">
        <v>418.11</v>
      </c>
      <c r="D78" s="9"/>
      <c r="E78" s="8">
        <v>41.643999999999998</v>
      </c>
      <c r="F78" s="8">
        <v>25.483000000000001</v>
      </c>
      <c r="G78" s="8">
        <v>0.23100000000000001</v>
      </c>
      <c r="H78" t="s">
        <v>4789</v>
      </c>
      <c r="I78" s="5">
        <v>45915</v>
      </c>
      <c r="J78" t="s">
        <v>4512</v>
      </c>
    </row>
    <row r="79" spans="1:10">
      <c r="A79" s="3" t="s">
        <v>2492</v>
      </c>
      <c r="B79" s="8">
        <v>584.41499999999996</v>
      </c>
      <c r="C79" s="8">
        <v>449.70499999999998</v>
      </c>
      <c r="D79" s="9"/>
      <c r="E79" s="8">
        <v>39.079000000000001</v>
      </c>
      <c r="F79" s="8">
        <v>24.367000000000001</v>
      </c>
      <c r="G79" s="8">
        <v>0.17499999999999999</v>
      </c>
      <c r="H79" t="s">
        <v>4789</v>
      </c>
      <c r="I79" s="5">
        <v>45917</v>
      </c>
      <c r="J79" t="s">
        <v>9</v>
      </c>
    </row>
    <row r="80" spans="1:10">
      <c r="A80" s="3" t="s">
        <v>2501</v>
      </c>
      <c r="B80" s="8">
        <v>582.50900000000001</v>
      </c>
      <c r="C80" s="8">
        <v>455.99900000000002</v>
      </c>
      <c r="D80" s="9"/>
      <c r="E80" s="8">
        <v>38.895000000000003</v>
      </c>
      <c r="F80" s="8">
        <v>26.904</v>
      </c>
      <c r="G80" s="8">
        <v>0.189</v>
      </c>
      <c r="H80" t="s">
        <v>4789</v>
      </c>
      <c r="I80" s="5">
        <v>45918</v>
      </c>
      <c r="J80" t="s">
        <v>191</v>
      </c>
    </row>
    <row r="81" spans="1:10">
      <c r="A81" s="3" t="s">
        <v>2507</v>
      </c>
      <c r="B81" s="8">
        <v>557.30799999999999</v>
      </c>
      <c r="C81" s="8">
        <v>437.036</v>
      </c>
      <c r="D81" s="9"/>
      <c r="E81" s="8">
        <v>40.121000000000002</v>
      </c>
      <c r="F81" s="8">
        <v>22.376000000000001</v>
      </c>
      <c r="G81" s="8">
        <v>0.20100000000000001</v>
      </c>
      <c r="H81" t="s">
        <v>4789</v>
      </c>
      <c r="I81" s="5">
        <v>45920</v>
      </c>
      <c r="J81" t="s">
        <v>4520</v>
      </c>
    </row>
    <row r="82" spans="1:10">
      <c r="A82" s="3" t="s">
        <v>2516</v>
      </c>
      <c r="B82" s="8">
        <v>555.952</v>
      </c>
      <c r="C82" s="8">
        <v>430.39800000000002</v>
      </c>
      <c r="D82" s="9"/>
      <c r="E82" s="8">
        <v>42.182000000000002</v>
      </c>
      <c r="F82" s="8">
        <v>28.335999999999999</v>
      </c>
      <c r="G82" s="8">
        <v>0.216</v>
      </c>
      <c r="H82" t="s">
        <v>4791</v>
      </c>
      <c r="I82" s="5">
        <v>45921</v>
      </c>
      <c r="J82" t="s">
        <v>12</v>
      </c>
    </row>
    <row r="83" spans="1:10">
      <c r="A83" s="3" t="s">
        <v>2522</v>
      </c>
      <c r="B83" s="8">
        <v>584.28</v>
      </c>
      <c r="C83" s="8">
        <v>440.04700000000003</v>
      </c>
      <c r="D83" s="9"/>
      <c r="E83" s="8">
        <v>38.841999999999999</v>
      </c>
      <c r="F83" s="8">
        <v>24.678000000000001</v>
      </c>
      <c r="G83" s="8">
        <v>0.20499999999999999</v>
      </c>
      <c r="H83" t="s">
        <v>4789</v>
      </c>
      <c r="I83" s="5">
        <v>45938</v>
      </c>
      <c r="J83" t="s">
        <v>4523</v>
      </c>
    </row>
    <row r="84" spans="1:10">
      <c r="A84" s="3" t="s">
        <v>2531</v>
      </c>
      <c r="B84" s="8">
        <v>580.22699999999998</v>
      </c>
      <c r="C84" s="8">
        <v>450.01</v>
      </c>
      <c r="D84" s="9"/>
      <c r="E84" s="8">
        <v>39.298000000000002</v>
      </c>
      <c r="F84" s="8">
        <v>28.244</v>
      </c>
      <c r="G84" s="8">
        <v>0.20300000000000001</v>
      </c>
      <c r="H84" t="s">
        <v>4789</v>
      </c>
      <c r="I84" s="5">
        <v>45939</v>
      </c>
      <c r="J84" t="s">
        <v>4512</v>
      </c>
    </row>
    <row r="85" spans="1:10">
      <c r="A85" s="3" t="s">
        <v>2545</v>
      </c>
      <c r="B85" s="8">
        <v>320.76799999999997</v>
      </c>
      <c r="C85" s="8">
        <v>255.63499999999999</v>
      </c>
      <c r="D85" s="9"/>
      <c r="E85" s="8">
        <v>50.927999999999997</v>
      </c>
      <c r="F85" s="8">
        <v>34.283999999999999</v>
      </c>
      <c r="G85" s="8">
        <v>0.22500000000000001</v>
      </c>
      <c r="H85" t="s">
        <v>4789</v>
      </c>
      <c r="I85" s="5">
        <v>45941</v>
      </c>
      <c r="J85" t="s">
        <v>9</v>
      </c>
    </row>
    <row r="86" spans="1:10">
      <c r="A86" s="3" t="s">
        <v>2554</v>
      </c>
      <c r="B86" s="8">
        <v>320.39699999999999</v>
      </c>
      <c r="C86" s="8">
        <v>254.62799999999999</v>
      </c>
      <c r="D86" s="9"/>
      <c r="E86" s="8">
        <v>49.765000000000001</v>
      </c>
      <c r="F86" s="8">
        <v>35.359000000000002</v>
      </c>
      <c r="G86" s="8">
        <v>0.222</v>
      </c>
      <c r="H86" t="s">
        <v>4791</v>
      </c>
      <c r="I86" s="5">
        <v>45942</v>
      </c>
      <c r="J86" t="s">
        <v>191</v>
      </c>
    </row>
    <row r="87" spans="1:10">
      <c r="A87" s="3" t="s">
        <v>2568</v>
      </c>
      <c r="B87" s="8">
        <v>405.30200000000002</v>
      </c>
      <c r="C87" s="8">
        <v>320.959</v>
      </c>
      <c r="D87" s="9"/>
      <c r="E87" s="8">
        <v>45.713000000000001</v>
      </c>
      <c r="F87" s="8">
        <v>31.745999999999999</v>
      </c>
      <c r="G87" s="8">
        <v>0.217</v>
      </c>
      <c r="H87" t="s">
        <v>4789</v>
      </c>
      <c r="I87" s="5">
        <v>45947</v>
      </c>
      <c r="J87" t="s">
        <v>4520</v>
      </c>
    </row>
    <row r="88" spans="1:10">
      <c r="A88" s="3" t="s">
        <v>2577</v>
      </c>
      <c r="B88" s="8">
        <v>402.40199999999999</v>
      </c>
      <c r="C88" s="8">
        <v>312.56900000000002</v>
      </c>
      <c r="D88" s="9"/>
      <c r="E88" s="8">
        <v>47.991999999999997</v>
      </c>
      <c r="F88" s="8">
        <v>26.981000000000002</v>
      </c>
      <c r="G88" s="8">
        <v>0.22800000000000001</v>
      </c>
      <c r="H88" t="s">
        <v>4789</v>
      </c>
      <c r="I88" s="5">
        <v>45948</v>
      </c>
      <c r="J88" t="s">
        <v>12</v>
      </c>
    </row>
    <row r="89" spans="1:10">
      <c r="A89" s="3" t="s">
        <v>2583</v>
      </c>
      <c r="B89" s="8">
        <v>527.67200000000003</v>
      </c>
      <c r="C89" s="8">
        <v>406.68799999999999</v>
      </c>
      <c r="D89" s="9"/>
      <c r="E89" s="8">
        <v>42.658000000000001</v>
      </c>
      <c r="F89" s="8">
        <v>24.72</v>
      </c>
      <c r="G89" s="8">
        <v>0.20499999999999999</v>
      </c>
      <c r="H89" t="s">
        <v>4789</v>
      </c>
      <c r="I89" s="5">
        <v>45953</v>
      </c>
      <c r="J89" t="s">
        <v>4523</v>
      </c>
    </row>
    <row r="90" spans="1:10">
      <c r="A90" s="3" t="s">
        <v>2593</v>
      </c>
      <c r="B90" s="8">
        <v>611.596</v>
      </c>
      <c r="C90" s="8">
        <v>477.67899999999997</v>
      </c>
      <c r="D90" s="9"/>
      <c r="E90" s="8">
        <v>36.758000000000003</v>
      </c>
      <c r="F90" s="8">
        <v>25.986000000000001</v>
      </c>
      <c r="G90" s="8">
        <v>0.192</v>
      </c>
      <c r="H90" t="s">
        <v>4789</v>
      </c>
      <c r="I90" s="5">
        <v>45309</v>
      </c>
      <c r="J90" t="s">
        <v>4512</v>
      </c>
    </row>
    <row r="91" spans="1:10">
      <c r="A91" s="3" t="s">
        <v>2595</v>
      </c>
      <c r="B91" s="8">
        <v>599.226</v>
      </c>
      <c r="C91" s="8">
        <v>471.31700000000001</v>
      </c>
      <c r="D91" s="9"/>
      <c r="E91" s="8">
        <v>38.067999999999998</v>
      </c>
      <c r="F91" s="8">
        <v>21.558</v>
      </c>
      <c r="G91" s="8">
        <v>0.183</v>
      </c>
      <c r="H91" t="s">
        <v>4789</v>
      </c>
      <c r="I91" s="5">
        <v>45310</v>
      </c>
      <c r="J91" t="s">
        <v>9</v>
      </c>
    </row>
    <row r="92" spans="1:10">
      <c r="A92" s="3" t="s">
        <v>2598</v>
      </c>
      <c r="B92" s="8">
        <v>306.20499999999998</v>
      </c>
      <c r="C92" s="8">
        <v>249.55099999999999</v>
      </c>
      <c r="D92" s="9"/>
      <c r="E92" s="8">
        <v>49.457999999999998</v>
      </c>
      <c r="F92" s="8">
        <v>31.984999999999999</v>
      </c>
      <c r="G92" s="8">
        <v>0.23400000000000001</v>
      </c>
      <c r="H92" t="s">
        <v>4789</v>
      </c>
      <c r="I92" s="5">
        <v>45315</v>
      </c>
      <c r="J92" t="s">
        <v>191</v>
      </c>
    </row>
    <row r="93" spans="1:10">
      <c r="A93" s="3" t="s">
        <v>2607</v>
      </c>
      <c r="B93" s="8">
        <v>314.553</v>
      </c>
      <c r="C93" s="8">
        <v>249.626</v>
      </c>
      <c r="D93" s="9"/>
      <c r="E93" s="8">
        <v>50.49</v>
      </c>
      <c r="F93" s="8">
        <v>35.639000000000003</v>
      </c>
      <c r="G93" s="8">
        <v>0.23300000000000001</v>
      </c>
      <c r="H93" t="s">
        <v>4789</v>
      </c>
      <c r="I93" s="5">
        <v>45316</v>
      </c>
      <c r="J93" t="s">
        <v>4520</v>
      </c>
    </row>
    <row r="94" spans="1:10">
      <c r="A94" s="3" t="s">
        <v>2613</v>
      </c>
      <c r="B94" s="8">
        <v>316.30200000000002</v>
      </c>
      <c r="C94" s="8">
        <v>259.77300000000002</v>
      </c>
      <c r="D94" s="9"/>
      <c r="E94" s="8">
        <v>48.868000000000002</v>
      </c>
      <c r="F94" s="8">
        <v>31.181000000000001</v>
      </c>
      <c r="G94" s="8">
        <v>0.222</v>
      </c>
      <c r="H94" t="s">
        <v>4789</v>
      </c>
      <c r="I94" s="5">
        <v>45318</v>
      </c>
      <c r="J94" t="s">
        <v>12</v>
      </c>
    </row>
    <row r="95" spans="1:10">
      <c r="A95" s="3" t="s">
        <v>2615</v>
      </c>
      <c r="B95" s="8">
        <v>325.28399999999999</v>
      </c>
      <c r="C95" s="8">
        <v>260.89100000000002</v>
      </c>
      <c r="D95" s="9"/>
      <c r="E95" s="8">
        <v>49.984000000000002</v>
      </c>
      <c r="F95" s="8">
        <v>34.61</v>
      </c>
      <c r="G95" s="8">
        <v>0.214</v>
      </c>
      <c r="H95" t="s">
        <v>4789</v>
      </c>
      <c r="I95" s="5">
        <v>45319</v>
      </c>
      <c r="J95" t="s">
        <v>4523</v>
      </c>
    </row>
    <row r="96" spans="1:10">
      <c r="A96" s="3" t="s">
        <v>2629</v>
      </c>
      <c r="B96" s="8">
        <v>431.214</v>
      </c>
      <c r="C96" s="8">
        <v>332.78800000000001</v>
      </c>
      <c r="D96" s="9"/>
      <c r="E96" s="8">
        <v>44.08</v>
      </c>
      <c r="F96" s="8">
        <v>30.167000000000002</v>
      </c>
      <c r="G96" s="8">
        <v>0.21099999999999999</v>
      </c>
      <c r="H96" t="s">
        <v>4789</v>
      </c>
      <c r="I96" s="5">
        <v>45321</v>
      </c>
      <c r="J96" t="s">
        <v>4512</v>
      </c>
    </row>
    <row r="97" spans="1:10">
      <c r="A97" s="3" t="s">
        <v>2636</v>
      </c>
      <c r="B97" s="8">
        <v>423.61700000000002</v>
      </c>
      <c r="C97" s="8">
        <v>332.98500000000001</v>
      </c>
      <c r="D97" s="9"/>
      <c r="E97" s="8">
        <v>45.963000000000001</v>
      </c>
      <c r="F97" s="8">
        <v>28.585999999999999</v>
      </c>
      <c r="G97" s="8">
        <v>0.20799999999999999</v>
      </c>
      <c r="H97" t="s">
        <v>4789</v>
      </c>
      <c r="I97" s="5">
        <v>45322</v>
      </c>
      <c r="J97" t="s">
        <v>9</v>
      </c>
    </row>
    <row r="98" spans="1:10">
      <c r="A98" s="3" t="s">
        <v>2650</v>
      </c>
      <c r="B98" s="8">
        <v>587.54300000000001</v>
      </c>
      <c r="C98" s="8">
        <v>454.072</v>
      </c>
      <c r="D98" s="9"/>
      <c r="E98" s="8">
        <v>39.680999999999997</v>
      </c>
      <c r="F98" s="8">
        <v>23.161000000000001</v>
      </c>
      <c r="G98" s="8">
        <v>0.19800000000000001</v>
      </c>
      <c r="H98" t="s">
        <v>4789</v>
      </c>
      <c r="I98" s="5">
        <v>45327</v>
      </c>
      <c r="J98" t="s">
        <v>191</v>
      </c>
    </row>
    <row r="99" spans="1:10">
      <c r="A99" s="3" t="s">
        <v>2652</v>
      </c>
      <c r="B99" s="8">
        <v>588.78099999999995</v>
      </c>
      <c r="C99" s="8">
        <v>464.32799999999997</v>
      </c>
      <c r="D99" s="9"/>
      <c r="E99" s="8">
        <v>38.256999999999998</v>
      </c>
      <c r="F99" s="8">
        <v>23.379000000000001</v>
      </c>
      <c r="G99" s="8">
        <v>0.184</v>
      </c>
      <c r="H99" t="s">
        <v>4789</v>
      </c>
      <c r="I99" s="5">
        <v>45328</v>
      </c>
      <c r="J99" t="s">
        <v>4520</v>
      </c>
    </row>
    <row r="100" spans="1:10">
      <c r="A100" s="3" t="s">
        <v>2655</v>
      </c>
      <c r="B100" s="8">
        <v>569.55600000000004</v>
      </c>
      <c r="C100" s="8">
        <v>430.34500000000003</v>
      </c>
      <c r="D100" s="9"/>
      <c r="E100" s="8">
        <v>40.192</v>
      </c>
      <c r="F100" s="8">
        <v>26.846</v>
      </c>
      <c r="G100" s="8">
        <v>0.189</v>
      </c>
      <c r="H100" t="s">
        <v>4790</v>
      </c>
      <c r="I100" s="5">
        <v>45330</v>
      </c>
      <c r="J100" t="s">
        <v>12</v>
      </c>
    </row>
    <row r="101" spans="1:10">
      <c r="A101" s="3" t="s">
        <v>2657</v>
      </c>
      <c r="B101" s="8">
        <v>563.44100000000003</v>
      </c>
      <c r="C101" s="8">
        <v>439.34800000000001</v>
      </c>
      <c r="D101" s="9"/>
      <c r="E101" s="8">
        <v>39.706000000000003</v>
      </c>
      <c r="F101" s="8">
        <v>24.542999999999999</v>
      </c>
      <c r="G101" s="8">
        <v>0.21</v>
      </c>
      <c r="H101" t="s">
        <v>4789</v>
      </c>
      <c r="I101" s="5">
        <v>45331</v>
      </c>
      <c r="J101" t="s">
        <v>4523</v>
      </c>
    </row>
    <row r="102" spans="1:10">
      <c r="A102" s="3" t="s">
        <v>2660</v>
      </c>
      <c r="B102" s="8">
        <v>401.67899999999997</v>
      </c>
      <c r="C102" s="8">
        <v>317.15499999999997</v>
      </c>
      <c r="D102" s="9"/>
      <c r="E102" s="8">
        <v>46.546999999999997</v>
      </c>
      <c r="F102" s="8">
        <v>27.094000000000001</v>
      </c>
      <c r="G102" s="8">
        <v>0.23100000000000001</v>
      </c>
      <c r="H102" t="s">
        <v>4789</v>
      </c>
      <c r="I102" s="5">
        <v>45336</v>
      </c>
      <c r="J102" t="s">
        <v>4512</v>
      </c>
    </row>
    <row r="103" spans="1:10">
      <c r="A103" s="3" t="s">
        <v>2669</v>
      </c>
      <c r="B103" s="8">
        <v>393.37200000000001</v>
      </c>
      <c r="C103" s="8">
        <v>310.01600000000002</v>
      </c>
      <c r="D103" s="9"/>
      <c r="E103" s="8">
        <v>47.734000000000002</v>
      </c>
      <c r="F103" s="8">
        <v>27.806999999999999</v>
      </c>
      <c r="G103" s="8">
        <v>0.19900000000000001</v>
      </c>
      <c r="H103" t="s">
        <v>4789</v>
      </c>
      <c r="I103" s="5">
        <v>45337</v>
      </c>
      <c r="J103" t="s">
        <v>9</v>
      </c>
    </row>
    <row r="104" spans="1:10">
      <c r="A104" s="3" t="s">
        <v>2675</v>
      </c>
      <c r="B104" s="8">
        <v>564.149</v>
      </c>
      <c r="C104" s="8">
        <v>433.59899999999999</v>
      </c>
      <c r="D104" s="9"/>
      <c r="E104" s="8">
        <v>38.911999999999999</v>
      </c>
      <c r="F104" s="8">
        <v>24.673999999999999</v>
      </c>
      <c r="G104" s="8">
        <v>0.19700000000000001</v>
      </c>
      <c r="H104" t="s">
        <v>4789</v>
      </c>
      <c r="I104" s="5">
        <v>45345</v>
      </c>
      <c r="J104" t="s">
        <v>191</v>
      </c>
    </row>
    <row r="105" spans="1:10">
      <c r="A105" s="3" t="s">
        <v>2684</v>
      </c>
      <c r="B105" s="8">
        <v>560.58500000000004</v>
      </c>
      <c r="C105" s="8">
        <v>432.10599999999999</v>
      </c>
      <c r="D105" s="9"/>
      <c r="E105" s="8">
        <v>37.463999999999999</v>
      </c>
      <c r="F105" s="8">
        <v>25.273</v>
      </c>
      <c r="G105" s="8">
        <v>0.222</v>
      </c>
      <c r="H105" t="s">
        <v>4791</v>
      </c>
      <c r="I105" s="5">
        <v>45346</v>
      </c>
      <c r="J105" t="s">
        <v>4520</v>
      </c>
    </row>
    <row r="106" spans="1:10">
      <c r="A106" s="3" t="s">
        <v>2690</v>
      </c>
      <c r="B106" s="8">
        <v>523.42700000000002</v>
      </c>
      <c r="C106" s="8">
        <v>406.04399999999998</v>
      </c>
      <c r="D106" s="9"/>
      <c r="E106" s="8">
        <v>39.003</v>
      </c>
      <c r="F106" s="8">
        <v>26.38</v>
      </c>
      <c r="G106" s="8">
        <v>0.193</v>
      </c>
      <c r="H106" t="s">
        <v>4790</v>
      </c>
      <c r="I106" s="5">
        <v>45348</v>
      </c>
      <c r="J106" t="s">
        <v>12</v>
      </c>
    </row>
    <row r="107" spans="1:10">
      <c r="A107" s="3" t="s">
        <v>2699</v>
      </c>
      <c r="B107" s="8">
        <v>521.58799999999997</v>
      </c>
      <c r="C107" s="8">
        <v>408.334</v>
      </c>
      <c r="D107" s="9"/>
      <c r="E107" s="8">
        <v>40.177999999999997</v>
      </c>
      <c r="F107" s="8">
        <v>25.018000000000001</v>
      </c>
      <c r="G107" s="8">
        <v>0.19800000000000001</v>
      </c>
      <c r="H107" t="s">
        <v>4789</v>
      </c>
      <c r="I107" s="5">
        <v>45349</v>
      </c>
      <c r="J107" t="s">
        <v>4523</v>
      </c>
    </row>
    <row r="108" spans="1:10">
      <c r="A108" s="3" t="s">
        <v>2705</v>
      </c>
      <c r="B108" s="8">
        <v>602.57500000000005</v>
      </c>
      <c r="C108" s="8">
        <v>459.84800000000001</v>
      </c>
      <c r="D108" s="9"/>
      <c r="E108" s="8">
        <v>38.622999999999998</v>
      </c>
      <c r="F108" s="8">
        <v>23.347000000000001</v>
      </c>
      <c r="G108" s="8">
        <v>0.19400000000000001</v>
      </c>
      <c r="H108" t="s">
        <v>4789</v>
      </c>
      <c r="I108" s="5">
        <v>45354</v>
      </c>
      <c r="J108" t="s">
        <v>4512</v>
      </c>
    </row>
    <row r="109" spans="1:10">
      <c r="A109" s="3" t="s">
        <v>2708</v>
      </c>
      <c r="B109" s="8">
        <v>591.92999999999995</v>
      </c>
      <c r="C109" s="8">
        <v>463.74200000000002</v>
      </c>
      <c r="D109" s="9"/>
      <c r="E109" s="8">
        <v>39.762</v>
      </c>
      <c r="F109" s="8">
        <v>24.216000000000001</v>
      </c>
      <c r="G109" s="8">
        <v>0.19900000000000001</v>
      </c>
      <c r="H109" t="s">
        <v>4789</v>
      </c>
      <c r="I109" s="5">
        <v>45357</v>
      </c>
      <c r="J109" t="s">
        <v>9</v>
      </c>
    </row>
    <row r="110" spans="1:10">
      <c r="A110" s="3" t="s">
        <v>2710</v>
      </c>
      <c r="B110" s="8">
        <v>605.99199999999996</v>
      </c>
      <c r="C110" s="8">
        <v>463.30799999999999</v>
      </c>
      <c r="D110" s="9"/>
      <c r="E110" s="8">
        <v>38.345999999999997</v>
      </c>
      <c r="F110" s="8">
        <v>24.047999999999998</v>
      </c>
      <c r="G110" s="8">
        <v>0.19700000000000001</v>
      </c>
      <c r="H110" t="s">
        <v>4789</v>
      </c>
      <c r="I110" s="5">
        <v>45358</v>
      </c>
      <c r="J110" t="s">
        <v>191</v>
      </c>
    </row>
    <row r="111" spans="1:10">
      <c r="A111" s="3" t="s">
        <v>2730</v>
      </c>
      <c r="B111" s="8">
        <v>329.13400000000001</v>
      </c>
      <c r="C111" s="8">
        <v>261.82299999999998</v>
      </c>
      <c r="D111" s="9"/>
      <c r="E111" s="8">
        <v>47.055999999999997</v>
      </c>
      <c r="F111" s="8">
        <v>28.463999999999999</v>
      </c>
      <c r="G111" s="8">
        <v>0.23400000000000001</v>
      </c>
      <c r="H111" t="s">
        <v>4789</v>
      </c>
      <c r="I111" s="5">
        <v>45363</v>
      </c>
      <c r="J111" t="s">
        <v>4520</v>
      </c>
    </row>
    <row r="112" spans="1:10">
      <c r="A112" s="3" t="s">
        <v>2739</v>
      </c>
      <c r="B112" s="8">
        <v>320.85399999999998</v>
      </c>
      <c r="C112" s="8">
        <v>255.529</v>
      </c>
      <c r="D112" s="9"/>
      <c r="E112" s="8">
        <v>47.96</v>
      </c>
      <c r="F112" s="8">
        <v>26.914999999999999</v>
      </c>
      <c r="G112" s="8">
        <v>0.20699999999999999</v>
      </c>
      <c r="H112" t="s">
        <v>4789</v>
      </c>
      <c r="I112" s="5">
        <v>45364</v>
      </c>
      <c r="J112" t="s">
        <v>12</v>
      </c>
    </row>
    <row r="113" spans="1:10">
      <c r="A113" s="3" t="s">
        <v>2758</v>
      </c>
      <c r="B113" s="8">
        <v>460.71899999999999</v>
      </c>
      <c r="C113" s="8">
        <v>367.42099999999999</v>
      </c>
      <c r="D113" s="9"/>
      <c r="E113" s="8">
        <v>43.057000000000002</v>
      </c>
      <c r="F113" s="8">
        <v>28.724</v>
      </c>
      <c r="G113" s="8">
        <v>0.2</v>
      </c>
      <c r="H113" t="s">
        <v>4789</v>
      </c>
      <c r="I113" s="5">
        <v>45369</v>
      </c>
      <c r="J113" t="s">
        <v>4523</v>
      </c>
    </row>
    <row r="114" spans="1:10">
      <c r="A114" s="3" t="s">
        <v>2770</v>
      </c>
      <c r="B114" s="8">
        <v>624.37400000000002</v>
      </c>
      <c r="C114" s="8">
        <v>479.286</v>
      </c>
      <c r="D114" s="9"/>
      <c r="E114" s="8">
        <v>37.564999999999998</v>
      </c>
      <c r="F114" s="8">
        <v>24.762</v>
      </c>
      <c r="G114" s="8">
        <v>0.189</v>
      </c>
      <c r="H114" t="s">
        <v>4789</v>
      </c>
      <c r="I114" s="5">
        <v>45378</v>
      </c>
      <c r="J114" t="s">
        <v>4512</v>
      </c>
    </row>
    <row r="115" spans="1:10">
      <c r="A115" s="3" t="s">
        <v>2772</v>
      </c>
      <c r="B115" s="8">
        <v>611.30799999999999</v>
      </c>
      <c r="C115" s="8">
        <v>470.63499999999999</v>
      </c>
      <c r="D115" s="9"/>
      <c r="E115" s="8">
        <v>38.323999999999998</v>
      </c>
      <c r="F115" s="8">
        <v>22.521000000000001</v>
      </c>
      <c r="G115" s="8">
        <v>0.182</v>
      </c>
      <c r="H115" t="s">
        <v>4789</v>
      </c>
      <c r="I115" s="5">
        <v>45379</v>
      </c>
      <c r="J115" t="s">
        <v>9</v>
      </c>
    </row>
    <row r="116" spans="1:10">
      <c r="A116" s="3" t="s">
        <v>2775</v>
      </c>
      <c r="B116" s="8">
        <v>614.87800000000004</v>
      </c>
      <c r="C116" s="8">
        <v>468.43</v>
      </c>
      <c r="D116" s="9"/>
      <c r="E116" s="8">
        <v>39.819000000000003</v>
      </c>
      <c r="F116" s="8">
        <v>26.863</v>
      </c>
      <c r="G116" s="8">
        <v>0.20799999999999999</v>
      </c>
      <c r="H116" t="s">
        <v>4790</v>
      </c>
      <c r="I116" s="5">
        <v>45381</v>
      </c>
      <c r="J116" t="s">
        <v>191</v>
      </c>
    </row>
    <row r="117" spans="1:10">
      <c r="A117" s="3" t="s">
        <v>2784</v>
      </c>
      <c r="B117" s="8">
        <v>605.74199999999996</v>
      </c>
      <c r="C117" s="8">
        <v>478.29</v>
      </c>
      <c r="D117" s="9"/>
      <c r="E117" s="8">
        <v>37.634</v>
      </c>
      <c r="F117" s="8">
        <v>21.577000000000002</v>
      </c>
      <c r="G117" s="8">
        <v>0.189</v>
      </c>
      <c r="H117" t="s">
        <v>4789</v>
      </c>
      <c r="I117" s="5">
        <v>45382</v>
      </c>
      <c r="J117" t="s">
        <v>4520</v>
      </c>
    </row>
    <row r="118" spans="1:10">
      <c r="A118" s="3" t="s">
        <v>2790</v>
      </c>
      <c r="B118" s="8">
        <v>323.82499999999999</v>
      </c>
      <c r="C118" s="8">
        <v>249.471</v>
      </c>
      <c r="D118" s="9"/>
      <c r="E118" s="8">
        <v>51.848999999999997</v>
      </c>
      <c r="F118" s="8">
        <v>29.523</v>
      </c>
      <c r="G118" s="8">
        <v>0.23599999999999999</v>
      </c>
      <c r="H118" t="s">
        <v>4789</v>
      </c>
      <c r="I118" s="5">
        <v>45384</v>
      </c>
      <c r="J118" t="s">
        <v>12</v>
      </c>
    </row>
    <row r="119" spans="1:10">
      <c r="A119" s="3" t="s">
        <v>2799</v>
      </c>
      <c r="B119" s="8">
        <v>314.92700000000002</v>
      </c>
      <c r="C119" s="8">
        <v>257.64100000000002</v>
      </c>
      <c r="D119" s="9"/>
      <c r="E119" s="8">
        <v>50.000999999999998</v>
      </c>
      <c r="F119" s="8">
        <v>33.71</v>
      </c>
      <c r="G119" s="8">
        <v>0.22500000000000001</v>
      </c>
      <c r="H119" t="s">
        <v>4789</v>
      </c>
      <c r="I119" s="5">
        <v>45385</v>
      </c>
      <c r="J119" t="s">
        <v>4523</v>
      </c>
    </row>
    <row r="120" spans="1:10">
      <c r="A120" s="3" t="s">
        <v>2804</v>
      </c>
      <c r="B120" s="8">
        <v>326.54500000000002</v>
      </c>
      <c r="C120" s="8">
        <v>260.11099999999999</v>
      </c>
      <c r="D120" s="9"/>
      <c r="E120" s="8">
        <v>48.901000000000003</v>
      </c>
      <c r="F120" s="8">
        <v>28.007999999999999</v>
      </c>
      <c r="G120" s="8">
        <v>0.23100000000000001</v>
      </c>
      <c r="H120" t="s">
        <v>4789</v>
      </c>
      <c r="I120" s="5">
        <v>45386</v>
      </c>
      <c r="J120" t="s">
        <v>4512</v>
      </c>
    </row>
    <row r="121" spans="1:10">
      <c r="A121" s="3" t="s">
        <v>2810</v>
      </c>
      <c r="B121" s="8">
        <v>322.642</v>
      </c>
      <c r="C121" s="8">
        <v>259.88299999999998</v>
      </c>
      <c r="D121" s="9"/>
      <c r="E121" s="8">
        <v>49.96</v>
      </c>
      <c r="F121" s="8">
        <v>31.341999999999999</v>
      </c>
      <c r="G121" s="8">
        <v>0.247</v>
      </c>
      <c r="H121" t="s">
        <v>4789</v>
      </c>
      <c r="I121" s="5">
        <v>45387</v>
      </c>
      <c r="J121" t="s">
        <v>9</v>
      </c>
    </row>
    <row r="122" spans="1:10">
      <c r="A122" s="3" t="s">
        <v>2819</v>
      </c>
      <c r="B122" s="8">
        <v>337.279</v>
      </c>
      <c r="C122" s="8">
        <v>265.26900000000001</v>
      </c>
      <c r="D122" s="9"/>
      <c r="E122" s="8">
        <v>50.052999999999997</v>
      </c>
      <c r="F122" s="8">
        <v>29.431000000000001</v>
      </c>
      <c r="G122" s="8">
        <v>0.216</v>
      </c>
      <c r="H122" t="s">
        <v>4789</v>
      </c>
      <c r="I122" s="5">
        <v>45388</v>
      </c>
      <c r="J122" t="s">
        <v>191</v>
      </c>
    </row>
    <row r="123" spans="1:10">
      <c r="A123" s="3" t="s">
        <v>2825</v>
      </c>
      <c r="B123" s="8">
        <v>447.42</v>
      </c>
      <c r="C123" s="8">
        <v>348.21600000000001</v>
      </c>
      <c r="D123" s="9"/>
      <c r="E123" s="8">
        <v>45.796999999999997</v>
      </c>
      <c r="F123" s="8">
        <v>30.789000000000001</v>
      </c>
      <c r="G123" s="8">
        <v>0.23</v>
      </c>
      <c r="H123" t="s">
        <v>4789</v>
      </c>
      <c r="I123" s="5">
        <v>45387</v>
      </c>
      <c r="J123" t="s">
        <v>4520</v>
      </c>
    </row>
    <row r="124" spans="1:10">
      <c r="A124" s="3" t="s">
        <v>2832</v>
      </c>
      <c r="B124" s="8">
        <v>428.76</v>
      </c>
      <c r="C124" s="8">
        <v>341.798</v>
      </c>
      <c r="D124" s="9"/>
      <c r="E124" s="8">
        <v>45.304000000000002</v>
      </c>
      <c r="F124" s="8">
        <v>31.388000000000002</v>
      </c>
      <c r="G124" s="8">
        <v>0.214</v>
      </c>
      <c r="H124" t="s">
        <v>4789</v>
      </c>
      <c r="I124" s="5">
        <v>45388</v>
      </c>
      <c r="J124" t="s">
        <v>12</v>
      </c>
    </row>
    <row r="125" spans="1:10">
      <c r="A125" s="3" t="s">
        <v>2841</v>
      </c>
      <c r="B125" s="8">
        <v>504.82600000000002</v>
      </c>
      <c r="C125" s="8">
        <v>386.57499999999999</v>
      </c>
      <c r="D125" s="9"/>
      <c r="E125" s="8">
        <v>42.639000000000003</v>
      </c>
      <c r="F125" s="8">
        <v>28.114000000000001</v>
      </c>
      <c r="G125" s="8">
        <v>0.20300000000000001</v>
      </c>
      <c r="H125" t="s">
        <v>4789</v>
      </c>
      <c r="I125" s="5">
        <v>45390</v>
      </c>
      <c r="J125" t="s">
        <v>4523</v>
      </c>
    </row>
    <row r="126" spans="1:10">
      <c r="A126" s="3" t="s">
        <v>2850</v>
      </c>
      <c r="B126" s="8">
        <v>506.33199999999999</v>
      </c>
      <c r="C126" s="8">
        <v>391.214</v>
      </c>
      <c r="D126" s="9"/>
      <c r="E126" s="8">
        <v>43.265000000000001</v>
      </c>
      <c r="F126" s="8">
        <v>25.472000000000001</v>
      </c>
      <c r="G126" s="8">
        <v>0.19600000000000001</v>
      </c>
      <c r="H126" t="s">
        <v>4789</v>
      </c>
      <c r="I126" s="5">
        <v>45391</v>
      </c>
      <c r="J126" t="s">
        <v>4512</v>
      </c>
    </row>
    <row r="127" spans="1:10">
      <c r="A127" s="3" t="s">
        <v>2860</v>
      </c>
      <c r="B127" s="8">
        <v>543.57399999999996</v>
      </c>
      <c r="C127" s="8">
        <v>422.387</v>
      </c>
      <c r="D127" s="9"/>
      <c r="E127" s="8">
        <v>40.679000000000002</v>
      </c>
      <c r="F127" s="8">
        <v>22.507000000000001</v>
      </c>
      <c r="G127" s="8">
        <v>0.19400000000000001</v>
      </c>
      <c r="H127" t="s">
        <v>4789</v>
      </c>
      <c r="I127" s="5">
        <v>45396</v>
      </c>
      <c r="J127" t="s">
        <v>9</v>
      </c>
    </row>
    <row r="128" spans="1:10">
      <c r="A128" s="3" t="s">
        <v>2862</v>
      </c>
      <c r="B128" s="8">
        <v>540.13099999999997</v>
      </c>
      <c r="C128" s="8">
        <v>425.67099999999999</v>
      </c>
      <c r="D128" s="9"/>
      <c r="E128" s="8">
        <v>41.801000000000002</v>
      </c>
      <c r="F128" s="8">
        <v>25.794</v>
      </c>
      <c r="G128" s="8">
        <v>0.218</v>
      </c>
      <c r="H128" t="s">
        <v>4789</v>
      </c>
      <c r="I128" s="5">
        <v>45397</v>
      </c>
      <c r="J128" t="s">
        <v>191</v>
      </c>
    </row>
    <row r="129" spans="1:10">
      <c r="A129" s="3" t="s">
        <v>2865</v>
      </c>
      <c r="B129" s="8">
        <v>321.82400000000001</v>
      </c>
      <c r="C129" s="8">
        <v>252.751</v>
      </c>
      <c r="D129" s="9"/>
      <c r="E129" s="8">
        <v>50.72</v>
      </c>
      <c r="F129" s="8">
        <v>28.122</v>
      </c>
      <c r="G129" s="8">
        <v>0.22800000000000001</v>
      </c>
      <c r="H129" t="s">
        <v>4789</v>
      </c>
      <c r="I129" s="5">
        <v>45405</v>
      </c>
      <c r="J129" t="s">
        <v>4520</v>
      </c>
    </row>
    <row r="130" spans="1:10">
      <c r="A130" s="3" t="s">
        <v>2872</v>
      </c>
      <c r="B130" s="8">
        <v>304.86399999999998</v>
      </c>
      <c r="C130" s="8">
        <v>245.33699999999999</v>
      </c>
      <c r="D130" s="9"/>
      <c r="E130" s="8">
        <v>48.667999999999999</v>
      </c>
      <c r="F130" s="8">
        <v>28.760999999999999</v>
      </c>
      <c r="G130" s="8">
        <v>0.22900000000000001</v>
      </c>
      <c r="H130" t="s">
        <v>4789</v>
      </c>
      <c r="I130" s="5">
        <v>45406</v>
      </c>
      <c r="J130" t="s">
        <v>12</v>
      </c>
    </row>
    <row r="131" spans="1:10">
      <c r="A131" s="3" t="s">
        <v>2877</v>
      </c>
      <c r="B131" s="8">
        <v>321.63099999999997</v>
      </c>
      <c r="C131" s="8">
        <v>257.08300000000003</v>
      </c>
      <c r="D131" s="9"/>
      <c r="E131" s="8">
        <v>49.134</v>
      </c>
      <c r="F131" s="8">
        <v>35.223999999999997</v>
      </c>
      <c r="G131" s="8">
        <v>0.247</v>
      </c>
      <c r="H131" t="s">
        <v>4790</v>
      </c>
      <c r="I131" s="5">
        <v>45408</v>
      </c>
      <c r="J131" t="s">
        <v>4523</v>
      </c>
    </row>
    <row r="132" spans="1:10">
      <c r="A132" s="3" t="s">
        <v>2886</v>
      </c>
      <c r="B132" s="8">
        <v>327.17500000000001</v>
      </c>
      <c r="C132" s="8">
        <v>258.25599999999997</v>
      </c>
      <c r="D132" s="9"/>
      <c r="E132" s="8">
        <v>47.814</v>
      </c>
      <c r="F132" s="8">
        <v>30.356000000000002</v>
      </c>
      <c r="G132" s="8">
        <v>0.255</v>
      </c>
      <c r="H132" t="s">
        <v>4789</v>
      </c>
      <c r="I132" s="5">
        <v>45409</v>
      </c>
      <c r="J132" t="s">
        <v>4512</v>
      </c>
    </row>
    <row r="133" spans="1:10">
      <c r="A133" s="3" t="s">
        <v>2899</v>
      </c>
      <c r="B133" s="8">
        <v>431.84</v>
      </c>
      <c r="C133" s="8">
        <v>339.089</v>
      </c>
      <c r="D133" s="9"/>
      <c r="E133" s="8">
        <v>46.384</v>
      </c>
      <c r="F133" s="8">
        <v>29.079000000000001</v>
      </c>
      <c r="G133" s="8">
        <v>0.191</v>
      </c>
      <c r="H133" t="s">
        <v>4789</v>
      </c>
      <c r="I133" s="5">
        <v>45408</v>
      </c>
      <c r="J133" t="s">
        <v>9</v>
      </c>
    </row>
    <row r="134" spans="1:10">
      <c r="A134" s="3" t="s">
        <v>2901</v>
      </c>
      <c r="B134" s="8">
        <v>437.46</v>
      </c>
      <c r="C134" s="8">
        <v>343.12599999999998</v>
      </c>
      <c r="D134" s="9"/>
      <c r="E134" s="8">
        <v>44.972000000000001</v>
      </c>
      <c r="F134" s="8">
        <v>26.119</v>
      </c>
      <c r="G134" s="8">
        <v>0.214</v>
      </c>
      <c r="H134" t="s">
        <v>4790</v>
      </c>
      <c r="I134" s="5">
        <v>45409</v>
      </c>
      <c r="J134" t="s">
        <v>191</v>
      </c>
    </row>
    <row r="135" spans="1:10">
      <c r="A135" s="3" t="s">
        <v>2904</v>
      </c>
      <c r="B135" s="8">
        <v>404.85899999999998</v>
      </c>
      <c r="C135" s="8">
        <v>319.55500000000001</v>
      </c>
      <c r="D135" s="9"/>
      <c r="E135" s="8">
        <v>47.103999999999999</v>
      </c>
      <c r="F135" s="8">
        <v>28.51</v>
      </c>
      <c r="G135" s="8">
        <v>0.21299999999999999</v>
      </c>
      <c r="H135" t="s">
        <v>4790</v>
      </c>
      <c r="I135" s="5">
        <v>45411</v>
      </c>
      <c r="J135" t="s">
        <v>4520</v>
      </c>
    </row>
    <row r="136" spans="1:10">
      <c r="A136" s="3" t="s">
        <v>2913</v>
      </c>
      <c r="B136" s="8">
        <v>396.64699999999999</v>
      </c>
      <c r="C136" s="8">
        <v>309.83999999999997</v>
      </c>
      <c r="D136" s="9"/>
      <c r="E136" s="8">
        <v>46.521000000000001</v>
      </c>
      <c r="F136" s="8">
        <v>27.565999999999999</v>
      </c>
      <c r="G136" s="8">
        <v>0.22900000000000001</v>
      </c>
      <c r="H136" t="s">
        <v>4789</v>
      </c>
      <c r="I136" s="5">
        <v>45412</v>
      </c>
      <c r="J136" t="s">
        <v>12</v>
      </c>
    </row>
    <row r="137" spans="1:10">
      <c r="A137" s="3" t="s">
        <v>2919</v>
      </c>
      <c r="B137" s="8">
        <v>433.24099999999999</v>
      </c>
      <c r="C137" s="8">
        <v>344.428</v>
      </c>
      <c r="D137" s="9"/>
      <c r="E137" s="8">
        <v>44.640999999999998</v>
      </c>
      <c r="F137" s="8">
        <v>28.844000000000001</v>
      </c>
      <c r="G137" s="8">
        <v>0.222</v>
      </c>
      <c r="H137" t="s">
        <v>4789</v>
      </c>
      <c r="I137" s="5">
        <v>45414</v>
      </c>
      <c r="J137" t="s">
        <v>4523</v>
      </c>
    </row>
    <row r="138" spans="1:10">
      <c r="A138" s="3" t="s">
        <v>2928</v>
      </c>
      <c r="B138" s="8">
        <v>434.03699999999998</v>
      </c>
      <c r="C138" s="8">
        <v>347.755</v>
      </c>
      <c r="D138" s="9"/>
      <c r="E138" s="8">
        <v>45.063000000000002</v>
      </c>
      <c r="F138" s="8">
        <v>30.795000000000002</v>
      </c>
      <c r="G138" s="8">
        <v>0.221</v>
      </c>
      <c r="H138" t="s">
        <v>4789</v>
      </c>
      <c r="I138" s="5">
        <v>45415</v>
      </c>
      <c r="J138" t="s">
        <v>4512</v>
      </c>
    </row>
    <row r="139" spans="1:10">
      <c r="A139" s="3" t="s">
        <v>2936</v>
      </c>
      <c r="B139" s="8">
        <v>569.26</v>
      </c>
      <c r="C139" s="8">
        <v>452.005</v>
      </c>
      <c r="D139" s="9"/>
      <c r="E139" s="8">
        <v>40.128999999999998</v>
      </c>
      <c r="F139" s="8">
        <v>25.457999999999998</v>
      </c>
      <c r="G139" s="8">
        <v>0.18</v>
      </c>
      <c r="H139" t="s">
        <v>4789</v>
      </c>
      <c r="I139" s="5">
        <v>45417</v>
      </c>
      <c r="J139" t="s">
        <v>9</v>
      </c>
    </row>
    <row r="140" spans="1:10">
      <c r="A140" s="3" t="s">
        <v>2945</v>
      </c>
      <c r="B140" s="8">
        <v>573.96100000000001</v>
      </c>
      <c r="C140" s="8">
        <v>454.23099999999999</v>
      </c>
      <c r="D140" s="9"/>
      <c r="E140" s="8">
        <v>39.779000000000003</v>
      </c>
      <c r="F140" s="8">
        <v>27.978999999999999</v>
      </c>
      <c r="G140" s="8">
        <v>0.193</v>
      </c>
      <c r="H140" t="s">
        <v>4789</v>
      </c>
      <c r="I140" s="5">
        <v>45418</v>
      </c>
      <c r="J140" t="s">
        <v>191</v>
      </c>
    </row>
    <row r="141" spans="1:10">
      <c r="A141" s="3" t="s">
        <v>2959</v>
      </c>
      <c r="B141" s="8">
        <v>613.04</v>
      </c>
      <c r="C141" s="8">
        <v>473.83699999999999</v>
      </c>
      <c r="D141" s="9"/>
      <c r="E141" s="8">
        <v>37.454999999999998</v>
      </c>
      <c r="F141" s="8">
        <v>25.565999999999999</v>
      </c>
      <c r="G141" s="8">
        <v>0.20899999999999999</v>
      </c>
      <c r="H141" t="s">
        <v>4789</v>
      </c>
      <c r="I141" s="5">
        <v>45420</v>
      </c>
      <c r="J141" t="s">
        <v>4520</v>
      </c>
    </row>
    <row r="142" spans="1:10">
      <c r="A142" s="3" t="s">
        <v>2968</v>
      </c>
      <c r="B142" s="8">
        <v>611.85699999999997</v>
      </c>
      <c r="C142" s="8">
        <v>480.47399999999999</v>
      </c>
      <c r="D142" s="9"/>
      <c r="E142" s="8">
        <v>37.738</v>
      </c>
      <c r="F142" s="8">
        <v>25.364999999999998</v>
      </c>
      <c r="G142" s="8">
        <v>0.20599999999999999</v>
      </c>
      <c r="H142" t="s">
        <v>4789</v>
      </c>
      <c r="I142" s="5">
        <v>45421</v>
      </c>
      <c r="J142" t="s">
        <v>12</v>
      </c>
    </row>
    <row r="143" spans="1:10">
      <c r="A143" s="3" t="s">
        <v>2980</v>
      </c>
      <c r="B143" s="8">
        <v>343.82799999999997</v>
      </c>
      <c r="C143" s="8">
        <v>272.06900000000002</v>
      </c>
      <c r="D143" s="9"/>
      <c r="E143" s="8">
        <v>48.732999999999997</v>
      </c>
      <c r="F143" s="8">
        <v>30.375</v>
      </c>
      <c r="G143" s="8">
        <v>0.222</v>
      </c>
      <c r="H143" t="s">
        <v>4789</v>
      </c>
      <c r="I143" s="5">
        <v>45426</v>
      </c>
      <c r="J143" t="s">
        <v>4523</v>
      </c>
    </row>
    <row r="144" spans="1:10">
      <c r="A144" s="3" t="s">
        <v>2987</v>
      </c>
      <c r="B144" s="8">
        <v>340.5</v>
      </c>
      <c r="C144" s="8">
        <v>272.58499999999998</v>
      </c>
      <c r="D144" s="9"/>
      <c r="E144" s="8">
        <v>46.673000000000002</v>
      </c>
      <c r="F144" s="8">
        <v>33.302</v>
      </c>
      <c r="G144" s="8">
        <v>0.23599999999999999</v>
      </c>
      <c r="H144" t="s">
        <v>4789</v>
      </c>
      <c r="I144" s="5">
        <v>45427</v>
      </c>
      <c r="J144" t="s">
        <v>4512</v>
      </c>
    </row>
    <row r="145" spans="1:10">
      <c r="A145" s="3" t="s">
        <v>3003</v>
      </c>
      <c r="B145" s="8">
        <v>393.928</v>
      </c>
      <c r="C145" s="8">
        <v>314.75299999999999</v>
      </c>
      <c r="D145" s="9"/>
      <c r="E145" s="8">
        <v>47.725999999999999</v>
      </c>
      <c r="F145" s="8">
        <v>28.673999999999999</v>
      </c>
      <c r="G145" s="8">
        <v>0.23</v>
      </c>
      <c r="H145" t="s">
        <v>4791</v>
      </c>
      <c r="I145" s="5">
        <v>45432</v>
      </c>
      <c r="J145" t="s">
        <v>9</v>
      </c>
    </row>
    <row r="146" spans="1:10">
      <c r="A146" s="3" t="s">
        <v>3014</v>
      </c>
      <c r="B146" s="8">
        <v>408.30900000000003</v>
      </c>
      <c r="C146" s="8">
        <v>319.06099999999998</v>
      </c>
      <c r="D146" s="9"/>
      <c r="E146" s="8">
        <v>46.899000000000001</v>
      </c>
      <c r="F146" s="8">
        <v>27.349</v>
      </c>
      <c r="G146" s="8">
        <v>0.23400000000000001</v>
      </c>
      <c r="H146" t="s">
        <v>4789</v>
      </c>
      <c r="I146" s="5">
        <v>45433</v>
      </c>
      <c r="J146" t="s">
        <v>191</v>
      </c>
    </row>
    <row r="147" spans="1:10">
      <c r="A147" s="3" t="s">
        <v>3029</v>
      </c>
      <c r="B147" s="8">
        <v>395.98899999999998</v>
      </c>
      <c r="C147" s="8">
        <v>314.38400000000001</v>
      </c>
      <c r="D147" s="9"/>
      <c r="E147" s="8">
        <v>47.215000000000003</v>
      </c>
      <c r="F147" s="8">
        <v>31.527000000000001</v>
      </c>
      <c r="G147" s="8">
        <v>0.221</v>
      </c>
      <c r="H147" t="s">
        <v>4789</v>
      </c>
      <c r="I147" s="5">
        <v>45435</v>
      </c>
      <c r="J147" t="s">
        <v>4520</v>
      </c>
    </row>
    <row r="148" spans="1:10">
      <c r="A148" s="3" t="s">
        <v>3038</v>
      </c>
      <c r="B148" s="8">
        <v>395.03699999999998</v>
      </c>
      <c r="C148" s="8">
        <v>306.33800000000002</v>
      </c>
      <c r="D148" s="9"/>
      <c r="E148" s="8">
        <v>48.42</v>
      </c>
      <c r="F148" s="8">
        <v>30.997</v>
      </c>
      <c r="G148" s="8">
        <v>0.223</v>
      </c>
      <c r="H148" t="s">
        <v>4789</v>
      </c>
      <c r="I148" s="5">
        <v>45436</v>
      </c>
      <c r="J148" t="s">
        <v>12</v>
      </c>
    </row>
    <row r="149" spans="1:10">
      <c r="A149" s="3" t="s">
        <v>3052</v>
      </c>
      <c r="B149" s="8">
        <v>389.661</v>
      </c>
      <c r="C149" s="8">
        <v>305.19600000000003</v>
      </c>
      <c r="D149" s="9"/>
      <c r="E149" s="8">
        <v>47.874000000000002</v>
      </c>
      <c r="F149" s="8">
        <v>32.564999999999998</v>
      </c>
      <c r="G149" s="8">
        <v>0.19500000000000001</v>
      </c>
      <c r="H149" t="s">
        <v>4789</v>
      </c>
      <c r="I149" s="5">
        <v>45435</v>
      </c>
      <c r="J149" t="s">
        <v>4523</v>
      </c>
    </row>
    <row r="150" spans="1:10">
      <c r="A150" s="3" t="s">
        <v>3061</v>
      </c>
      <c r="B150" s="8">
        <v>400.17399999999998</v>
      </c>
      <c r="C150" s="8">
        <v>310.58600000000001</v>
      </c>
      <c r="D150" s="9"/>
      <c r="E150" s="8">
        <v>47.856999999999999</v>
      </c>
      <c r="F150" s="8">
        <v>28.423999999999999</v>
      </c>
      <c r="G150" s="8">
        <v>0.20799999999999999</v>
      </c>
      <c r="H150" t="s">
        <v>4789</v>
      </c>
      <c r="I150" s="5">
        <v>45436</v>
      </c>
      <c r="J150" t="s">
        <v>4512</v>
      </c>
    </row>
    <row r="151" spans="1:10">
      <c r="A151" s="3" t="s">
        <v>3067</v>
      </c>
      <c r="B151" s="8">
        <v>543.71400000000006</v>
      </c>
      <c r="C151" s="8">
        <v>425.661</v>
      </c>
      <c r="D151" s="9"/>
      <c r="E151" s="8">
        <v>41.037999999999997</v>
      </c>
      <c r="F151" s="8">
        <v>28.959</v>
      </c>
      <c r="G151" s="8">
        <v>0.216</v>
      </c>
      <c r="H151" t="s">
        <v>4789</v>
      </c>
      <c r="I151" s="5">
        <v>45441</v>
      </c>
      <c r="J151" t="s">
        <v>9</v>
      </c>
    </row>
    <row r="152" spans="1:10">
      <c r="A152" s="3" t="s">
        <v>3076</v>
      </c>
      <c r="B152" s="8">
        <v>555.02700000000004</v>
      </c>
      <c r="C152" s="8">
        <v>425.68400000000003</v>
      </c>
      <c r="D152" s="9"/>
      <c r="E152" s="8">
        <v>40.680999999999997</v>
      </c>
      <c r="F152" s="8">
        <v>24.756</v>
      </c>
      <c r="G152" s="8">
        <v>0.20399999999999999</v>
      </c>
      <c r="H152" t="s">
        <v>4789</v>
      </c>
      <c r="I152" s="5">
        <v>45442</v>
      </c>
      <c r="J152" t="s">
        <v>191</v>
      </c>
    </row>
    <row r="153" spans="1:10">
      <c r="A153" s="3" t="s">
        <v>3088</v>
      </c>
      <c r="B153" s="8">
        <v>552.05999999999995</v>
      </c>
      <c r="C153" s="8">
        <v>428.83600000000001</v>
      </c>
      <c r="D153" s="9"/>
      <c r="E153" s="8">
        <v>39.860999999999997</v>
      </c>
      <c r="F153" s="8">
        <v>22.375</v>
      </c>
      <c r="G153" s="8">
        <v>0.20499999999999999</v>
      </c>
      <c r="H153" t="s">
        <v>4789</v>
      </c>
      <c r="I153" s="5">
        <v>45444</v>
      </c>
      <c r="J153" t="s">
        <v>4520</v>
      </c>
    </row>
    <row r="154" spans="1:10">
      <c r="A154" s="3" t="s">
        <v>3097</v>
      </c>
      <c r="B154" s="8">
        <v>547.85599999999999</v>
      </c>
      <c r="C154" s="8">
        <v>423.23200000000003</v>
      </c>
      <c r="D154" s="9"/>
      <c r="E154" s="8">
        <v>40.808999999999997</v>
      </c>
      <c r="F154" s="8">
        <v>25.751000000000001</v>
      </c>
      <c r="G154" s="8">
        <v>0.20699999999999999</v>
      </c>
      <c r="H154" t="s">
        <v>4789</v>
      </c>
      <c r="I154" s="5">
        <v>45445</v>
      </c>
      <c r="J154" t="s">
        <v>12</v>
      </c>
    </row>
    <row r="155" spans="1:10">
      <c r="A155" s="3" t="s">
        <v>3103</v>
      </c>
      <c r="B155" s="8">
        <v>552.16</v>
      </c>
      <c r="C155" s="8">
        <v>429.42200000000003</v>
      </c>
      <c r="D155" s="9"/>
      <c r="E155" s="8">
        <v>40.655999999999999</v>
      </c>
      <c r="F155" s="8">
        <v>23.97</v>
      </c>
      <c r="G155" s="8">
        <v>0.20100000000000001</v>
      </c>
      <c r="H155" t="s">
        <v>4789</v>
      </c>
      <c r="I155" s="5">
        <v>45444</v>
      </c>
      <c r="J155" t="s">
        <v>4523</v>
      </c>
    </row>
    <row r="156" spans="1:10">
      <c r="A156" s="3" t="s">
        <v>3110</v>
      </c>
      <c r="B156" s="8">
        <v>561.16399999999999</v>
      </c>
      <c r="C156" s="8">
        <v>430.30900000000003</v>
      </c>
      <c r="D156" s="9"/>
      <c r="E156" s="8">
        <v>39.96</v>
      </c>
      <c r="F156" s="8">
        <v>25.975999999999999</v>
      </c>
      <c r="G156" s="8">
        <v>0.19600000000000001</v>
      </c>
      <c r="H156" t="s">
        <v>4789</v>
      </c>
      <c r="I156" s="5">
        <v>45445</v>
      </c>
      <c r="J156" t="s">
        <v>4512</v>
      </c>
    </row>
    <row r="157" spans="1:10">
      <c r="A157" s="3" t="s">
        <v>3123</v>
      </c>
      <c r="B157" s="8">
        <v>558.72299999999996</v>
      </c>
      <c r="C157" s="8">
        <v>432.45699999999999</v>
      </c>
      <c r="D157" s="9"/>
      <c r="E157" s="8">
        <v>39.387999999999998</v>
      </c>
      <c r="F157" s="8">
        <v>25.07</v>
      </c>
      <c r="G157" s="8">
        <v>0.17599999999999999</v>
      </c>
      <c r="H157" t="s">
        <v>4789</v>
      </c>
      <c r="I157" s="5">
        <v>45447</v>
      </c>
      <c r="J157" t="s">
        <v>9</v>
      </c>
    </row>
    <row r="158" spans="1:10">
      <c r="A158" s="3" t="s">
        <v>3132</v>
      </c>
      <c r="B158" s="8">
        <v>563.93600000000004</v>
      </c>
      <c r="C158" s="8">
        <v>440.27</v>
      </c>
      <c r="D158" s="9"/>
      <c r="E158" s="8">
        <v>39.92</v>
      </c>
      <c r="F158" s="8">
        <v>25.341999999999999</v>
      </c>
      <c r="G158" s="8">
        <v>0.22</v>
      </c>
      <c r="H158" t="s">
        <v>4789</v>
      </c>
      <c r="I158" s="5">
        <v>45448</v>
      </c>
      <c r="J158" t="s">
        <v>191</v>
      </c>
    </row>
    <row r="159" spans="1:10">
      <c r="A159" s="3" t="s">
        <v>3146</v>
      </c>
      <c r="B159" s="8">
        <v>588.28200000000004</v>
      </c>
      <c r="C159" s="8">
        <v>458.67599999999999</v>
      </c>
      <c r="D159" s="9"/>
      <c r="E159" s="8">
        <v>38.756</v>
      </c>
      <c r="F159" s="8">
        <v>27.196999999999999</v>
      </c>
      <c r="G159" s="8">
        <v>0.18</v>
      </c>
      <c r="H159" t="s">
        <v>4789</v>
      </c>
      <c r="I159" s="5">
        <v>45450</v>
      </c>
      <c r="J159" t="s">
        <v>4520</v>
      </c>
    </row>
    <row r="160" spans="1:10">
      <c r="A160" s="3" t="s">
        <v>3155</v>
      </c>
      <c r="B160" s="8">
        <v>577.34699999999998</v>
      </c>
      <c r="C160" s="8">
        <v>455.83100000000002</v>
      </c>
      <c r="D160" s="9"/>
      <c r="E160" s="8">
        <v>39.234000000000002</v>
      </c>
      <c r="F160" s="8">
        <v>27.794</v>
      </c>
      <c r="G160" s="8">
        <v>0.19900000000000001</v>
      </c>
      <c r="H160" t="s">
        <v>4789</v>
      </c>
      <c r="I160" s="5">
        <v>45451</v>
      </c>
      <c r="J160" t="s">
        <v>12</v>
      </c>
    </row>
    <row r="161" spans="1:10">
      <c r="A161" s="3" t="s">
        <v>3161</v>
      </c>
      <c r="B161" s="8">
        <v>345.45600000000002</v>
      </c>
      <c r="C161" s="8">
        <v>282.23899999999998</v>
      </c>
      <c r="D161" s="9"/>
      <c r="E161" s="8">
        <v>47.783000000000001</v>
      </c>
      <c r="F161" s="8">
        <v>33.609000000000002</v>
      </c>
      <c r="G161" s="8">
        <v>0.23200000000000001</v>
      </c>
      <c r="H161" t="s">
        <v>4789</v>
      </c>
      <c r="I161" s="5">
        <v>45456</v>
      </c>
      <c r="J161" t="s">
        <v>4523</v>
      </c>
    </row>
    <row r="162" spans="1:10">
      <c r="A162" s="3" t="s">
        <v>3168</v>
      </c>
      <c r="B162" s="8">
        <v>358.315</v>
      </c>
      <c r="C162" s="8">
        <v>284.70699999999999</v>
      </c>
      <c r="D162" s="9"/>
      <c r="E162" s="8">
        <v>47.585000000000001</v>
      </c>
      <c r="F162" s="8">
        <v>27.561</v>
      </c>
      <c r="G162" s="8">
        <v>0.24299999999999999</v>
      </c>
      <c r="H162" t="s">
        <v>4789</v>
      </c>
      <c r="I162" s="5">
        <v>45457</v>
      </c>
      <c r="J162" t="s">
        <v>4512</v>
      </c>
    </row>
    <row r="163" spans="1:10">
      <c r="A163" s="3" t="s">
        <v>3173</v>
      </c>
      <c r="B163" s="8">
        <v>467.40600000000001</v>
      </c>
      <c r="C163" s="8">
        <v>366.58699999999999</v>
      </c>
      <c r="D163" s="9"/>
      <c r="E163" s="8">
        <v>43.253999999999998</v>
      </c>
      <c r="F163" s="8">
        <v>24.396000000000001</v>
      </c>
      <c r="G163" s="8">
        <v>0.21299999999999999</v>
      </c>
      <c r="H163" t="s">
        <v>4789</v>
      </c>
      <c r="I163" s="5">
        <v>45459</v>
      </c>
      <c r="J163" t="s">
        <v>9</v>
      </c>
    </row>
    <row r="164" spans="1:10">
      <c r="A164" s="3" t="s">
        <v>3184</v>
      </c>
      <c r="B164" s="8">
        <v>480.952</v>
      </c>
      <c r="C164" s="8">
        <v>371.53699999999998</v>
      </c>
      <c r="D164" s="9"/>
      <c r="E164" s="8">
        <v>43.366</v>
      </c>
      <c r="F164" s="8">
        <v>24.591000000000001</v>
      </c>
      <c r="G164" s="8">
        <v>0.214</v>
      </c>
      <c r="H164" t="s">
        <v>4789</v>
      </c>
      <c r="I164" s="5">
        <v>45460</v>
      </c>
      <c r="J164" t="s">
        <v>191</v>
      </c>
    </row>
    <row r="165" spans="1:10">
      <c r="A165" s="3" t="s">
        <v>3190</v>
      </c>
      <c r="B165" s="8">
        <v>484.46699999999998</v>
      </c>
      <c r="C165" s="8">
        <v>371.95</v>
      </c>
      <c r="D165" s="9"/>
      <c r="E165" s="8">
        <v>42.881999999999998</v>
      </c>
      <c r="F165" s="8">
        <v>27.940999999999999</v>
      </c>
      <c r="G165" s="8">
        <v>0.20699999999999999</v>
      </c>
      <c r="H165" t="s">
        <v>4789</v>
      </c>
      <c r="I165" s="5">
        <v>45461</v>
      </c>
      <c r="J165" t="s">
        <v>4520</v>
      </c>
    </row>
    <row r="166" spans="1:10">
      <c r="A166" s="3" t="s">
        <v>3197</v>
      </c>
      <c r="B166" s="8">
        <v>518.02099999999996</v>
      </c>
      <c r="C166" s="8">
        <v>405.89800000000002</v>
      </c>
      <c r="D166" s="9"/>
      <c r="E166" s="8">
        <v>41.972000000000001</v>
      </c>
      <c r="F166" s="8">
        <v>25.507000000000001</v>
      </c>
      <c r="G166" s="8">
        <v>0.20699999999999999</v>
      </c>
      <c r="H166" t="s">
        <v>4789</v>
      </c>
      <c r="I166" s="5">
        <v>45462</v>
      </c>
      <c r="J166" t="s">
        <v>12</v>
      </c>
    </row>
    <row r="167" spans="1:10">
      <c r="A167" s="3" t="s">
        <v>3206</v>
      </c>
      <c r="B167" s="8">
        <v>530.55399999999997</v>
      </c>
      <c r="C167" s="8">
        <v>405.71800000000002</v>
      </c>
      <c r="D167" s="9"/>
      <c r="E167" s="8">
        <v>41.292999999999999</v>
      </c>
      <c r="F167" s="8">
        <v>26.687000000000001</v>
      </c>
      <c r="G167" s="8">
        <v>0.19900000000000001</v>
      </c>
      <c r="H167" t="s">
        <v>4789</v>
      </c>
      <c r="I167" s="5">
        <v>45463</v>
      </c>
      <c r="J167" t="s">
        <v>4523</v>
      </c>
    </row>
    <row r="168" spans="1:10">
      <c r="A168" s="3" t="s">
        <v>3212</v>
      </c>
      <c r="B168" s="8">
        <v>560.64400000000001</v>
      </c>
      <c r="C168" s="8">
        <v>426.483</v>
      </c>
      <c r="D168" s="9"/>
      <c r="E168" s="8">
        <v>40.222000000000001</v>
      </c>
      <c r="F168" s="8">
        <v>28.297999999999998</v>
      </c>
      <c r="G168" s="8">
        <v>0.184</v>
      </c>
      <c r="H168" t="s">
        <v>4789</v>
      </c>
      <c r="I168" s="5">
        <v>45465</v>
      </c>
      <c r="J168" t="s">
        <v>4512</v>
      </c>
    </row>
    <row r="169" spans="1:10">
      <c r="A169" s="3" t="s">
        <v>3221</v>
      </c>
      <c r="B169" s="8">
        <v>552.45699999999999</v>
      </c>
      <c r="C169" s="8">
        <v>428.56200000000001</v>
      </c>
      <c r="D169" s="9"/>
      <c r="E169" s="8">
        <v>41.194000000000003</v>
      </c>
      <c r="F169" s="8">
        <v>23.681999999999999</v>
      </c>
      <c r="G169" s="8">
        <v>0.19</v>
      </c>
      <c r="H169" t="s">
        <v>4790</v>
      </c>
      <c r="I169" s="5">
        <v>45466</v>
      </c>
      <c r="J169" t="s">
        <v>9</v>
      </c>
    </row>
    <row r="170" spans="1:10">
      <c r="A170" s="3" t="s">
        <v>3244</v>
      </c>
      <c r="B170" s="8">
        <v>527.75199999999995</v>
      </c>
      <c r="C170" s="8">
        <v>411.923</v>
      </c>
      <c r="D170" s="9"/>
      <c r="E170" s="8">
        <v>43.036999999999999</v>
      </c>
      <c r="F170" s="8">
        <v>27.521999999999998</v>
      </c>
      <c r="G170" s="8">
        <v>0.20599999999999999</v>
      </c>
      <c r="H170" t="s">
        <v>4789</v>
      </c>
      <c r="I170" s="5">
        <v>45471</v>
      </c>
      <c r="J170" t="s">
        <v>191</v>
      </c>
    </row>
    <row r="171" spans="1:10">
      <c r="A171" s="3" t="s">
        <v>3265</v>
      </c>
      <c r="B171" s="8">
        <v>585</v>
      </c>
      <c r="C171" s="8">
        <v>451.45499999999998</v>
      </c>
      <c r="D171" s="9"/>
      <c r="E171" s="8">
        <v>39.921999999999997</v>
      </c>
      <c r="F171" s="8">
        <v>28.28</v>
      </c>
      <c r="G171" s="8">
        <v>0.192</v>
      </c>
      <c r="H171" t="s">
        <v>4789</v>
      </c>
      <c r="I171" s="5">
        <v>45474</v>
      </c>
      <c r="J171" t="s">
        <v>4520</v>
      </c>
    </row>
    <row r="172" spans="1:10">
      <c r="A172" s="3" t="s">
        <v>3267</v>
      </c>
      <c r="B172" s="8">
        <v>574.37800000000004</v>
      </c>
      <c r="C172" s="8">
        <v>446.31599999999997</v>
      </c>
      <c r="D172" s="9"/>
      <c r="E172" s="8">
        <v>40.143999999999998</v>
      </c>
      <c r="F172" s="8">
        <v>22.184000000000001</v>
      </c>
      <c r="G172" s="8">
        <v>0.20899999999999999</v>
      </c>
      <c r="H172" t="s">
        <v>4789</v>
      </c>
      <c r="I172" s="5">
        <v>45475</v>
      </c>
      <c r="J172" t="s">
        <v>12</v>
      </c>
    </row>
    <row r="173" spans="1:10">
      <c r="A173" s="3" t="s">
        <v>3270</v>
      </c>
      <c r="B173" s="8">
        <v>304.91699999999997</v>
      </c>
      <c r="C173" s="8">
        <v>244.334</v>
      </c>
      <c r="D173" s="9"/>
      <c r="E173" s="8">
        <v>50.753999999999998</v>
      </c>
      <c r="F173" s="8">
        <v>29.552</v>
      </c>
      <c r="G173" s="8">
        <v>0.248</v>
      </c>
      <c r="H173" t="s">
        <v>4789</v>
      </c>
      <c r="I173" s="5">
        <v>45477</v>
      </c>
      <c r="J173" t="s">
        <v>4523</v>
      </c>
    </row>
    <row r="174" spans="1:10">
      <c r="A174" s="3" t="s">
        <v>3279</v>
      </c>
      <c r="B174" s="8">
        <v>310.16899999999998</v>
      </c>
      <c r="C174" s="8">
        <v>246.57599999999999</v>
      </c>
      <c r="D174" s="9"/>
      <c r="E174" s="8">
        <v>49.235999999999997</v>
      </c>
      <c r="F174" s="8">
        <v>33.326999999999998</v>
      </c>
      <c r="G174" s="8">
        <v>0.24</v>
      </c>
      <c r="H174" t="s">
        <v>4789</v>
      </c>
      <c r="I174" s="5">
        <v>45478</v>
      </c>
      <c r="J174" t="s">
        <v>4512</v>
      </c>
    </row>
    <row r="175" spans="1:10">
      <c r="A175" s="3" t="s">
        <v>3289</v>
      </c>
      <c r="B175" s="8">
        <v>298.34199999999998</v>
      </c>
      <c r="C175" s="8">
        <v>238.69900000000001</v>
      </c>
      <c r="D175" s="9"/>
      <c r="E175" s="8">
        <v>50.573</v>
      </c>
      <c r="F175" s="8">
        <v>29.413</v>
      </c>
      <c r="G175" s="8">
        <v>0.24199999999999999</v>
      </c>
      <c r="H175" t="s">
        <v>4789</v>
      </c>
      <c r="I175" s="5">
        <v>45480</v>
      </c>
      <c r="J175" t="s">
        <v>9</v>
      </c>
    </row>
    <row r="176" spans="1:10">
      <c r="A176" s="3" t="s">
        <v>3298</v>
      </c>
      <c r="B176" s="8">
        <v>301.94299999999998</v>
      </c>
      <c r="C176" s="8">
        <v>245.08500000000001</v>
      </c>
      <c r="D176" s="9"/>
      <c r="E176" s="8">
        <v>50.145000000000003</v>
      </c>
      <c r="F176" s="8">
        <v>35.567</v>
      </c>
      <c r="G176" s="8">
        <v>0.21099999999999999</v>
      </c>
      <c r="H176" t="s">
        <v>4789</v>
      </c>
      <c r="I176" s="5">
        <v>45481</v>
      </c>
      <c r="J176" t="s">
        <v>191</v>
      </c>
    </row>
    <row r="177" spans="1:10">
      <c r="A177" s="3" t="s">
        <v>3306</v>
      </c>
      <c r="B177" s="8">
        <v>453.32</v>
      </c>
      <c r="C177" s="8">
        <v>357.54599999999999</v>
      </c>
      <c r="D177" s="9"/>
      <c r="E177" s="8">
        <v>44.902999999999999</v>
      </c>
      <c r="F177" s="8">
        <v>25.007999999999999</v>
      </c>
      <c r="G177" s="8">
        <v>0.19400000000000001</v>
      </c>
      <c r="H177" t="s">
        <v>4789</v>
      </c>
      <c r="I177" s="5">
        <v>45483</v>
      </c>
      <c r="J177" t="s">
        <v>4520</v>
      </c>
    </row>
    <row r="178" spans="1:10">
      <c r="A178" s="3" t="s">
        <v>3308</v>
      </c>
      <c r="B178" s="8">
        <v>441.041</v>
      </c>
      <c r="C178" s="8">
        <v>351.12400000000002</v>
      </c>
      <c r="D178" s="9"/>
      <c r="E178" s="8">
        <v>44.082999999999998</v>
      </c>
      <c r="F178" s="8">
        <v>30.582999999999998</v>
      </c>
      <c r="G178" s="8">
        <v>0.21099999999999999</v>
      </c>
      <c r="H178" t="s">
        <v>4789</v>
      </c>
      <c r="I178" s="5">
        <v>45484</v>
      </c>
      <c r="J178" t="s">
        <v>12</v>
      </c>
    </row>
    <row r="179" spans="1:10">
      <c r="A179" s="3" t="s">
        <v>3329</v>
      </c>
      <c r="B179" s="8">
        <v>481.51799999999997</v>
      </c>
      <c r="C179" s="8">
        <v>370.07299999999998</v>
      </c>
      <c r="D179" s="9"/>
      <c r="E179" s="8">
        <v>43.69</v>
      </c>
      <c r="F179" s="8">
        <v>25.225999999999999</v>
      </c>
      <c r="G179" s="8">
        <v>0.20699999999999999</v>
      </c>
      <c r="H179" t="s">
        <v>4789</v>
      </c>
      <c r="I179" s="5">
        <v>45492</v>
      </c>
      <c r="J179" t="s">
        <v>4523</v>
      </c>
    </row>
    <row r="180" spans="1:10">
      <c r="A180" s="3" t="s">
        <v>3336</v>
      </c>
      <c r="B180" s="8">
        <v>481.18400000000003</v>
      </c>
      <c r="C180" s="8">
        <v>381.52600000000001</v>
      </c>
      <c r="D180" s="9"/>
      <c r="E180" s="8">
        <v>43.313000000000002</v>
      </c>
      <c r="F180" s="8">
        <v>24.071000000000002</v>
      </c>
      <c r="G180" s="8">
        <v>0.21199999999999999</v>
      </c>
      <c r="H180" t="s">
        <v>4789</v>
      </c>
      <c r="I180" s="5">
        <v>45493</v>
      </c>
      <c r="J180" t="s">
        <v>4512</v>
      </c>
    </row>
    <row r="181" spans="1:10">
      <c r="A181" s="3" t="s">
        <v>3341</v>
      </c>
      <c r="B181" s="8">
        <v>547.61900000000003</v>
      </c>
      <c r="C181" s="8">
        <v>426.94799999999998</v>
      </c>
      <c r="D181" s="9"/>
      <c r="E181" s="8">
        <v>39.33</v>
      </c>
      <c r="F181" s="8">
        <v>24.36</v>
      </c>
      <c r="G181" s="8">
        <v>0.20200000000000001</v>
      </c>
      <c r="H181" t="s">
        <v>4789</v>
      </c>
      <c r="I181" s="5">
        <v>45492</v>
      </c>
      <c r="J181" t="s">
        <v>9</v>
      </c>
    </row>
    <row r="182" spans="1:10">
      <c r="A182" s="3" t="s">
        <v>3352</v>
      </c>
      <c r="B182" s="8">
        <v>543.83600000000001</v>
      </c>
      <c r="C182" s="8">
        <v>426.46499999999997</v>
      </c>
      <c r="D182" s="9"/>
      <c r="E182" s="8">
        <v>39.04</v>
      </c>
      <c r="F182" s="8">
        <v>27.588000000000001</v>
      </c>
      <c r="G182" s="8">
        <v>0.182</v>
      </c>
      <c r="H182" t="s">
        <v>4789</v>
      </c>
      <c r="I182" s="5">
        <v>45493</v>
      </c>
      <c r="J182" t="s">
        <v>191</v>
      </c>
    </row>
    <row r="183" spans="1:10">
      <c r="A183" s="3" t="s">
        <v>3387</v>
      </c>
      <c r="B183" s="8">
        <v>634.29499999999996</v>
      </c>
      <c r="C183" s="8">
        <v>482.10599999999999</v>
      </c>
      <c r="D183" s="9"/>
      <c r="E183" s="8">
        <v>37.372999999999998</v>
      </c>
      <c r="F183" s="8">
        <v>26.324000000000002</v>
      </c>
      <c r="G183" s="8">
        <v>0.20300000000000001</v>
      </c>
      <c r="H183" t="s">
        <v>4789</v>
      </c>
      <c r="I183" s="5">
        <v>45501</v>
      </c>
      <c r="J183" t="s">
        <v>4520</v>
      </c>
    </row>
    <row r="184" spans="1:10">
      <c r="A184" s="3" t="s">
        <v>3412</v>
      </c>
      <c r="B184" s="8">
        <v>302.93099999999998</v>
      </c>
      <c r="C184" s="8">
        <v>250.089</v>
      </c>
      <c r="D184" s="9"/>
      <c r="E184" s="8">
        <v>51.003999999999998</v>
      </c>
      <c r="F184" s="8">
        <v>31.173999999999999</v>
      </c>
      <c r="G184" s="8">
        <v>0.218</v>
      </c>
      <c r="H184" t="s">
        <v>4789</v>
      </c>
      <c r="I184" s="5">
        <v>45507</v>
      </c>
      <c r="J184" t="s">
        <v>12</v>
      </c>
    </row>
    <row r="185" spans="1:10">
      <c r="A185" s="3" t="s">
        <v>3414</v>
      </c>
      <c r="B185" s="8">
        <v>315.80700000000002</v>
      </c>
      <c r="C185" s="8">
        <v>253.56100000000001</v>
      </c>
      <c r="D185" s="9"/>
      <c r="E185" s="8">
        <v>50.417999999999999</v>
      </c>
      <c r="F185" s="8">
        <v>30.802</v>
      </c>
      <c r="G185" s="8">
        <v>0.219</v>
      </c>
      <c r="H185" t="s">
        <v>4789</v>
      </c>
      <c r="I185" s="5">
        <v>45508</v>
      </c>
      <c r="J185" t="s">
        <v>4523</v>
      </c>
    </row>
    <row r="186" spans="1:10">
      <c r="A186" s="3" t="s">
        <v>3417</v>
      </c>
      <c r="B186" s="8">
        <v>309.51799999999997</v>
      </c>
      <c r="C186" s="8">
        <v>248.19900000000001</v>
      </c>
      <c r="D186" s="9"/>
      <c r="E186" s="8">
        <v>50.186999999999998</v>
      </c>
      <c r="F186" s="8">
        <v>28.687000000000001</v>
      </c>
      <c r="G186" s="8">
        <v>0.22900000000000001</v>
      </c>
      <c r="H186" t="s">
        <v>4791</v>
      </c>
      <c r="I186" s="5">
        <v>45510</v>
      </c>
      <c r="J186" t="s">
        <v>4512</v>
      </c>
    </row>
    <row r="187" spans="1:10">
      <c r="A187" s="3" t="s">
        <v>3428</v>
      </c>
      <c r="B187" s="8">
        <v>296.62200000000001</v>
      </c>
      <c r="C187" s="8">
        <v>246.233</v>
      </c>
      <c r="D187" s="9"/>
      <c r="E187" s="8">
        <v>51.317999999999998</v>
      </c>
      <c r="F187" s="8">
        <v>33.415999999999997</v>
      </c>
      <c r="G187" s="8">
        <v>0.24199999999999999</v>
      </c>
      <c r="H187" t="s">
        <v>4789</v>
      </c>
      <c r="I187" s="5">
        <v>45511</v>
      </c>
      <c r="J187" t="s">
        <v>9</v>
      </c>
    </row>
    <row r="188" spans="1:10">
      <c r="A188" s="3" t="s">
        <v>3469</v>
      </c>
      <c r="B188" s="8">
        <v>546.76499999999999</v>
      </c>
      <c r="C188" s="8">
        <v>418.95299999999997</v>
      </c>
      <c r="D188" s="9"/>
      <c r="E188" s="8">
        <v>42.143000000000001</v>
      </c>
      <c r="F188" s="8">
        <v>28.274999999999999</v>
      </c>
      <c r="G188" s="8">
        <v>0.193</v>
      </c>
      <c r="H188" t="s">
        <v>4789</v>
      </c>
      <c r="I188" s="5">
        <v>45525</v>
      </c>
      <c r="J188" t="s">
        <v>191</v>
      </c>
    </row>
    <row r="189" spans="1:10">
      <c r="A189" s="3" t="s">
        <v>3476</v>
      </c>
      <c r="B189" s="8">
        <v>552.52700000000004</v>
      </c>
      <c r="C189" s="8">
        <v>425.822</v>
      </c>
      <c r="D189" s="9"/>
      <c r="E189" s="8">
        <v>41.88</v>
      </c>
      <c r="F189" s="8">
        <v>26.734999999999999</v>
      </c>
      <c r="G189" s="8">
        <v>0.183</v>
      </c>
      <c r="H189" t="s">
        <v>4789</v>
      </c>
      <c r="I189" s="5">
        <v>45526</v>
      </c>
      <c r="J189" t="s">
        <v>4520</v>
      </c>
    </row>
    <row r="190" spans="1:10">
      <c r="A190" s="3" t="s">
        <v>3481</v>
      </c>
      <c r="B190" s="8">
        <v>369.88900000000001</v>
      </c>
      <c r="C190" s="8">
        <v>299.322</v>
      </c>
      <c r="D190" s="9"/>
      <c r="E190" s="8">
        <v>46.938000000000002</v>
      </c>
      <c r="F190" s="8">
        <v>26.655000000000001</v>
      </c>
      <c r="G190" s="8">
        <v>0.19800000000000001</v>
      </c>
      <c r="H190" t="s">
        <v>4789</v>
      </c>
      <c r="I190" s="5">
        <v>45528</v>
      </c>
      <c r="J190" t="s">
        <v>12</v>
      </c>
    </row>
    <row r="191" spans="1:10">
      <c r="A191" s="3" t="s">
        <v>3490</v>
      </c>
      <c r="B191" s="8">
        <v>386.24799999999999</v>
      </c>
      <c r="C191" s="8">
        <v>304.29700000000003</v>
      </c>
      <c r="D191" s="9"/>
      <c r="E191" s="8">
        <v>46.323999999999998</v>
      </c>
      <c r="F191" s="8">
        <v>30.669</v>
      </c>
      <c r="G191" s="8">
        <v>0.20799999999999999</v>
      </c>
      <c r="H191" t="s">
        <v>4789</v>
      </c>
      <c r="I191" s="5">
        <v>45529</v>
      </c>
      <c r="J191" t="s">
        <v>4523</v>
      </c>
    </row>
    <row r="192" spans="1:10">
      <c r="A192" s="3" t="s">
        <v>3504</v>
      </c>
      <c r="B192" s="8">
        <v>378.71100000000001</v>
      </c>
      <c r="C192" s="8">
        <v>307.56200000000001</v>
      </c>
      <c r="D192" s="9"/>
      <c r="E192" s="8">
        <v>48.045000000000002</v>
      </c>
      <c r="F192" s="8">
        <v>26.975000000000001</v>
      </c>
      <c r="G192" s="8">
        <v>0.22800000000000001</v>
      </c>
      <c r="H192" t="s">
        <v>4789</v>
      </c>
      <c r="I192" s="5">
        <v>45540</v>
      </c>
      <c r="J192" t="s">
        <v>4512</v>
      </c>
    </row>
    <row r="193" spans="1:10">
      <c r="A193" s="3" t="s">
        <v>3505</v>
      </c>
      <c r="B193" s="8">
        <v>381.00700000000001</v>
      </c>
      <c r="C193" s="8">
        <v>298.27</v>
      </c>
      <c r="D193" s="9"/>
      <c r="E193" s="8">
        <v>46.395000000000003</v>
      </c>
      <c r="F193" s="8">
        <v>30.28</v>
      </c>
      <c r="G193" s="8">
        <v>0.216</v>
      </c>
      <c r="H193" t="s">
        <v>4789</v>
      </c>
      <c r="I193" s="5">
        <v>45541</v>
      </c>
      <c r="J193" t="s">
        <v>9</v>
      </c>
    </row>
    <row r="194" spans="1:10">
      <c r="A194" s="3" t="s">
        <v>3507</v>
      </c>
      <c r="B194" s="8">
        <v>534.07000000000005</v>
      </c>
      <c r="C194" s="8">
        <v>409.947</v>
      </c>
      <c r="D194" s="9"/>
      <c r="E194" s="8">
        <v>40.963000000000001</v>
      </c>
      <c r="F194" s="8">
        <v>23.393999999999998</v>
      </c>
      <c r="G194" s="8">
        <v>0.19900000000000001</v>
      </c>
      <c r="H194" t="s">
        <v>4789</v>
      </c>
      <c r="I194" s="5">
        <v>45543</v>
      </c>
      <c r="J194" t="s">
        <v>191</v>
      </c>
    </row>
    <row r="195" spans="1:10">
      <c r="A195" s="3" t="s">
        <v>3512</v>
      </c>
      <c r="B195" s="8">
        <v>541.68799999999999</v>
      </c>
      <c r="C195" s="8">
        <v>415.495</v>
      </c>
      <c r="D195" s="9"/>
      <c r="E195" s="8">
        <v>41.164000000000001</v>
      </c>
      <c r="F195" s="8">
        <v>26.962</v>
      </c>
      <c r="G195" s="8">
        <v>0.2</v>
      </c>
      <c r="H195" t="s">
        <v>4789</v>
      </c>
      <c r="I195" s="5">
        <v>45544</v>
      </c>
      <c r="J195" t="s">
        <v>4520</v>
      </c>
    </row>
    <row r="196" spans="1:10">
      <c r="A196" s="3" t="s">
        <v>3514</v>
      </c>
      <c r="B196" s="8">
        <v>535.97799999999995</v>
      </c>
      <c r="C196" s="8">
        <v>409.98</v>
      </c>
      <c r="D196" s="9"/>
      <c r="E196" s="8">
        <v>40.665999999999997</v>
      </c>
      <c r="F196" s="8">
        <v>23.992000000000001</v>
      </c>
      <c r="G196" s="8">
        <v>0.20799999999999999</v>
      </c>
      <c r="H196" t="s">
        <v>4789</v>
      </c>
      <c r="I196" s="5">
        <v>45546</v>
      </c>
      <c r="J196" t="s">
        <v>12</v>
      </c>
    </row>
    <row r="197" spans="1:10">
      <c r="A197" s="3" t="s">
        <v>3516</v>
      </c>
      <c r="B197" s="8">
        <v>536.27</v>
      </c>
      <c r="C197" s="8">
        <v>419.72800000000001</v>
      </c>
      <c r="D197" s="9"/>
      <c r="E197" s="8">
        <v>41.26</v>
      </c>
      <c r="F197" s="8">
        <v>27.57</v>
      </c>
      <c r="G197" s="8">
        <v>0.191</v>
      </c>
      <c r="H197" t="s">
        <v>4789</v>
      </c>
      <c r="I197" s="5">
        <v>45546</v>
      </c>
      <c r="J197" t="s">
        <v>4523</v>
      </c>
    </row>
    <row r="198" spans="1:10">
      <c r="A198" s="3" t="s">
        <v>3522</v>
      </c>
      <c r="B198" s="8">
        <v>544.19500000000005</v>
      </c>
      <c r="C198" s="8">
        <v>422.91699999999997</v>
      </c>
      <c r="D198" s="9"/>
      <c r="E198" s="8">
        <v>41.404000000000003</v>
      </c>
      <c r="F198" s="8">
        <v>29.791</v>
      </c>
      <c r="G198" s="8">
        <v>0.19600000000000001</v>
      </c>
      <c r="H198" t="s">
        <v>4789</v>
      </c>
      <c r="I198" s="5">
        <v>45547</v>
      </c>
      <c r="J198" t="s">
        <v>4512</v>
      </c>
    </row>
    <row r="199" spans="1:10">
      <c r="A199" s="3" t="s">
        <v>3526</v>
      </c>
      <c r="B199" s="8">
        <v>570.13499999999999</v>
      </c>
      <c r="C199" s="8">
        <v>440.005</v>
      </c>
      <c r="D199" s="9"/>
      <c r="E199" s="8">
        <v>39.960999999999999</v>
      </c>
      <c r="F199" s="8">
        <v>24.899000000000001</v>
      </c>
      <c r="G199" s="8">
        <v>0.189</v>
      </c>
      <c r="H199" t="s">
        <v>4789</v>
      </c>
      <c r="I199" s="5">
        <v>45549</v>
      </c>
      <c r="J199" t="s">
        <v>9</v>
      </c>
    </row>
    <row r="200" spans="1:10">
      <c r="A200" s="3" t="s">
        <v>3527</v>
      </c>
      <c r="B200" s="8">
        <v>569.37900000000002</v>
      </c>
      <c r="C200" s="8">
        <v>441.86900000000003</v>
      </c>
      <c r="D200" s="9"/>
      <c r="E200" s="8">
        <v>39.872</v>
      </c>
      <c r="F200" s="8">
        <v>24.606000000000002</v>
      </c>
      <c r="G200" s="8">
        <v>0.193</v>
      </c>
      <c r="H200" t="s">
        <v>4789</v>
      </c>
      <c r="I200" s="5">
        <v>45550</v>
      </c>
      <c r="J200" t="s">
        <v>191</v>
      </c>
    </row>
    <row r="201" spans="1:10">
      <c r="A201" s="3" t="s">
        <v>3535</v>
      </c>
      <c r="B201" s="8">
        <v>529.26800000000003</v>
      </c>
      <c r="C201" s="8">
        <v>420.81099999999998</v>
      </c>
      <c r="D201" s="9"/>
      <c r="E201" s="8">
        <v>41.412999999999997</v>
      </c>
      <c r="F201" s="8">
        <v>27.071000000000002</v>
      </c>
      <c r="G201" s="8">
        <v>0.216</v>
      </c>
      <c r="H201" t="s">
        <v>4789</v>
      </c>
      <c r="I201" s="5">
        <v>45549</v>
      </c>
      <c r="J201" t="s">
        <v>4520</v>
      </c>
    </row>
    <row r="202" spans="1:10">
      <c r="A202" s="3" t="s">
        <v>3536</v>
      </c>
      <c r="B202" s="8">
        <v>528.07299999999998</v>
      </c>
      <c r="C202" s="8">
        <v>410.41899999999998</v>
      </c>
      <c r="D202" s="9"/>
      <c r="E202" s="8">
        <v>41.220999999999997</v>
      </c>
      <c r="F202" s="8">
        <v>28.76</v>
      </c>
      <c r="G202" s="8">
        <v>0.20300000000000001</v>
      </c>
      <c r="H202" t="s">
        <v>4789</v>
      </c>
      <c r="I202" s="5">
        <v>45550</v>
      </c>
      <c r="J202" t="s">
        <v>12</v>
      </c>
    </row>
    <row r="203" spans="1:10">
      <c r="A203" s="3" t="s">
        <v>3538</v>
      </c>
      <c r="B203" s="8">
        <v>572.57000000000005</v>
      </c>
      <c r="C203" s="8">
        <v>435.93099999999998</v>
      </c>
      <c r="D203" s="9"/>
      <c r="E203" s="8">
        <v>41.026000000000003</v>
      </c>
      <c r="F203" s="8">
        <v>28.018000000000001</v>
      </c>
      <c r="G203" s="8">
        <v>0.185</v>
      </c>
      <c r="H203" t="s">
        <v>4789</v>
      </c>
      <c r="I203" s="5">
        <v>45552</v>
      </c>
      <c r="J203" t="s">
        <v>4523</v>
      </c>
    </row>
    <row r="204" spans="1:10">
      <c r="A204" s="3" t="s">
        <v>3539</v>
      </c>
      <c r="B204" s="8">
        <v>561.55200000000002</v>
      </c>
      <c r="C204" s="8">
        <v>440.58300000000003</v>
      </c>
      <c r="D204" s="9"/>
      <c r="E204" s="8">
        <v>39.880000000000003</v>
      </c>
      <c r="F204" s="8">
        <v>22.789000000000001</v>
      </c>
      <c r="G204" s="8">
        <v>0.193</v>
      </c>
      <c r="H204" t="s">
        <v>4789</v>
      </c>
      <c r="I204" s="5">
        <v>45553</v>
      </c>
      <c r="J204" t="s">
        <v>4512</v>
      </c>
    </row>
    <row r="205" spans="1:10">
      <c r="A205" s="3" t="s">
        <v>3541</v>
      </c>
      <c r="B205" s="8">
        <v>568.12699999999995</v>
      </c>
      <c r="C205" s="8">
        <v>439.50099999999998</v>
      </c>
      <c r="D205" s="9"/>
      <c r="E205" s="8">
        <v>39.659999999999997</v>
      </c>
      <c r="F205" s="8">
        <v>22.495000000000001</v>
      </c>
      <c r="G205" s="8">
        <v>0.20699999999999999</v>
      </c>
      <c r="H205" t="s">
        <v>4789</v>
      </c>
      <c r="I205" s="5">
        <v>45555</v>
      </c>
      <c r="J205" t="s">
        <v>9</v>
      </c>
    </row>
    <row r="206" spans="1:10">
      <c r="A206" s="3" t="s">
        <v>3542</v>
      </c>
      <c r="B206" s="8">
        <v>560.053</v>
      </c>
      <c r="C206" s="8">
        <v>437.53399999999999</v>
      </c>
      <c r="D206" s="9"/>
      <c r="E206" s="8">
        <v>40.235999999999997</v>
      </c>
      <c r="F206" s="8">
        <v>28.498999999999999</v>
      </c>
      <c r="G206" s="8">
        <v>0.20100000000000001</v>
      </c>
      <c r="H206" t="s">
        <v>4789</v>
      </c>
      <c r="I206" s="5">
        <v>45556</v>
      </c>
      <c r="J206" t="s">
        <v>191</v>
      </c>
    </row>
    <row r="207" spans="1:10">
      <c r="A207" s="3" t="s">
        <v>3544</v>
      </c>
      <c r="B207" s="8">
        <v>591.84100000000001</v>
      </c>
      <c r="C207" s="8">
        <v>452.36</v>
      </c>
      <c r="D207" s="9"/>
      <c r="E207" s="8">
        <v>38.369999999999997</v>
      </c>
      <c r="F207" s="8">
        <v>25.925000000000001</v>
      </c>
      <c r="G207" s="8">
        <v>0.20599999999999999</v>
      </c>
      <c r="H207" t="s">
        <v>4789</v>
      </c>
      <c r="I207" s="5">
        <v>45558</v>
      </c>
      <c r="J207" t="s">
        <v>4520</v>
      </c>
    </row>
    <row r="208" spans="1:10">
      <c r="A208" s="3" t="s">
        <v>3549</v>
      </c>
      <c r="B208" s="8">
        <v>576.01700000000005</v>
      </c>
      <c r="C208" s="8">
        <v>441.84500000000003</v>
      </c>
      <c r="D208" s="9"/>
      <c r="E208" s="8">
        <v>39.991999999999997</v>
      </c>
      <c r="F208" s="8">
        <v>23.992999999999999</v>
      </c>
      <c r="G208" s="8">
        <v>0.215</v>
      </c>
      <c r="H208" t="s">
        <v>4789</v>
      </c>
      <c r="I208" s="5">
        <v>45559</v>
      </c>
      <c r="J208" t="s">
        <v>12</v>
      </c>
    </row>
    <row r="209" spans="1:10">
      <c r="A209" s="3" t="s">
        <v>3551</v>
      </c>
      <c r="B209" s="8">
        <v>574.04</v>
      </c>
      <c r="C209" s="8">
        <v>455.733</v>
      </c>
      <c r="D209" s="9"/>
      <c r="E209" s="8">
        <v>39.173000000000002</v>
      </c>
      <c r="F209" s="8">
        <v>22.887</v>
      </c>
      <c r="G209" s="8">
        <v>0.19</v>
      </c>
      <c r="H209" t="s">
        <v>4789</v>
      </c>
      <c r="I209" s="5">
        <v>45555</v>
      </c>
      <c r="J209" t="s">
        <v>4523</v>
      </c>
    </row>
    <row r="210" spans="1:10">
      <c r="A210" s="3" t="s">
        <v>3552</v>
      </c>
      <c r="B210" s="8">
        <v>583.73400000000004</v>
      </c>
      <c r="C210" s="8">
        <v>444.17500000000001</v>
      </c>
      <c r="D210" s="9"/>
      <c r="E210" s="8">
        <v>39.725999999999999</v>
      </c>
      <c r="F210" s="8">
        <v>28.015999999999998</v>
      </c>
      <c r="G210" s="8">
        <v>0.192</v>
      </c>
      <c r="H210" t="s">
        <v>4789</v>
      </c>
      <c r="I210" s="5">
        <v>45556</v>
      </c>
      <c r="J210" t="s">
        <v>4512</v>
      </c>
    </row>
    <row r="211" spans="1:10">
      <c r="A211" s="3" t="s">
        <v>3557</v>
      </c>
      <c r="B211" s="8">
        <v>371.10700000000003</v>
      </c>
      <c r="C211" s="8">
        <v>298.86799999999999</v>
      </c>
      <c r="D211" s="9"/>
      <c r="E211" s="8">
        <v>46.634999999999998</v>
      </c>
      <c r="F211" s="8">
        <v>31.917000000000002</v>
      </c>
      <c r="G211" s="8">
        <v>0.20599999999999999</v>
      </c>
      <c r="H211" t="s">
        <v>4789</v>
      </c>
      <c r="I211" s="5">
        <v>45561</v>
      </c>
      <c r="J211" t="s">
        <v>9</v>
      </c>
    </row>
    <row r="212" spans="1:10">
      <c r="A212" s="3" t="s">
        <v>3562</v>
      </c>
      <c r="B212" s="8">
        <v>383.50599999999997</v>
      </c>
      <c r="C212" s="8">
        <v>302.81099999999998</v>
      </c>
      <c r="D212" s="9"/>
      <c r="E212" s="8">
        <v>47.125999999999998</v>
      </c>
      <c r="F212" s="8">
        <v>30.334</v>
      </c>
      <c r="G212" s="8">
        <v>0.22700000000000001</v>
      </c>
      <c r="H212" t="s">
        <v>4789</v>
      </c>
      <c r="I212" s="5">
        <v>45562</v>
      </c>
      <c r="J212" t="s">
        <v>191</v>
      </c>
    </row>
    <row r="213" spans="1:10">
      <c r="A213" s="3" t="s">
        <v>3566</v>
      </c>
      <c r="B213" s="8">
        <v>399.37200000000001</v>
      </c>
      <c r="C213" s="8">
        <v>314.755</v>
      </c>
      <c r="D213" s="9"/>
      <c r="E213" s="8">
        <v>44.91</v>
      </c>
      <c r="F213" s="8">
        <v>28.131</v>
      </c>
      <c r="G213" s="8">
        <v>0.223</v>
      </c>
      <c r="H213" t="s">
        <v>4789</v>
      </c>
      <c r="I213" s="5">
        <v>45564</v>
      </c>
      <c r="J213" t="s">
        <v>4520</v>
      </c>
    </row>
    <row r="214" spans="1:10">
      <c r="A214" s="3" t="s">
        <v>3601</v>
      </c>
      <c r="B214" s="8">
        <v>574.44100000000003</v>
      </c>
      <c r="C214" s="8">
        <v>438.35</v>
      </c>
      <c r="D214" s="9"/>
      <c r="E214" s="8">
        <v>40.555999999999997</v>
      </c>
      <c r="F214" s="8">
        <v>24.998999999999999</v>
      </c>
      <c r="G214" s="8">
        <v>0.189</v>
      </c>
      <c r="H214" t="s">
        <v>4789</v>
      </c>
      <c r="I214" s="5">
        <v>45576</v>
      </c>
      <c r="J214" t="s">
        <v>12</v>
      </c>
    </row>
    <row r="215" spans="1:10">
      <c r="A215" s="3" t="s">
        <v>3602</v>
      </c>
      <c r="B215" s="8">
        <v>579.03700000000003</v>
      </c>
      <c r="C215" s="8">
        <v>436.44099999999997</v>
      </c>
      <c r="D215" s="9"/>
      <c r="E215" s="8">
        <v>40.04</v>
      </c>
      <c r="F215" s="8">
        <v>27.126000000000001</v>
      </c>
      <c r="G215" s="8">
        <v>0.20200000000000001</v>
      </c>
      <c r="H215" t="s">
        <v>4789</v>
      </c>
      <c r="I215" s="5">
        <v>45577</v>
      </c>
      <c r="J215" t="s">
        <v>4523</v>
      </c>
    </row>
    <row r="216" spans="1:10">
      <c r="A216" s="3" t="s">
        <v>3608</v>
      </c>
      <c r="B216" s="8">
        <v>458.07</v>
      </c>
      <c r="C216" s="8">
        <v>355.90499999999997</v>
      </c>
      <c r="D216" s="9"/>
      <c r="E216" s="8">
        <v>43.313000000000002</v>
      </c>
      <c r="F216" s="8">
        <v>29.454999999999998</v>
      </c>
      <c r="G216" s="8">
        <v>0.20200000000000001</v>
      </c>
      <c r="H216" t="s">
        <v>4789</v>
      </c>
      <c r="I216" s="5">
        <v>45582</v>
      </c>
      <c r="J216" t="s">
        <v>4512</v>
      </c>
    </row>
    <row r="217" spans="1:10">
      <c r="A217" s="3" t="s">
        <v>3619</v>
      </c>
      <c r="B217" s="8">
        <v>530.02499999999998</v>
      </c>
      <c r="C217" s="8">
        <v>415.76900000000001</v>
      </c>
      <c r="D217" s="9"/>
      <c r="E217" s="8">
        <v>41.603999999999999</v>
      </c>
      <c r="F217" s="8">
        <v>26.227</v>
      </c>
      <c r="G217" s="8">
        <v>0.20799999999999999</v>
      </c>
      <c r="H217" t="s">
        <v>4789</v>
      </c>
      <c r="I217" s="5">
        <v>45591</v>
      </c>
      <c r="J217" t="s">
        <v>9</v>
      </c>
    </row>
    <row r="218" spans="1:10">
      <c r="A218" s="3" t="s">
        <v>3620</v>
      </c>
      <c r="B218" s="8">
        <v>552.02700000000004</v>
      </c>
      <c r="C218" s="8">
        <v>422.17599999999999</v>
      </c>
      <c r="D218" s="9"/>
      <c r="E218" s="8">
        <v>39.790999999999997</v>
      </c>
      <c r="F218" s="8">
        <v>23.623999999999999</v>
      </c>
      <c r="G218" s="8">
        <v>0.20799999999999999</v>
      </c>
      <c r="H218" t="s">
        <v>4789</v>
      </c>
      <c r="I218" s="5">
        <v>45592</v>
      </c>
      <c r="J218" t="s">
        <v>191</v>
      </c>
    </row>
    <row r="219" spans="1:10">
      <c r="A219" s="3" t="s">
        <v>3622</v>
      </c>
      <c r="B219" s="8">
        <v>605.52499999999998</v>
      </c>
      <c r="C219" s="8">
        <v>462.77100000000002</v>
      </c>
      <c r="D219" s="9"/>
      <c r="E219" s="8">
        <v>38.308999999999997</v>
      </c>
      <c r="F219" s="8">
        <v>25</v>
      </c>
      <c r="G219" s="8">
        <v>0.19500000000000001</v>
      </c>
      <c r="H219" t="s">
        <v>4790</v>
      </c>
      <c r="I219" s="5">
        <v>45594</v>
      </c>
      <c r="J219" t="s">
        <v>4520</v>
      </c>
    </row>
    <row r="220" spans="1:10">
      <c r="A220" s="3" t="s">
        <v>3623</v>
      </c>
      <c r="B220" s="8">
        <v>594.072</v>
      </c>
      <c r="C220" s="8">
        <v>458.33499999999998</v>
      </c>
      <c r="D220" s="9"/>
      <c r="E220" s="8">
        <v>39.4</v>
      </c>
      <c r="F220" s="8">
        <v>22.832999999999998</v>
      </c>
      <c r="G220" s="8">
        <v>0.2</v>
      </c>
      <c r="H220" t="s">
        <v>4789</v>
      </c>
      <c r="I220" s="5">
        <v>45595</v>
      </c>
      <c r="J220" t="s">
        <v>12</v>
      </c>
    </row>
    <row r="221" spans="1:10">
      <c r="A221" s="3" t="s">
        <v>3627</v>
      </c>
      <c r="B221" s="8">
        <v>585.11900000000003</v>
      </c>
      <c r="C221" s="8">
        <v>456.89299999999997</v>
      </c>
      <c r="D221" s="9"/>
      <c r="E221" s="8">
        <v>38.015000000000001</v>
      </c>
      <c r="F221" s="8">
        <v>25.734999999999999</v>
      </c>
      <c r="G221" s="8">
        <v>0.20599999999999999</v>
      </c>
      <c r="H221" t="s">
        <v>4789</v>
      </c>
      <c r="I221" s="5">
        <v>45597</v>
      </c>
      <c r="J221" t="s">
        <v>4523</v>
      </c>
    </row>
    <row r="222" spans="1:10">
      <c r="A222" s="3" t="s">
        <v>3628</v>
      </c>
      <c r="B222" s="8">
        <v>595.08900000000006</v>
      </c>
      <c r="C222" s="8">
        <v>463.70499999999998</v>
      </c>
      <c r="D222" s="9"/>
      <c r="E222" s="8">
        <v>38.307000000000002</v>
      </c>
      <c r="F222" s="8">
        <v>27.492000000000001</v>
      </c>
      <c r="G222" s="8">
        <v>0.20899999999999999</v>
      </c>
      <c r="H222" t="s">
        <v>4789</v>
      </c>
      <c r="I222" s="5">
        <v>45598</v>
      </c>
      <c r="J222" t="s">
        <v>4512</v>
      </c>
    </row>
    <row r="223" spans="1:10">
      <c r="A223" s="3" t="s">
        <v>3630</v>
      </c>
      <c r="B223" s="8">
        <v>350.83699999999999</v>
      </c>
      <c r="C223" s="8">
        <v>276.16399999999999</v>
      </c>
      <c r="D223" s="9"/>
      <c r="E223" s="8">
        <v>48.747999999999998</v>
      </c>
      <c r="F223" s="8">
        <v>30.774000000000001</v>
      </c>
      <c r="G223" s="8">
        <v>0.23599999999999999</v>
      </c>
      <c r="H223" t="s">
        <v>4789</v>
      </c>
      <c r="I223" s="5">
        <v>45600</v>
      </c>
      <c r="J223" t="s">
        <v>9</v>
      </c>
    </row>
    <row r="224" spans="1:10">
      <c r="A224" s="3" t="s">
        <v>3631</v>
      </c>
      <c r="B224" s="8">
        <v>344.03300000000002</v>
      </c>
      <c r="C224" s="8">
        <v>282.34699999999998</v>
      </c>
      <c r="D224" s="9"/>
      <c r="E224" s="8">
        <v>48.024000000000001</v>
      </c>
      <c r="F224" s="8">
        <v>30.8</v>
      </c>
      <c r="G224" s="8">
        <v>0.224</v>
      </c>
      <c r="H224" t="s">
        <v>4789</v>
      </c>
      <c r="I224" s="5">
        <v>45601</v>
      </c>
      <c r="J224" t="s">
        <v>191</v>
      </c>
    </row>
    <row r="225" spans="1:10">
      <c r="A225" s="3" t="s">
        <v>3637</v>
      </c>
      <c r="B225" s="8">
        <v>327.96899999999999</v>
      </c>
      <c r="C225" s="8">
        <v>258.702</v>
      </c>
      <c r="D225" s="9"/>
      <c r="E225" s="8">
        <v>49.718000000000004</v>
      </c>
      <c r="F225" s="8">
        <v>29.312000000000001</v>
      </c>
      <c r="G225" s="8">
        <v>0.25800000000000001</v>
      </c>
      <c r="H225" t="s">
        <v>4789</v>
      </c>
      <c r="I225" s="5">
        <v>45606</v>
      </c>
      <c r="J225" t="s">
        <v>4520</v>
      </c>
    </row>
    <row r="226" spans="1:10">
      <c r="A226" s="3" t="s">
        <v>3641</v>
      </c>
      <c r="B226" s="8">
        <v>321.971</v>
      </c>
      <c r="C226" s="8">
        <v>250.446</v>
      </c>
      <c r="D226" s="9"/>
      <c r="E226" s="8">
        <v>50.673000000000002</v>
      </c>
      <c r="F226" s="8">
        <v>29.475000000000001</v>
      </c>
      <c r="G226" s="8">
        <v>0.224</v>
      </c>
      <c r="H226" t="s">
        <v>4789</v>
      </c>
      <c r="I226" s="5">
        <v>45607</v>
      </c>
      <c r="J226" t="s">
        <v>12</v>
      </c>
    </row>
    <row r="227" spans="1:10">
      <c r="A227" s="3" t="s">
        <v>3642</v>
      </c>
      <c r="B227" s="8">
        <v>312.89299999999997</v>
      </c>
      <c r="C227" s="8">
        <v>259.04199999999997</v>
      </c>
      <c r="D227" s="9"/>
      <c r="E227" s="8">
        <v>50.594999999999999</v>
      </c>
      <c r="F227" s="8">
        <v>29.809000000000001</v>
      </c>
      <c r="G227" s="8">
        <v>0.223</v>
      </c>
      <c r="H227" t="s">
        <v>4789</v>
      </c>
      <c r="I227" s="5">
        <v>45608</v>
      </c>
      <c r="J227" t="s">
        <v>4523</v>
      </c>
    </row>
    <row r="228" spans="1:10">
      <c r="A228" s="3" t="s">
        <v>3650</v>
      </c>
      <c r="B228" s="8">
        <v>532.63300000000004</v>
      </c>
      <c r="C228" s="8">
        <v>416.59399999999999</v>
      </c>
      <c r="D228" s="9"/>
      <c r="E228" s="8">
        <v>41.423999999999999</v>
      </c>
      <c r="F228" s="8">
        <v>26.012</v>
      </c>
      <c r="G228" s="8">
        <v>0.22600000000000001</v>
      </c>
      <c r="H228" t="s">
        <v>4789</v>
      </c>
      <c r="I228" s="5">
        <v>45615</v>
      </c>
      <c r="J228" t="s">
        <v>4512</v>
      </c>
    </row>
    <row r="229" spans="1:10">
      <c r="A229" s="3" t="s">
        <v>3655</v>
      </c>
      <c r="B229" s="8">
        <v>530.46600000000001</v>
      </c>
      <c r="C229" s="8">
        <v>407.68099999999998</v>
      </c>
      <c r="D229" s="9"/>
      <c r="E229" s="8">
        <v>41.673999999999999</v>
      </c>
      <c r="F229" s="8">
        <v>28.550999999999998</v>
      </c>
      <c r="G229" s="8">
        <v>0.20499999999999999</v>
      </c>
      <c r="H229" t="s">
        <v>4789</v>
      </c>
      <c r="I229" s="5">
        <v>45616</v>
      </c>
      <c r="J229" t="s">
        <v>9</v>
      </c>
    </row>
    <row r="230" spans="1:10">
      <c r="A230" s="3" t="s">
        <v>3657</v>
      </c>
      <c r="B230" s="8">
        <v>609.82100000000003</v>
      </c>
      <c r="C230" s="8">
        <v>466.33199999999999</v>
      </c>
      <c r="D230" s="9"/>
      <c r="E230" s="8">
        <v>38.192999999999998</v>
      </c>
      <c r="F230" s="8">
        <v>22.550999999999998</v>
      </c>
      <c r="G230" s="8">
        <v>0.187</v>
      </c>
      <c r="H230" t="s">
        <v>4789</v>
      </c>
      <c r="I230" s="5">
        <v>45618</v>
      </c>
      <c r="J230" t="s">
        <v>191</v>
      </c>
    </row>
    <row r="231" spans="1:10">
      <c r="A231" s="3" t="s">
        <v>3662</v>
      </c>
      <c r="B231" s="8">
        <v>599.69000000000005</v>
      </c>
      <c r="C231" s="8">
        <v>463.404</v>
      </c>
      <c r="D231" s="9"/>
      <c r="E231" s="8">
        <v>39.887999999999998</v>
      </c>
      <c r="F231" s="8">
        <v>27.474</v>
      </c>
      <c r="G231" s="8">
        <v>0.188</v>
      </c>
      <c r="H231" t="s">
        <v>4789</v>
      </c>
      <c r="I231" s="5">
        <v>45619</v>
      </c>
      <c r="J231" t="s">
        <v>4520</v>
      </c>
    </row>
    <row r="232" spans="1:10">
      <c r="A232" s="3" t="s">
        <v>3664</v>
      </c>
      <c r="B232" s="8">
        <v>614.4</v>
      </c>
      <c r="C232" s="8">
        <v>465.86</v>
      </c>
      <c r="D232" s="9"/>
      <c r="E232" s="8">
        <v>37.927999999999997</v>
      </c>
      <c r="F232" s="8">
        <v>24.942</v>
      </c>
      <c r="G232" s="8">
        <v>0.20799999999999999</v>
      </c>
      <c r="H232" t="s">
        <v>4789</v>
      </c>
      <c r="I232" s="5">
        <v>45618</v>
      </c>
      <c r="J232" t="s">
        <v>12</v>
      </c>
    </row>
    <row r="233" spans="1:10">
      <c r="A233" s="3" t="s">
        <v>3669</v>
      </c>
      <c r="B233" s="8">
        <v>618.25400000000002</v>
      </c>
      <c r="C233" s="8">
        <v>480.03100000000001</v>
      </c>
      <c r="D233" s="9"/>
      <c r="E233" s="8">
        <v>37.148000000000003</v>
      </c>
      <c r="F233" s="8">
        <v>25.34</v>
      </c>
      <c r="G233" s="8">
        <v>0.20499999999999999</v>
      </c>
      <c r="H233" t="s">
        <v>4789</v>
      </c>
      <c r="I233" s="5">
        <v>45619</v>
      </c>
      <c r="J233" t="s">
        <v>4523</v>
      </c>
    </row>
    <row r="234" spans="1:10">
      <c r="A234" s="3" t="s">
        <v>3677</v>
      </c>
      <c r="B234" s="8">
        <v>377.202</v>
      </c>
      <c r="C234" s="8">
        <v>295.52199999999999</v>
      </c>
      <c r="D234" s="9"/>
      <c r="E234" s="8">
        <v>46.99</v>
      </c>
      <c r="F234" s="8">
        <v>32.156999999999996</v>
      </c>
      <c r="G234" s="8">
        <v>0.22700000000000001</v>
      </c>
      <c r="H234" t="s">
        <v>4790</v>
      </c>
      <c r="I234" s="5">
        <v>45627</v>
      </c>
      <c r="J234" t="s">
        <v>4512</v>
      </c>
    </row>
    <row r="235" spans="1:10">
      <c r="A235" s="3" t="s">
        <v>3681</v>
      </c>
      <c r="B235" s="8">
        <v>369.61599999999999</v>
      </c>
      <c r="C235" s="8">
        <v>292.33800000000002</v>
      </c>
      <c r="D235" s="9"/>
      <c r="E235" s="8">
        <v>47.718000000000004</v>
      </c>
      <c r="F235" s="8">
        <v>29.346</v>
      </c>
      <c r="G235" s="8">
        <v>0.20799999999999999</v>
      </c>
      <c r="H235" t="s">
        <v>4789</v>
      </c>
      <c r="I235" s="5">
        <v>45628</v>
      </c>
      <c r="J235" t="s">
        <v>9</v>
      </c>
    </row>
    <row r="236" spans="1:10">
      <c r="A236" s="3" t="s">
        <v>3682</v>
      </c>
      <c r="B236" s="8">
        <v>380.721</v>
      </c>
      <c r="C236" s="8">
        <v>297.31599999999997</v>
      </c>
      <c r="D236" s="9"/>
      <c r="E236" s="8">
        <v>49.701999999999998</v>
      </c>
      <c r="F236" s="8">
        <v>33.691000000000003</v>
      </c>
      <c r="G236" s="8">
        <v>0.21099999999999999</v>
      </c>
      <c r="H236" t="s">
        <v>4789</v>
      </c>
      <c r="I236" s="5">
        <v>45629</v>
      </c>
      <c r="J236" t="s">
        <v>191</v>
      </c>
    </row>
    <row r="237" spans="1:10">
      <c r="A237" s="3" t="s">
        <v>3684</v>
      </c>
      <c r="B237" s="8">
        <v>417.709</v>
      </c>
      <c r="C237" s="8">
        <v>325.65699999999998</v>
      </c>
      <c r="D237" s="9"/>
      <c r="E237" s="8">
        <v>45.31</v>
      </c>
      <c r="F237" s="8">
        <v>29.559000000000001</v>
      </c>
      <c r="G237" s="8">
        <v>0.214</v>
      </c>
      <c r="H237" t="s">
        <v>4789</v>
      </c>
      <c r="I237" s="5">
        <v>45630</v>
      </c>
      <c r="J237" t="s">
        <v>4520</v>
      </c>
    </row>
    <row r="238" spans="1:10">
      <c r="A238" s="3" t="s">
        <v>3689</v>
      </c>
      <c r="B238" s="8">
        <v>407.15600000000001</v>
      </c>
      <c r="C238" s="8">
        <v>324.85000000000002</v>
      </c>
      <c r="D238" s="9"/>
      <c r="E238" s="8">
        <v>47.725999999999999</v>
      </c>
      <c r="F238" s="8">
        <v>32.124000000000002</v>
      </c>
      <c r="G238" s="8">
        <v>0.21199999999999999</v>
      </c>
      <c r="H238" t="s">
        <v>4789</v>
      </c>
      <c r="I238" s="5">
        <v>45631</v>
      </c>
      <c r="J238" t="s">
        <v>12</v>
      </c>
    </row>
    <row r="239" spans="1:10">
      <c r="A239" s="3" t="s">
        <v>3691</v>
      </c>
      <c r="B239" s="8">
        <v>392.04500000000002</v>
      </c>
      <c r="C239" s="8">
        <v>307.33800000000002</v>
      </c>
      <c r="D239" s="9"/>
      <c r="E239" s="8">
        <v>46.439</v>
      </c>
      <c r="F239" s="8">
        <v>32.46</v>
      </c>
      <c r="G239" s="8">
        <v>0.22</v>
      </c>
      <c r="H239" t="s">
        <v>4789</v>
      </c>
      <c r="I239" s="5">
        <v>45633</v>
      </c>
      <c r="J239" t="s">
        <v>4523</v>
      </c>
    </row>
    <row r="240" spans="1:10">
      <c r="A240" s="3" t="s">
        <v>3692</v>
      </c>
      <c r="B240" s="8">
        <v>399.51299999999998</v>
      </c>
      <c r="C240" s="8">
        <v>318.54700000000003</v>
      </c>
      <c r="D240" s="9"/>
      <c r="E240" s="8">
        <v>46.523000000000003</v>
      </c>
      <c r="F240" s="8">
        <v>29.98</v>
      </c>
      <c r="G240" s="8">
        <v>0.20300000000000001</v>
      </c>
      <c r="H240" t="s">
        <v>4789</v>
      </c>
      <c r="I240" s="5">
        <v>45634</v>
      </c>
      <c r="J240" t="s">
        <v>4512</v>
      </c>
    </row>
    <row r="241" spans="1:10">
      <c r="A241" s="3" t="s">
        <v>3698</v>
      </c>
      <c r="B241" s="8">
        <v>539.08399999999995</v>
      </c>
      <c r="C241" s="8">
        <v>416.99900000000002</v>
      </c>
      <c r="D241" s="9"/>
      <c r="E241" s="8">
        <v>41.338999999999999</v>
      </c>
      <c r="F241" s="8">
        <v>29.361000000000001</v>
      </c>
      <c r="G241" s="8">
        <v>0.20899999999999999</v>
      </c>
      <c r="H241" t="s">
        <v>4789</v>
      </c>
      <c r="I241" s="5">
        <v>45636</v>
      </c>
      <c r="J241" t="s">
        <v>9</v>
      </c>
    </row>
    <row r="242" spans="1:10">
      <c r="A242" s="3" t="s">
        <v>3705</v>
      </c>
      <c r="B242" s="8">
        <v>539.61</v>
      </c>
      <c r="C242" s="8">
        <v>422.78300000000002</v>
      </c>
      <c r="D242" s="9"/>
      <c r="E242" s="8">
        <v>40.04</v>
      </c>
      <c r="F242" s="8">
        <v>27.646000000000001</v>
      </c>
      <c r="G242" s="8">
        <v>0.19400000000000001</v>
      </c>
      <c r="H242" t="s">
        <v>4789</v>
      </c>
      <c r="I242" s="5">
        <v>45637</v>
      </c>
      <c r="J242" t="s">
        <v>191</v>
      </c>
    </row>
    <row r="243" spans="1:10">
      <c r="A243" s="3" t="s">
        <v>3710</v>
      </c>
      <c r="B243" s="8">
        <v>545.76800000000003</v>
      </c>
      <c r="C243" s="8">
        <v>427.61900000000003</v>
      </c>
      <c r="D243" s="9"/>
      <c r="E243" s="8">
        <v>40.203000000000003</v>
      </c>
      <c r="F243" s="8">
        <v>28.884</v>
      </c>
      <c r="G243" s="8">
        <v>0.20100000000000001</v>
      </c>
      <c r="H243" t="s">
        <v>4789</v>
      </c>
      <c r="I243" s="5">
        <v>45638</v>
      </c>
      <c r="J243" t="s">
        <v>4520</v>
      </c>
    </row>
    <row r="244" spans="1:10">
      <c r="A244" s="3" t="s">
        <v>3718</v>
      </c>
      <c r="B244" s="8">
        <v>615.10599999999999</v>
      </c>
      <c r="D244" s="8">
        <v>475.13200000000001</v>
      </c>
      <c r="E244" s="8">
        <v>38.344000000000001</v>
      </c>
      <c r="F244" s="8">
        <v>24.632000000000001</v>
      </c>
      <c r="G244" s="8">
        <v>0.21199999999999999</v>
      </c>
      <c r="H244" t="s">
        <v>4789</v>
      </c>
      <c r="I244" s="5">
        <v>45645</v>
      </c>
      <c r="J244" t="s">
        <v>12</v>
      </c>
    </row>
    <row r="245" spans="1:10">
      <c r="A245" s="3" t="s">
        <v>3727</v>
      </c>
      <c r="B245" s="8">
        <v>615.08299999999997</v>
      </c>
      <c r="D245" s="8">
        <v>477.52300000000002</v>
      </c>
      <c r="E245" s="8">
        <v>38.06</v>
      </c>
      <c r="F245" s="8">
        <v>24.823</v>
      </c>
      <c r="G245" s="8">
        <v>0.17399999999999999</v>
      </c>
      <c r="H245" t="s">
        <v>4789</v>
      </c>
      <c r="I245" s="5">
        <v>45646</v>
      </c>
      <c r="J245" t="s">
        <v>4523</v>
      </c>
    </row>
    <row r="246" spans="1:10">
      <c r="A246" s="3" t="s">
        <v>3737</v>
      </c>
      <c r="B246" s="8">
        <v>354.98899999999998</v>
      </c>
      <c r="D246" s="8">
        <v>282.017</v>
      </c>
      <c r="E246" s="8">
        <v>49.189</v>
      </c>
      <c r="F246" s="8">
        <v>27.751999999999999</v>
      </c>
      <c r="G246" s="8">
        <v>0.23899999999999999</v>
      </c>
      <c r="H246" t="s">
        <v>4789</v>
      </c>
      <c r="I246" s="5">
        <v>45648</v>
      </c>
      <c r="J246" t="s">
        <v>4512</v>
      </c>
    </row>
    <row r="247" spans="1:10">
      <c r="A247" s="3" t="s">
        <v>3746</v>
      </c>
      <c r="B247" s="8">
        <v>333.25299999999999</v>
      </c>
      <c r="D247" s="8">
        <v>275.43299999999999</v>
      </c>
      <c r="E247" s="8">
        <v>48.597999999999999</v>
      </c>
      <c r="F247" s="8">
        <v>30.963999999999999</v>
      </c>
      <c r="G247" s="8">
        <v>0.23899999999999999</v>
      </c>
      <c r="H247" t="s">
        <v>4790</v>
      </c>
      <c r="I247" s="5">
        <v>45649</v>
      </c>
      <c r="J247" t="s">
        <v>9</v>
      </c>
    </row>
    <row r="248" spans="1:10">
      <c r="A248" s="3" t="s">
        <v>3767</v>
      </c>
      <c r="B248" s="8">
        <v>456.22300000000001</v>
      </c>
      <c r="D248" s="8">
        <v>352.01299999999998</v>
      </c>
      <c r="E248" s="8">
        <v>43.359000000000002</v>
      </c>
      <c r="F248" s="8">
        <v>26.87</v>
      </c>
      <c r="G248" s="8">
        <v>0.221</v>
      </c>
      <c r="H248" t="s">
        <v>4789</v>
      </c>
      <c r="I248" s="5">
        <v>45657</v>
      </c>
      <c r="J248" t="s">
        <v>191</v>
      </c>
    </row>
    <row r="249" spans="1:10">
      <c r="A249" s="3" t="s">
        <v>3774</v>
      </c>
      <c r="B249" s="8">
        <v>463.56200000000001</v>
      </c>
      <c r="D249" s="8">
        <v>360.76600000000002</v>
      </c>
      <c r="E249" s="8">
        <v>44.286999999999999</v>
      </c>
      <c r="F249" s="8">
        <v>30.469000000000001</v>
      </c>
      <c r="G249" s="8">
        <v>0.23</v>
      </c>
      <c r="H249" t="s">
        <v>4789</v>
      </c>
      <c r="I249" s="5">
        <v>45658</v>
      </c>
      <c r="J249" t="s">
        <v>4520</v>
      </c>
    </row>
    <row r="250" spans="1:10">
      <c r="A250" s="3" t="s">
        <v>3798</v>
      </c>
      <c r="B250" s="8">
        <v>330.863</v>
      </c>
      <c r="D250" s="8">
        <v>270.887</v>
      </c>
      <c r="E250" s="8">
        <v>47.850999999999999</v>
      </c>
      <c r="F250" s="8">
        <v>30.911000000000001</v>
      </c>
      <c r="G250" s="8">
        <v>0.22600000000000001</v>
      </c>
      <c r="H250" t="s">
        <v>4790</v>
      </c>
      <c r="I250" s="5">
        <v>45675</v>
      </c>
      <c r="J250" t="s">
        <v>12</v>
      </c>
    </row>
    <row r="251" spans="1:10">
      <c r="A251" s="3" t="s">
        <v>3803</v>
      </c>
      <c r="B251" s="8">
        <v>325.202</v>
      </c>
      <c r="D251" s="8">
        <v>260.62299999999999</v>
      </c>
      <c r="E251" s="8">
        <v>48.973999999999997</v>
      </c>
      <c r="F251" s="8">
        <v>28.116</v>
      </c>
      <c r="G251" s="8">
        <v>0.22700000000000001</v>
      </c>
      <c r="H251" t="s">
        <v>4789</v>
      </c>
      <c r="I251" s="5">
        <v>45678</v>
      </c>
      <c r="J251" t="s">
        <v>4523</v>
      </c>
    </row>
    <row r="252" spans="1:10">
      <c r="A252" s="3" t="s">
        <v>3812</v>
      </c>
      <c r="B252" s="8">
        <v>323.98599999999999</v>
      </c>
      <c r="D252" s="8">
        <v>262.61700000000002</v>
      </c>
      <c r="E252" s="8">
        <v>49.35</v>
      </c>
      <c r="F252" s="8">
        <v>28.73</v>
      </c>
      <c r="G252" s="8">
        <v>0.23100000000000001</v>
      </c>
      <c r="H252" t="s">
        <v>4789</v>
      </c>
      <c r="I252" s="5">
        <v>45679</v>
      </c>
      <c r="J252" t="s">
        <v>4512</v>
      </c>
    </row>
    <row r="253" spans="1:10">
      <c r="A253" s="3" t="s">
        <v>3820</v>
      </c>
      <c r="B253" s="8">
        <v>608.779</v>
      </c>
      <c r="D253" s="8">
        <v>469.38</v>
      </c>
      <c r="E253" s="8">
        <v>37.939</v>
      </c>
      <c r="F253" s="8">
        <v>22.175000000000001</v>
      </c>
      <c r="G253" s="8">
        <v>0.17100000000000001</v>
      </c>
      <c r="H253" t="s">
        <v>4789</v>
      </c>
      <c r="I253" s="5">
        <v>45690</v>
      </c>
      <c r="J253" t="s">
        <v>9</v>
      </c>
    </row>
    <row r="254" spans="1:10">
      <c r="A254" s="3" t="s">
        <v>3822</v>
      </c>
      <c r="B254" s="8">
        <v>618.09799999999996</v>
      </c>
      <c r="D254" s="8">
        <v>484.44799999999998</v>
      </c>
      <c r="E254" s="8">
        <v>37.548000000000002</v>
      </c>
      <c r="F254" s="8">
        <v>24.905000000000001</v>
      </c>
      <c r="G254" s="8">
        <v>0.188</v>
      </c>
      <c r="H254" t="s">
        <v>4789</v>
      </c>
      <c r="I254" s="5">
        <v>45691</v>
      </c>
      <c r="J254" t="s">
        <v>191</v>
      </c>
    </row>
    <row r="255" spans="1:10">
      <c r="A255" s="3" t="s">
        <v>3836</v>
      </c>
      <c r="B255" s="8">
        <v>398.89</v>
      </c>
      <c r="D255" s="8">
        <v>313.29899999999998</v>
      </c>
      <c r="E255" s="8">
        <v>47.738999999999997</v>
      </c>
      <c r="F255" s="8">
        <v>33.533000000000001</v>
      </c>
      <c r="G255" s="8">
        <v>0.221</v>
      </c>
      <c r="H255" t="s">
        <v>4789</v>
      </c>
      <c r="I255" s="5">
        <v>45702</v>
      </c>
      <c r="J255" t="s">
        <v>4520</v>
      </c>
    </row>
    <row r="256" spans="1:10">
      <c r="A256" s="3" t="s">
        <v>3845</v>
      </c>
      <c r="B256" s="8">
        <v>384.685</v>
      </c>
      <c r="D256" s="8">
        <v>305.27199999999999</v>
      </c>
      <c r="E256" s="8">
        <v>46.738999999999997</v>
      </c>
      <c r="F256" s="8">
        <v>30.923999999999999</v>
      </c>
      <c r="G256" s="8">
        <v>0.23799999999999999</v>
      </c>
      <c r="H256" t="s">
        <v>4789</v>
      </c>
      <c r="I256" s="5">
        <v>45703</v>
      </c>
      <c r="J256" t="s">
        <v>12</v>
      </c>
    </row>
    <row r="257" spans="1:10">
      <c r="A257" s="3" t="s">
        <v>3851</v>
      </c>
      <c r="B257" s="8">
        <v>495.62099999999998</v>
      </c>
      <c r="D257" s="8">
        <v>377.577</v>
      </c>
      <c r="E257" s="8">
        <v>43.034999999999997</v>
      </c>
      <c r="F257" s="8">
        <v>23.931999999999999</v>
      </c>
      <c r="G257" s="8">
        <v>0.21</v>
      </c>
      <c r="H257" t="s">
        <v>4789</v>
      </c>
      <c r="I257" s="5">
        <v>45705</v>
      </c>
      <c r="J257" t="s">
        <v>4523</v>
      </c>
    </row>
    <row r="258" spans="1:10">
      <c r="A258" s="3" t="s">
        <v>3858</v>
      </c>
      <c r="B258" s="8">
        <v>508.41899999999998</v>
      </c>
      <c r="D258" s="8">
        <v>396.89299999999997</v>
      </c>
      <c r="E258" s="8">
        <v>41.776000000000003</v>
      </c>
      <c r="F258" s="8">
        <v>29.516999999999999</v>
      </c>
      <c r="G258" s="8">
        <v>0.21</v>
      </c>
      <c r="H258" t="s">
        <v>4789</v>
      </c>
      <c r="I258" s="5">
        <v>45708</v>
      </c>
      <c r="J258" t="s">
        <v>4512</v>
      </c>
    </row>
    <row r="259" spans="1:10">
      <c r="A259" s="3" t="s">
        <v>3867</v>
      </c>
      <c r="B259" s="8">
        <v>503.59199999999998</v>
      </c>
      <c r="D259" s="8">
        <v>389.19799999999998</v>
      </c>
      <c r="E259" s="8">
        <v>42.884</v>
      </c>
      <c r="F259" s="8">
        <v>30.401</v>
      </c>
      <c r="G259" s="8">
        <v>0.221</v>
      </c>
      <c r="H259" t="s">
        <v>4789</v>
      </c>
      <c r="I259" s="5">
        <v>45709</v>
      </c>
      <c r="J259" t="s">
        <v>9</v>
      </c>
    </row>
    <row r="260" spans="1:10">
      <c r="A260" s="3" t="s">
        <v>3873</v>
      </c>
      <c r="B260" s="8">
        <v>569.49</v>
      </c>
      <c r="D260" s="8">
        <v>433.863</v>
      </c>
      <c r="E260" s="8">
        <v>39.201999999999998</v>
      </c>
      <c r="F260" s="8">
        <v>25.268999999999998</v>
      </c>
      <c r="G260" s="8">
        <v>0.21099999999999999</v>
      </c>
      <c r="H260" t="s">
        <v>4789</v>
      </c>
      <c r="I260" s="5">
        <v>45708</v>
      </c>
      <c r="J260" t="s">
        <v>191</v>
      </c>
    </row>
    <row r="261" spans="1:10">
      <c r="A261" s="3" t="s">
        <v>3882</v>
      </c>
      <c r="B261" s="8">
        <v>571.976</v>
      </c>
      <c r="D261" s="8">
        <v>438.93200000000002</v>
      </c>
      <c r="E261" s="8">
        <v>38.405999999999999</v>
      </c>
      <c r="F261" s="8">
        <v>24.247</v>
      </c>
      <c r="G261" s="8">
        <v>0.19500000000000001</v>
      </c>
      <c r="H261" t="s">
        <v>4789</v>
      </c>
      <c r="I261" s="5">
        <v>45709</v>
      </c>
      <c r="J261" t="s">
        <v>4520</v>
      </c>
    </row>
    <row r="262" spans="1:10">
      <c r="A262" s="3" t="s">
        <v>3894</v>
      </c>
      <c r="B262" s="8">
        <v>479.58100000000002</v>
      </c>
      <c r="D262" s="8">
        <v>379.01499999999999</v>
      </c>
      <c r="E262" s="8">
        <v>42.311999999999998</v>
      </c>
      <c r="F262" s="8">
        <v>28.381</v>
      </c>
      <c r="G262" s="8">
        <v>0.20300000000000001</v>
      </c>
      <c r="H262" t="s">
        <v>4789</v>
      </c>
      <c r="I262" s="5">
        <v>45711</v>
      </c>
      <c r="J262" t="s">
        <v>12</v>
      </c>
    </row>
    <row r="263" spans="1:10">
      <c r="A263" s="3" t="s">
        <v>3903</v>
      </c>
      <c r="B263" s="8">
        <v>496.78500000000003</v>
      </c>
      <c r="D263" s="8">
        <v>382.26</v>
      </c>
      <c r="E263" s="8">
        <v>41.378999999999998</v>
      </c>
      <c r="F263" s="8">
        <v>24.244</v>
      </c>
      <c r="G263" s="8">
        <v>0.20799999999999999</v>
      </c>
      <c r="H263" t="s">
        <v>4789</v>
      </c>
      <c r="I263" s="5">
        <v>45712</v>
      </c>
      <c r="J263" t="s">
        <v>4523</v>
      </c>
    </row>
    <row r="264" spans="1:10">
      <c r="A264" s="3" t="s">
        <v>3909</v>
      </c>
      <c r="B264" s="8">
        <v>370.21699999999998</v>
      </c>
      <c r="D264" s="8">
        <v>299.17500000000001</v>
      </c>
      <c r="E264" s="8">
        <v>48.558999999999997</v>
      </c>
      <c r="F264" s="8">
        <v>34.159999999999997</v>
      </c>
      <c r="G264" s="8">
        <v>0.20799999999999999</v>
      </c>
      <c r="H264" t="s">
        <v>4789</v>
      </c>
      <c r="I264" s="5">
        <v>45720</v>
      </c>
      <c r="J264" t="s">
        <v>4512</v>
      </c>
    </row>
    <row r="265" spans="1:10">
      <c r="A265" s="3" t="s">
        <v>3918</v>
      </c>
      <c r="B265" s="8">
        <v>363.101</v>
      </c>
      <c r="C265" s="8">
        <v>286.11500000000001</v>
      </c>
      <c r="D265" s="9"/>
      <c r="E265" s="8">
        <v>48.847999999999999</v>
      </c>
      <c r="F265" s="8">
        <v>34.106999999999999</v>
      </c>
      <c r="G265" s="8">
        <v>0.23200000000000001</v>
      </c>
      <c r="H265" t="s">
        <v>4789</v>
      </c>
      <c r="I265" s="5">
        <v>45721</v>
      </c>
      <c r="J265" t="s">
        <v>9</v>
      </c>
    </row>
    <row r="266" spans="1:10">
      <c r="A266" s="3" t="s">
        <v>3948</v>
      </c>
      <c r="B266" s="8">
        <v>431.34</v>
      </c>
      <c r="C266" s="8">
        <v>337.81</v>
      </c>
      <c r="D266" s="9"/>
      <c r="E266" s="8">
        <v>46.17</v>
      </c>
      <c r="F266" s="8">
        <v>29.597000000000001</v>
      </c>
      <c r="G266" s="8">
        <v>0.21</v>
      </c>
      <c r="H266" t="s">
        <v>4789</v>
      </c>
      <c r="I266" s="5">
        <v>45732</v>
      </c>
      <c r="J266" t="s">
        <v>191</v>
      </c>
    </row>
    <row r="267" spans="1:10">
      <c r="A267" s="3" t="s">
        <v>3957</v>
      </c>
      <c r="B267" s="8">
        <v>442.66500000000002</v>
      </c>
      <c r="C267" s="8">
        <v>341.22500000000002</v>
      </c>
      <c r="D267" s="9"/>
      <c r="E267" s="8">
        <v>46.192999999999998</v>
      </c>
      <c r="F267" s="8">
        <v>28.809000000000001</v>
      </c>
      <c r="G267" s="8">
        <v>0.218</v>
      </c>
      <c r="H267" t="s">
        <v>4789</v>
      </c>
      <c r="I267" s="5">
        <v>45733</v>
      </c>
      <c r="J267" t="s">
        <v>4520</v>
      </c>
    </row>
    <row r="268" spans="1:10">
      <c r="A268" s="3" t="s">
        <v>3969</v>
      </c>
      <c r="B268" s="8">
        <v>636.38699999999994</v>
      </c>
      <c r="C268" s="8">
        <v>503.46100000000001</v>
      </c>
      <c r="D268" s="9"/>
      <c r="E268" s="8">
        <v>35.692999999999998</v>
      </c>
      <c r="F268" s="8">
        <v>22.422999999999998</v>
      </c>
      <c r="G268" s="8">
        <v>0.17799999999999999</v>
      </c>
      <c r="H268" t="s">
        <v>4789</v>
      </c>
      <c r="I268" s="5">
        <v>45735</v>
      </c>
      <c r="J268" t="s">
        <v>12</v>
      </c>
    </row>
    <row r="269" spans="1:10">
      <c r="A269" s="3" t="s">
        <v>3971</v>
      </c>
      <c r="B269" s="8">
        <v>650.67999999999995</v>
      </c>
      <c r="C269" s="8">
        <v>497.75599999999997</v>
      </c>
      <c r="D269" s="9"/>
      <c r="E269" s="8">
        <v>35.569000000000003</v>
      </c>
      <c r="F269" s="8">
        <v>20.076000000000001</v>
      </c>
      <c r="G269" s="8">
        <v>0.191</v>
      </c>
      <c r="H269" t="s">
        <v>4789</v>
      </c>
      <c r="I269" s="5">
        <v>45736</v>
      </c>
      <c r="J269" t="s">
        <v>4523</v>
      </c>
    </row>
    <row r="270" spans="1:10">
      <c r="A270" s="3" t="s">
        <v>3973</v>
      </c>
      <c r="B270" s="8">
        <v>645.78700000000003</v>
      </c>
      <c r="C270" s="8">
        <v>497.25799999999998</v>
      </c>
      <c r="D270" s="9"/>
      <c r="E270" s="8">
        <v>37.173000000000002</v>
      </c>
      <c r="F270" s="8">
        <v>24.641999999999999</v>
      </c>
      <c r="G270" s="8">
        <v>0.182</v>
      </c>
      <c r="H270" t="s">
        <v>4789</v>
      </c>
      <c r="I270" s="5">
        <v>45737</v>
      </c>
      <c r="J270" t="s">
        <v>4512</v>
      </c>
    </row>
    <row r="271" spans="1:10">
      <c r="A271" s="3" t="s">
        <v>3992</v>
      </c>
      <c r="B271" s="8">
        <v>322.755</v>
      </c>
      <c r="C271" s="8">
        <v>261.61200000000002</v>
      </c>
      <c r="D271" s="9"/>
      <c r="E271" s="8">
        <v>50.881</v>
      </c>
      <c r="F271" s="8">
        <v>29.233000000000001</v>
      </c>
      <c r="G271" s="8">
        <v>0.246</v>
      </c>
      <c r="H271" t="s">
        <v>4789</v>
      </c>
      <c r="I271" s="5">
        <v>45744</v>
      </c>
      <c r="J271" t="s">
        <v>9</v>
      </c>
    </row>
    <row r="272" spans="1:10">
      <c r="A272" s="3" t="s">
        <v>3999</v>
      </c>
      <c r="B272" s="8">
        <v>333.12</v>
      </c>
      <c r="C272" s="8">
        <v>263.14100000000002</v>
      </c>
      <c r="D272" s="9"/>
      <c r="E272" s="8">
        <v>49.74</v>
      </c>
      <c r="F272" s="8">
        <v>35.737000000000002</v>
      </c>
      <c r="G272" s="8">
        <v>0.23699999999999999</v>
      </c>
      <c r="H272" t="s">
        <v>4789</v>
      </c>
      <c r="I272" s="5">
        <v>45745</v>
      </c>
      <c r="J272" t="s">
        <v>191</v>
      </c>
    </row>
    <row r="273" spans="1:10">
      <c r="A273" s="3" t="s">
        <v>4001</v>
      </c>
      <c r="B273" s="8">
        <v>445.45400000000001</v>
      </c>
      <c r="C273" s="8">
        <v>346.346</v>
      </c>
      <c r="D273" s="9"/>
      <c r="E273" s="8">
        <v>45.353000000000002</v>
      </c>
      <c r="F273" s="8">
        <v>30.77</v>
      </c>
      <c r="G273" s="8">
        <v>0.21299999999999999</v>
      </c>
      <c r="H273" t="s">
        <v>4789</v>
      </c>
      <c r="I273" s="5">
        <v>45747</v>
      </c>
      <c r="J273" t="s">
        <v>4520</v>
      </c>
    </row>
    <row r="274" spans="1:10">
      <c r="A274" s="3" t="s">
        <v>4002</v>
      </c>
      <c r="B274" s="8">
        <v>431.66800000000001</v>
      </c>
      <c r="C274" s="8">
        <v>341.28</v>
      </c>
      <c r="D274" s="9"/>
      <c r="E274" s="8">
        <v>45.384999999999998</v>
      </c>
      <c r="F274" s="8">
        <v>29.353999999999999</v>
      </c>
      <c r="G274" s="8">
        <v>0.21199999999999999</v>
      </c>
      <c r="H274" t="s">
        <v>4789</v>
      </c>
      <c r="I274" s="5">
        <v>45748</v>
      </c>
      <c r="J274" t="s">
        <v>12</v>
      </c>
    </row>
    <row r="275" spans="1:10">
      <c r="A275" s="3" t="s">
        <v>4004</v>
      </c>
      <c r="B275" s="8">
        <v>486.42099999999999</v>
      </c>
      <c r="C275" s="8">
        <v>380.05200000000002</v>
      </c>
      <c r="D275" s="9"/>
      <c r="E275" s="8">
        <v>40.953000000000003</v>
      </c>
      <c r="F275" s="8">
        <v>25.337</v>
      </c>
      <c r="G275" s="8">
        <v>0.215</v>
      </c>
      <c r="H275" t="s">
        <v>4789</v>
      </c>
      <c r="I275" s="5">
        <v>45750</v>
      </c>
      <c r="J275" t="s">
        <v>4523</v>
      </c>
    </row>
    <row r="276" spans="1:10">
      <c r="A276" s="3" t="s">
        <v>4005</v>
      </c>
      <c r="B276" s="8">
        <v>492.28</v>
      </c>
      <c r="C276" s="8">
        <v>384.39</v>
      </c>
      <c r="D276" s="9"/>
      <c r="E276" s="8">
        <v>42.502000000000002</v>
      </c>
      <c r="F276" s="8">
        <v>30.431000000000001</v>
      </c>
      <c r="G276" s="8">
        <v>0.221</v>
      </c>
      <c r="H276" t="s">
        <v>4789</v>
      </c>
      <c r="I276" s="5">
        <v>45751</v>
      </c>
      <c r="J276" t="s">
        <v>4512</v>
      </c>
    </row>
    <row r="277" spans="1:10">
      <c r="A277" s="3" t="s">
        <v>4007</v>
      </c>
      <c r="B277" s="8">
        <v>439.37599999999998</v>
      </c>
      <c r="C277" s="8">
        <v>348.524</v>
      </c>
      <c r="D277" s="9"/>
      <c r="E277" s="8">
        <v>46.344999999999999</v>
      </c>
      <c r="F277" s="8">
        <v>29.445</v>
      </c>
      <c r="G277" s="8">
        <v>0.21099999999999999</v>
      </c>
      <c r="H277" t="s">
        <v>4789</v>
      </c>
      <c r="I277" s="5">
        <v>45753</v>
      </c>
      <c r="J277" t="s">
        <v>9</v>
      </c>
    </row>
    <row r="278" spans="1:10">
      <c r="A278" s="3" t="s">
        <v>4011</v>
      </c>
      <c r="B278" s="8">
        <v>450.25599999999997</v>
      </c>
      <c r="C278" s="8">
        <v>351.61700000000002</v>
      </c>
      <c r="D278" s="9"/>
      <c r="E278" s="8">
        <v>45.091999999999999</v>
      </c>
      <c r="F278" s="8">
        <v>29.824000000000002</v>
      </c>
      <c r="G278" s="8">
        <v>0.219</v>
      </c>
      <c r="H278" t="s">
        <v>4790</v>
      </c>
      <c r="I278" s="5">
        <v>45754</v>
      </c>
      <c r="J278" t="s">
        <v>191</v>
      </c>
    </row>
    <row r="279" spans="1:10">
      <c r="A279" s="3" t="s">
        <v>4013</v>
      </c>
      <c r="B279" s="8">
        <v>602.60400000000004</v>
      </c>
      <c r="C279" s="8">
        <v>461.988</v>
      </c>
      <c r="D279" s="9"/>
      <c r="E279" s="8">
        <v>38.250999999999998</v>
      </c>
      <c r="F279" s="8">
        <v>24.55</v>
      </c>
      <c r="G279" s="8">
        <v>0.20899999999999999</v>
      </c>
      <c r="H279" t="s">
        <v>4789</v>
      </c>
      <c r="I279" s="5">
        <v>45753</v>
      </c>
      <c r="J279" t="s">
        <v>4520</v>
      </c>
    </row>
    <row r="280" spans="1:10">
      <c r="A280" s="3" t="s">
        <v>4018</v>
      </c>
      <c r="B280" s="8">
        <v>589.19600000000003</v>
      </c>
      <c r="C280" s="8">
        <v>457.22399999999999</v>
      </c>
      <c r="D280" s="9"/>
      <c r="E280" s="8">
        <v>39.073</v>
      </c>
      <c r="F280" s="8">
        <v>22.707000000000001</v>
      </c>
      <c r="G280" s="8">
        <v>0.19600000000000001</v>
      </c>
      <c r="H280" t="s">
        <v>4789</v>
      </c>
      <c r="I280" s="5">
        <v>45754</v>
      </c>
      <c r="J280" t="s">
        <v>12</v>
      </c>
    </row>
    <row r="281" spans="1:10">
      <c r="A281" s="3" t="s">
        <v>4024</v>
      </c>
      <c r="B281" s="8">
        <v>621.36699999999996</v>
      </c>
      <c r="C281" s="8">
        <v>473.03399999999999</v>
      </c>
      <c r="D281" s="9"/>
      <c r="E281" s="8">
        <v>38.360999999999997</v>
      </c>
      <c r="F281" s="8">
        <v>22.126000000000001</v>
      </c>
      <c r="G281" s="8">
        <v>0.189</v>
      </c>
      <c r="H281" t="s">
        <v>4789</v>
      </c>
      <c r="I281" s="5">
        <v>45756</v>
      </c>
      <c r="J281" t="s">
        <v>4523</v>
      </c>
    </row>
    <row r="282" spans="1:10">
      <c r="A282" s="3" t="s">
        <v>4029</v>
      </c>
      <c r="B282" s="8">
        <v>625.30100000000004</v>
      </c>
      <c r="C282" s="8">
        <v>478.22899999999998</v>
      </c>
      <c r="D282" s="9"/>
      <c r="E282" s="8">
        <v>37.118000000000002</v>
      </c>
      <c r="F282" s="8">
        <v>21.053000000000001</v>
      </c>
      <c r="G282" s="8">
        <v>0.187</v>
      </c>
      <c r="H282" t="s">
        <v>4789</v>
      </c>
      <c r="I282" s="5">
        <v>45757</v>
      </c>
      <c r="J282" t="s">
        <v>4512</v>
      </c>
    </row>
    <row r="283" spans="1:10">
      <c r="A283" s="3" t="s">
        <v>4030</v>
      </c>
      <c r="B283" s="8">
        <v>608.90099999999995</v>
      </c>
      <c r="C283" s="8">
        <v>471.21100000000001</v>
      </c>
      <c r="D283" s="9"/>
      <c r="E283" s="8">
        <v>38.976999999999997</v>
      </c>
      <c r="F283" s="8">
        <v>25.21</v>
      </c>
      <c r="G283" s="8">
        <v>0.185</v>
      </c>
      <c r="H283" t="s">
        <v>4789</v>
      </c>
      <c r="I283" s="5">
        <v>45758</v>
      </c>
      <c r="J283" t="s">
        <v>9</v>
      </c>
    </row>
    <row r="284" spans="1:10">
      <c r="A284" s="3" t="s">
        <v>4034</v>
      </c>
      <c r="B284" s="8">
        <v>304.57499999999999</v>
      </c>
      <c r="C284" s="8">
        <v>243.15299999999999</v>
      </c>
      <c r="D284" s="9"/>
      <c r="E284" s="8">
        <v>51.231000000000002</v>
      </c>
      <c r="F284" s="8">
        <v>32.192999999999998</v>
      </c>
      <c r="G284" s="8">
        <v>0.24299999999999999</v>
      </c>
      <c r="H284" t="s">
        <v>4789</v>
      </c>
      <c r="I284" s="5">
        <v>45759</v>
      </c>
      <c r="J284" t="s">
        <v>191</v>
      </c>
    </row>
    <row r="285" spans="1:10">
      <c r="A285" s="3" t="s">
        <v>4035</v>
      </c>
      <c r="B285" s="8">
        <v>302.63400000000001</v>
      </c>
      <c r="C285" s="8">
        <v>248.89</v>
      </c>
      <c r="D285" s="9"/>
      <c r="E285" s="8">
        <v>51.570999999999998</v>
      </c>
      <c r="F285" s="8">
        <v>34.448</v>
      </c>
      <c r="G285" s="8">
        <v>0.252</v>
      </c>
      <c r="H285" t="s">
        <v>4789</v>
      </c>
      <c r="I285" s="5">
        <v>45760</v>
      </c>
      <c r="J285" t="s">
        <v>4520</v>
      </c>
    </row>
    <row r="286" spans="1:10">
      <c r="A286" s="3" t="s">
        <v>4038</v>
      </c>
      <c r="B286" s="8">
        <v>398.81</v>
      </c>
      <c r="C286" s="8">
        <v>321.16699999999997</v>
      </c>
      <c r="D286" s="9"/>
      <c r="E286" s="8">
        <v>45.731999999999999</v>
      </c>
      <c r="F286" s="8">
        <v>32.109000000000002</v>
      </c>
      <c r="G286" s="8">
        <v>0.23200000000000001</v>
      </c>
      <c r="H286" t="s">
        <v>4790</v>
      </c>
      <c r="I286" s="5">
        <v>45762</v>
      </c>
      <c r="J286" t="s">
        <v>12</v>
      </c>
    </row>
    <row r="287" spans="1:10">
      <c r="A287" s="3" t="s">
        <v>4039</v>
      </c>
      <c r="B287" s="8">
        <v>410.96899999999999</v>
      </c>
      <c r="C287" s="8">
        <v>321.65600000000001</v>
      </c>
      <c r="D287" s="9"/>
      <c r="E287" s="8">
        <v>46.418999999999997</v>
      </c>
      <c r="F287" s="8">
        <v>30.236999999999998</v>
      </c>
      <c r="G287" s="8">
        <v>0.218</v>
      </c>
      <c r="H287" t="s">
        <v>4789</v>
      </c>
      <c r="I287" s="5">
        <v>45763</v>
      </c>
      <c r="J287" t="s">
        <v>4523</v>
      </c>
    </row>
    <row r="288" spans="1:10">
      <c r="A288" s="3" t="s">
        <v>4048</v>
      </c>
      <c r="B288" s="8">
        <v>465.58800000000002</v>
      </c>
      <c r="C288" s="8">
        <v>372.60300000000001</v>
      </c>
      <c r="D288" s="9"/>
      <c r="E288" s="8">
        <v>42.61</v>
      </c>
      <c r="F288" s="8">
        <v>25.35</v>
      </c>
      <c r="G288" s="8">
        <v>0.20699999999999999</v>
      </c>
      <c r="H288" t="s">
        <v>4789</v>
      </c>
      <c r="I288" s="5">
        <v>45768</v>
      </c>
      <c r="J288" t="s">
        <v>4512</v>
      </c>
    </row>
    <row r="289" spans="1:10">
      <c r="A289" s="3" t="s">
        <v>4052</v>
      </c>
      <c r="B289" s="8">
        <v>470.56200000000001</v>
      </c>
      <c r="C289" s="8">
        <v>370.089</v>
      </c>
      <c r="D289" s="9"/>
      <c r="E289" s="8">
        <v>44.101999999999997</v>
      </c>
      <c r="F289" s="8">
        <v>27.978999999999999</v>
      </c>
      <c r="G289" s="8">
        <v>0.21</v>
      </c>
      <c r="H289" t="s">
        <v>4789</v>
      </c>
      <c r="I289" s="5">
        <v>45769</v>
      </c>
      <c r="J289" t="s">
        <v>9</v>
      </c>
    </row>
    <row r="290" spans="1:10">
      <c r="A290" s="3" t="s">
        <v>4054</v>
      </c>
      <c r="B290" s="8">
        <v>551.26199999999994</v>
      </c>
      <c r="C290" s="8">
        <v>431.03800000000001</v>
      </c>
      <c r="D290" s="9"/>
      <c r="E290" s="8">
        <v>41.021000000000001</v>
      </c>
      <c r="F290" s="8">
        <v>24.922000000000001</v>
      </c>
      <c r="G290" s="8">
        <v>0.20300000000000001</v>
      </c>
      <c r="H290" t="s">
        <v>4789</v>
      </c>
      <c r="I290" s="5">
        <v>45771</v>
      </c>
      <c r="J290" t="s">
        <v>191</v>
      </c>
    </row>
    <row r="291" spans="1:10">
      <c r="A291" s="3" t="s">
        <v>4058</v>
      </c>
      <c r="B291" s="8">
        <v>565.447</v>
      </c>
      <c r="C291" s="8">
        <v>437.16500000000002</v>
      </c>
      <c r="D291" s="9"/>
      <c r="E291" s="8">
        <v>39.595999999999997</v>
      </c>
      <c r="F291" s="8">
        <v>28.382000000000001</v>
      </c>
      <c r="G291" s="8">
        <v>0.21199999999999999</v>
      </c>
      <c r="H291" t="s">
        <v>4789</v>
      </c>
      <c r="I291" s="5">
        <v>45772</v>
      </c>
      <c r="J291" t="s">
        <v>4520</v>
      </c>
    </row>
    <row r="292" spans="1:10">
      <c r="A292" s="3" t="s">
        <v>4060</v>
      </c>
      <c r="B292" s="8">
        <v>612.83600000000001</v>
      </c>
      <c r="C292" s="8">
        <v>469.38200000000001</v>
      </c>
      <c r="D292" s="9"/>
      <c r="E292" s="8">
        <v>38.774999999999999</v>
      </c>
      <c r="F292" s="8">
        <v>23.318000000000001</v>
      </c>
      <c r="G292" s="8">
        <v>0.2</v>
      </c>
      <c r="H292" t="s">
        <v>4789</v>
      </c>
      <c r="I292" s="5">
        <v>45774</v>
      </c>
      <c r="J292" t="s">
        <v>12</v>
      </c>
    </row>
    <row r="293" spans="1:10">
      <c r="A293" s="3" t="s">
        <v>4066</v>
      </c>
      <c r="B293" s="8">
        <v>608.21299999999997</v>
      </c>
      <c r="C293" s="8">
        <v>480.93</v>
      </c>
      <c r="D293" s="9"/>
      <c r="E293" s="8">
        <v>38.518999999999998</v>
      </c>
      <c r="F293" s="8">
        <v>21.434000000000001</v>
      </c>
      <c r="G293" s="8">
        <v>0.218</v>
      </c>
      <c r="H293" t="s">
        <v>4789</v>
      </c>
      <c r="I293" s="5">
        <v>45775</v>
      </c>
      <c r="J293" t="s">
        <v>4523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20"/>
  <sheetViews>
    <sheetView workbookViewId="0"/>
  </sheetViews>
  <sheetFormatPr defaultRowHeight="14.25"/>
  <cols>
    <col min="1" max="1" width="23" customWidth="1"/>
    <col min="2" max="2" width="38" customWidth="1"/>
    <col min="3" max="7" width="13" customWidth="1"/>
    <col min="8" max="8" width="14" customWidth="1"/>
    <col min="9" max="9" width="13" customWidth="1"/>
    <col min="10" max="10" width="34" customWidth="1"/>
  </cols>
  <sheetData>
    <row r="1" spans="1:10" ht="32.1" customHeight="1">
      <c r="A1" s="12" t="s">
        <v>199</v>
      </c>
      <c r="B1" s="20" t="s">
        <v>5317</v>
      </c>
      <c r="C1" s="2" t="s">
        <v>4502</v>
      </c>
      <c r="D1" s="20" t="s">
        <v>4503</v>
      </c>
      <c r="E1" s="2" t="s">
        <v>4802</v>
      </c>
      <c r="F1" s="2" t="s">
        <v>4803</v>
      </c>
      <c r="G1" s="2" t="s">
        <v>4804</v>
      </c>
      <c r="H1" s="2" t="s">
        <v>4504</v>
      </c>
      <c r="I1" s="2" t="s">
        <v>4505</v>
      </c>
      <c r="J1" s="2" t="s">
        <v>4506</v>
      </c>
    </row>
    <row r="2" spans="1:10">
      <c r="A2" s="3" t="s">
        <v>1863</v>
      </c>
      <c r="B2" t="s">
        <v>4805</v>
      </c>
      <c r="C2" t="s">
        <v>4509</v>
      </c>
      <c r="D2" t="s">
        <v>4510</v>
      </c>
      <c r="E2" t="s">
        <v>4511</v>
      </c>
      <c r="F2" t="s">
        <v>4806</v>
      </c>
      <c r="G2" t="s">
        <v>4807</v>
      </c>
      <c r="H2" s="5">
        <v>45759</v>
      </c>
      <c r="I2" t="s">
        <v>12</v>
      </c>
    </row>
    <row r="3" spans="1:10">
      <c r="A3" s="3" t="s">
        <v>1865</v>
      </c>
      <c r="B3" t="s">
        <v>4808</v>
      </c>
      <c r="C3" t="s">
        <v>4515</v>
      </c>
      <c r="D3" t="s">
        <v>4510</v>
      </c>
      <c r="E3" t="s">
        <v>4511</v>
      </c>
      <c r="F3" t="s">
        <v>4806</v>
      </c>
      <c r="G3" t="s">
        <v>4807</v>
      </c>
      <c r="H3" s="5">
        <v>45760</v>
      </c>
      <c r="I3" t="s">
        <v>4523</v>
      </c>
    </row>
    <row r="4" spans="1:10">
      <c r="A4" s="3" t="s">
        <v>1882</v>
      </c>
      <c r="B4" t="s">
        <v>4809</v>
      </c>
      <c r="C4" t="s">
        <v>4509</v>
      </c>
      <c r="D4" t="s">
        <v>4510</v>
      </c>
      <c r="E4" t="s">
        <v>4511</v>
      </c>
      <c r="F4" t="s">
        <v>4806</v>
      </c>
      <c r="G4" t="s">
        <v>4807</v>
      </c>
      <c r="H4" s="5">
        <v>45762</v>
      </c>
      <c r="I4" t="s">
        <v>4512</v>
      </c>
    </row>
    <row r="5" spans="1:10">
      <c r="A5" s="3" t="s">
        <v>1884</v>
      </c>
      <c r="B5" t="s">
        <v>4810</v>
      </c>
      <c r="C5" t="s">
        <v>4515</v>
      </c>
      <c r="D5" t="s">
        <v>4510</v>
      </c>
      <c r="E5" t="s">
        <v>4511</v>
      </c>
      <c r="F5" t="s">
        <v>4806</v>
      </c>
      <c r="G5" t="s">
        <v>4807</v>
      </c>
      <c r="H5" s="5">
        <v>45763</v>
      </c>
      <c r="I5" t="s">
        <v>9</v>
      </c>
    </row>
    <row r="6" spans="1:10">
      <c r="A6" s="3" t="s">
        <v>1904</v>
      </c>
      <c r="B6" t="s">
        <v>4811</v>
      </c>
      <c r="C6" t="s">
        <v>4509</v>
      </c>
      <c r="D6" t="s">
        <v>4510</v>
      </c>
      <c r="E6" t="s">
        <v>4511</v>
      </c>
      <c r="F6" t="s">
        <v>4806</v>
      </c>
      <c r="G6" t="s">
        <v>4807</v>
      </c>
      <c r="H6" s="5">
        <v>45765</v>
      </c>
      <c r="I6" t="s">
        <v>191</v>
      </c>
    </row>
    <row r="7" spans="1:10">
      <c r="A7" s="3" t="s">
        <v>1906</v>
      </c>
      <c r="B7" t="s">
        <v>4812</v>
      </c>
      <c r="C7" t="s">
        <v>4515</v>
      </c>
      <c r="D7" t="s">
        <v>4510</v>
      </c>
      <c r="E7" t="s">
        <v>4511</v>
      </c>
      <c r="F7" t="s">
        <v>4806</v>
      </c>
      <c r="G7" t="s">
        <v>4807</v>
      </c>
      <c r="H7" s="5">
        <v>45766</v>
      </c>
      <c r="I7" t="s">
        <v>4520</v>
      </c>
    </row>
    <row r="8" spans="1:10">
      <c r="A8" s="3" t="s">
        <v>1908</v>
      </c>
      <c r="B8" t="s">
        <v>4813</v>
      </c>
      <c r="C8" t="s">
        <v>4517</v>
      </c>
      <c r="D8" t="s">
        <v>4518</v>
      </c>
      <c r="E8" t="s">
        <v>4519</v>
      </c>
      <c r="F8" t="s">
        <v>4806</v>
      </c>
      <c r="G8" t="s">
        <v>4807</v>
      </c>
      <c r="H8" s="5">
        <v>45767</v>
      </c>
      <c r="I8" t="s">
        <v>12</v>
      </c>
    </row>
    <row r="9" spans="1:10">
      <c r="A9" s="3" t="s">
        <v>1910</v>
      </c>
      <c r="B9" t="s">
        <v>4814</v>
      </c>
      <c r="C9" t="s">
        <v>4517</v>
      </c>
      <c r="D9" t="s">
        <v>4510</v>
      </c>
      <c r="E9" t="s">
        <v>4815</v>
      </c>
      <c r="F9" t="s">
        <v>4816</v>
      </c>
      <c r="G9" t="s">
        <v>4807</v>
      </c>
      <c r="H9" s="5">
        <v>45768</v>
      </c>
      <c r="I9" t="s">
        <v>4523</v>
      </c>
    </row>
    <row r="10" spans="1:10">
      <c r="A10" s="3" t="s">
        <v>1961</v>
      </c>
      <c r="B10" t="s">
        <v>4817</v>
      </c>
      <c r="C10" t="s">
        <v>4509</v>
      </c>
      <c r="D10" t="s">
        <v>4510</v>
      </c>
      <c r="E10" t="s">
        <v>4511</v>
      </c>
      <c r="F10" t="s">
        <v>4806</v>
      </c>
      <c r="G10" t="s">
        <v>4807</v>
      </c>
      <c r="H10" s="5">
        <v>45786</v>
      </c>
      <c r="I10" t="s">
        <v>4512</v>
      </c>
    </row>
    <row r="11" spans="1:10">
      <c r="A11" s="3" t="s">
        <v>1963</v>
      </c>
      <c r="B11" t="s">
        <v>4818</v>
      </c>
      <c r="C11" t="s">
        <v>4515</v>
      </c>
      <c r="D11" t="s">
        <v>4510</v>
      </c>
      <c r="E11" t="s">
        <v>4511</v>
      </c>
      <c r="F11" t="s">
        <v>4806</v>
      </c>
      <c r="G11" t="s">
        <v>4807</v>
      </c>
      <c r="H11" s="5">
        <v>45787</v>
      </c>
      <c r="I11" t="s">
        <v>9</v>
      </c>
    </row>
    <row r="12" spans="1:10">
      <c r="A12" s="3" t="s">
        <v>2009</v>
      </c>
      <c r="B12" t="s">
        <v>4819</v>
      </c>
      <c r="C12" t="s">
        <v>4509</v>
      </c>
      <c r="D12" t="s">
        <v>4510</v>
      </c>
      <c r="E12" t="s">
        <v>4511</v>
      </c>
      <c r="F12" t="s">
        <v>4806</v>
      </c>
      <c r="G12" t="s">
        <v>4807</v>
      </c>
      <c r="H12" s="5">
        <v>45798</v>
      </c>
      <c r="I12" t="s">
        <v>191</v>
      </c>
    </row>
    <row r="13" spans="1:10">
      <c r="A13" s="3" t="s">
        <v>2011</v>
      </c>
      <c r="B13" t="s">
        <v>4820</v>
      </c>
      <c r="C13" t="s">
        <v>4515</v>
      </c>
      <c r="D13" t="s">
        <v>4510</v>
      </c>
      <c r="E13" t="s">
        <v>4511</v>
      </c>
      <c r="F13" t="s">
        <v>4806</v>
      </c>
      <c r="G13" t="s">
        <v>4807</v>
      </c>
      <c r="H13" s="5">
        <v>45799</v>
      </c>
      <c r="I13" t="s">
        <v>4520</v>
      </c>
    </row>
    <row r="14" spans="1:10">
      <c r="A14" s="3" t="s">
        <v>2028</v>
      </c>
      <c r="B14" t="s">
        <v>4821</v>
      </c>
      <c r="C14" t="s">
        <v>4509</v>
      </c>
      <c r="D14" t="s">
        <v>4510</v>
      </c>
      <c r="E14" t="s">
        <v>4511</v>
      </c>
      <c r="F14" t="s">
        <v>4806</v>
      </c>
      <c r="G14" t="s">
        <v>4807</v>
      </c>
      <c r="H14" s="5">
        <v>45804</v>
      </c>
      <c r="I14" t="s">
        <v>12</v>
      </c>
    </row>
    <row r="15" spans="1:10">
      <c r="A15" s="3" t="s">
        <v>2051</v>
      </c>
      <c r="B15" t="s">
        <v>4822</v>
      </c>
      <c r="C15" t="s">
        <v>4509</v>
      </c>
      <c r="D15" t="s">
        <v>4510</v>
      </c>
      <c r="E15" t="s">
        <v>4511</v>
      </c>
      <c r="F15" t="s">
        <v>4806</v>
      </c>
      <c r="G15" t="s">
        <v>4807</v>
      </c>
      <c r="H15" s="5">
        <v>45810</v>
      </c>
      <c r="I15" t="s">
        <v>4523</v>
      </c>
    </row>
    <row r="16" spans="1:10">
      <c r="A16" s="3" t="s">
        <v>2053</v>
      </c>
      <c r="B16" t="s">
        <v>4823</v>
      </c>
      <c r="C16" t="s">
        <v>4515</v>
      </c>
      <c r="D16" t="s">
        <v>4510</v>
      </c>
      <c r="E16" t="s">
        <v>4511</v>
      </c>
      <c r="F16" t="s">
        <v>4806</v>
      </c>
      <c r="G16" t="s">
        <v>4807</v>
      </c>
      <c r="H16" s="5">
        <v>45811</v>
      </c>
      <c r="I16" t="s">
        <v>4512</v>
      </c>
    </row>
    <row r="17" spans="1:9">
      <c r="A17" s="3" t="s">
        <v>2055</v>
      </c>
      <c r="B17" t="s">
        <v>4824</v>
      </c>
      <c r="C17" t="s">
        <v>4517</v>
      </c>
      <c r="D17" t="s">
        <v>4518</v>
      </c>
      <c r="E17" t="s">
        <v>4519</v>
      </c>
      <c r="F17" t="s">
        <v>4806</v>
      </c>
      <c r="G17" t="s">
        <v>4807</v>
      </c>
      <c r="H17" s="5">
        <v>45812</v>
      </c>
      <c r="I17" t="s">
        <v>9</v>
      </c>
    </row>
    <row r="18" spans="1:9">
      <c r="A18" s="3" t="s">
        <v>2066</v>
      </c>
      <c r="B18" t="s">
        <v>4825</v>
      </c>
      <c r="C18" t="s">
        <v>4509</v>
      </c>
      <c r="D18" t="s">
        <v>4510</v>
      </c>
      <c r="E18" t="s">
        <v>4511</v>
      </c>
      <c r="F18" t="s">
        <v>4806</v>
      </c>
      <c r="G18" t="s">
        <v>4807</v>
      </c>
      <c r="H18" s="5">
        <v>45813</v>
      </c>
      <c r="I18" t="s">
        <v>191</v>
      </c>
    </row>
    <row r="19" spans="1:9">
      <c r="A19" s="3" t="s">
        <v>2068</v>
      </c>
      <c r="B19" t="s">
        <v>4826</v>
      </c>
      <c r="C19" t="s">
        <v>4515</v>
      </c>
      <c r="D19" t="s">
        <v>4510</v>
      </c>
      <c r="E19" t="s">
        <v>4511</v>
      </c>
      <c r="F19" t="s">
        <v>4806</v>
      </c>
      <c r="G19" t="s">
        <v>4807</v>
      </c>
      <c r="H19" s="5">
        <v>45814</v>
      </c>
      <c r="I19" t="s">
        <v>4520</v>
      </c>
    </row>
    <row r="20" spans="1:9">
      <c r="A20" s="3" t="s">
        <v>2070</v>
      </c>
      <c r="B20" t="s">
        <v>4827</v>
      </c>
      <c r="C20" t="s">
        <v>4517</v>
      </c>
      <c r="D20" t="s">
        <v>4518</v>
      </c>
      <c r="E20" t="s">
        <v>4519</v>
      </c>
      <c r="F20" t="s">
        <v>4806</v>
      </c>
      <c r="G20" t="s">
        <v>4807</v>
      </c>
      <c r="H20" s="5">
        <v>45815</v>
      </c>
      <c r="I20" t="s">
        <v>12</v>
      </c>
    </row>
    <row r="21" spans="1:9">
      <c r="A21" s="3" t="s">
        <v>2072</v>
      </c>
      <c r="B21" t="s">
        <v>4828</v>
      </c>
      <c r="C21" t="s">
        <v>4517</v>
      </c>
      <c r="D21" t="s">
        <v>4510</v>
      </c>
      <c r="E21" t="s">
        <v>4815</v>
      </c>
      <c r="F21" t="s">
        <v>4816</v>
      </c>
      <c r="G21" t="s">
        <v>4807</v>
      </c>
      <c r="H21" s="5">
        <v>45816</v>
      </c>
      <c r="I21" t="s">
        <v>4523</v>
      </c>
    </row>
    <row r="22" spans="1:9">
      <c r="A22" s="3" t="s">
        <v>2094</v>
      </c>
      <c r="B22" t="s">
        <v>4829</v>
      </c>
      <c r="C22" t="s">
        <v>4509</v>
      </c>
      <c r="D22" t="s">
        <v>4510</v>
      </c>
      <c r="E22" t="s">
        <v>4511</v>
      </c>
      <c r="F22" t="s">
        <v>4806</v>
      </c>
      <c r="G22" t="s">
        <v>4807</v>
      </c>
      <c r="H22" s="5">
        <v>45819</v>
      </c>
      <c r="I22" t="s">
        <v>4512</v>
      </c>
    </row>
    <row r="23" spans="1:9">
      <c r="A23" s="3" t="s">
        <v>2096</v>
      </c>
      <c r="B23" t="s">
        <v>4830</v>
      </c>
      <c r="C23" t="s">
        <v>4515</v>
      </c>
      <c r="D23" t="s">
        <v>4510</v>
      </c>
      <c r="E23" t="s">
        <v>4511</v>
      </c>
      <c r="F23" t="s">
        <v>4806</v>
      </c>
      <c r="G23" t="s">
        <v>4807</v>
      </c>
      <c r="H23" s="5">
        <v>45820</v>
      </c>
      <c r="I23" t="s">
        <v>9</v>
      </c>
    </row>
    <row r="24" spans="1:9">
      <c r="A24" s="3" t="s">
        <v>2098</v>
      </c>
      <c r="B24" t="s">
        <v>4831</v>
      </c>
      <c r="C24" t="s">
        <v>4517</v>
      </c>
      <c r="D24" t="s">
        <v>4518</v>
      </c>
      <c r="E24" t="s">
        <v>4519</v>
      </c>
      <c r="F24" t="s">
        <v>4806</v>
      </c>
      <c r="G24" t="s">
        <v>4807</v>
      </c>
      <c r="H24" s="5">
        <v>45821</v>
      </c>
      <c r="I24" t="s">
        <v>191</v>
      </c>
    </row>
    <row r="25" spans="1:9">
      <c r="A25" s="3" t="s">
        <v>2111</v>
      </c>
      <c r="B25" t="s">
        <v>4832</v>
      </c>
      <c r="C25" t="s">
        <v>4509</v>
      </c>
      <c r="D25" t="s">
        <v>4510</v>
      </c>
      <c r="E25" t="s">
        <v>4511</v>
      </c>
      <c r="F25" t="s">
        <v>4806</v>
      </c>
      <c r="G25" t="s">
        <v>4807</v>
      </c>
      <c r="H25" s="5">
        <v>45819</v>
      </c>
      <c r="I25" t="s">
        <v>4520</v>
      </c>
    </row>
    <row r="26" spans="1:9">
      <c r="A26" s="3" t="s">
        <v>2113</v>
      </c>
      <c r="B26" t="s">
        <v>4833</v>
      </c>
      <c r="C26" t="s">
        <v>4515</v>
      </c>
      <c r="D26" t="s">
        <v>4510</v>
      </c>
      <c r="E26" t="s">
        <v>4511</v>
      </c>
      <c r="F26" t="s">
        <v>4806</v>
      </c>
      <c r="G26" t="s">
        <v>4807</v>
      </c>
      <c r="H26" s="5">
        <v>45820</v>
      </c>
      <c r="I26" t="s">
        <v>12</v>
      </c>
    </row>
    <row r="27" spans="1:9">
      <c r="A27" s="3" t="s">
        <v>2115</v>
      </c>
      <c r="B27" t="s">
        <v>4834</v>
      </c>
      <c r="C27" t="s">
        <v>4517</v>
      </c>
      <c r="D27" t="s">
        <v>4518</v>
      </c>
      <c r="E27" t="s">
        <v>4519</v>
      </c>
      <c r="F27" t="s">
        <v>4806</v>
      </c>
      <c r="G27" t="s">
        <v>4807</v>
      </c>
      <c r="H27" s="5">
        <v>45821</v>
      </c>
      <c r="I27" t="s">
        <v>4523</v>
      </c>
    </row>
    <row r="28" spans="1:9">
      <c r="A28" s="3" t="s">
        <v>2173</v>
      </c>
      <c r="B28" t="s">
        <v>4835</v>
      </c>
      <c r="C28" t="s">
        <v>4509</v>
      </c>
      <c r="D28" t="s">
        <v>4510</v>
      </c>
      <c r="E28" t="s">
        <v>4511</v>
      </c>
      <c r="F28" t="s">
        <v>4806</v>
      </c>
      <c r="G28" t="s">
        <v>4807</v>
      </c>
      <c r="H28" s="5">
        <v>45834</v>
      </c>
      <c r="I28" t="s">
        <v>4512</v>
      </c>
    </row>
    <row r="29" spans="1:9">
      <c r="A29" s="3" t="s">
        <v>2175</v>
      </c>
      <c r="B29" t="s">
        <v>4836</v>
      </c>
      <c r="C29" t="s">
        <v>4515</v>
      </c>
      <c r="D29" t="s">
        <v>4510</v>
      </c>
      <c r="E29" t="s">
        <v>4511</v>
      </c>
      <c r="F29" t="s">
        <v>4806</v>
      </c>
      <c r="G29" t="s">
        <v>4807</v>
      </c>
      <c r="H29" s="5">
        <v>45835</v>
      </c>
      <c r="I29" t="s">
        <v>9</v>
      </c>
    </row>
    <row r="30" spans="1:9">
      <c r="A30" s="3" t="s">
        <v>2177</v>
      </c>
      <c r="B30" t="s">
        <v>4837</v>
      </c>
      <c r="C30" t="s">
        <v>4517</v>
      </c>
      <c r="D30" t="s">
        <v>4518</v>
      </c>
      <c r="E30" t="s">
        <v>4519</v>
      </c>
      <c r="F30" t="s">
        <v>4806</v>
      </c>
      <c r="G30" t="s">
        <v>4807</v>
      </c>
      <c r="H30" s="5">
        <v>45836</v>
      </c>
      <c r="I30" t="s">
        <v>191</v>
      </c>
    </row>
    <row r="31" spans="1:9">
      <c r="A31" s="3" t="s">
        <v>2194</v>
      </c>
      <c r="B31" t="s">
        <v>4838</v>
      </c>
      <c r="C31" t="s">
        <v>4509</v>
      </c>
      <c r="D31" t="s">
        <v>4510</v>
      </c>
      <c r="E31" t="s">
        <v>4511</v>
      </c>
      <c r="F31" t="s">
        <v>4806</v>
      </c>
      <c r="G31" t="s">
        <v>4807</v>
      </c>
      <c r="H31" s="5">
        <v>45837</v>
      </c>
      <c r="I31" t="s">
        <v>4520</v>
      </c>
    </row>
    <row r="32" spans="1:9">
      <c r="A32" s="3" t="s">
        <v>2201</v>
      </c>
      <c r="B32" t="s">
        <v>4839</v>
      </c>
      <c r="C32" t="s">
        <v>4509</v>
      </c>
      <c r="D32" t="s">
        <v>4510</v>
      </c>
      <c r="E32" t="s">
        <v>4511</v>
      </c>
      <c r="F32" t="s">
        <v>4806</v>
      </c>
      <c r="G32" t="s">
        <v>4807</v>
      </c>
      <c r="H32" s="5">
        <v>45840</v>
      </c>
      <c r="I32" t="s">
        <v>12</v>
      </c>
    </row>
    <row r="33" spans="1:9">
      <c r="A33" s="3" t="s">
        <v>2203</v>
      </c>
      <c r="B33" t="s">
        <v>4840</v>
      </c>
      <c r="C33" t="s">
        <v>4515</v>
      </c>
      <c r="D33" t="s">
        <v>4510</v>
      </c>
      <c r="E33" t="s">
        <v>4511</v>
      </c>
      <c r="F33" t="s">
        <v>4806</v>
      </c>
      <c r="G33" t="s">
        <v>4841</v>
      </c>
      <c r="H33" s="5">
        <v>45841</v>
      </c>
      <c r="I33" t="s">
        <v>4523</v>
      </c>
    </row>
    <row r="34" spans="1:9">
      <c r="A34" s="3" t="s">
        <v>2205</v>
      </c>
      <c r="B34" t="s">
        <v>4842</v>
      </c>
      <c r="C34" t="s">
        <v>4517</v>
      </c>
      <c r="D34" t="s">
        <v>4518</v>
      </c>
      <c r="E34" t="s">
        <v>4519</v>
      </c>
      <c r="F34" t="s">
        <v>4806</v>
      </c>
      <c r="G34" t="s">
        <v>4807</v>
      </c>
      <c r="H34" s="5">
        <v>45842</v>
      </c>
      <c r="I34" t="s">
        <v>4512</v>
      </c>
    </row>
    <row r="35" spans="1:9">
      <c r="A35" s="3" t="s">
        <v>2207</v>
      </c>
      <c r="B35" t="s">
        <v>4843</v>
      </c>
      <c r="C35" t="s">
        <v>4517</v>
      </c>
      <c r="D35" t="s">
        <v>4510</v>
      </c>
      <c r="E35" t="s">
        <v>4815</v>
      </c>
      <c r="F35" t="s">
        <v>4816</v>
      </c>
      <c r="G35" t="s">
        <v>4841</v>
      </c>
      <c r="H35" s="5">
        <v>45843</v>
      </c>
      <c r="I35" t="s">
        <v>9</v>
      </c>
    </row>
    <row r="36" spans="1:9">
      <c r="A36" s="3" t="s">
        <v>2224</v>
      </c>
      <c r="B36" t="s">
        <v>4844</v>
      </c>
      <c r="C36" t="s">
        <v>4509</v>
      </c>
      <c r="D36" t="s">
        <v>4510</v>
      </c>
      <c r="E36" t="s">
        <v>4511</v>
      </c>
      <c r="F36" t="s">
        <v>4806</v>
      </c>
      <c r="G36" t="s">
        <v>4807</v>
      </c>
      <c r="H36" s="5">
        <v>45843</v>
      </c>
      <c r="I36" t="s">
        <v>191</v>
      </c>
    </row>
    <row r="37" spans="1:9">
      <c r="A37" s="3" t="s">
        <v>2226</v>
      </c>
      <c r="B37" t="s">
        <v>4845</v>
      </c>
      <c r="C37" t="s">
        <v>4515</v>
      </c>
      <c r="D37" t="s">
        <v>4510</v>
      </c>
      <c r="E37" t="s">
        <v>4511</v>
      </c>
      <c r="F37" t="s">
        <v>4806</v>
      </c>
      <c r="G37" t="s">
        <v>4807</v>
      </c>
      <c r="H37" s="5">
        <v>45844</v>
      </c>
      <c r="I37" t="s">
        <v>4520</v>
      </c>
    </row>
    <row r="38" spans="1:9">
      <c r="A38" s="3" t="s">
        <v>2228</v>
      </c>
      <c r="B38" t="s">
        <v>4846</v>
      </c>
      <c r="C38" t="s">
        <v>4517</v>
      </c>
      <c r="D38" t="s">
        <v>4518</v>
      </c>
      <c r="E38" t="s">
        <v>4519</v>
      </c>
      <c r="F38" t="s">
        <v>4806</v>
      </c>
      <c r="G38" t="s">
        <v>4807</v>
      </c>
      <c r="H38" s="5">
        <v>45845</v>
      </c>
      <c r="I38" t="s">
        <v>12</v>
      </c>
    </row>
    <row r="39" spans="1:9">
      <c r="A39" s="3" t="s">
        <v>2230</v>
      </c>
      <c r="B39" t="s">
        <v>4847</v>
      </c>
      <c r="C39" t="s">
        <v>4517</v>
      </c>
      <c r="D39" t="s">
        <v>4510</v>
      </c>
      <c r="E39" t="s">
        <v>4815</v>
      </c>
      <c r="F39" t="s">
        <v>4816</v>
      </c>
      <c r="G39" t="s">
        <v>4807</v>
      </c>
      <c r="H39" s="5">
        <v>45846</v>
      </c>
      <c r="I39" t="s">
        <v>4523</v>
      </c>
    </row>
    <row r="40" spans="1:9">
      <c r="A40" s="3" t="s">
        <v>2243</v>
      </c>
      <c r="B40" t="s">
        <v>4848</v>
      </c>
      <c r="C40" t="s">
        <v>4509</v>
      </c>
      <c r="D40" t="s">
        <v>4510</v>
      </c>
      <c r="E40" t="s">
        <v>4511</v>
      </c>
      <c r="F40" t="s">
        <v>4806</v>
      </c>
      <c r="G40" t="s">
        <v>4807</v>
      </c>
      <c r="H40" s="5">
        <v>45846</v>
      </c>
      <c r="I40" t="s">
        <v>4512</v>
      </c>
    </row>
    <row r="41" spans="1:9">
      <c r="A41" s="3" t="s">
        <v>2245</v>
      </c>
      <c r="B41" t="s">
        <v>4849</v>
      </c>
      <c r="C41" t="s">
        <v>4515</v>
      </c>
      <c r="D41" t="s">
        <v>4510</v>
      </c>
      <c r="E41" t="s">
        <v>4511</v>
      </c>
      <c r="F41" t="s">
        <v>4806</v>
      </c>
      <c r="G41" t="s">
        <v>4807</v>
      </c>
      <c r="H41" s="5">
        <v>45847</v>
      </c>
      <c r="I41" t="s">
        <v>9</v>
      </c>
    </row>
    <row r="42" spans="1:9">
      <c r="A42" s="3" t="s">
        <v>2247</v>
      </c>
      <c r="B42" t="s">
        <v>4850</v>
      </c>
      <c r="C42" t="s">
        <v>4517</v>
      </c>
      <c r="D42" t="s">
        <v>4518</v>
      </c>
      <c r="E42" t="s">
        <v>4519</v>
      </c>
      <c r="F42" t="s">
        <v>4806</v>
      </c>
      <c r="G42" t="s">
        <v>4807</v>
      </c>
      <c r="H42" s="5">
        <v>45848</v>
      </c>
      <c r="I42" t="s">
        <v>191</v>
      </c>
    </row>
    <row r="43" spans="1:9">
      <c r="A43" s="3" t="s">
        <v>2254</v>
      </c>
      <c r="B43" t="s">
        <v>4851</v>
      </c>
      <c r="C43" t="s">
        <v>4509</v>
      </c>
      <c r="D43" t="s">
        <v>4510</v>
      </c>
      <c r="E43" t="s">
        <v>4511</v>
      </c>
      <c r="F43" t="s">
        <v>4806</v>
      </c>
      <c r="G43" t="s">
        <v>4807</v>
      </c>
      <c r="H43" s="5">
        <v>45852</v>
      </c>
      <c r="I43" t="s">
        <v>4520</v>
      </c>
    </row>
    <row r="44" spans="1:9">
      <c r="A44" s="3" t="s">
        <v>2261</v>
      </c>
      <c r="B44" t="s">
        <v>4852</v>
      </c>
      <c r="C44" t="s">
        <v>4509</v>
      </c>
      <c r="D44" t="s">
        <v>4510</v>
      </c>
      <c r="E44" t="s">
        <v>4511</v>
      </c>
      <c r="F44" t="s">
        <v>4806</v>
      </c>
      <c r="G44" t="s">
        <v>4807</v>
      </c>
      <c r="H44" s="5">
        <v>45855</v>
      </c>
      <c r="I44" t="s">
        <v>12</v>
      </c>
    </row>
    <row r="45" spans="1:9">
      <c r="A45" s="3" t="s">
        <v>2263</v>
      </c>
      <c r="B45" t="s">
        <v>4853</v>
      </c>
      <c r="C45" t="s">
        <v>4515</v>
      </c>
      <c r="D45" t="s">
        <v>4510</v>
      </c>
      <c r="E45" t="s">
        <v>4511</v>
      </c>
      <c r="F45" t="s">
        <v>4806</v>
      </c>
      <c r="G45" t="s">
        <v>4807</v>
      </c>
      <c r="H45" s="5">
        <v>45856</v>
      </c>
      <c r="I45" t="s">
        <v>4523</v>
      </c>
    </row>
    <row r="46" spans="1:9">
      <c r="A46" s="3" t="s">
        <v>2265</v>
      </c>
      <c r="B46" t="s">
        <v>4854</v>
      </c>
      <c r="C46" t="s">
        <v>4517</v>
      </c>
      <c r="D46" t="s">
        <v>4518</v>
      </c>
      <c r="E46" t="s">
        <v>4519</v>
      </c>
      <c r="F46" t="s">
        <v>4806</v>
      </c>
      <c r="G46" t="s">
        <v>4807</v>
      </c>
      <c r="H46" s="5">
        <v>45857</v>
      </c>
      <c r="I46" t="s">
        <v>4512</v>
      </c>
    </row>
    <row r="47" spans="1:9">
      <c r="A47" s="3" t="s">
        <v>2267</v>
      </c>
      <c r="B47" t="s">
        <v>4855</v>
      </c>
      <c r="C47" t="s">
        <v>4517</v>
      </c>
      <c r="D47" t="s">
        <v>4510</v>
      </c>
      <c r="E47" t="s">
        <v>4815</v>
      </c>
      <c r="F47" t="s">
        <v>4816</v>
      </c>
      <c r="G47" t="s">
        <v>4807</v>
      </c>
      <c r="H47" s="5">
        <v>45858</v>
      </c>
      <c r="I47" t="s">
        <v>9</v>
      </c>
    </row>
    <row r="48" spans="1:9">
      <c r="A48" s="3" t="s">
        <v>2284</v>
      </c>
      <c r="B48" t="s">
        <v>4856</v>
      </c>
      <c r="C48" t="s">
        <v>4509</v>
      </c>
      <c r="D48" t="s">
        <v>4510</v>
      </c>
      <c r="E48" t="s">
        <v>4511</v>
      </c>
      <c r="F48" t="s">
        <v>4806</v>
      </c>
      <c r="G48" t="s">
        <v>4807</v>
      </c>
      <c r="H48" s="5">
        <v>45858</v>
      </c>
      <c r="I48" t="s">
        <v>191</v>
      </c>
    </row>
    <row r="49" spans="1:9">
      <c r="A49" s="3" t="s">
        <v>2286</v>
      </c>
      <c r="B49" t="s">
        <v>4857</v>
      </c>
      <c r="C49" t="s">
        <v>4515</v>
      </c>
      <c r="D49" t="s">
        <v>4510</v>
      </c>
      <c r="E49" t="s">
        <v>4511</v>
      </c>
      <c r="F49" t="s">
        <v>4806</v>
      </c>
      <c r="G49" t="s">
        <v>4807</v>
      </c>
      <c r="H49" s="5">
        <v>45859</v>
      </c>
      <c r="I49" t="s">
        <v>4520</v>
      </c>
    </row>
    <row r="50" spans="1:9">
      <c r="A50" s="3" t="s">
        <v>2288</v>
      </c>
      <c r="B50" t="s">
        <v>4858</v>
      </c>
      <c r="C50" t="s">
        <v>4517</v>
      </c>
      <c r="D50" t="s">
        <v>4518</v>
      </c>
      <c r="E50" t="s">
        <v>4519</v>
      </c>
      <c r="F50" t="s">
        <v>4806</v>
      </c>
      <c r="G50" t="s">
        <v>4807</v>
      </c>
      <c r="H50" s="5">
        <v>45860</v>
      </c>
      <c r="I50" t="s">
        <v>12</v>
      </c>
    </row>
    <row r="51" spans="1:9">
      <c r="A51" s="3" t="s">
        <v>2290</v>
      </c>
      <c r="B51" t="s">
        <v>4859</v>
      </c>
      <c r="C51" t="s">
        <v>4517</v>
      </c>
      <c r="D51" t="s">
        <v>4510</v>
      </c>
      <c r="E51" t="s">
        <v>4815</v>
      </c>
      <c r="F51" t="s">
        <v>4816</v>
      </c>
      <c r="G51" t="s">
        <v>4807</v>
      </c>
      <c r="H51" s="5">
        <v>45861</v>
      </c>
      <c r="I51" t="s">
        <v>4523</v>
      </c>
    </row>
    <row r="52" spans="1:9">
      <c r="A52" s="3" t="s">
        <v>2301</v>
      </c>
      <c r="B52" t="s">
        <v>4860</v>
      </c>
      <c r="C52" t="s">
        <v>4509</v>
      </c>
      <c r="D52" t="s">
        <v>4510</v>
      </c>
      <c r="E52" t="s">
        <v>4511</v>
      </c>
      <c r="F52" t="s">
        <v>4806</v>
      </c>
      <c r="G52" t="s">
        <v>4807</v>
      </c>
      <c r="H52" s="5">
        <v>45867</v>
      </c>
      <c r="I52" t="s">
        <v>4512</v>
      </c>
    </row>
    <row r="53" spans="1:9">
      <c r="A53" s="3" t="s">
        <v>2315</v>
      </c>
      <c r="B53" t="s">
        <v>4861</v>
      </c>
      <c r="C53" t="s">
        <v>4509</v>
      </c>
      <c r="D53" t="s">
        <v>4510</v>
      </c>
      <c r="E53" t="s">
        <v>4511</v>
      </c>
      <c r="F53" t="s">
        <v>4806</v>
      </c>
      <c r="G53" t="s">
        <v>4807</v>
      </c>
      <c r="H53" s="5">
        <v>45873</v>
      </c>
      <c r="I53" t="s">
        <v>9</v>
      </c>
    </row>
    <row r="54" spans="1:9">
      <c r="A54" s="3" t="s">
        <v>2317</v>
      </c>
      <c r="B54" t="s">
        <v>4862</v>
      </c>
      <c r="C54" t="s">
        <v>4515</v>
      </c>
      <c r="D54" t="s">
        <v>4510</v>
      </c>
      <c r="E54" t="s">
        <v>4511</v>
      </c>
      <c r="F54" t="s">
        <v>4806</v>
      </c>
      <c r="G54" t="s">
        <v>4807</v>
      </c>
      <c r="H54" s="5">
        <v>45874</v>
      </c>
      <c r="I54" t="s">
        <v>191</v>
      </c>
    </row>
    <row r="55" spans="1:9">
      <c r="A55" s="3" t="s">
        <v>2324</v>
      </c>
      <c r="B55" t="s">
        <v>4863</v>
      </c>
      <c r="C55" t="s">
        <v>4509</v>
      </c>
      <c r="D55" t="s">
        <v>4510</v>
      </c>
      <c r="E55" t="s">
        <v>4511</v>
      </c>
      <c r="F55" t="s">
        <v>4806</v>
      </c>
      <c r="G55" t="s">
        <v>4807</v>
      </c>
      <c r="H55" s="5">
        <v>45879</v>
      </c>
      <c r="I55" t="s">
        <v>4520</v>
      </c>
    </row>
    <row r="56" spans="1:9">
      <c r="A56" s="3" t="s">
        <v>2326</v>
      </c>
      <c r="B56" t="s">
        <v>4864</v>
      </c>
      <c r="C56" t="s">
        <v>4515</v>
      </c>
      <c r="D56" t="s">
        <v>4510</v>
      </c>
      <c r="E56" t="s">
        <v>4511</v>
      </c>
      <c r="F56" t="s">
        <v>4806</v>
      </c>
      <c r="G56" t="s">
        <v>4807</v>
      </c>
      <c r="H56" s="5">
        <v>45880</v>
      </c>
      <c r="I56" t="s">
        <v>12</v>
      </c>
    </row>
    <row r="57" spans="1:9">
      <c r="A57" s="3" t="s">
        <v>2328</v>
      </c>
      <c r="B57" t="s">
        <v>4865</v>
      </c>
      <c r="C57" t="s">
        <v>4517</v>
      </c>
      <c r="D57" t="s">
        <v>4518</v>
      </c>
      <c r="E57" t="s">
        <v>4519</v>
      </c>
      <c r="F57" t="s">
        <v>4806</v>
      </c>
      <c r="G57" t="s">
        <v>4807</v>
      </c>
      <c r="H57" s="5">
        <v>45881</v>
      </c>
      <c r="I57" t="s">
        <v>4523</v>
      </c>
    </row>
    <row r="58" spans="1:9">
      <c r="A58" s="3" t="s">
        <v>2335</v>
      </c>
      <c r="B58" t="s">
        <v>4866</v>
      </c>
      <c r="C58" t="s">
        <v>4509</v>
      </c>
      <c r="D58" t="s">
        <v>4510</v>
      </c>
      <c r="E58" t="s">
        <v>4511</v>
      </c>
      <c r="F58" t="s">
        <v>4806</v>
      </c>
      <c r="G58" t="s">
        <v>4807</v>
      </c>
      <c r="H58" s="5">
        <v>45879</v>
      </c>
      <c r="I58" t="s">
        <v>4512</v>
      </c>
    </row>
    <row r="59" spans="1:9">
      <c r="A59" s="3" t="s">
        <v>2337</v>
      </c>
      <c r="B59" t="s">
        <v>4867</v>
      </c>
      <c r="C59" t="s">
        <v>4515</v>
      </c>
      <c r="D59" t="s">
        <v>4510</v>
      </c>
      <c r="E59" t="s">
        <v>4511</v>
      </c>
      <c r="F59" t="s">
        <v>4806</v>
      </c>
      <c r="G59" t="s">
        <v>4807</v>
      </c>
      <c r="H59" s="5">
        <v>45880</v>
      </c>
      <c r="I59" t="s">
        <v>9</v>
      </c>
    </row>
    <row r="60" spans="1:9">
      <c r="A60" s="3" t="s">
        <v>2339</v>
      </c>
      <c r="B60" t="s">
        <v>4868</v>
      </c>
      <c r="C60" t="s">
        <v>4517</v>
      </c>
      <c r="D60" t="s">
        <v>4518</v>
      </c>
      <c r="E60" t="s">
        <v>4519</v>
      </c>
      <c r="F60" t="s">
        <v>4806</v>
      </c>
      <c r="G60" t="s">
        <v>4807</v>
      </c>
      <c r="H60" s="5">
        <v>45881</v>
      </c>
      <c r="I60" t="s">
        <v>191</v>
      </c>
    </row>
    <row r="61" spans="1:9">
      <c r="A61" s="3" t="s">
        <v>2341</v>
      </c>
      <c r="B61" t="s">
        <v>4869</v>
      </c>
      <c r="C61" t="s">
        <v>4517</v>
      </c>
      <c r="D61" t="s">
        <v>4510</v>
      </c>
      <c r="E61" t="s">
        <v>4815</v>
      </c>
      <c r="F61" t="s">
        <v>4816</v>
      </c>
      <c r="G61" t="s">
        <v>4807</v>
      </c>
      <c r="H61" s="5">
        <v>45882</v>
      </c>
      <c r="I61" t="s">
        <v>4520</v>
      </c>
    </row>
    <row r="62" spans="1:9">
      <c r="A62" s="3" t="s">
        <v>2377</v>
      </c>
      <c r="B62" t="s">
        <v>4870</v>
      </c>
      <c r="C62" t="s">
        <v>4509</v>
      </c>
      <c r="D62" t="s">
        <v>4510</v>
      </c>
      <c r="E62" t="s">
        <v>4511</v>
      </c>
      <c r="F62" t="s">
        <v>4806</v>
      </c>
      <c r="G62" t="s">
        <v>4807</v>
      </c>
      <c r="H62" s="5">
        <v>45885</v>
      </c>
      <c r="I62" t="s">
        <v>12</v>
      </c>
    </row>
    <row r="63" spans="1:9">
      <c r="A63" s="3" t="s">
        <v>2379</v>
      </c>
      <c r="B63" t="s">
        <v>4871</v>
      </c>
      <c r="C63" t="s">
        <v>4515</v>
      </c>
      <c r="D63" t="s">
        <v>4510</v>
      </c>
      <c r="E63" t="s">
        <v>4511</v>
      </c>
      <c r="F63" t="s">
        <v>4806</v>
      </c>
      <c r="G63" t="s">
        <v>4807</v>
      </c>
      <c r="H63" s="5">
        <v>45886</v>
      </c>
      <c r="I63" t="s">
        <v>4523</v>
      </c>
    </row>
    <row r="64" spans="1:9">
      <c r="A64" s="3" t="s">
        <v>2381</v>
      </c>
      <c r="B64" t="s">
        <v>4872</v>
      </c>
      <c r="C64" t="s">
        <v>4517</v>
      </c>
      <c r="D64" t="s">
        <v>4518</v>
      </c>
      <c r="E64" t="s">
        <v>4519</v>
      </c>
      <c r="F64" t="s">
        <v>4806</v>
      </c>
      <c r="G64" t="s">
        <v>4807</v>
      </c>
      <c r="H64" s="5">
        <v>45887</v>
      </c>
      <c r="I64" t="s">
        <v>4512</v>
      </c>
    </row>
    <row r="65" spans="1:9">
      <c r="A65" s="3" t="s">
        <v>2383</v>
      </c>
      <c r="B65" t="s">
        <v>4873</v>
      </c>
      <c r="C65" t="s">
        <v>4517</v>
      </c>
      <c r="D65" t="s">
        <v>4510</v>
      </c>
      <c r="E65" t="s">
        <v>4815</v>
      </c>
      <c r="F65" t="s">
        <v>4816</v>
      </c>
      <c r="G65" t="s">
        <v>4807</v>
      </c>
      <c r="H65" s="5">
        <v>45888</v>
      </c>
      <c r="I65" t="s">
        <v>9</v>
      </c>
    </row>
    <row r="66" spans="1:9">
      <c r="A66" s="3" t="s">
        <v>2420</v>
      </c>
      <c r="B66" t="s">
        <v>4874</v>
      </c>
      <c r="C66" t="s">
        <v>4509</v>
      </c>
      <c r="D66" t="s">
        <v>4510</v>
      </c>
      <c r="E66" t="s">
        <v>4511</v>
      </c>
      <c r="F66" t="s">
        <v>4806</v>
      </c>
      <c r="G66" t="s">
        <v>4807</v>
      </c>
      <c r="H66" s="5">
        <v>45897</v>
      </c>
      <c r="I66" t="s">
        <v>191</v>
      </c>
    </row>
    <row r="67" spans="1:9">
      <c r="A67" s="3" t="s">
        <v>2422</v>
      </c>
      <c r="B67" t="s">
        <v>4875</v>
      </c>
      <c r="C67" t="s">
        <v>4515</v>
      </c>
      <c r="D67" t="s">
        <v>4510</v>
      </c>
      <c r="E67" t="s">
        <v>4511</v>
      </c>
      <c r="F67" t="s">
        <v>4806</v>
      </c>
      <c r="G67" t="s">
        <v>4807</v>
      </c>
      <c r="H67" s="5">
        <v>45898</v>
      </c>
      <c r="I67" t="s">
        <v>4520</v>
      </c>
    </row>
    <row r="68" spans="1:9">
      <c r="A68" s="3" t="s">
        <v>2436</v>
      </c>
      <c r="B68" t="s">
        <v>4876</v>
      </c>
      <c r="C68" t="s">
        <v>4509</v>
      </c>
      <c r="D68" t="s">
        <v>4510</v>
      </c>
      <c r="E68" t="s">
        <v>4511</v>
      </c>
      <c r="F68" t="s">
        <v>4806</v>
      </c>
      <c r="G68" t="s">
        <v>4807</v>
      </c>
      <c r="H68" s="5">
        <v>45903</v>
      </c>
      <c r="I68" t="s">
        <v>12</v>
      </c>
    </row>
    <row r="69" spans="1:9">
      <c r="A69" s="3" t="s">
        <v>2438</v>
      </c>
      <c r="B69" t="s">
        <v>4877</v>
      </c>
      <c r="C69" t="s">
        <v>4515</v>
      </c>
      <c r="D69" t="s">
        <v>4510</v>
      </c>
      <c r="E69" t="s">
        <v>4511</v>
      </c>
      <c r="F69" t="s">
        <v>4806</v>
      </c>
      <c r="G69" t="s">
        <v>4807</v>
      </c>
      <c r="H69" s="5">
        <v>45904</v>
      </c>
      <c r="I69" t="s">
        <v>4523</v>
      </c>
    </row>
    <row r="70" spans="1:9">
      <c r="A70" s="3" t="s">
        <v>2440</v>
      </c>
      <c r="B70" t="s">
        <v>4878</v>
      </c>
      <c r="C70" t="s">
        <v>4517</v>
      </c>
      <c r="D70" t="s">
        <v>4518</v>
      </c>
      <c r="E70" t="s">
        <v>4519</v>
      </c>
      <c r="F70" t="s">
        <v>4806</v>
      </c>
      <c r="G70" t="s">
        <v>4807</v>
      </c>
      <c r="H70" s="5">
        <v>45905</v>
      </c>
      <c r="I70" t="s">
        <v>4512</v>
      </c>
    </row>
    <row r="71" spans="1:9">
      <c r="A71" s="3" t="s">
        <v>2442</v>
      </c>
      <c r="B71" t="s">
        <v>4879</v>
      </c>
      <c r="C71" t="s">
        <v>4517</v>
      </c>
      <c r="D71" t="s">
        <v>4510</v>
      </c>
      <c r="E71" t="s">
        <v>4815</v>
      </c>
      <c r="F71" t="s">
        <v>4816</v>
      </c>
      <c r="G71" t="s">
        <v>4807</v>
      </c>
      <c r="H71" s="5">
        <v>45906</v>
      </c>
      <c r="I71" t="s">
        <v>9</v>
      </c>
    </row>
    <row r="72" spans="1:9">
      <c r="A72" s="3" t="s">
        <v>2449</v>
      </c>
      <c r="B72" t="s">
        <v>4880</v>
      </c>
      <c r="C72" t="s">
        <v>4509</v>
      </c>
      <c r="D72" t="s">
        <v>4510</v>
      </c>
      <c r="E72" t="s">
        <v>4511</v>
      </c>
      <c r="F72" t="s">
        <v>4806</v>
      </c>
      <c r="G72" t="s">
        <v>4807</v>
      </c>
      <c r="H72" s="5">
        <v>45906</v>
      </c>
      <c r="I72" t="s">
        <v>191</v>
      </c>
    </row>
    <row r="73" spans="1:9">
      <c r="A73" s="3" t="s">
        <v>2451</v>
      </c>
      <c r="B73" t="s">
        <v>4881</v>
      </c>
      <c r="C73" t="s">
        <v>4515</v>
      </c>
      <c r="D73" t="s">
        <v>4510</v>
      </c>
      <c r="E73" t="s">
        <v>4511</v>
      </c>
      <c r="F73" t="s">
        <v>4806</v>
      </c>
      <c r="G73" t="s">
        <v>4807</v>
      </c>
      <c r="H73" s="5">
        <v>45907</v>
      </c>
      <c r="I73" t="s">
        <v>4520</v>
      </c>
    </row>
    <row r="74" spans="1:9">
      <c r="A74" s="3" t="s">
        <v>2453</v>
      </c>
      <c r="B74" t="s">
        <v>4882</v>
      </c>
      <c r="C74" t="s">
        <v>4517</v>
      </c>
      <c r="D74" t="s">
        <v>4518</v>
      </c>
      <c r="E74" t="s">
        <v>4519</v>
      </c>
      <c r="F74" t="s">
        <v>4806</v>
      </c>
      <c r="G74" t="s">
        <v>4807</v>
      </c>
      <c r="H74" s="5">
        <v>45908</v>
      </c>
      <c r="I74" t="s">
        <v>12</v>
      </c>
    </row>
    <row r="75" spans="1:9">
      <c r="A75" s="3" t="s">
        <v>2482</v>
      </c>
      <c r="B75" t="s">
        <v>4883</v>
      </c>
      <c r="C75" t="s">
        <v>4509</v>
      </c>
      <c r="D75" t="s">
        <v>4510</v>
      </c>
      <c r="E75" t="s">
        <v>4511</v>
      </c>
      <c r="F75" t="s">
        <v>4806</v>
      </c>
      <c r="G75" t="s">
        <v>4807</v>
      </c>
      <c r="H75" s="5">
        <v>45915</v>
      </c>
      <c r="I75" t="s">
        <v>4523</v>
      </c>
    </row>
    <row r="76" spans="1:9">
      <c r="A76" s="3" t="s">
        <v>2484</v>
      </c>
      <c r="B76" t="s">
        <v>4884</v>
      </c>
      <c r="C76" t="s">
        <v>4515</v>
      </c>
      <c r="D76" t="s">
        <v>4510</v>
      </c>
      <c r="E76" t="s">
        <v>4511</v>
      </c>
      <c r="F76" t="s">
        <v>4806</v>
      </c>
      <c r="G76" t="s">
        <v>4807</v>
      </c>
      <c r="H76" s="5">
        <v>45916</v>
      </c>
      <c r="I76" t="s">
        <v>4512</v>
      </c>
    </row>
    <row r="77" spans="1:9">
      <c r="A77" s="3" t="s">
        <v>2536</v>
      </c>
      <c r="B77" t="s">
        <v>4885</v>
      </c>
      <c r="C77" t="s">
        <v>4509</v>
      </c>
      <c r="D77" t="s">
        <v>4510</v>
      </c>
      <c r="E77" t="s">
        <v>4511</v>
      </c>
      <c r="F77" t="s">
        <v>4806</v>
      </c>
      <c r="G77" t="s">
        <v>4807</v>
      </c>
      <c r="H77" s="5">
        <v>45942</v>
      </c>
      <c r="I77" t="s">
        <v>9</v>
      </c>
    </row>
    <row r="78" spans="1:9">
      <c r="A78" s="3" t="s">
        <v>2538</v>
      </c>
      <c r="B78" t="s">
        <v>4886</v>
      </c>
      <c r="C78" t="s">
        <v>4515</v>
      </c>
      <c r="D78" t="s">
        <v>4510</v>
      </c>
      <c r="E78" t="s">
        <v>4511</v>
      </c>
      <c r="F78" t="s">
        <v>4806</v>
      </c>
      <c r="G78" t="s">
        <v>4807</v>
      </c>
      <c r="H78" s="5">
        <v>45943</v>
      </c>
      <c r="I78" t="s">
        <v>191</v>
      </c>
    </row>
    <row r="79" spans="1:9">
      <c r="A79" s="3" t="s">
        <v>2540</v>
      </c>
      <c r="B79" t="s">
        <v>4887</v>
      </c>
      <c r="C79" t="s">
        <v>4517</v>
      </c>
      <c r="D79" t="s">
        <v>4518</v>
      </c>
      <c r="E79" t="s">
        <v>4519</v>
      </c>
      <c r="F79" t="s">
        <v>4806</v>
      </c>
      <c r="G79" t="s">
        <v>4807</v>
      </c>
      <c r="H79" s="5">
        <v>45944</v>
      </c>
      <c r="I79" t="s">
        <v>4520</v>
      </c>
    </row>
    <row r="80" spans="1:9">
      <c r="A80" s="3" t="s">
        <v>2542</v>
      </c>
      <c r="B80" t="s">
        <v>4888</v>
      </c>
      <c r="C80" t="s">
        <v>4517</v>
      </c>
      <c r="D80" t="s">
        <v>4510</v>
      </c>
      <c r="E80" t="s">
        <v>4815</v>
      </c>
      <c r="F80" t="s">
        <v>4816</v>
      </c>
      <c r="G80" t="s">
        <v>4807</v>
      </c>
      <c r="H80" s="5">
        <v>45945</v>
      </c>
      <c r="I80" t="s">
        <v>12</v>
      </c>
    </row>
    <row r="81" spans="1:9">
      <c r="A81" s="3" t="s">
        <v>2559</v>
      </c>
      <c r="B81" t="s">
        <v>4889</v>
      </c>
      <c r="C81" t="s">
        <v>4509</v>
      </c>
      <c r="D81" t="s">
        <v>4510</v>
      </c>
      <c r="E81" t="s">
        <v>4511</v>
      </c>
      <c r="F81" t="s">
        <v>4806</v>
      </c>
      <c r="G81" t="s">
        <v>4807</v>
      </c>
      <c r="H81" s="5">
        <v>45945</v>
      </c>
      <c r="I81" t="s">
        <v>4523</v>
      </c>
    </row>
    <row r="82" spans="1:9">
      <c r="A82" s="3" t="s">
        <v>2561</v>
      </c>
      <c r="B82" t="s">
        <v>4890</v>
      </c>
      <c r="C82" t="s">
        <v>4515</v>
      </c>
      <c r="D82" t="s">
        <v>4510</v>
      </c>
      <c r="E82" t="s">
        <v>4511</v>
      </c>
      <c r="F82" t="s">
        <v>4806</v>
      </c>
      <c r="G82" t="s">
        <v>4807</v>
      </c>
      <c r="H82" s="5">
        <v>45946</v>
      </c>
      <c r="I82" t="s">
        <v>4512</v>
      </c>
    </row>
    <row r="83" spans="1:9">
      <c r="A83" s="3" t="s">
        <v>2563</v>
      </c>
      <c r="B83" t="s">
        <v>4891</v>
      </c>
      <c r="C83" t="s">
        <v>4517</v>
      </c>
      <c r="D83" t="s">
        <v>4518</v>
      </c>
      <c r="E83" t="s">
        <v>4519</v>
      </c>
      <c r="F83" t="s">
        <v>4806</v>
      </c>
      <c r="G83" t="s">
        <v>4807</v>
      </c>
      <c r="H83" s="5">
        <v>45947</v>
      </c>
      <c r="I83" t="s">
        <v>9</v>
      </c>
    </row>
    <row r="84" spans="1:9">
      <c r="A84" s="3" t="s">
        <v>2565</v>
      </c>
      <c r="B84" t="s">
        <v>4892</v>
      </c>
      <c r="C84" t="s">
        <v>4517</v>
      </c>
      <c r="D84" t="s">
        <v>4510</v>
      </c>
      <c r="E84" t="s">
        <v>4815</v>
      </c>
      <c r="F84" t="s">
        <v>4816</v>
      </c>
      <c r="G84" t="s">
        <v>4841</v>
      </c>
      <c r="H84" s="5">
        <v>45948</v>
      </c>
      <c r="I84" t="s">
        <v>191</v>
      </c>
    </row>
    <row r="85" spans="1:9">
      <c r="A85" s="3" t="s">
        <v>2617</v>
      </c>
      <c r="B85" t="s">
        <v>4893</v>
      </c>
      <c r="C85" t="s">
        <v>4509</v>
      </c>
      <c r="D85" t="s">
        <v>4510</v>
      </c>
      <c r="E85" t="s">
        <v>4511</v>
      </c>
      <c r="F85" t="s">
        <v>4806</v>
      </c>
      <c r="G85" t="s">
        <v>4807</v>
      </c>
      <c r="H85" s="5">
        <v>45322</v>
      </c>
      <c r="I85" t="s">
        <v>4520</v>
      </c>
    </row>
    <row r="86" spans="1:9">
      <c r="A86" s="3" t="s">
        <v>2723</v>
      </c>
      <c r="B86" t="s">
        <v>4894</v>
      </c>
      <c r="C86" t="s">
        <v>4509</v>
      </c>
      <c r="D86" t="s">
        <v>4510</v>
      </c>
      <c r="E86" t="s">
        <v>4511</v>
      </c>
      <c r="F86" t="s">
        <v>4806</v>
      </c>
      <c r="G86" t="s">
        <v>4807</v>
      </c>
      <c r="H86" s="5">
        <v>45364</v>
      </c>
      <c r="I86" t="s">
        <v>12</v>
      </c>
    </row>
    <row r="87" spans="1:9">
      <c r="A87" s="3" t="s">
        <v>2725</v>
      </c>
      <c r="B87" t="s">
        <v>4895</v>
      </c>
      <c r="C87" t="s">
        <v>4515</v>
      </c>
      <c r="D87" t="s">
        <v>4510</v>
      </c>
      <c r="E87" t="s">
        <v>4511</v>
      </c>
      <c r="F87" t="s">
        <v>4806</v>
      </c>
      <c r="G87" t="s">
        <v>4807</v>
      </c>
      <c r="H87" s="5">
        <v>45365</v>
      </c>
      <c r="I87" t="s">
        <v>4523</v>
      </c>
    </row>
    <row r="88" spans="1:9">
      <c r="A88" s="3" t="s">
        <v>2727</v>
      </c>
      <c r="B88" t="s">
        <v>4896</v>
      </c>
      <c r="C88" t="s">
        <v>4517</v>
      </c>
      <c r="D88" t="s">
        <v>4518</v>
      </c>
      <c r="E88" t="s">
        <v>4519</v>
      </c>
      <c r="F88" t="s">
        <v>4806</v>
      </c>
      <c r="G88" t="s">
        <v>4807</v>
      </c>
      <c r="H88" s="5">
        <v>45366</v>
      </c>
      <c r="I88" t="s">
        <v>4512</v>
      </c>
    </row>
    <row r="89" spans="1:9">
      <c r="A89" s="3" t="s">
        <v>2744</v>
      </c>
      <c r="B89" t="s">
        <v>4897</v>
      </c>
      <c r="C89" t="s">
        <v>4509</v>
      </c>
      <c r="D89" t="s">
        <v>4510</v>
      </c>
      <c r="E89" t="s">
        <v>4511</v>
      </c>
      <c r="F89" t="s">
        <v>4806</v>
      </c>
      <c r="G89" t="s">
        <v>4807</v>
      </c>
      <c r="H89" s="5">
        <v>45367</v>
      </c>
      <c r="I89" t="s">
        <v>9</v>
      </c>
    </row>
    <row r="90" spans="1:9">
      <c r="A90" s="3" t="s">
        <v>2746</v>
      </c>
      <c r="B90" t="s">
        <v>4898</v>
      </c>
      <c r="C90" t="s">
        <v>4515</v>
      </c>
      <c r="D90" t="s">
        <v>4510</v>
      </c>
      <c r="E90" t="s">
        <v>4511</v>
      </c>
      <c r="F90" t="s">
        <v>4806</v>
      </c>
      <c r="G90" t="s">
        <v>4807</v>
      </c>
      <c r="H90" s="5">
        <v>45368</v>
      </c>
      <c r="I90" t="s">
        <v>191</v>
      </c>
    </row>
    <row r="91" spans="1:9">
      <c r="A91" s="3" t="s">
        <v>2748</v>
      </c>
      <c r="B91" t="s">
        <v>4899</v>
      </c>
      <c r="C91" t="s">
        <v>4517</v>
      </c>
      <c r="D91" t="s">
        <v>4518</v>
      </c>
      <c r="E91" t="s">
        <v>4519</v>
      </c>
      <c r="F91" t="s">
        <v>4806</v>
      </c>
      <c r="G91" t="s">
        <v>4807</v>
      </c>
      <c r="H91" s="5">
        <v>45369</v>
      </c>
      <c r="I91" t="s">
        <v>4520</v>
      </c>
    </row>
    <row r="92" spans="1:9">
      <c r="A92" s="3" t="s">
        <v>2765</v>
      </c>
      <c r="B92" t="s">
        <v>4900</v>
      </c>
      <c r="C92" t="s">
        <v>4509</v>
      </c>
      <c r="D92" t="s">
        <v>4510</v>
      </c>
      <c r="E92" t="s">
        <v>4511</v>
      </c>
      <c r="F92" t="s">
        <v>4806</v>
      </c>
      <c r="G92" t="s">
        <v>4841</v>
      </c>
      <c r="H92" s="5">
        <v>45373</v>
      </c>
      <c r="I92" t="s">
        <v>12</v>
      </c>
    </row>
    <row r="93" spans="1:9">
      <c r="A93" s="3" t="s">
        <v>2767</v>
      </c>
      <c r="B93" t="s">
        <v>4901</v>
      </c>
      <c r="C93" t="s">
        <v>4515</v>
      </c>
      <c r="D93" t="s">
        <v>4510</v>
      </c>
      <c r="E93" t="s">
        <v>4511</v>
      </c>
      <c r="F93" t="s">
        <v>4806</v>
      </c>
      <c r="G93" t="s">
        <v>4807</v>
      </c>
      <c r="H93" s="5">
        <v>45374</v>
      </c>
      <c r="I93" t="s">
        <v>4523</v>
      </c>
    </row>
    <row r="94" spans="1:9">
      <c r="A94" s="3" t="s">
        <v>2836</v>
      </c>
      <c r="B94" t="s">
        <v>4902</v>
      </c>
      <c r="C94" t="s">
        <v>4509</v>
      </c>
      <c r="D94" t="s">
        <v>4510</v>
      </c>
      <c r="E94" t="s">
        <v>4511</v>
      </c>
      <c r="F94" t="s">
        <v>4806</v>
      </c>
      <c r="G94" t="s">
        <v>4807</v>
      </c>
      <c r="H94" s="5">
        <v>45391</v>
      </c>
      <c r="I94" t="s">
        <v>4512</v>
      </c>
    </row>
    <row r="95" spans="1:9">
      <c r="A95" s="3" t="s">
        <v>2838</v>
      </c>
      <c r="B95" t="s">
        <v>4903</v>
      </c>
      <c r="C95" t="s">
        <v>4515</v>
      </c>
      <c r="D95" t="s">
        <v>4510</v>
      </c>
      <c r="E95" t="s">
        <v>4511</v>
      </c>
      <c r="F95" t="s">
        <v>4806</v>
      </c>
      <c r="G95" t="s">
        <v>4807</v>
      </c>
      <c r="H95" s="5">
        <v>45392</v>
      </c>
      <c r="I95" t="s">
        <v>9</v>
      </c>
    </row>
    <row r="96" spans="1:9">
      <c r="A96" s="3" t="s">
        <v>2855</v>
      </c>
      <c r="B96" t="s">
        <v>4904</v>
      </c>
      <c r="C96" t="s">
        <v>4509</v>
      </c>
      <c r="D96" t="s">
        <v>4510</v>
      </c>
      <c r="E96" t="s">
        <v>4511</v>
      </c>
      <c r="F96" t="s">
        <v>4806</v>
      </c>
      <c r="G96" t="s">
        <v>4807</v>
      </c>
      <c r="H96" s="5">
        <v>45394</v>
      </c>
      <c r="I96" t="s">
        <v>191</v>
      </c>
    </row>
    <row r="97" spans="1:9">
      <c r="A97" s="3" t="s">
        <v>2857</v>
      </c>
      <c r="B97" t="s">
        <v>4905</v>
      </c>
      <c r="C97" t="s">
        <v>4515</v>
      </c>
      <c r="D97" t="s">
        <v>4510</v>
      </c>
      <c r="E97" t="s">
        <v>4511</v>
      </c>
      <c r="F97" t="s">
        <v>4806</v>
      </c>
      <c r="G97" t="s">
        <v>4807</v>
      </c>
      <c r="H97" s="5">
        <v>45395</v>
      </c>
      <c r="I97" t="s">
        <v>4520</v>
      </c>
    </row>
    <row r="98" spans="1:9">
      <c r="A98" s="3" t="s">
        <v>2933</v>
      </c>
      <c r="B98" t="s">
        <v>4906</v>
      </c>
      <c r="C98" t="s">
        <v>4509</v>
      </c>
      <c r="D98" t="s">
        <v>4510</v>
      </c>
      <c r="E98" t="s">
        <v>4511</v>
      </c>
      <c r="F98" t="s">
        <v>4806</v>
      </c>
      <c r="G98" t="s">
        <v>4807</v>
      </c>
      <c r="H98" s="5">
        <v>45418</v>
      </c>
      <c r="I98" t="s">
        <v>12</v>
      </c>
    </row>
    <row r="99" spans="1:9">
      <c r="A99" s="3" t="s">
        <v>2950</v>
      </c>
      <c r="B99" t="s">
        <v>4907</v>
      </c>
      <c r="C99" t="s">
        <v>4509</v>
      </c>
      <c r="D99" t="s">
        <v>4510</v>
      </c>
      <c r="E99" t="s">
        <v>4511</v>
      </c>
      <c r="F99" t="s">
        <v>4806</v>
      </c>
      <c r="G99" t="s">
        <v>4807</v>
      </c>
      <c r="H99" s="5">
        <v>45421</v>
      </c>
      <c r="I99" t="s">
        <v>4523</v>
      </c>
    </row>
    <row r="100" spans="1:9">
      <c r="A100" s="3" t="s">
        <v>2952</v>
      </c>
      <c r="B100" t="s">
        <v>4908</v>
      </c>
      <c r="C100" t="s">
        <v>4515</v>
      </c>
      <c r="D100" t="s">
        <v>4510</v>
      </c>
      <c r="E100" t="s">
        <v>4511</v>
      </c>
      <c r="F100" t="s">
        <v>4806</v>
      </c>
      <c r="G100" t="s">
        <v>4807</v>
      </c>
      <c r="H100" s="5">
        <v>45422</v>
      </c>
      <c r="I100" t="s">
        <v>4512</v>
      </c>
    </row>
    <row r="101" spans="1:9">
      <c r="A101" s="3" t="s">
        <v>2954</v>
      </c>
      <c r="B101" t="s">
        <v>4909</v>
      </c>
      <c r="C101" t="s">
        <v>4517</v>
      </c>
      <c r="D101" t="s">
        <v>4518</v>
      </c>
      <c r="E101" t="s">
        <v>4519</v>
      </c>
      <c r="F101" t="s">
        <v>4806</v>
      </c>
      <c r="G101" t="s">
        <v>4807</v>
      </c>
      <c r="H101" s="5">
        <v>45423</v>
      </c>
      <c r="I101" t="s">
        <v>9</v>
      </c>
    </row>
    <row r="102" spans="1:9">
      <c r="A102" s="3" t="s">
        <v>2956</v>
      </c>
      <c r="B102" t="s">
        <v>4910</v>
      </c>
      <c r="C102" t="s">
        <v>4517</v>
      </c>
      <c r="D102" t="s">
        <v>4510</v>
      </c>
      <c r="E102" t="s">
        <v>4815</v>
      </c>
      <c r="F102" t="s">
        <v>4816</v>
      </c>
      <c r="G102" t="s">
        <v>4807</v>
      </c>
      <c r="H102" s="5">
        <v>45424</v>
      </c>
      <c r="I102" t="s">
        <v>191</v>
      </c>
    </row>
    <row r="103" spans="1:9">
      <c r="A103" s="3" t="s">
        <v>2973</v>
      </c>
      <c r="B103" t="s">
        <v>4911</v>
      </c>
      <c r="C103" t="s">
        <v>4509</v>
      </c>
      <c r="D103" t="s">
        <v>4510</v>
      </c>
      <c r="E103" t="s">
        <v>4511</v>
      </c>
      <c r="F103" t="s">
        <v>4806</v>
      </c>
      <c r="G103" t="s">
        <v>4807</v>
      </c>
      <c r="H103" s="5">
        <v>45424</v>
      </c>
      <c r="I103" t="s">
        <v>4520</v>
      </c>
    </row>
    <row r="104" spans="1:9">
      <c r="A104" s="3" t="s">
        <v>2975</v>
      </c>
      <c r="B104" t="s">
        <v>4912</v>
      </c>
      <c r="C104" t="s">
        <v>4515</v>
      </c>
      <c r="D104" t="s">
        <v>4510</v>
      </c>
      <c r="E104" t="s">
        <v>4511</v>
      </c>
      <c r="F104" t="s">
        <v>4806</v>
      </c>
      <c r="G104" t="s">
        <v>4807</v>
      </c>
      <c r="H104" s="5">
        <v>45425</v>
      </c>
      <c r="I104" t="s">
        <v>12</v>
      </c>
    </row>
    <row r="105" spans="1:9">
      <c r="A105" s="3" t="s">
        <v>2977</v>
      </c>
      <c r="B105" t="s">
        <v>4913</v>
      </c>
      <c r="C105" t="s">
        <v>4517</v>
      </c>
      <c r="D105" t="s">
        <v>4518</v>
      </c>
      <c r="E105" t="s">
        <v>4519</v>
      </c>
      <c r="F105" t="s">
        <v>4806</v>
      </c>
      <c r="G105" t="s">
        <v>4841</v>
      </c>
      <c r="H105" s="5">
        <v>45426</v>
      </c>
      <c r="I105" t="s">
        <v>4523</v>
      </c>
    </row>
    <row r="106" spans="1:9">
      <c r="A106" s="3" t="s">
        <v>3020</v>
      </c>
      <c r="B106" t="s">
        <v>4914</v>
      </c>
      <c r="C106" t="s">
        <v>4509</v>
      </c>
      <c r="D106" t="s">
        <v>4510</v>
      </c>
      <c r="E106" t="s">
        <v>4511</v>
      </c>
      <c r="F106" t="s">
        <v>4806</v>
      </c>
      <c r="G106" t="s">
        <v>4807</v>
      </c>
      <c r="H106" s="5">
        <v>45436</v>
      </c>
      <c r="I106" t="s">
        <v>4512</v>
      </c>
    </row>
    <row r="107" spans="1:9">
      <c r="A107" s="3" t="s">
        <v>3022</v>
      </c>
      <c r="B107" t="s">
        <v>4915</v>
      </c>
      <c r="C107" t="s">
        <v>4515</v>
      </c>
      <c r="D107" t="s">
        <v>4510</v>
      </c>
      <c r="E107" t="s">
        <v>4511</v>
      </c>
      <c r="F107" t="s">
        <v>4806</v>
      </c>
      <c r="G107" t="s">
        <v>4807</v>
      </c>
      <c r="H107" s="5">
        <v>45437</v>
      </c>
      <c r="I107" t="s">
        <v>9</v>
      </c>
    </row>
    <row r="108" spans="1:9">
      <c r="A108" s="3" t="s">
        <v>3024</v>
      </c>
      <c r="B108" t="s">
        <v>4916</v>
      </c>
      <c r="C108" t="s">
        <v>4517</v>
      </c>
      <c r="D108" t="s">
        <v>4518</v>
      </c>
      <c r="E108" t="s">
        <v>4519</v>
      </c>
      <c r="F108" t="s">
        <v>4806</v>
      </c>
      <c r="G108" t="s">
        <v>4807</v>
      </c>
      <c r="H108" s="5">
        <v>45438</v>
      </c>
      <c r="I108" t="s">
        <v>191</v>
      </c>
    </row>
    <row r="109" spans="1:9">
      <c r="A109" s="3" t="s">
        <v>3026</v>
      </c>
      <c r="B109" t="s">
        <v>4917</v>
      </c>
      <c r="C109" t="s">
        <v>4517</v>
      </c>
      <c r="D109" t="s">
        <v>4510</v>
      </c>
      <c r="E109" t="s">
        <v>4815</v>
      </c>
      <c r="F109" t="s">
        <v>4816</v>
      </c>
      <c r="G109" t="s">
        <v>4807</v>
      </c>
      <c r="H109" s="5">
        <v>45439</v>
      </c>
      <c r="I109" t="s">
        <v>4520</v>
      </c>
    </row>
    <row r="110" spans="1:9">
      <c r="A110" s="3" t="s">
        <v>3043</v>
      </c>
      <c r="B110" t="s">
        <v>4918</v>
      </c>
      <c r="C110" t="s">
        <v>4509</v>
      </c>
      <c r="D110" t="s">
        <v>4510</v>
      </c>
      <c r="E110" t="s">
        <v>4511</v>
      </c>
      <c r="F110" t="s">
        <v>4806</v>
      </c>
      <c r="G110" t="s">
        <v>4807</v>
      </c>
      <c r="H110" s="5">
        <v>45439</v>
      </c>
      <c r="I110" t="s">
        <v>12</v>
      </c>
    </row>
    <row r="111" spans="1:9">
      <c r="A111" s="3" t="s">
        <v>3045</v>
      </c>
      <c r="B111" t="s">
        <v>4919</v>
      </c>
      <c r="C111" t="s">
        <v>4515</v>
      </c>
      <c r="D111" t="s">
        <v>4510</v>
      </c>
      <c r="E111" t="s">
        <v>4511</v>
      </c>
      <c r="F111" t="s">
        <v>4806</v>
      </c>
      <c r="G111" t="s">
        <v>4807</v>
      </c>
      <c r="H111" s="5">
        <v>45440</v>
      </c>
      <c r="I111" t="s">
        <v>4523</v>
      </c>
    </row>
    <row r="112" spans="1:9">
      <c r="A112" s="3" t="s">
        <v>3047</v>
      </c>
      <c r="B112" t="s">
        <v>4920</v>
      </c>
      <c r="C112" t="s">
        <v>4517</v>
      </c>
      <c r="D112" t="s">
        <v>4518</v>
      </c>
      <c r="E112" t="s">
        <v>4519</v>
      </c>
      <c r="F112" t="s">
        <v>4806</v>
      </c>
      <c r="G112" t="s">
        <v>4807</v>
      </c>
      <c r="H112" s="5">
        <v>45441</v>
      </c>
      <c r="I112" t="s">
        <v>4512</v>
      </c>
    </row>
    <row r="113" spans="1:9">
      <c r="A113" s="3" t="s">
        <v>3049</v>
      </c>
      <c r="B113" t="s">
        <v>4921</v>
      </c>
      <c r="C113" t="s">
        <v>4517</v>
      </c>
      <c r="D113" t="s">
        <v>4510</v>
      </c>
      <c r="E113" t="s">
        <v>4815</v>
      </c>
      <c r="F113" t="s">
        <v>4816</v>
      </c>
      <c r="G113" t="s">
        <v>4807</v>
      </c>
      <c r="H113" s="5">
        <v>45442</v>
      </c>
      <c r="I113" t="s">
        <v>9</v>
      </c>
    </row>
    <row r="114" spans="1:9">
      <c r="A114" s="3" t="s">
        <v>3081</v>
      </c>
      <c r="B114" t="s">
        <v>4922</v>
      </c>
      <c r="C114" t="s">
        <v>4509</v>
      </c>
      <c r="D114" t="s">
        <v>4510</v>
      </c>
      <c r="E114" t="s">
        <v>4511</v>
      </c>
      <c r="F114" t="s">
        <v>4806</v>
      </c>
      <c r="G114" t="s">
        <v>4807</v>
      </c>
      <c r="H114" s="5">
        <v>45445</v>
      </c>
      <c r="I114" t="s">
        <v>191</v>
      </c>
    </row>
    <row r="115" spans="1:9">
      <c r="A115" s="3" t="s">
        <v>3083</v>
      </c>
      <c r="B115" t="s">
        <v>4923</v>
      </c>
      <c r="C115" t="s">
        <v>4515</v>
      </c>
      <c r="D115" t="s">
        <v>4510</v>
      </c>
      <c r="E115" t="s">
        <v>4511</v>
      </c>
      <c r="F115" t="s">
        <v>4806</v>
      </c>
      <c r="G115" t="s">
        <v>4807</v>
      </c>
      <c r="H115" s="5">
        <v>45446</v>
      </c>
      <c r="I115" t="s">
        <v>4520</v>
      </c>
    </row>
    <row r="116" spans="1:9">
      <c r="A116" s="3" t="s">
        <v>3085</v>
      </c>
      <c r="B116" t="s">
        <v>4924</v>
      </c>
      <c r="C116" t="s">
        <v>4517</v>
      </c>
      <c r="D116" t="s">
        <v>4518</v>
      </c>
      <c r="E116" t="s">
        <v>4519</v>
      </c>
      <c r="F116" t="s">
        <v>4806</v>
      </c>
      <c r="G116" t="s">
        <v>4807</v>
      </c>
      <c r="H116" s="5">
        <v>45447</v>
      </c>
      <c r="I116" t="s">
        <v>12</v>
      </c>
    </row>
    <row r="117" spans="1:9">
      <c r="A117" s="3" t="s">
        <v>3114</v>
      </c>
      <c r="B117" t="s">
        <v>4925</v>
      </c>
      <c r="C117" t="s">
        <v>4509</v>
      </c>
      <c r="D117" t="s">
        <v>4510</v>
      </c>
      <c r="E117" t="s">
        <v>4511</v>
      </c>
      <c r="F117" t="s">
        <v>4806</v>
      </c>
      <c r="G117" t="s">
        <v>4807</v>
      </c>
      <c r="H117" s="5">
        <v>45448</v>
      </c>
      <c r="I117" t="s">
        <v>4523</v>
      </c>
    </row>
    <row r="118" spans="1:9">
      <c r="A118" s="3" t="s">
        <v>3116</v>
      </c>
      <c r="B118" t="s">
        <v>4926</v>
      </c>
      <c r="C118" t="s">
        <v>4515</v>
      </c>
      <c r="D118" t="s">
        <v>4510</v>
      </c>
      <c r="E118" t="s">
        <v>4511</v>
      </c>
      <c r="F118" t="s">
        <v>4806</v>
      </c>
      <c r="G118" t="s">
        <v>4807</v>
      </c>
      <c r="H118" s="5">
        <v>45449</v>
      </c>
      <c r="I118" t="s">
        <v>4512</v>
      </c>
    </row>
    <row r="119" spans="1:9">
      <c r="A119" s="3" t="s">
        <v>3118</v>
      </c>
      <c r="B119" t="s">
        <v>4927</v>
      </c>
      <c r="C119" t="s">
        <v>4517</v>
      </c>
      <c r="D119" t="s">
        <v>4518</v>
      </c>
      <c r="E119" t="s">
        <v>4519</v>
      </c>
      <c r="F119" t="s">
        <v>4806</v>
      </c>
      <c r="G119" t="s">
        <v>4807</v>
      </c>
      <c r="H119" s="5">
        <v>45450</v>
      </c>
      <c r="I119" t="s">
        <v>9</v>
      </c>
    </row>
    <row r="120" spans="1:9">
      <c r="A120" s="3" t="s">
        <v>3120</v>
      </c>
      <c r="B120" t="s">
        <v>4928</v>
      </c>
      <c r="C120" t="s">
        <v>4517</v>
      </c>
      <c r="D120" t="s">
        <v>4510</v>
      </c>
      <c r="E120" t="s">
        <v>4815</v>
      </c>
      <c r="F120" t="s">
        <v>4816</v>
      </c>
      <c r="G120" t="s">
        <v>4807</v>
      </c>
      <c r="H120" s="5">
        <v>45451</v>
      </c>
      <c r="I120" t="s">
        <v>191</v>
      </c>
    </row>
    <row r="121" spans="1:9">
      <c r="A121" s="3" t="s">
        <v>3137</v>
      </c>
      <c r="B121" t="s">
        <v>4929</v>
      </c>
      <c r="C121" t="s">
        <v>4509</v>
      </c>
      <c r="D121" t="s">
        <v>4510</v>
      </c>
      <c r="E121" t="s">
        <v>4511</v>
      </c>
      <c r="F121" t="s">
        <v>4806</v>
      </c>
      <c r="G121" t="s">
        <v>4807</v>
      </c>
      <c r="H121" s="5">
        <v>45451</v>
      </c>
      <c r="I121" t="s">
        <v>4520</v>
      </c>
    </row>
    <row r="122" spans="1:9">
      <c r="A122" s="3" t="s">
        <v>3139</v>
      </c>
      <c r="B122" t="s">
        <v>4930</v>
      </c>
      <c r="C122" t="s">
        <v>4515</v>
      </c>
      <c r="D122" t="s">
        <v>4510</v>
      </c>
      <c r="E122" t="s">
        <v>4511</v>
      </c>
      <c r="F122" t="s">
        <v>4806</v>
      </c>
      <c r="G122" t="s">
        <v>4807</v>
      </c>
      <c r="H122" s="5">
        <v>45452</v>
      </c>
      <c r="I122" t="s">
        <v>12</v>
      </c>
    </row>
    <row r="123" spans="1:9">
      <c r="A123" s="3" t="s">
        <v>3141</v>
      </c>
      <c r="B123" t="s">
        <v>4931</v>
      </c>
      <c r="C123" t="s">
        <v>4517</v>
      </c>
      <c r="D123" t="s">
        <v>4518</v>
      </c>
      <c r="E123" t="s">
        <v>4519</v>
      </c>
      <c r="F123" t="s">
        <v>4806</v>
      </c>
      <c r="G123" t="s">
        <v>4807</v>
      </c>
      <c r="H123" s="5">
        <v>45453</v>
      </c>
      <c r="I123" t="s">
        <v>4523</v>
      </c>
    </row>
    <row r="124" spans="1:9">
      <c r="A124" s="3" t="s">
        <v>3143</v>
      </c>
      <c r="B124" t="s">
        <v>4932</v>
      </c>
      <c r="C124" t="s">
        <v>4517</v>
      </c>
      <c r="D124" t="s">
        <v>4510</v>
      </c>
      <c r="E124" t="s">
        <v>4815</v>
      </c>
      <c r="F124" t="s">
        <v>4816</v>
      </c>
      <c r="G124" t="s">
        <v>4807</v>
      </c>
      <c r="H124" s="5">
        <v>45454</v>
      </c>
      <c r="I124" t="s">
        <v>4512</v>
      </c>
    </row>
    <row r="125" spans="1:9">
      <c r="A125" s="3" t="s">
        <v>3226</v>
      </c>
      <c r="B125" t="s">
        <v>4933</v>
      </c>
      <c r="C125" t="s">
        <v>4509</v>
      </c>
      <c r="D125" t="s">
        <v>4510</v>
      </c>
      <c r="E125" t="s">
        <v>4511</v>
      </c>
      <c r="F125" t="s">
        <v>4806</v>
      </c>
      <c r="G125" t="s">
        <v>4841</v>
      </c>
      <c r="H125" s="5">
        <v>45469</v>
      </c>
      <c r="I125" t="s">
        <v>9</v>
      </c>
    </row>
    <row r="126" spans="1:9">
      <c r="A126" s="3" t="s">
        <v>3228</v>
      </c>
      <c r="B126" t="s">
        <v>4934</v>
      </c>
      <c r="C126" t="s">
        <v>4515</v>
      </c>
      <c r="D126" t="s">
        <v>4510</v>
      </c>
      <c r="E126" t="s">
        <v>4511</v>
      </c>
      <c r="F126" t="s">
        <v>4806</v>
      </c>
      <c r="G126" t="s">
        <v>4807</v>
      </c>
      <c r="H126" s="5">
        <v>45470</v>
      </c>
      <c r="I126" t="s">
        <v>191</v>
      </c>
    </row>
    <row r="127" spans="1:9">
      <c r="A127" s="3" t="s">
        <v>3230</v>
      </c>
      <c r="B127" t="s">
        <v>4935</v>
      </c>
      <c r="C127" t="s">
        <v>4517</v>
      </c>
      <c r="D127" t="s">
        <v>4518</v>
      </c>
      <c r="E127" t="s">
        <v>4519</v>
      </c>
      <c r="F127" t="s">
        <v>4806</v>
      </c>
      <c r="G127" t="s">
        <v>4841</v>
      </c>
      <c r="H127" s="5">
        <v>45471</v>
      </c>
      <c r="I127" t="s">
        <v>4520</v>
      </c>
    </row>
    <row r="128" spans="1:9">
      <c r="A128" s="3" t="s">
        <v>3232</v>
      </c>
      <c r="B128" t="s">
        <v>4936</v>
      </c>
      <c r="C128" t="s">
        <v>4517</v>
      </c>
      <c r="D128" t="s">
        <v>4510</v>
      </c>
      <c r="E128" t="s">
        <v>4815</v>
      </c>
      <c r="F128" t="s">
        <v>4816</v>
      </c>
      <c r="G128" t="s">
        <v>4807</v>
      </c>
      <c r="H128" s="5">
        <v>45472</v>
      </c>
      <c r="I128" t="s">
        <v>12</v>
      </c>
    </row>
    <row r="129" spans="1:9">
      <c r="A129" s="3" t="s">
        <v>3284</v>
      </c>
      <c r="B129" t="s">
        <v>4937</v>
      </c>
      <c r="C129" t="s">
        <v>4509</v>
      </c>
      <c r="D129" t="s">
        <v>4510</v>
      </c>
      <c r="E129" t="s">
        <v>4511</v>
      </c>
      <c r="F129" t="s">
        <v>4806</v>
      </c>
      <c r="G129" t="s">
        <v>4807</v>
      </c>
      <c r="H129" s="5">
        <v>45481</v>
      </c>
      <c r="I129" t="s">
        <v>4523</v>
      </c>
    </row>
    <row r="130" spans="1:9">
      <c r="A130" s="3" t="s">
        <v>3286</v>
      </c>
      <c r="B130" t="s">
        <v>4938</v>
      </c>
      <c r="C130" t="s">
        <v>4515</v>
      </c>
      <c r="D130" t="s">
        <v>4510</v>
      </c>
      <c r="E130" t="s">
        <v>4511</v>
      </c>
      <c r="F130" t="s">
        <v>4806</v>
      </c>
      <c r="G130" t="s">
        <v>4807</v>
      </c>
      <c r="H130" s="5">
        <v>45482</v>
      </c>
      <c r="I130" t="s">
        <v>4512</v>
      </c>
    </row>
    <row r="131" spans="1:9">
      <c r="A131" s="3" t="s">
        <v>3303</v>
      </c>
      <c r="B131" t="s">
        <v>4939</v>
      </c>
      <c r="C131" t="s">
        <v>4509</v>
      </c>
      <c r="D131" t="s">
        <v>4510</v>
      </c>
      <c r="E131" t="s">
        <v>4511</v>
      </c>
      <c r="F131" t="s">
        <v>4806</v>
      </c>
      <c r="G131" t="s">
        <v>4807</v>
      </c>
      <c r="H131" s="5">
        <v>45484</v>
      </c>
      <c r="I131" t="s">
        <v>9</v>
      </c>
    </row>
    <row r="132" spans="1:9">
      <c r="A132" s="3" t="s">
        <v>3358</v>
      </c>
      <c r="B132" t="s">
        <v>4940</v>
      </c>
      <c r="C132" t="s">
        <v>4509</v>
      </c>
      <c r="D132" t="s">
        <v>4510</v>
      </c>
      <c r="E132" t="s">
        <v>4511</v>
      </c>
      <c r="F132" t="s">
        <v>4806</v>
      </c>
      <c r="G132" t="s">
        <v>4807</v>
      </c>
      <c r="H132" s="5">
        <v>45496</v>
      </c>
      <c r="I132" t="s">
        <v>191</v>
      </c>
    </row>
    <row r="133" spans="1:9">
      <c r="A133" s="3" t="s">
        <v>3360</v>
      </c>
      <c r="B133" t="s">
        <v>4941</v>
      </c>
      <c r="C133" t="s">
        <v>4515</v>
      </c>
      <c r="D133" t="s">
        <v>4510</v>
      </c>
      <c r="E133" t="s">
        <v>4511</v>
      </c>
      <c r="F133" t="s">
        <v>4806</v>
      </c>
      <c r="G133" t="s">
        <v>4807</v>
      </c>
      <c r="H133" s="5">
        <v>45497</v>
      </c>
      <c r="I133" t="s">
        <v>4520</v>
      </c>
    </row>
    <row r="134" spans="1:9">
      <c r="A134" s="3" t="s">
        <v>3371</v>
      </c>
      <c r="B134" t="s">
        <v>4942</v>
      </c>
      <c r="C134" t="s">
        <v>4509</v>
      </c>
      <c r="D134" t="s">
        <v>4510</v>
      </c>
      <c r="E134" t="s">
        <v>4511</v>
      </c>
      <c r="F134" t="s">
        <v>4806</v>
      </c>
      <c r="G134" t="s">
        <v>4807</v>
      </c>
      <c r="H134" s="5">
        <v>45499</v>
      </c>
      <c r="I134" t="s">
        <v>12</v>
      </c>
    </row>
    <row r="135" spans="1:9">
      <c r="A135" s="3" t="s">
        <v>3373</v>
      </c>
      <c r="B135" t="s">
        <v>4943</v>
      </c>
      <c r="C135" t="s">
        <v>4515</v>
      </c>
      <c r="D135" t="s">
        <v>4510</v>
      </c>
      <c r="E135" t="s">
        <v>4511</v>
      </c>
      <c r="F135" t="s">
        <v>4806</v>
      </c>
      <c r="G135" t="s">
        <v>4807</v>
      </c>
      <c r="H135" s="5">
        <v>45500</v>
      </c>
      <c r="I135" t="s">
        <v>4523</v>
      </c>
    </row>
    <row r="136" spans="1:9">
      <c r="A136" s="3" t="s">
        <v>3375</v>
      </c>
      <c r="B136" t="s">
        <v>4944</v>
      </c>
      <c r="C136" t="s">
        <v>4517</v>
      </c>
      <c r="D136" t="s">
        <v>4518</v>
      </c>
      <c r="E136" t="s">
        <v>4519</v>
      </c>
      <c r="F136" t="s">
        <v>4806</v>
      </c>
      <c r="G136" t="s">
        <v>4807</v>
      </c>
      <c r="H136" s="5">
        <v>45501</v>
      </c>
      <c r="I136" t="s">
        <v>4512</v>
      </c>
    </row>
    <row r="137" spans="1:9">
      <c r="A137" s="3" t="s">
        <v>3396</v>
      </c>
      <c r="B137" t="s">
        <v>4945</v>
      </c>
      <c r="C137" t="s">
        <v>4509</v>
      </c>
      <c r="D137" t="s">
        <v>4510</v>
      </c>
      <c r="E137" t="s">
        <v>4511</v>
      </c>
      <c r="F137" t="s">
        <v>4806</v>
      </c>
      <c r="G137" t="s">
        <v>4807</v>
      </c>
      <c r="H137" s="5">
        <v>45505</v>
      </c>
      <c r="I137" t="s">
        <v>9</v>
      </c>
    </row>
    <row r="138" spans="1:9">
      <c r="A138" s="3" t="s">
        <v>3398</v>
      </c>
      <c r="B138" t="s">
        <v>4946</v>
      </c>
      <c r="C138" t="s">
        <v>4515</v>
      </c>
      <c r="D138" t="s">
        <v>4510</v>
      </c>
      <c r="E138" t="s">
        <v>4511</v>
      </c>
      <c r="F138" t="s">
        <v>4806</v>
      </c>
      <c r="G138" t="s">
        <v>4841</v>
      </c>
      <c r="H138" s="5">
        <v>45506</v>
      </c>
      <c r="I138" t="s">
        <v>191</v>
      </c>
    </row>
    <row r="139" spans="1:9">
      <c r="A139" s="3" t="s">
        <v>3434</v>
      </c>
      <c r="B139" t="s">
        <v>4947</v>
      </c>
      <c r="C139" t="s">
        <v>4509</v>
      </c>
      <c r="D139" t="s">
        <v>4510</v>
      </c>
      <c r="E139" t="s">
        <v>4511</v>
      </c>
      <c r="F139" t="s">
        <v>4806</v>
      </c>
      <c r="G139" t="s">
        <v>4807</v>
      </c>
      <c r="H139" s="5">
        <v>45514</v>
      </c>
      <c r="I139" t="s">
        <v>4520</v>
      </c>
    </row>
    <row r="140" spans="1:9">
      <c r="A140" s="3" t="s">
        <v>3436</v>
      </c>
      <c r="B140" t="s">
        <v>4948</v>
      </c>
      <c r="C140" t="s">
        <v>4515</v>
      </c>
      <c r="D140" t="s">
        <v>4510</v>
      </c>
      <c r="E140" t="s">
        <v>4511</v>
      </c>
      <c r="F140" t="s">
        <v>4806</v>
      </c>
      <c r="G140" t="s">
        <v>4807</v>
      </c>
      <c r="H140" s="5">
        <v>45515</v>
      </c>
      <c r="I140" t="s">
        <v>12</v>
      </c>
    </row>
    <row r="141" spans="1:9">
      <c r="A141" s="3" t="s">
        <v>3438</v>
      </c>
      <c r="B141" t="s">
        <v>4949</v>
      </c>
      <c r="C141" t="s">
        <v>4517</v>
      </c>
      <c r="D141" t="s">
        <v>4518</v>
      </c>
      <c r="E141" t="s">
        <v>4519</v>
      </c>
      <c r="F141" t="s">
        <v>4806</v>
      </c>
      <c r="G141" t="s">
        <v>4807</v>
      </c>
      <c r="H141" s="5">
        <v>45516</v>
      </c>
      <c r="I141" t="s">
        <v>4523</v>
      </c>
    </row>
    <row r="142" spans="1:9">
      <c r="A142" s="3" t="s">
        <v>3440</v>
      </c>
      <c r="B142" t="s">
        <v>4950</v>
      </c>
      <c r="C142" t="s">
        <v>4517</v>
      </c>
      <c r="D142" t="s">
        <v>4510</v>
      </c>
      <c r="E142" t="s">
        <v>4815</v>
      </c>
      <c r="F142" t="s">
        <v>4816</v>
      </c>
      <c r="G142" t="s">
        <v>4807</v>
      </c>
      <c r="H142" s="5">
        <v>45517</v>
      </c>
      <c r="I142" t="s">
        <v>4512</v>
      </c>
    </row>
    <row r="143" spans="1:9">
      <c r="A143" s="3" t="s">
        <v>3460</v>
      </c>
      <c r="B143" t="s">
        <v>4951</v>
      </c>
      <c r="C143" t="s">
        <v>4509</v>
      </c>
      <c r="D143" t="s">
        <v>4510</v>
      </c>
      <c r="E143" t="s">
        <v>4511</v>
      </c>
      <c r="F143" t="s">
        <v>4806</v>
      </c>
      <c r="G143" t="s">
        <v>4807</v>
      </c>
      <c r="H143" s="5">
        <v>45514</v>
      </c>
      <c r="I143" t="s">
        <v>9</v>
      </c>
    </row>
    <row r="144" spans="1:9">
      <c r="A144" s="3" t="s">
        <v>3462</v>
      </c>
      <c r="B144" t="s">
        <v>4952</v>
      </c>
      <c r="C144" t="s">
        <v>4515</v>
      </c>
      <c r="D144" t="s">
        <v>4510</v>
      </c>
      <c r="E144" t="s">
        <v>4511</v>
      </c>
      <c r="F144" t="s">
        <v>4806</v>
      </c>
      <c r="G144" t="s">
        <v>4841</v>
      </c>
      <c r="H144" s="5">
        <v>45515</v>
      </c>
      <c r="I144" t="s">
        <v>191</v>
      </c>
    </row>
    <row r="145" spans="1:9">
      <c r="A145" s="3" t="s">
        <v>3464</v>
      </c>
      <c r="B145" t="s">
        <v>4953</v>
      </c>
      <c r="C145" t="s">
        <v>4517</v>
      </c>
      <c r="D145" t="s">
        <v>4518</v>
      </c>
      <c r="E145" t="s">
        <v>4519</v>
      </c>
      <c r="F145" t="s">
        <v>4806</v>
      </c>
      <c r="G145" t="s">
        <v>4807</v>
      </c>
      <c r="H145" s="5">
        <v>45516</v>
      </c>
      <c r="I145" t="s">
        <v>4520</v>
      </c>
    </row>
    <row r="146" spans="1:9">
      <c r="A146" s="3" t="s">
        <v>3466</v>
      </c>
      <c r="B146" t="s">
        <v>4954</v>
      </c>
      <c r="C146" t="s">
        <v>4517</v>
      </c>
      <c r="D146" t="s">
        <v>4510</v>
      </c>
      <c r="E146" t="s">
        <v>4815</v>
      </c>
      <c r="F146" t="s">
        <v>4816</v>
      </c>
      <c r="G146" t="s">
        <v>4807</v>
      </c>
      <c r="H146" s="5">
        <v>45517</v>
      </c>
      <c r="I146" t="s">
        <v>12</v>
      </c>
    </row>
    <row r="147" spans="1:9">
      <c r="A147" s="3" t="s">
        <v>3493</v>
      </c>
      <c r="B147" t="s">
        <v>4955</v>
      </c>
      <c r="C147" t="s">
        <v>4509</v>
      </c>
      <c r="D147" t="s">
        <v>4510</v>
      </c>
      <c r="E147" t="s">
        <v>4511</v>
      </c>
      <c r="F147" t="s">
        <v>4806</v>
      </c>
      <c r="G147" t="s">
        <v>4807</v>
      </c>
      <c r="H147" s="5">
        <v>45532</v>
      </c>
      <c r="I147" t="s">
        <v>4523</v>
      </c>
    </row>
    <row r="148" spans="1:9">
      <c r="A148" s="3" t="s">
        <v>3494</v>
      </c>
      <c r="B148" t="s">
        <v>4956</v>
      </c>
      <c r="C148" t="s">
        <v>4515</v>
      </c>
      <c r="D148" t="s">
        <v>4510</v>
      </c>
      <c r="E148" t="s">
        <v>4511</v>
      </c>
      <c r="F148" t="s">
        <v>4806</v>
      </c>
      <c r="G148" t="s">
        <v>4807</v>
      </c>
      <c r="H148" s="5">
        <v>45533</v>
      </c>
      <c r="I148" t="s">
        <v>4512</v>
      </c>
    </row>
    <row r="149" spans="1:9">
      <c r="A149" s="3" t="s">
        <v>3495</v>
      </c>
      <c r="B149" t="s">
        <v>4957</v>
      </c>
      <c r="C149" t="s">
        <v>4517</v>
      </c>
      <c r="D149" t="s">
        <v>4518</v>
      </c>
      <c r="E149" t="s">
        <v>4519</v>
      </c>
      <c r="F149" t="s">
        <v>4806</v>
      </c>
      <c r="G149" t="s">
        <v>4807</v>
      </c>
      <c r="H149" s="5">
        <v>45534</v>
      </c>
      <c r="I149" t="s">
        <v>9</v>
      </c>
    </row>
    <row r="150" spans="1:9">
      <c r="A150" s="3" t="s">
        <v>3497</v>
      </c>
      <c r="B150" t="s">
        <v>4958</v>
      </c>
      <c r="C150" t="s">
        <v>4509</v>
      </c>
      <c r="D150" t="s">
        <v>4510</v>
      </c>
      <c r="E150" t="s">
        <v>4511</v>
      </c>
      <c r="F150" t="s">
        <v>4806</v>
      </c>
      <c r="G150" t="s">
        <v>4807</v>
      </c>
      <c r="H150" s="5">
        <v>45538</v>
      </c>
      <c r="I150" t="s">
        <v>191</v>
      </c>
    </row>
    <row r="151" spans="1:9">
      <c r="A151" s="3" t="s">
        <v>3523</v>
      </c>
      <c r="B151" t="s">
        <v>4959</v>
      </c>
      <c r="C151" t="s">
        <v>4509</v>
      </c>
      <c r="D151" t="s">
        <v>4510</v>
      </c>
      <c r="E151" t="s">
        <v>4511</v>
      </c>
      <c r="F151" t="s">
        <v>4806</v>
      </c>
      <c r="G151" t="s">
        <v>4807</v>
      </c>
      <c r="H151" s="5">
        <v>45550</v>
      </c>
      <c r="I151" t="s">
        <v>4520</v>
      </c>
    </row>
    <row r="152" spans="1:9">
      <c r="A152" s="3" t="s">
        <v>3524</v>
      </c>
      <c r="B152" t="s">
        <v>4960</v>
      </c>
      <c r="C152" t="s">
        <v>4515</v>
      </c>
      <c r="D152" t="s">
        <v>4510</v>
      </c>
      <c r="E152" t="s">
        <v>4511</v>
      </c>
      <c r="F152" t="s">
        <v>4806</v>
      </c>
      <c r="G152" t="s">
        <v>4807</v>
      </c>
      <c r="H152" s="5">
        <v>45551</v>
      </c>
      <c r="I152" t="s">
        <v>12</v>
      </c>
    </row>
    <row r="153" spans="1:9">
      <c r="A153" s="3" t="s">
        <v>3532</v>
      </c>
      <c r="B153" t="s">
        <v>4961</v>
      </c>
      <c r="C153" t="s">
        <v>4509</v>
      </c>
      <c r="D153" t="s">
        <v>4510</v>
      </c>
      <c r="E153" t="s">
        <v>4511</v>
      </c>
      <c r="F153" t="s">
        <v>4806</v>
      </c>
      <c r="G153" t="s">
        <v>4807</v>
      </c>
      <c r="H153" s="5">
        <v>45553</v>
      </c>
      <c r="I153" t="s">
        <v>4523</v>
      </c>
    </row>
    <row r="154" spans="1:9">
      <c r="A154" s="3" t="s">
        <v>3533</v>
      </c>
      <c r="B154" t="s">
        <v>4962</v>
      </c>
      <c r="C154" t="s">
        <v>4515</v>
      </c>
      <c r="D154" t="s">
        <v>4510</v>
      </c>
      <c r="E154" t="s">
        <v>4511</v>
      </c>
      <c r="F154" t="s">
        <v>4806</v>
      </c>
      <c r="G154" t="s">
        <v>4807</v>
      </c>
      <c r="H154" s="5">
        <v>45554</v>
      </c>
      <c r="I154" t="s">
        <v>4512</v>
      </c>
    </row>
    <row r="155" spans="1:9">
      <c r="A155" s="3" t="s">
        <v>3553</v>
      </c>
      <c r="B155" t="s">
        <v>4963</v>
      </c>
      <c r="C155" t="s">
        <v>4509</v>
      </c>
      <c r="D155" t="s">
        <v>4510</v>
      </c>
      <c r="E155" t="s">
        <v>4511</v>
      </c>
      <c r="F155" t="s">
        <v>4806</v>
      </c>
      <c r="G155" t="s">
        <v>4807</v>
      </c>
      <c r="H155" s="5">
        <v>45559</v>
      </c>
      <c r="I155" t="s">
        <v>9</v>
      </c>
    </row>
    <row r="156" spans="1:9">
      <c r="A156" s="3" t="s">
        <v>3554</v>
      </c>
      <c r="B156" t="s">
        <v>4964</v>
      </c>
      <c r="C156" t="s">
        <v>4515</v>
      </c>
      <c r="D156" t="s">
        <v>4510</v>
      </c>
      <c r="E156" t="s">
        <v>4511</v>
      </c>
      <c r="F156" t="s">
        <v>4806</v>
      </c>
      <c r="G156" t="s">
        <v>4807</v>
      </c>
      <c r="H156" s="5">
        <v>45560</v>
      </c>
      <c r="I156" t="s">
        <v>191</v>
      </c>
    </row>
    <row r="157" spans="1:9">
      <c r="A157" s="3" t="s">
        <v>3555</v>
      </c>
      <c r="B157" t="s">
        <v>4965</v>
      </c>
      <c r="C157" t="s">
        <v>4517</v>
      </c>
      <c r="D157" t="s">
        <v>4518</v>
      </c>
      <c r="E157" t="s">
        <v>4519</v>
      </c>
      <c r="F157" t="s">
        <v>4806</v>
      </c>
      <c r="G157" t="s">
        <v>4807</v>
      </c>
      <c r="H157" s="5">
        <v>45561</v>
      </c>
      <c r="I157" t="s">
        <v>4520</v>
      </c>
    </row>
    <row r="158" spans="1:9">
      <c r="A158" s="3" t="s">
        <v>3563</v>
      </c>
      <c r="B158" t="s">
        <v>4966</v>
      </c>
      <c r="C158" t="s">
        <v>4509</v>
      </c>
      <c r="D158" t="s">
        <v>4510</v>
      </c>
      <c r="E158" t="s">
        <v>4511</v>
      </c>
      <c r="F158" t="s">
        <v>4806</v>
      </c>
      <c r="G158" t="s">
        <v>4807</v>
      </c>
      <c r="H158" s="5">
        <v>45565</v>
      </c>
      <c r="I158" t="s">
        <v>12</v>
      </c>
    </row>
    <row r="159" spans="1:9">
      <c r="A159" s="3" t="s">
        <v>3564</v>
      </c>
      <c r="B159" t="s">
        <v>4967</v>
      </c>
      <c r="C159" t="s">
        <v>4515</v>
      </c>
      <c r="D159" t="s">
        <v>4510</v>
      </c>
      <c r="E159" t="s">
        <v>4511</v>
      </c>
      <c r="F159" t="s">
        <v>4806</v>
      </c>
      <c r="G159" t="s">
        <v>4807</v>
      </c>
      <c r="H159" s="5">
        <v>45566</v>
      </c>
      <c r="I159" t="s">
        <v>4523</v>
      </c>
    </row>
    <row r="160" spans="1:9">
      <c r="A160" s="3" t="s">
        <v>3571</v>
      </c>
      <c r="B160" t="s">
        <v>4968</v>
      </c>
      <c r="C160" t="s">
        <v>4509</v>
      </c>
      <c r="D160" t="s">
        <v>4510</v>
      </c>
      <c r="E160" t="s">
        <v>4511</v>
      </c>
      <c r="F160" t="s">
        <v>4806</v>
      </c>
      <c r="G160" t="s">
        <v>4841</v>
      </c>
      <c r="H160" s="5">
        <v>45568</v>
      </c>
      <c r="I160" t="s">
        <v>4512</v>
      </c>
    </row>
    <row r="161" spans="1:9">
      <c r="A161" s="3" t="s">
        <v>3572</v>
      </c>
      <c r="B161" t="s">
        <v>4969</v>
      </c>
      <c r="C161" t="s">
        <v>4515</v>
      </c>
      <c r="D161" t="s">
        <v>4510</v>
      </c>
      <c r="E161" t="s">
        <v>4511</v>
      </c>
      <c r="F161" t="s">
        <v>4806</v>
      </c>
      <c r="G161" t="s">
        <v>4807</v>
      </c>
      <c r="H161" s="5">
        <v>45569</v>
      </c>
      <c r="I161" t="s">
        <v>9</v>
      </c>
    </row>
    <row r="162" spans="1:9">
      <c r="A162" s="3" t="s">
        <v>3573</v>
      </c>
      <c r="B162" t="s">
        <v>4970</v>
      </c>
      <c r="C162" t="s">
        <v>4517</v>
      </c>
      <c r="D162" t="s">
        <v>4518</v>
      </c>
      <c r="E162" t="s">
        <v>4519</v>
      </c>
      <c r="F162" t="s">
        <v>4806</v>
      </c>
      <c r="G162" t="s">
        <v>4807</v>
      </c>
      <c r="H162" s="5">
        <v>45570</v>
      </c>
      <c r="I162" t="s">
        <v>191</v>
      </c>
    </row>
    <row r="163" spans="1:9">
      <c r="A163" s="3" t="s">
        <v>3574</v>
      </c>
      <c r="B163" t="s">
        <v>4971</v>
      </c>
      <c r="C163" t="s">
        <v>4517</v>
      </c>
      <c r="D163" t="s">
        <v>4510</v>
      </c>
      <c r="E163" t="s">
        <v>4815</v>
      </c>
      <c r="F163" t="s">
        <v>4816</v>
      </c>
      <c r="G163" t="s">
        <v>4807</v>
      </c>
      <c r="H163" s="5">
        <v>45571</v>
      </c>
      <c r="I163" t="s">
        <v>4520</v>
      </c>
    </row>
    <row r="164" spans="1:9">
      <c r="A164" s="3" t="s">
        <v>3579</v>
      </c>
      <c r="B164" t="s">
        <v>4972</v>
      </c>
      <c r="C164" t="s">
        <v>4509</v>
      </c>
      <c r="D164" t="s">
        <v>4510</v>
      </c>
      <c r="E164" t="s">
        <v>4511</v>
      </c>
      <c r="F164" t="s">
        <v>4806</v>
      </c>
      <c r="G164" t="s">
        <v>4807</v>
      </c>
      <c r="H164" s="5">
        <v>45571</v>
      </c>
      <c r="I164" t="s">
        <v>12</v>
      </c>
    </row>
    <row r="165" spans="1:9">
      <c r="A165" s="3" t="s">
        <v>3586</v>
      </c>
      <c r="B165" t="s">
        <v>4973</v>
      </c>
      <c r="C165" t="s">
        <v>4509</v>
      </c>
      <c r="D165" t="s">
        <v>4510</v>
      </c>
      <c r="E165" t="s">
        <v>4511</v>
      </c>
      <c r="F165" t="s">
        <v>4806</v>
      </c>
      <c r="G165" t="s">
        <v>4841</v>
      </c>
      <c r="H165" s="5">
        <v>45574</v>
      </c>
      <c r="I165" t="s">
        <v>4523</v>
      </c>
    </row>
    <row r="166" spans="1:9">
      <c r="A166" s="3" t="s">
        <v>3587</v>
      </c>
      <c r="B166" t="s">
        <v>4974</v>
      </c>
      <c r="C166" t="s">
        <v>4515</v>
      </c>
      <c r="D166" t="s">
        <v>4510</v>
      </c>
      <c r="E166" t="s">
        <v>4511</v>
      </c>
      <c r="F166" t="s">
        <v>4806</v>
      </c>
      <c r="G166" t="s">
        <v>4807</v>
      </c>
      <c r="H166" s="5">
        <v>45575</v>
      </c>
      <c r="I166" t="s">
        <v>4512</v>
      </c>
    </row>
    <row r="167" spans="1:9">
      <c r="A167" s="3" t="s">
        <v>3588</v>
      </c>
      <c r="B167" t="s">
        <v>4975</v>
      </c>
      <c r="C167" t="s">
        <v>4517</v>
      </c>
      <c r="D167" t="s">
        <v>4518</v>
      </c>
      <c r="E167" t="s">
        <v>4519</v>
      </c>
      <c r="F167" t="s">
        <v>4806</v>
      </c>
      <c r="G167" t="s">
        <v>4807</v>
      </c>
      <c r="H167" s="5">
        <v>45576</v>
      </c>
      <c r="I167" t="s">
        <v>9</v>
      </c>
    </row>
    <row r="168" spans="1:9">
      <c r="A168" s="3" t="s">
        <v>3603</v>
      </c>
      <c r="B168" t="s">
        <v>4976</v>
      </c>
      <c r="C168" t="s">
        <v>4509</v>
      </c>
      <c r="D168" t="s">
        <v>4510</v>
      </c>
      <c r="E168" t="s">
        <v>4511</v>
      </c>
      <c r="F168" t="s">
        <v>4806</v>
      </c>
      <c r="G168" t="s">
        <v>4807</v>
      </c>
      <c r="H168" s="5">
        <v>45580</v>
      </c>
      <c r="I168" t="s">
        <v>191</v>
      </c>
    </row>
    <row r="169" spans="1:9">
      <c r="A169" s="3" t="s">
        <v>3604</v>
      </c>
      <c r="B169" t="s">
        <v>4977</v>
      </c>
      <c r="C169" t="s">
        <v>4515</v>
      </c>
      <c r="D169" t="s">
        <v>4510</v>
      </c>
      <c r="E169" t="s">
        <v>4511</v>
      </c>
      <c r="F169" t="s">
        <v>4806</v>
      </c>
      <c r="G169" t="s">
        <v>4807</v>
      </c>
      <c r="H169" s="5">
        <v>45581</v>
      </c>
      <c r="I169" t="s">
        <v>4520</v>
      </c>
    </row>
    <row r="170" spans="1:9">
      <c r="A170" s="3" t="s">
        <v>3605</v>
      </c>
      <c r="B170" t="s">
        <v>4978</v>
      </c>
      <c r="C170" t="s">
        <v>4517</v>
      </c>
      <c r="D170" t="s">
        <v>4518</v>
      </c>
      <c r="E170" t="s">
        <v>4519</v>
      </c>
      <c r="F170" t="s">
        <v>4806</v>
      </c>
      <c r="G170" t="s">
        <v>4807</v>
      </c>
      <c r="H170" s="5">
        <v>45582</v>
      </c>
      <c r="I170" t="s">
        <v>12</v>
      </c>
    </row>
    <row r="171" spans="1:9">
      <c r="A171" s="3" t="s">
        <v>3606</v>
      </c>
      <c r="B171" t="s">
        <v>4979</v>
      </c>
      <c r="C171" t="s">
        <v>4517</v>
      </c>
      <c r="D171" t="s">
        <v>4510</v>
      </c>
      <c r="E171" t="s">
        <v>4815</v>
      </c>
      <c r="F171" t="s">
        <v>4816</v>
      </c>
      <c r="G171" t="s">
        <v>4807</v>
      </c>
      <c r="H171" s="5">
        <v>45583</v>
      </c>
      <c r="I171" t="s">
        <v>4523</v>
      </c>
    </row>
    <row r="172" spans="1:9">
      <c r="A172" s="3" t="s">
        <v>3624</v>
      </c>
      <c r="B172" t="s">
        <v>4980</v>
      </c>
      <c r="C172" t="s">
        <v>4509</v>
      </c>
      <c r="D172" t="s">
        <v>4510</v>
      </c>
      <c r="E172" t="s">
        <v>4511</v>
      </c>
      <c r="F172" t="s">
        <v>4806</v>
      </c>
      <c r="G172" t="s">
        <v>4807</v>
      </c>
      <c r="H172" s="5">
        <v>45598</v>
      </c>
      <c r="I172" t="s">
        <v>4512</v>
      </c>
    </row>
    <row r="173" spans="1:9">
      <c r="A173" s="3" t="s">
        <v>3625</v>
      </c>
      <c r="B173" t="s">
        <v>4981</v>
      </c>
      <c r="C173" t="s">
        <v>4515</v>
      </c>
      <c r="D173" t="s">
        <v>4510</v>
      </c>
      <c r="E173" t="s">
        <v>4511</v>
      </c>
      <c r="F173" t="s">
        <v>4806</v>
      </c>
      <c r="G173" t="s">
        <v>4841</v>
      </c>
      <c r="H173" s="5">
        <v>45599</v>
      </c>
      <c r="I173" t="s">
        <v>9</v>
      </c>
    </row>
    <row r="174" spans="1:9">
      <c r="A174" s="3" t="s">
        <v>3632</v>
      </c>
      <c r="B174" t="s">
        <v>4982</v>
      </c>
      <c r="C174" t="s">
        <v>4509</v>
      </c>
      <c r="D174" t="s">
        <v>4510</v>
      </c>
      <c r="E174" t="s">
        <v>4511</v>
      </c>
      <c r="F174" t="s">
        <v>4806</v>
      </c>
      <c r="G174" t="s">
        <v>4807</v>
      </c>
      <c r="H174" s="5">
        <v>45604</v>
      </c>
      <c r="I174" t="s">
        <v>191</v>
      </c>
    </row>
    <row r="175" spans="1:9">
      <c r="A175" s="3" t="s">
        <v>3633</v>
      </c>
      <c r="B175" t="s">
        <v>4983</v>
      </c>
      <c r="C175" t="s">
        <v>4515</v>
      </c>
      <c r="D175" t="s">
        <v>4510</v>
      </c>
      <c r="E175" t="s">
        <v>4511</v>
      </c>
      <c r="F175" t="s">
        <v>4806</v>
      </c>
      <c r="G175" t="s">
        <v>4807</v>
      </c>
      <c r="H175" s="5">
        <v>45605</v>
      </c>
      <c r="I175" t="s">
        <v>4520</v>
      </c>
    </row>
    <row r="176" spans="1:9">
      <c r="A176" s="3" t="s">
        <v>3634</v>
      </c>
      <c r="B176" t="s">
        <v>4984</v>
      </c>
      <c r="C176" t="s">
        <v>4517</v>
      </c>
      <c r="D176" t="s">
        <v>4518</v>
      </c>
      <c r="E176" t="s">
        <v>4519</v>
      </c>
      <c r="F176" t="s">
        <v>4806</v>
      </c>
      <c r="G176" t="s">
        <v>4807</v>
      </c>
      <c r="H176" s="5">
        <v>45606</v>
      </c>
      <c r="I176" t="s">
        <v>12</v>
      </c>
    </row>
    <row r="177" spans="1:9">
      <c r="A177" s="3" t="s">
        <v>3635</v>
      </c>
      <c r="B177" t="s">
        <v>4985</v>
      </c>
      <c r="C177" t="s">
        <v>4517</v>
      </c>
      <c r="D177" t="s">
        <v>4510</v>
      </c>
      <c r="E177" t="s">
        <v>4815</v>
      </c>
      <c r="F177" t="s">
        <v>4816</v>
      </c>
      <c r="G177" t="s">
        <v>4807</v>
      </c>
      <c r="H177" s="5">
        <v>45607</v>
      </c>
      <c r="I177" t="s">
        <v>4523</v>
      </c>
    </row>
    <row r="178" spans="1:9">
      <c r="A178" s="3" t="s">
        <v>3675</v>
      </c>
      <c r="B178" t="s">
        <v>4986</v>
      </c>
      <c r="C178" t="s">
        <v>4509</v>
      </c>
      <c r="D178" t="s">
        <v>4510</v>
      </c>
      <c r="E178" t="s">
        <v>4511</v>
      </c>
      <c r="F178" t="s">
        <v>4806</v>
      </c>
      <c r="G178" t="s">
        <v>4807</v>
      </c>
      <c r="H178" s="5">
        <v>45625</v>
      </c>
      <c r="I178" t="s">
        <v>4512</v>
      </c>
    </row>
    <row r="179" spans="1:9">
      <c r="A179" s="3" t="s">
        <v>3693</v>
      </c>
      <c r="B179" t="s">
        <v>4987</v>
      </c>
      <c r="C179" t="s">
        <v>4509</v>
      </c>
      <c r="D179" t="s">
        <v>4510</v>
      </c>
      <c r="E179" t="s">
        <v>4511</v>
      </c>
      <c r="F179" t="s">
        <v>4806</v>
      </c>
      <c r="G179" t="s">
        <v>4807</v>
      </c>
      <c r="H179" s="5">
        <v>45637</v>
      </c>
      <c r="I179" t="s">
        <v>9</v>
      </c>
    </row>
    <row r="180" spans="1:9">
      <c r="A180" s="3" t="s">
        <v>3694</v>
      </c>
      <c r="B180" t="s">
        <v>4988</v>
      </c>
      <c r="C180" t="s">
        <v>4515</v>
      </c>
      <c r="D180" t="s">
        <v>4510</v>
      </c>
      <c r="E180" t="s">
        <v>4511</v>
      </c>
      <c r="F180" t="s">
        <v>4806</v>
      </c>
      <c r="G180" t="s">
        <v>4807</v>
      </c>
      <c r="H180" s="5">
        <v>45638</v>
      </c>
      <c r="I180" t="s">
        <v>191</v>
      </c>
    </row>
    <row r="181" spans="1:9">
      <c r="A181" s="3" t="s">
        <v>3695</v>
      </c>
      <c r="B181" t="s">
        <v>4989</v>
      </c>
      <c r="C181" t="s">
        <v>4517</v>
      </c>
      <c r="D181" t="s">
        <v>4518</v>
      </c>
      <c r="E181" t="s">
        <v>4519</v>
      </c>
      <c r="F181" t="s">
        <v>4806</v>
      </c>
      <c r="G181" t="s">
        <v>4807</v>
      </c>
      <c r="H181" s="5">
        <v>45639</v>
      </c>
      <c r="I181" t="s">
        <v>4520</v>
      </c>
    </row>
    <row r="182" spans="1:9">
      <c r="A182" s="3" t="s">
        <v>3696</v>
      </c>
      <c r="B182" t="s">
        <v>4990</v>
      </c>
      <c r="C182" t="s">
        <v>4517</v>
      </c>
      <c r="D182" t="s">
        <v>4510</v>
      </c>
      <c r="E182" t="s">
        <v>4815</v>
      </c>
      <c r="F182" t="s">
        <v>4816</v>
      </c>
      <c r="G182" t="s">
        <v>4807</v>
      </c>
      <c r="H182" s="5">
        <v>45640</v>
      </c>
      <c r="I182" t="s">
        <v>12</v>
      </c>
    </row>
    <row r="183" spans="1:9">
      <c r="A183" s="3" t="s">
        <v>3715</v>
      </c>
      <c r="B183" t="s">
        <v>4991</v>
      </c>
      <c r="C183" t="s">
        <v>4509</v>
      </c>
      <c r="D183" t="s">
        <v>4510</v>
      </c>
      <c r="E183" t="s">
        <v>4511</v>
      </c>
      <c r="F183" t="s">
        <v>4806</v>
      </c>
      <c r="G183" t="s">
        <v>4807</v>
      </c>
      <c r="H183" s="5">
        <v>45640</v>
      </c>
      <c r="I183" t="s">
        <v>4523</v>
      </c>
    </row>
    <row r="184" spans="1:9">
      <c r="A184" s="3" t="s">
        <v>3732</v>
      </c>
      <c r="B184" t="s">
        <v>4992</v>
      </c>
      <c r="C184" t="s">
        <v>4509</v>
      </c>
      <c r="D184" t="s">
        <v>4510</v>
      </c>
      <c r="E184" t="s">
        <v>4511</v>
      </c>
      <c r="F184" t="s">
        <v>4806</v>
      </c>
      <c r="G184" t="s">
        <v>4807</v>
      </c>
      <c r="H184" s="5">
        <v>45649</v>
      </c>
      <c r="I184" t="s">
        <v>4512</v>
      </c>
    </row>
    <row r="185" spans="1:9">
      <c r="A185" s="3" t="s">
        <v>3734</v>
      </c>
      <c r="B185" t="s">
        <v>4993</v>
      </c>
      <c r="C185" t="s">
        <v>4515</v>
      </c>
      <c r="D185" t="s">
        <v>4510</v>
      </c>
      <c r="E185" t="s">
        <v>4511</v>
      </c>
      <c r="F185" t="s">
        <v>4806</v>
      </c>
      <c r="G185" t="s">
        <v>4807</v>
      </c>
      <c r="H185" s="5">
        <v>45650</v>
      </c>
      <c r="I185" t="s">
        <v>9</v>
      </c>
    </row>
    <row r="186" spans="1:9">
      <c r="A186" s="3" t="s">
        <v>3751</v>
      </c>
      <c r="B186" t="s">
        <v>4994</v>
      </c>
      <c r="C186" t="s">
        <v>4509</v>
      </c>
      <c r="D186" t="s">
        <v>4510</v>
      </c>
      <c r="E186" t="s">
        <v>4511</v>
      </c>
      <c r="F186" t="s">
        <v>4806</v>
      </c>
      <c r="G186" t="s">
        <v>4807</v>
      </c>
      <c r="H186" s="5">
        <v>45652</v>
      </c>
      <c r="I186" t="s">
        <v>191</v>
      </c>
    </row>
    <row r="187" spans="1:9">
      <c r="A187" s="3" t="s">
        <v>3753</v>
      </c>
      <c r="B187" t="s">
        <v>4995</v>
      </c>
      <c r="C187" t="s">
        <v>4515</v>
      </c>
      <c r="D187" t="s">
        <v>4510</v>
      </c>
      <c r="E187" t="s">
        <v>4511</v>
      </c>
      <c r="F187" t="s">
        <v>4806</v>
      </c>
      <c r="G187" t="s">
        <v>4807</v>
      </c>
      <c r="H187" s="5">
        <v>45653</v>
      </c>
      <c r="I187" t="s">
        <v>4520</v>
      </c>
    </row>
    <row r="188" spans="1:9">
      <c r="A188" s="3" t="s">
        <v>3755</v>
      </c>
      <c r="B188" t="s">
        <v>4996</v>
      </c>
      <c r="C188" t="s">
        <v>4517</v>
      </c>
      <c r="D188" t="s">
        <v>4518</v>
      </c>
      <c r="E188" t="s">
        <v>4519</v>
      </c>
      <c r="F188" t="s">
        <v>4806</v>
      </c>
      <c r="G188" t="s">
        <v>4807</v>
      </c>
      <c r="H188" s="5">
        <v>45654</v>
      </c>
      <c r="I188" t="s">
        <v>12</v>
      </c>
    </row>
    <row r="189" spans="1:9">
      <c r="A189" s="3" t="s">
        <v>3789</v>
      </c>
      <c r="B189" t="s">
        <v>4997</v>
      </c>
      <c r="C189" t="s">
        <v>4509</v>
      </c>
      <c r="D189" t="s">
        <v>4510</v>
      </c>
      <c r="E189" t="s">
        <v>4511</v>
      </c>
      <c r="F189" t="s">
        <v>4806</v>
      </c>
      <c r="G189" t="s">
        <v>4807</v>
      </c>
      <c r="H189" s="5">
        <v>45670</v>
      </c>
      <c r="I189" t="s">
        <v>4523</v>
      </c>
    </row>
    <row r="190" spans="1:9">
      <c r="A190" s="3" t="s">
        <v>3791</v>
      </c>
      <c r="B190" t="s">
        <v>4998</v>
      </c>
      <c r="C190" t="s">
        <v>4515</v>
      </c>
      <c r="D190" t="s">
        <v>4510</v>
      </c>
      <c r="E190" t="s">
        <v>4511</v>
      </c>
      <c r="F190" t="s">
        <v>4806</v>
      </c>
      <c r="G190" t="s">
        <v>4807</v>
      </c>
      <c r="H190" s="5">
        <v>45671</v>
      </c>
      <c r="I190" t="s">
        <v>4512</v>
      </c>
    </row>
    <row r="191" spans="1:9">
      <c r="A191" s="3" t="s">
        <v>3793</v>
      </c>
      <c r="B191" t="s">
        <v>4999</v>
      </c>
      <c r="C191" t="s">
        <v>4517</v>
      </c>
      <c r="D191" t="s">
        <v>4518</v>
      </c>
      <c r="E191" t="s">
        <v>4519</v>
      </c>
      <c r="F191" t="s">
        <v>4806</v>
      </c>
      <c r="G191" t="s">
        <v>4807</v>
      </c>
      <c r="H191" s="5">
        <v>45672</v>
      </c>
      <c r="I191" t="s">
        <v>9</v>
      </c>
    </row>
    <row r="192" spans="1:9">
      <c r="A192" s="3" t="s">
        <v>3795</v>
      </c>
      <c r="B192" t="s">
        <v>5000</v>
      </c>
      <c r="C192" t="s">
        <v>4517</v>
      </c>
      <c r="D192" t="s">
        <v>4510</v>
      </c>
      <c r="E192" t="s">
        <v>4815</v>
      </c>
      <c r="F192" t="s">
        <v>4816</v>
      </c>
      <c r="G192" t="s">
        <v>4807</v>
      </c>
      <c r="H192" s="5">
        <v>45673</v>
      </c>
      <c r="I192" t="s">
        <v>191</v>
      </c>
    </row>
    <row r="193" spans="1:9">
      <c r="A193" s="3" t="s">
        <v>3800</v>
      </c>
      <c r="B193" t="s">
        <v>5001</v>
      </c>
      <c r="C193" t="s">
        <v>4509</v>
      </c>
      <c r="D193" t="s">
        <v>4510</v>
      </c>
      <c r="E193" t="s">
        <v>4511</v>
      </c>
      <c r="F193" t="s">
        <v>4806</v>
      </c>
      <c r="G193" t="s">
        <v>4807</v>
      </c>
      <c r="H193" s="5">
        <v>45679</v>
      </c>
      <c r="I193" t="s">
        <v>4520</v>
      </c>
    </row>
    <row r="194" spans="1:9">
      <c r="A194" s="3" t="s">
        <v>3853</v>
      </c>
      <c r="B194" t="s">
        <v>5002</v>
      </c>
      <c r="C194" t="s">
        <v>4509</v>
      </c>
      <c r="D194" t="s">
        <v>4510</v>
      </c>
      <c r="E194" t="s">
        <v>4511</v>
      </c>
      <c r="F194" t="s">
        <v>4806</v>
      </c>
      <c r="G194" t="s">
        <v>4807</v>
      </c>
      <c r="H194" s="5">
        <v>45709</v>
      </c>
      <c r="I194" t="s">
        <v>12</v>
      </c>
    </row>
    <row r="195" spans="1:9">
      <c r="A195" s="3" t="s">
        <v>3855</v>
      </c>
      <c r="B195" t="s">
        <v>5003</v>
      </c>
      <c r="C195" t="s">
        <v>4515</v>
      </c>
      <c r="D195" t="s">
        <v>4510</v>
      </c>
      <c r="E195" t="s">
        <v>4511</v>
      </c>
      <c r="F195" t="s">
        <v>4806</v>
      </c>
      <c r="G195" t="s">
        <v>4807</v>
      </c>
      <c r="H195" s="5">
        <v>45710</v>
      </c>
      <c r="I195" t="s">
        <v>4523</v>
      </c>
    </row>
    <row r="196" spans="1:9">
      <c r="A196" s="3" t="s">
        <v>3887</v>
      </c>
      <c r="B196" t="s">
        <v>5004</v>
      </c>
      <c r="C196" t="s">
        <v>4509</v>
      </c>
      <c r="D196" t="s">
        <v>4510</v>
      </c>
      <c r="E196" t="s">
        <v>4511</v>
      </c>
      <c r="F196" t="s">
        <v>4806</v>
      </c>
      <c r="G196" t="s">
        <v>4807</v>
      </c>
      <c r="H196" s="5">
        <v>45712</v>
      </c>
      <c r="I196" t="s">
        <v>4512</v>
      </c>
    </row>
    <row r="197" spans="1:9">
      <c r="A197" s="3" t="s">
        <v>3889</v>
      </c>
      <c r="B197" t="s">
        <v>5005</v>
      </c>
      <c r="C197" t="s">
        <v>4515</v>
      </c>
      <c r="D197" t="s">
        <v>4510</v>
      </c>
      <c r="E197" t="s">
        <v>4511</v>
      </c>
      <c r="F197" t="s">
        <v>4806</v>
      </c>
      <c r="G197" t="s">
        <v>4807</v>
      </c>
      <c r="H197" s="5">
        <v>45713</v>
      </c>
      <c r="I197" t="s">
        <v>9</v>
      </c>
    </row>
    <row r="198" spans="1:9">
      <c r="A198" s="3" t="s">
        <v>3891</v>
      </c>
      <c r="B198" t="s">
        <v>5006</v>
      </c>
      <c r="C198" t="s">
        <v>4517</v>
      </c>
      <c r="D198" t="s">
        <v>4518</v>
      </c>
      <c r="E198" t="s">
        <v>4519</v>
      </c>
      <c r="F198" t="s">
        <v>4806</v>
      </c>
      <c r="G198" t="s">
        <v>4807</v>
      </c>
      <c r="H198" s="5">
        <v>45714</v>
      </c>
      <c r="I198" t="s">
        <v>191</v>
      </c>
    </row>
    <row r="199" spans="1:9">
      <c r="A199" s="3" t="s">
        <v>3932</v>
      </c>
      <c r="B199" t="s">
        <v>5007</v>
      </c>
      <c r="C199" t="s">
        <v>4509</v>
      </c>
      <c r="D199" t="s">
        <v>4510</v>
      </c>
      <c r="E199" t="s">
        <v>4511</v>
      </c>
      <c r="F199" t="s">
        <v>4806</v>
      </c>
      <c r="G199" t="s">
        <v>4807</v>
      </c>
      <c r="H199" s="5">
        <v>45727</v>
      </c>
      <c r="I199" t="s">
        <v>4520</v>
      </c>
    </row>
    <row r="200" spans="1:9">
      <c r="A200" s="3" t="s">
        <v>3934</v>
      </c>
      <c r="B200" t="s">
        <v>5008</v>
      </c>
      <c r="C200" t="s">
        <v>4515</v>
      </c>
      <c r="D200" t="s">
        <v>4510</v>
      </c>
      <c r="E200" t="s">
        <v>4511</v>
      </c>
      <c r="F200" t="s">
        <v>4806</v>
      </c>
      <c r="G200" t="s">
        <v>4807</v>
      </c>
      <c r="H200" s="5">
        <v>45728</v>
      </c>
      <c r="I200" t="s">
        <v>12</v>
      </c>
    </row>
    <row r="201" spans="1:9">
      <c r="A201" s="3" t="s">
        <v>3936</v>
      </c>
      <c r="B201" t="s">
        <v>5009</v>
      </c>
      <c r="C201" t="s">
        <v>4517</v>
      </c>
      <c r="D201" t="s">
        <v>4518</v>
      </c>
      <c r="E201" t="s">
        <v>4519</v>
      </c>
      <c r="F201" t="s">
        <v>4806</v>
      </c>
      <c r="G201" t="s">
        <v>4807</v>
      </c>
      <c r="H201" s="5">
        <v>45729</v>
      </c>
      <c r="I201" t="s">
        <v>4523</v>
      </c>
    </row>
    <row r="202" spans="1:9">
      <c r="A202" s="3" t="s">
        <v>3962</v>
      </c>
      <c r="B202" t="s">
        <v>5010</v>
      </c>
      <c r="C202" t="s">
        <v>4509</v>
      </c>
      <c r="D202" t="s">
        <v>4510</v>
      </c>
      <c r="E202" t="s">
        <v>4511</v>
      </c>
      <c r="F202" t="s">
        <v>4806</v>
      </c>
      <c r="G202" t="s">
        <v>4807</v>
      </c>
      <c r="H202" s="5">
        <v>45736</v>
      </c>
      <c r="I202" t="s">
        <v>4512</v>
      </c>
    </row>
    <row r="203" spans="1:9">
      <c r="A203" s="3" t="s">
        <v>3964</v>
      </c>
      <c r="B203" t="s">
        <v>5011</v>
      </c>
      <c r="C203" t="s">
        <v>4515</v>
      </c>
      <c r="D203" t="s">
        <v>4510</v>
      </c>
      <c r="E203" t="s">
        <v>4511</v>
      </c>
      <c r="F203" t="s">
        <v>4806</v>
      </c>
      <c r="G203" t="s">
        <v>4807</v>
      </c>
      <c r="H203" s="5">
        <v>45737</v>
      </c>
      <c r="I203" t="s">
        <v>9</v>
      </c>
    </row>
    <row r="204" spans="1:9">
      <c r="A204" s="3" t="s">
        <v>3966</v>
      </c>
      <c r="B204" t="s">
        <v>5012</v>
      </c>
      <c r="C204" t="s">
        <v>4517</v>
      </c>
      <c r="D204" t="s">
        <v>4518</v>
      </c>
      <c r="E204" t="s">
        <v>4519</v>
      </c>
      <c r="F204" t="s">
        <v>4806</v>
      </c>
      <c r="G204" t="s">
        <v>4807</v>
      </c>
      <c r="H204" s="5">
        <v>45738</v>
      </c>
      <c r="I204" t="s">
        <v>191</v>
      </c>
    </row>
    <row r="205" spans="1:9">
      <c r="A205" s="3" t="s">
        <v>3975</v>
      </c>
      <c r="B205" t="s">
        <v>5013</v>
      </c>
      <c r="C205" t="s">
        <v>4509</v>
      </c>
      <c r="D205" t="s">
        <v>4510</v>
      </c>
      <c r="E205" t="s">
        <v>4511</v>
      </c>
      <c r="F205" t="s">
        <v>4806</v>
      </c>
      <c r="G205" t="s">
        <v>4807</v>
      </c>
      <c r="H205" s="5">
        <v>45739</v>
      </c>
      <c r="I205" t="s">
        <v>4520</v>
      </c>
    </row>
    <row r="206" spans="1:9">
      <c r="A206" s="3" t="s">
        <v>3977</v>
      </c>
      <c r="B206" t="s">
        <v>5014</v>
      </c>
      <c r="C206" t="s">
        <v>4515</v>
      </c>
      <c r="D206" t="s">
        <v>4510</v>
      </c>
      <c r="E206" t="s">
        <v>4511</v>
      </c>
      <c r="F206" t="s">
        <v>4806</v>
      </c>
      <c r="G206" t="s">
        <v>4807</v>
      </c>
      <c r="H206" s="5">
        <v>45740</v>
      </c>
      <c r="I206" t="s">
        <v>12</v>
      </c>
    </row>
    <row r="207" spans="1:9">
      <c r="A207" s="3" t="s">
        <v>3979</v>
      </c>
      <c r="B207" t="s">
        <v>5015</v>
      </c>
      <c r="C207" t="s">
        <v>4517</v>
      </c>
      <c r="D207" t="s">
        <v>4518</v>
      </c>
      <c r="E207" t="s">
        <v>4519</v>
      </c>
      <c r="F207" t="s">
        <v>4806</v>
      </c>
      <c r="G207" t="s">
        <v>4807</v>
      </c>
      <c r="H207" s="5">
        <v>45741</v>
      </c>
      <c r="I207" t="s">
        <v>4523</v>
      </c>
    </row>
    <row r="208" spans="1:9">
      <c r="A208" s="3" t="s">
        <v>3983</v>
      </c>
      <c r="B208" t="s">
        <v>5016</v>
      </c>
      <c r="C208" t="s">
        <v>4509</v>
      </c>
      <c r="D208" t="s">
        <v>4510</v>
      </c>
      <c r="E208" t="s">
        <v>4511</v>
      </c>
      <c r="F208" t="s">
        <v>4806</v>
      </c>
      <c r="G208" t="s">
        <v>4807</v>
      </c>
      <c r="H208" s="5">
        <v>45742</v>
      </c>
      <c r="I208" t="s">
        <v>4512</v>
      </c>
    </row>
    <row r="209" spans="1:9">
      <c r="A209" s="3" t="s">
        <v>3985</v>
      </c>
      <c r="B209" t="s">
        <v>5017</v>
      </c>
      <c r="C209" t="s">
        <v>4515</v>
      </c>
      <c r="D209" t="s">
        <v>4510</v>
      </c>
      <c r="E209" t="s">
        <v>4511</v>
      </c>
      <c r="F209" t="s">
        <v>4806</v>
      </c>
      <c r="G209" t="s">
        <v>4807</v>
      </c>
      <c r="H209" s="5">
        <v>45743</v>
      </c>
      <c r="I209" t="s">
        <v>9</v>
      </c>
    </row>
    <row r="210" spans="1:9">
      <c r="A210" s="3" t="s">
        <v>3987</v>
      </c>
      <c r="B210" t="s">
        <v>5018</v>
      </c>
      <c r="C210" t="s">
        <v>4517</v>
      </c>
      <c r="D210" t="s">
        <v>4518</v>
      </c>
      <c r="E210" t="s">
        <v>4519</v>
      </c>
      <c r="F210" t="s">
        <v>4806</v>
      </c>
      <c r="G210" t="s">
        <v>4807</v>
      </c>
      <c r="H210" s="5">
        <v>45744</v>
      </c>
      <c r="I210" t="s">
        <v>191</v>
      </c>
    </row>
    <row r="211" spans="1:9">
      <c r="A211" s="3" t="s">
        <v>3989</v>
      </c>
      <c r="B211" t="s">
        <v>5019</v>
      </c>
      <c r="C211" t="s">
        <v>4517</v>
      </c>
      <c r="D211" t="s">
        <v>4510</v>
      </c>
      <c r="E211" t="s">
        <v>4815</v>
      </c>
      <c r="F211" t="s">
        <v>4816</v>
      </c>
      <c r="G211" t="s">
        <v>4807</v>
      </c>
      <c r="H211" s="5">
        <v>45745</v>
      </c>
      <c r="I211" t="s">
        <v>4520</v>
      </c>
    </row>
    <row r="212" spans="1:9">
      <c r="A212" s="3" t="s">
        <v>4019</v>
      </c>
      <c r="B212" t="s">
        <v>5020</v>
      </c>
      <c r="C212" t="s">
        <v>4509</v>
      </c>
      <c r="D212" t="s">
        <v>4510</v>
      </c>
      <c r="E212" t="s">
        <v>4511</v>
      </c>
      <c r="F212" t="s">
        <v>4806</v>
      </c>
      <c r="G212" t="s">
        <v>4807</v>
      </c>
      <c r="H212" s="5">
        <v>45757</v>
      </c>
      <c r="I212" t="s">
        <v>12</v>
      </c>
    </row>
    <row r="213" spans="1:9">
      <c r="A213" s="3" t="s">
        <v>4020</v>
      </c>
      <c r="B213" t="s">
        <v>5021</v>
      </c>
      <c r="C213" t="s">
        <v>4515</v>
      </c>
      <c r="D213" t="s">
        <v>4510</v>
      </c>
      <c r="E213" t="s">
        <v>4511</v>
      </c>
      <c r="F213" t="s">
        <v>4806</v>
      </c>
      <c r="G213" t="s">
        <v>4807</v>
      </c>
      <c r="H213" s="5">
        <v>45758</v>
      </c>
      <c r="I213" t="s">
        <v>4523</v>
      </c>
    </row>
    <row r="214" spans="1:9">
      <c r="A214" s="3" t="s">
        <v>4021</v>
      </c>
      <c r="B214" t="s">
        <v>5022</v>
      </c>
      <c r="C214" t="s">
        <v>4517</v>
      </c>
      <c r="D214" t="s">
        <v>4518</v>
      </c>
      <c r="E214" t="s">
        <v>4519</v>
      </c>
      <c r="F214" t="s">
        <v>4806</v>
      </c>
      <c r="G214" t="s">
        <v>4807</v>
      </c>
      <c r="H214" s="5">
        <v>45759</v>
      </c>
      <c r="I214" t="s">
        <v>4512</v>
      </c>
    </row>
    <row r="215" spans="1:9">
      <c r="A215" s="3" t="s">
        <v>4022</v>
      </c>
      <c r="B215" t="s">
        <v>5023</v>
      </c>
      <c r="C215" t="s">
        <v>4517</v>
      </c>
      <c r="D215" t="s">
        <v>4510</v>
      </c>
      <c r="E215" t="s">
        <v>4815</v>
      </c>
      <c r="F215" t="s">
        <v>4816</v>
      </c>
      <c r="G215" t="s">
        <v>4807</v>
      </c>
      <c r="H215" s="5">
        <v>45760</v>
      </c>
      <c r="I215" t="s">
        <v>9</v>
      </c>
    </row>
    <row r="216" spans="1:9">
      <c r="A216" s="3" t="s">
        <v>4032</v>
      </c>
      <c r="B216" t="s">
        <v>5024</v>
      </c>
      <c r="C216" t="s">
        <v>4509</v>
      </c>
      <c r="D216" t="s">
        <v>4510</v>
      </c>
      <c r="E216" t="s">
        <v>4511</v>
      </c>
      <c r="F216" t="s">
        <v>4806</v>
      </c>
      <c r="G216" t="s">
        <v>4841</v>
      </c>
      <c r="H216" s="5">
        <v>45760</v>
      </c>
      <c r="I216" t="s">
        <v>191</v>
      </c>
    </row>
    <row r="217" spans="1:9">
      <c r="A217" s="3" t="s">
        <v>4036</v>
      </c>
      <c r="B217" t="s">
        <v>5025</v>
      </c>
      <c r="C217" t="s">
        <v>4509</v>
      </c>
      <c r="D217" t="s">
        <v>4510</v>
      </c>
      <c r="E217" t="s">
        <v>4511</v>
      </c>
      <c r="F217" t="s">
        <v>4806</v>
      </c>
      <c r="G217" t="s">
        <v>4807</v>
      </c>
      <c r="H217" s="5">
        <v>45763</v>
      </c>
      <c r="I217" t="s">
        <v>4520</v>
      </c>
    </row>
    <row r="218" spans="1:9">
      <c r="A218" s="3" t="s">
        <v>4040</v>
      </c>
      <c r="B218" t="s">
        <v>5026</v>
      </c>
      <c r="C218" t="s">
        <v>4509</v>
      </c>
      <c r="D218" t="s">
        <v>4510</v>
      </c>
      <c r="E218" t="s">
        <v>4511</v>
      </c>
      <c r="F218" t="s">
        <v>4806</v>
      </c>
      <c r="G218" t="s">
        <v>4807</v>
      </c>
      <c r="H218" s="5">
        <v>45766</v>
      </c>
      <c r="I218" t="s">
        <v>12</v>
      </c>
    </row>
    <row r="219" spans="1:9">
      <c r="A219" s="3" t="s">
        <v>4041</v>
      </c>
      <c r="B219" t="s">
        <v>5027</v>
      </c>
      <c r="C219" t="s">
        <v>4515</v>
      </c>
      <c r="D219" t="s">
        <v>4510</v>
      </c>
      <c r="E219" t="s">
        <v>4511</v>
      </c>
      <c r="F219" t="s">
        <v>4806</v>
      </c>
      <c r="G219" t="s">
        <v>4807</v>
      </c>
      <c r="H219" s="5">
        <v>45767</v>
      </c>
      <c r="I219" t="s">
        <v>4523</v>
      </c>
    </row>
    <row r="220" spans="1:9">
      <c r="A220" s="3" t="s">
        <v>4042</v>
      </c>
      <c r="B220" t="s">
        <v>5028</v>
      </c>
      <c r="C220" t="s">
        <v>4517</v>
      </c>
      <c r="D220" t="s">
        <v>4518</v>
      </c>
      <c r="E220" t="s">
        <v>4519</v>
      </c>
      <c r="F220" t="s">
        <v>4806</v>
      </c>
      <c r="G220" t="s">
        <v>4807</v>
      </c>
      <c r="H220" s="5">
        <v>45768</v>
      </c>
      <c r="I220" t="s">
        <v>4512</v>
      </c>
    </row>
  </sheetData>
  <phoneticPr fontId="3"/>
  <conditionalFormatting sqref="G2:G220">
    <cfRule type="expression" dxfId="0" priority="1">
      <formula>G2="ファイル欠損"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8"/>
  <sheetViews>
    <sheetView tabSelected="1" workbookViewId="0">
      <selection activeCell="D1" sqref="D1"/>
    </sheetView>
  </sheetViews>
  <sheetFormatPr defaultColWidth="12.625" defaultRowHeight="14.25"/>
  <sheetData>
    <row r="1" spans="1:9" ht="30">
      <c r="A1" s="28" t="s">
        <v>5318</v>
      </c>
      <c r="B1" s="29" t="s">
        <v>5319</v>
      </c>
      <c r="C1" s="29" t="s">
        <v>5320</v>
      </c>
      <c r="D1" s="47" t="s">
        <v>5321</v>
      </c>
      <c r="E1" s="47" t="s">
        <v>5036</v>
      </c>
      <c r="F1" s="29" t="s">
        <v>5322</v>
      </c>
      <c r="G1" s="29" t="s">
        <v>5323</v>
      </c>
      <c r="H1" s="47" t="s">
        <v>5324</v>
      </c>
      <c r="I1" s="47" t="s">
        <v>5325</v>
      </c>
    </row>
    <row r="2" spans="1:9">
      <c r="A2" s="30" t="s">
        <v>5326</v>
      </c>
      <c r="B2" s="31">
        <v>1</v>
      </c>
      <c r="C2" s="31" t="s">
        <v>5327</v>
      </c>
      <c r="D2" s="49" t="s">
        <v>5041</v>
      </c>
      <c r="E2" s="49" t="s">
        <v>5041</v>
      </c>
      <c r="F2" s="33">
        <v>0</v>
      </c>
      <c r="G2" s="33">
        <v>177</v>
      </c>
      <c r="H2" s="31"/>
      <c r="I2" s="48" t="s">
        <v>5328</v>
      </c>
    </row>
    <row r="3" spans="1:9">
      <c r="A3" s="34" t="s">
        <v>5326</v>
      </c>
      <c r="B3" s="35">
        <v>2</v>
      </c>
      <c r="C3" s="35" t="s">
        <v>5329</v>
      </c>
      <c r="D3" s="50" t="s">
        <v>5330</v>
      </c>
      <c r="E3" s="36" t="s">
        <v>5043</v>
      </c>
      <c r="F3" s="37">
        <v>15</v>
      </c>
      <c r="G3" s="37">
        <v>162</v>
      </c>
      <c r="H3" s="35" t="s">
        <v>5328</v>
      </c>
      <c r="I3" s="48"/>
    </row>
    <row r="4" spans="1:9">
      <c r="A4" s="30" t="s">
        <v>5326</v>
      </c>
      <c r="B4" s="31">
        <v>3</v>
      </c>
      <c r="C4" s="31" t="s">
        <v>5331</v>
      </c>
      <c r="D4" s="50" t="s">
        <v>5332</v>
      </c>
      <c r="E4" s="36" t="s">
        <v>5067</v>
      </c>
      <c r="F4" s="33">
        <v>25</v>
      </c>
      <c r="G4" s="37">
        <v>152</v>
      </c>
      <c r="H4" s="31" t="s">
        <v>5328</v>
      </c>
      <c r="I4" s="48"/>
    </row>
    <row r="5" spans="1:9">
      <c r="A5" s="34" t="s">
        <v>5326</v>
      </c>
      <c r="B5" s="35">
        <v>4</v>
      </c>
      <c r="C5" s="35" t="s">
        <v>5333</v>
      </c>
      <c r="D5" s="51" t="s">
        <v>5334</v>
      </c>
      <c r="E5" s="38" t="s">
        <v>5044</v>
      </c>
      <c r="F5" s="37">
        <v>34</v>
      </c>
      <c r="G5" s="37">
        <v>143</v>
      </c>
      <c r="H5" s="53" t="s">
        <v>5328</v>
      </c>
      <c r="I5" s="48" t="s">
        <v>5328</v>
      </c>
    </row>
    <row r="6" spans="1:9">
      <c r="A6" s="30" t="s">
        <v>5326</v>
      </c>
      <c r="B6" s="31">
        <v>5</v>
      </c>
      <c r="C6" s="31" t="s">
        <v>5335</v>
      </c>
      <c r="D6" s="51" t="s">
        <v>5336</v>
      </c>
      <c r="E6" s="38" t="s">
        <v>5045</v>
      </c>
      <c r="F6" s="33">
        <v>44</v>
      </c>
      <c r="G6" s="37">
        <v>133</v>
      </c>
      <c r="H6" s="31" t="s">
        <v>5328</v>
      </c>
      <c r="I6" s="48" t="s">
        <v>5328</v>
      </c>
    </row>
    <row r="7" spans="1:9">
      <c r="A7" s="34" t="s">
        <v>5326</v>
      </c>
      <c r="B7" s="35">
        <v>6</v>
      </c>
      <c r="C7" s="35" t="s">
        <v>5337</v>
      </c>
      <c r="D7" s="51" t="s">
        <v>5338</v>
      </c>
      <c r="E7" s="38" t="s">
        <v>5046</v>
      </c>
      <c r="F7" s="37">
        <v>54</v>
      </c>
      <c r="G7" s="37">
        <v>123</v>
      </c>
      <c r="H7" s="35"/>
      <c r="I7" s="48"/>
    </row>
    <row r="8" spans="1:9" ht="27.75">
      <c r="A8" s="30" t="s">
        <v>5326</v>
      </c>
      <c r="B8" s="31">
        <v>7</v>
      </c>
      <c r="C8" s="31" t="s">
        <v>5339</v>
      </c>
      <c r="D8" s="52" t="s">
        <v>5340</v>
      </c>
      <c r="E8" s="39" t="s">
        <v>5047</v>
      </c>
      <c r="F8" s="33">
        <v>60</v>
      </c>
      <c r="G8" s="37">
        <v>117</v>
      </c>
      <c r="H8" s="31" t="s">
        <v>5328</v>
      </c>
      <c r="I8" s="48" t="s">
        <v>5328</v>
      </c>
    </row>
    <row r="9" spans="1:9">
      <c r="A9" s="34" t="s">
        <v>5326</v>
      </c>
      <c r="B9" s="35">
        <v>8</v>
      </c>
      <c r="C9" s="35" t="s">
        <v>5341</v>
      </c>
      <c r="D9" s="52" t="s">
        <v>5342</v>
      </c>
      <c r="E9" s="39" t="s">
        <v>5048</v>
      </c>
      <c r="F9" s="37">
        <v>66</v>
      </c>
      <c r="G9" s="37">
        <v>111</v>
      </c>
      <c r="H9" s="35"/>
      <c r="I9" s="48"/>
    </row>
    <row r="10" spans="1:9">
      <c r="A10" s="30" t="s">
        <v>5326</v>
      </c>
      <c r="B10" s="31">
        <v>9</v>
      </c>
      <c r="C10" s="31" t="s">
        <v>5343</v>
      </c>
      <c r="D10" s="40" t="s">
        <v>5342</v>
      </c>
      <c r="E10" s="40" t="s">
        <v>5049</v>
      </c>
      <c r="F10" s="33">
        <v>73</v>
      </c>
      <c r="G10" s="37">
        <v>104</v>
      </c>
      <c r="H10" s="31" t="s">
        <v>5328</v>
      </c>
      <c r="I10" s="48" t="s">
        <v>5328</v>
      </c>
    </row>
    <row r="11" spans="1:9">
      <c r="A11" s="34" t="s">
        <v>5326</v>
      </c>
      <c r="B11" s="35">
        <v>10</v>
      </c>
      <c r="C11" s="35" t="s">
        <v>5344</v>
      </c>
      <c r="D11" s="40" t="s">
        <v>5345</v>
      </c>
      <c r="E11" s="40" t="s">
        <v>5050</v>
      </c>
      <c r="F11" s="37">
        <v>81</v>
      </c>
      <c r="G11" s="37">
        <v>96</v>
      </c>
      <c r="H11" s="31" t="s">
        <v>5328</v>
      </c>
      <c r="I11" s="48" t="s">
        <v>5328</v>
      </c>
    </row>
    <row r="12" spans="1:9" ht="28.5">
      <c r="A12" s="30" t="s">
        <v>5326</v>
      </c>
      <c r="B12" s="31">
        <v>11</v>
      </c>
      <c r="C12" s="31" t="s">
        <v>5346</v>
      </c>
      <c r="D12" s="56" t="s">
        <v>5347</v>
      </c>
      <c r="E12" s="40" t="s">
        <v>5051</v>
      </c>
      <c r="F12" s="33">
        <v>88</v>
      </c>
      <c r="G12" s="37">
        <v>89</v>
      </c>
      <c r="H12" s="31" t="s">
        <v>5328</v>
      </c>
      <c r="I12" s="48" t="s">
        <v>5328</v>
      </c>
    </row>
    <row r="13" spans="1:9">
      <c r="A13" s="34" t="s">
        <v>5326</v>
      </c>
      <c r="B13" s="35">
        <v>12</v>
      </c>
      <c r="C13" s="35" t="s">
        <v>5348</v>
      </c>
      <c r="D13" s="41" t="s">
        <v>5349</v>
      </c>
      <c r="E13" s="41" t="s">
        <v>5060</v>
      </c>
      <c r="F13" s="37">
        <v>92</v>
      </c>
      <c r="G13" s="37">
        <v>85</v>
      </c>
      <c r="H13" s="35"/>
      <c r="I13" s="48"/>
    </row>
    <row r="14" spans="1:9">
      <c r="A14" s="30" t="s">
        <v>5326</v>
      </c>
      <c r="B14" s="31">
        <v>13</v>
      </c>
      <c r="C14" s="31" t="s">
        <v>5350</v>
      </c>
      <c r="D14" s="41" t="s">
        <v>5351</v>
      </c>
      <c r="E14" s="41" t="s">
        <v>5052</v>
      </c>
      <c r="F14" s="33">
        <v>97</v>
      </c>
      <c r="G14" s="37">
        <v>80</v>
      </c>
      <c r="H14" s="31" t="s">
        <v>5328</v>
      </c>
      <c r="I14" s="48" t="s">
        <v>5328</v>
      </c>
    </row>
    <row r="15" spans="1:9">
      <c r="A15" s="34" t="s">
        <v>5326</v>
      </c>
      <c r="B15" s="35">
        <v>14</v>
      </c>
      <c r="C15" s="35" t="s">
        <v>5352</v>
      </c>
      <c r="D15" s="54" t="s">
        <v>5353</v>
      </c>
      <c r="E15" s="54" t="s">
        <v>5353</v>
      </c>
      <c r="F15" s="37">
        <v>102</v>
      </c>
      <c r="G15" s="37">
        <v>75</v>
      </c>
      <c r="H15" s="35"/>
      <c r="I15" s="48"/>
    </row>
    <row r="16" spans="1:9">
      <c r="A16" s="30" t="s">
        <v>5326</v>
      </c>
      <c r="B16" s="31">
        <v>15</v>
      </c>
      <c r="C16" s="31" t="s">
        <v>5354</v>
      </c>
      <c r="D16" s="42" t="s">
        <v>5355</v>
      </c>
      <c r="E16" s="42" t="s">
        <v>5069</v>
      </c>
      <c r="F16" s="33">
        <v>104</v>
      </c>
      <c r="G16" s="37">
        <v>73</v>
      </c>
      <c r="H16" s="48" t="s">
        <v>5328</v>
      </c>
      <c r="I16" s="48" t="s">
        <v>5328</v>
      </c>
    </row>
    <row r="17" spans="1:9">
      <c r="A17" s="34" t="s">
        <v>5326</v>
      </c>
      <c r="B17" s="35">
        <v>16</v>
      </c>
      <c r="C17" s="35" t="s">
        <v>5356</v>
      </c>
      <c r="D17" s="57" t="s">
        <v>5357</v>
      </c>
      <c r="E17" s="43" t="s">
        <v>5053</v>
      </c>
      <c r="F17" s="37">
        <v>109</v>
      </c>
      <c r="G17" s="37">
        <v>68</v>
      </c>
      <c r="H17" s="35" t="s">
        <v>5328</v>
      </c>
      <c r="I17" s="48" t="s">
        <v>5328</v>
      </c>
    </row>
    <row r="18" spans="1:9">
      <c r="A18" s="30" t="s">
        <v>5326</v>
      </c>
      <c r="B18" s="31">
        <v>17</v>
      </c>
      <c r="C18" s="31" t="s">
        <v>5358</v>
      </c>
      <c r="D18" s="57" t="s">
        <v>5357</v>
      </c>
      <c r="E18" s="44" t="s">
        <v>5063</v>
      </c>
      <c r="F18" s="33">
        <v>115</v>
      </c>
      <c r="G18" s="37">
        <v>62</v>
      </c>
      <c r="H18" s="31" t="s">
        <v>5328</v>
      </c>
      <c r="I18" s="48" t="s">
        <v>5328</v>
      </c>
    </row>
    <row r="19" spans="1:9">
      <c r="A19" s="34" t="s">
        <v>5326</v>
      </c>
      <c r="B19" s="35">
        <v>18</v>
      </c>
      <c r="C19" s="35" t="s">
        <v>5359</v>
      </c>
      <c r="D19" s="57" t="s">
        <v>5357</v>
      </c>
      <c r="E19" s="44" t="s">
        <v>5054</v>
      </c>
      <c r="F19" s="37">
        <v>122</v>
      </c>
      <c r="G19" s="37">
        <v>55</v>
      </c>
      <c r="H19" s="35" t="s">
        <v>5328</v>
      </c>
      <c r="I19" s="48" t="s">
        <v>5328</v>
      </c>
    </row>
    <row r="20" spans="1:9">
      <c r="A20" s="30" t="s">
        <v>5326</v>
      </c>
      <c r="B20" s="31">
        <v>19</v>
      </c>
      <c r="C20" s="31" t="s">
        <v>5360</v>
      </c>
      <c r="D20" s="45" t="s">
        <v>5361</v>
      </c>
      <c r="E20" s="45" t="s">
        <v>5055</v>
      </c>
      <c r="F20" s="33">
        <v>127</v>
      </c>
      <c r="G20" s="37">
        <v>50</v>
      </c>
      <c r="H20" s="31" t="s">
        <v>5328</v>
      </c>
      <c r="I20" s="48" t="s">
        <v>5328</v>
      </c>
    </row>
    <row r="21" spans="1:9">
      <c r="A21" s="34" t="s">
        <v>5326</v>
      </c>
      <c r="B21" s="35">
        <v>20</v>
      </c>
      <c r="C21" s="35" t="s">
        <v>5362</v>
      </c>
      <c r="D21" s="58" t="s">
        <v>5363</v>
      </c>
      <c r="E21" s="46" t="s">
        <v>5056</v>
      </c>
      <c r="F21" s="37">
        <v>133</v>
      </c>
      <c r="G21" s="37">
        <v>44</v>
      </c>
      <c r="H21" s="35" t="s">
        <v>5328</v>
      </c>
      <c r="I21" s="48" t="s">
        <v>5328</v>
      </c>
    </row>
    <row r="22" spans="1:9">
      <c r="A22" s="30" t="s">
        <v>5326</v>
      </c>
      <c r="B22" s="31">
        <v>21</v>
      </c>
      <c r="C22" s="31" t="s">
        <v>5364</v>
      </c>
      <c r="D22" s="49" t="s">
        <v>5365</v>
      </c>
      <c r="E22" s="32" t="s">
        <v>5062</v>
      </c>
      <c r="F22" s="33">
        <v>145</v>
      </c>
      <c r="G22" s="37">
        <v>32</v>
      </c>
      <c r="H22" s="31"/>
      <c r="I22" s="48"/>
    </row>
    <row r="23" spans="1:9">
      <c r="A23" s="30" t="s">
        <v>5326</v>
      </c>
      <c r="B23" s="31">
        <v>22</v>
      </c>
      <c r="C23" s="35" t="s">
        <v>5366</v>
      </c>
      <c r="D23" s="55" t="s">
        <v>5367</v>
      </c>
      <c r="E23" t="s">
        <v>5065</v>
      </c>
      <c r="F23" s="37">
        <v>146.78571428571399</v>
      </c>
      <c r="G23" s="37">
        <v>30.214285714286007</v>
      </c>
      <c r="H23" s="35" t="s">
        <v>5328</v>
      </c>
      <c r="I23" s="48" t="s">
        <v>5328</v>
      </c>
    </row>
    <row r="24" spans="1:9">
      <c r="A24" s="34" t="s">
        <v>5326</v>
      </c>
      <c r="B24" s="35">
        <v>23</v>
      </c>
      <c r="C24" s="31" t="s">
        <v>5368</v>
      </c>
      <c r="D24" s="55" t="s">
        <v>5369</v>
      </c>
      <c r="E24" t="s">
        <v>5066</v>
      </c>
      <c r="F24" s="33">
        <v>152.82142857142901</v>
      </c>
      <c r="G24" s="37">
        <v>24.17857142857099</v>
      </c>
      <c r="H24" s="35" t="s">
        <v>5328</v>
      </c>
      <c r="I24" s="48" t="s">
        <v>5328</v>
      </c>
    </row>
    <row r="25" spans="1:9">
      <c r="A25" s="30" t="s">
        <v>5326</v>
      </c>
      <c r="B25" s="31">
        <v>24</v>
      </c>
      <c r="C25" s="35" t="s">
        <v>5370</v>
      </c>
      <c r="D25" s="55" t="s">
        <v>5068</v>
      </c>
      <c r="E25" s="55" t="s">
        <v>5068</v>
      </c>
      <c r="F25" s="37">
        <v>158.857142857143</v>
      </c>
      <c r="G25" s="37">
        <v>18.142857142856997</v>
      </c>
      <c r="H25" s="35" t="s">
        <v>5328</v>
      </c>
    </row>
    <row r="26" spans="1:9">
      <c r="A26" s="30" t="s">
        <v>5326</v>
      </c>
      <c r="B26" s="35">
        <v>25</v>
      </c>
      <c r="C26" s="31" t="s">
        <v>5371</v>
      </c>
      <c r="D26" t="s">
        <v>5057</v>
      </c>
      <c r="E26" t="s">
        <v>5057</v>
      </c>
      <c r="F26" s="33">
        <v>164.892857142857</v>
      </c>
      <c r="G26" s="37">
        <v>12.107142857143003</v>
      </c>
      <c r="H26" s="35" t="s">
        <v>5328</v>
      </c>
      <c r="I26" s="48" t="s">
        <v>5328</v>
      </c>
    </row>
    <row r="27" spans="1:9">
      <c r="A27" s="34" t="s">
        <v>5326</v>
      </c>
      <c r="B27" s="31">
        <v>26</v>
      </c>
      <c r="C27" s="35" t="s">
        <v>5372</v>
      </c>
      <c r="D27" s="55" t="s">
        <v>5058</v>
      </c>
      <c r="E27" s="55" t="s">
        <v>5058</v>
      </c>
      <c r="F27" s="37">
        <v>170.92857142857099</v>
      </c>
      <c r="G27" s="37">
        <v>6.0714285714290099</v>
      </c>
    </row>
    <row r="28" spans="1:9">
      <c r="A28" s="30" t="s">
        <v>5326</v>
      </c>
      <c r="B28" s="31">
        <v>27</v>
      </c>
      <c r="C28" s="31" t="s">
        <v>5373</v>
      </c>
      <c r="D28" s="55" t="s">
        <v>5059</v>
      </c>
      <c r="E28" s="55" t="s">
        <v>5059</v>
      </c>
      <c r="F28" s="33">
        <v>176.96428571428601</v>
      </c>
      <c r="G28" s="37">
        <v>3.5714285713993377E-2</v>
      </c>
      <c r="I28" s="48" t="s">
        <v>5328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冷延条件</vt:lpstr>
      <vt:lpstr>relationEx</vt:lpstr>
      <vt:lpstr>溶製成績書</vt:lpstr>
      <vt:lpstr>熱延条件</vt:lpstr>
      <vt:lpstr>熱延組織</vt:lpstr>
      <vt:lpstr>熱延引張実績</vt:lpstr>
      <vt:lpstr>焼鈍履歴</vt:lpstr>
      <vt:lpstr>焼鈍条件-3CGL</vt:lpstr>
      <vt:lpstr>焼鈍穴拡げ実績</vt:lpstr>
      <vt:lpstr>焼鈍引張実績</vt:lpstr>
      <vt:lpstr>焼鈍板組織</vt:lpstr>
      <vt:lpstr>測定点マスタ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大谷拓也</dc:creator>
  <cp:lastModifiedBy>拓也 大谷</cp:lastModifiedBy>
  <dcterms:modified xsi:type="dcterms:W3CDTF">2026-07-22T12:08:38Z</dcterms:modified>
</cp:coreProperties>
</file>